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82105B9-1EC0-44A9-823F-D1418F3197D2}" xr6:coauthVersionLast="47" xr6:coauthVersionMax="47" xr10:uidLastSave="{00000000-0000-0000-0000-000000000000}"/>
  <bookViews>
    <workbookView xWindow="-108" yWindow="-108" windowWidth="23256" windowHeight="12456" firstSheet="3" activeTab="9" xr2:uid="{E8E1ABA1-3879-4E4C-84A4-8B6455C8D820}"/>
  </bookViews>
  <sheets>
    <sheet name="Presupuesto ventas" sheetId="10" r:id="rId1"/>
    <sheet name="Presupuesto 25" sheetId="6" r:id="rId2"/>
    <sheet name="BCO" sheetId="8" r:id="rId3"/>
    <sheet name="Ventas" sheetId="13" r:id="rId4"/>
    <sheet name="Obligaciones financieras" sheetId="3" r:id="rId5"/>
    <sheet name="EEFF proyectados" sheetId="5" r:id="rId6"/>
    <sheet name="EEFF historicoss" sheetId="1" r:id="rId7"/>
    <sheet name="EEFF base" sheetId="4" state="hidden" r:id="rId8"/>
    <sheet name="Costos" sheetId="9" state="hidden" r:id="rId9"/>
    <sheet name="Dash" sheetId="14" r:id="rId10"/>
    <sheet name="Control y Supuestos" sheetId="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4" l="1"/>
  <c r="K36" i="14"/>
  <c r="J36" i="14"/>
  <c r="I36" i="14"/>
  <c r="H36" i="14"/>
  <c r="G36" i="14"/>
  <c r="F36" i="14"/>
  <c r="E36" i="14"/>
  <c r="D36" i="14"/>
  <c r="C36" i="14"/>
  <c r="B36" i="14"/>
  <c r="L35" i="14"/>
  <c r="K35" i="14"/>
  <c r="J35" i="14"/>
  <c r="I35" i="14"/>
  <c r="H35" i="14"/>
  <c r="G35" i="14"/>
  <c r="F35" i="14"/>
  <c r="E35" i="14"/>
  <c r="D35" i="14"/>
  <c r="C35" i="14"/>
  <c r="B35" i="14"/>
  <c r="L34" i="14"/>
  <c r="K34" i="14"/>
  <c r="J34" i="14"/>
  <c r="I34" i="14"/>
  <c r="H34" i="14"/>
  <c r="G34" i="14"/>
  <c r="F34" i="14"/>
  <c r="E34" i="14"/>
  <c r="D34" i="14"/>
  <c r="C34" i="14"/>
  <c r="B34" i="14"/>
  <c r="L33" i="14"/>
  <c r="K33" i="14"/>
  <c r="J33" i="14"/>
  <c r="I33" i="14"/>
  <c r="H33" i="14"/>
  <c r="G33" i="14"/>
  <c r="F33" i="14"/>
  <c r="E33" i="14"/>
  <c r="D33" i="14"/>
  <c r="C33" i="14"/>
  <c r="B33" i="14"/>
  <c r="L32" i="14"/>
  <c r="K32" i="14"/>
  <c r="J32" i="14"/>
  <c r="I32" i="14"/>
  <c r="H32" i="14"/>
  <c r="G32" i="14"/>
  <c r="F32" i="14"/>
  <c r="E32" i="14"/>
  <c r="D32" i="14"/>
  <c r="C32" i="14"/>
  <c r="B32" i="14"/>
  <c r="C52" i="10" l="1"/>
  <c r="D52" i="10"/>
  <c r="E52" i="10"/>
  <c r="F52" i="10"/>
  <c r="G52" i="10"/>
  <c r="H52" i="10"/>
  <c r="I52" i="10"/>
  <c r="J52" i="10"/>
  <c r="K52" i="10"/>
  <c r="L52" i="10"/>
  <c r="M52" i="10"/>
  <c r="N52" i="10"/>
  <c r="F129" i="2" l="1"/>
  <c r="F131" i="2"/>
  <c r="F133" i="2"/>
  <c r="F135" i="2"/>
  <c r="F137" i="2"/>
  <c r="F77" i="2"/>
  <c r="F107" i="2"/>
  <c r="BT61" i="5"/>
  <c r="BT107" i="5"/>
  <c r="B31" i="14" l="1"/>
  <c r="AW62" i="1"/>
  <c r="AW6" i="1"/>
  <c r="AW7" i="1"/>
  <c r="AW8" i="1"/>
  <c r="BT6" i="5" s="1"/>
  <c r="BT17" i="5" s="1"/>
  <c r="AW10" i="1"/>
  <c r="BT8" i="5" s="1"/>
  <c r="AW11" i="1"/>
  <c r="BT9" i="5" s="1"/>
  <c r="AW13" i="1"/>
  <c r="AW14" i="1"/>
  <c r="AW15" i="1"/>
  <c r="AW16" i="1"/>
  <c r="AW17" i="1"/>
  <c r="AW19" i="1"/>
  <c r="AW20" i="1"/>
  <c r="AW22" i="1"/>
  <c r="BT14" i="5" s="1"/>
  <c r="BT77" i="5" s="1"/>
  <c r="AV6" i="1"/>
  <c r="AV7" i="1"/>
  <c r="AV8" i="1"/>
  <c r="AV10" i="1"/>
  <c r="AV11" i="1"/>
  <c r="BS9" i="5" s="1"/>
  <c r="AV13" i="1"/>
  <c r="AV14" i="1"/>
  <c r="AV15" i="1"/>
  <c r="AV16" i="1"/>
  <c r="AV17" i="1"/>
  <c r="AV19" i="1"/>
  <c r="AV20" i="1"/>
  <c r="AV22" i="1"/>
  <c r="BS14" i="5" s="1"/>
  <c r="AV5" i="1"/>
  <c r="BS5" i="5" s="1"/>
  <c r="AW5" i="1"/>
  <c r="AU6" i="1"/>
  <c r="AU7" i="1"/>
  <c r="AU8" i="1"/>
  <c r="AU10" i="1"/>
  <c r="AU11" i="1"/>
  <c r="AU13" i="1"/>
  <c r="AU14" i="1"/>
  <c r="AU15" i="1"/>
  <c r="AU16" i="1"/>
  <c r="AU17" i="1"/>
  <c r="AU19" i="1"/>
  <c r="AU20" i="1"/>
  <c r="AU22" i="1"/>
  <c r="AU5" i="1"/>
  <c r="AT6" i="1"/>
  <c r="AT7" i="1"/>
  <c r="AT8" i="1"/>
  <c r="AT10" i="1"/>
  <c r="AT11" i="1"/>
  <c r="AT13" i="1"/>
  <c r="AT14" i="1"/>
  <c r="AT15" i="1"/>
  <c r="AT16" i="1"/>
  <c r="AT17" i="1"/>
  <c r="AT19" i="1"/>
  <c r="AT20" i="1"/>
  <c r="AT22" i="1"/>
  <c r="AT5" i="1"/>
  <c r="BS107" i="5"/>
  <c r="AV51" i="1"/>
  <c r="AV52" i="1"/>
  <c r="BS55" i="5" s="1"/>
  <c r="AV53" i="1"/>
  <c r="BS54" i="5" s="1"/>
  <c r="AV54" i="1"/>
  <c r="BS52" i="5" s="1"/>
  <c r="AV56" i="1"/>
  <c r="BS60" i="5" s="1"/>
  <c r="AV57" i="1"/>
  <c r="AV62" i="1"/>
  <c r="AV44" i="1"/>
  <c r="AV45" i="1"/>
  <c r="BS44" i="5" s="1"/>
  <c r="AV46" i="1"/>
  <c r="BS48" i="5" s="1"/>
  <c r="AV47" i="1"/>
  <c r="BS49" i="5" s="1"/>
  <c r="AV48" i="1"/>
  <c r="BS47" i="5" s="1"/>
  <c r="AV49" i="1"/>
  <c r="BS46" i="5" s="1"/>
  <c r="AV43" i="1"/>
  <c r="AV37" i="1"/>
  <c r="BS35" i="5" s="1"/>
  <c r="BT126" i="5" s="1"/>
  <c r="AV38" i="1"/>
  <c r="BS37" i="5" s="1"/>
  <c r="AV39" i="1"/>
  <c r="BS38" i="5" s="1"/>
  <c r="AV40" i="1"/>
  <c r="BS36" i="5" s="1"/>
  <c r="AV34" i="1"/>
  <c r="AV35" i="1"/>
  <c r="BS32" i="5" s="1"/>
  <c r="AV33" i="1"/>
  <c r="AT33" i="1"/>
  <c r="B29" i="14"/>
  <c r="B30" i="14"/>
  <c r="EM63" i="3"/>
  <c r="EF63" i="3"/>
  <c r="EM62" i="3"/>
  <c r="EF62" i="3"/>
  <c r="DK62" i="3"/>
  <c r="DE62" i="3"/>
  <c r="AS62" i="3"/>
  <c r="EM61" i="3"/>
  <c r="EF61" i="3"/>
  <c r="DK61" i="3"/>
  <c r="DE61" i="3"/>
  <c r="AS61" i="3"/>
  <c r="EM60" i="3"/>
  <c r="EF60" i="3"/>
  <c r="DK60" i="3"/>
  <c r="DE60" i="3"/>
  <c r="AS60" i="3"/>
  <c r="EM59" i="3"/>
  <c r="EF59" i="3"/>
  <c r="DK59" i="3"/>
  <c r="DE59" i="3"/>
  <c r="AS59" i="3"/>
  <c r="EM58" i="3"/>
  <c r="EF58" i="3"/>
  <c r="DN58" i="3"/>
  <c r="DK58" i="3"/>
  <c r="DE58" i="3"/>
  <c r="AS58" i="3"/>
  <c r="EM57" i="3"/>
  <c r="EF57" i="3"/>
  <c r="DN57" i="3"/>
  <c r="DK57" i="3"/>
  <c r="DE57" i="3"/>
  <c r="AS57" i="3"/>
  <c r="EM56" i="3"/>
  <c r="EF56" i="3"/>
  <c r="DN56" i="3"/>
  <c r="DK56" i="3"/>
  <c r="DE56" i="3"/>
  <c r="AS56" i="3"/>
  <c r="EM55" i="3"/>
  <c r="EF55" i="3"/>
  <c r="DN55" i="3"/>
  <c r="DK55" i="3"/>
  <c r="DE55" i="3"/>
  <c r="AS55" i="3"/>
  <c r="EM54" i="3"/>
  <c r="EF54" i="3"/>
  <c r="DN54" i="3"/>
  <c r="DK54" i="3"/>
  <c r="DE54" i="3"/>
  <c r="AS54" i="3"/>
  <c r="EM53" i="3"/>
  <c r="EF53" i="3"/>
  <c r="DN53" i="3"/>
  <c r="DK53" i="3"/>
  <c r="DE53" i="3"/>
  <c r="AS53" i="3"/>
  <c r="EM52" i="3"/>
  <c r="EF52" i="3"/>
  <c r="DN52" i="3"/>
  <c r="DK52" i="3"/>
  <c r="DE52" i="3"/>
  <c r="AS52" i="3"/>
  <c r="EM51" i="3"/>
  <c r="EF51" i="3"/>
  <c r="DN51" i="3"/>
  <c r="DK51" i="3"/>
  <c r="DE51" i="3"/>
  <c r="AS51" i="3"/>
  <c r="AD51" i="3"/>
  <c r="EM50" i="3"/>
  <c r="EF50" i="3"/>
  <c r="DN50" i="3"/>
  <c r="DK50" i="3"/>
  <c r="DE50" i="3"/>
  <c r="CV50" i="3"/>
  <c r="AS50" i="3"/>
  <c r="AD50" i="3"/>
  <c r="EM49" i="3"/>
  <c r="EF49" i="3"/>
  <c r="DN49" i="3"/>
  <c r="DK49" i="3"/>
  <c r="DE49" i="3"/>
  <c r="CV49" i="3"/>
  <c r="AS49" i="3"/>
  <c r="AD49" i="3"/>
  <c r="EM48" i="3"/>
  <c r="EF48" i="3"/>
  <c r="DN48" i="3"/>
  <c r="DK48" i="3"/>
  <c r="DE48" i="3"/>
  <c r="CV48" i="3"/>
  <c r="AS48" i="3"/>
  <c r="AD48" i="3"/>
  <c r="EM47" i="3"/>
  <c r="EF47" i="3"/>
  <c r="DN47" i="3"/>
  <c r="DK47" i="3"/>
  <c r="DE47" i="3"/>
  <c r="CV47" i="3"/>
  <c r="AS47" i="3"/>
  <c r="AD47" i="3"/>
  <c r="EM46" i="3"/>
  <c r="EF46" i="3"/>
  <c r="DN46" i="3"/>
  <c r="DK46" i="3"/>
  <c r="DE46" i="3"/>
  <c r="CV46" i="3"/>
  <c r="AS46" i="3"/>
  <c r="AD46" i="3"/>
  <c r="EM45" i="3"/>
  <c r="EF45" i="3"/>
  <c r="DN45" i="3"/>
  <c r="DK45" i="3"/>
  <c r="DE45" i="3"/>
  <c r="CV45" i="3"/>
  <c r="AS45" i="3"/>
  <c r="AD45" i="3"/>
  <c r="EM44" i="3"/>
  <c r="EF44" i="3"/>
  <c r="DN44" i="3"/>
  <c r="DK44" i="3"/>
  <c r="DE44" i="3"/>
  <c r="CV44" i="3"/>
  <c r="BW44" i="3"/>
  <c r="AS44" i="3"/>
  <c r="AD44" i="3"/>
  <c r="EM43" i="3"/>
  <c r="EF43" i="3"/>
  <c r="DN43" i="3"/>
  <c r="DK43" i="3"/>
  <c r="DE43" i="3"/>
  <c r="CV43" i="3"/>
  <c r="CS43" i="3"/>
  <c r="CM43" i="3"/>
  <c r="BW43" i="3"/>
  <c r="AS43" i="3"/>
  <c r="AD43" i="3"/>
  <c r="EM42" i="3"/>
  <c r="EF42" i="3"/>
  <c r="DN42" i="3"/>
  <c r="DK42" i="3"/>
  <c r="DE42" i="3"/>
  <c r="CV42" i="3"/>
  <c r="CS42" i="3"/>
  <c r="CM42" i="3"/>
  <c r="BW42" i="3"/>
  <c r="AS42" i="3"/>
  <c r="AD42" i="3"/>
  <c r="EM41" i="3"/>
  <c r="EF41" i="3"/>
  <c r="DN41" i="3"/>
  <c r="DK41" i="3"/>
  <c r="DE41" i="3"/>
  <c r="CV41" i="3"/>
  <c r="CS41" i="3"/>
  <c r="CM41" i="3"/>
  <c r="BW41" i="3"/>
  <c r="AS41" i="3"/>
  <c r="AD41" i="3"/>
  <c r="EM40" i="3"/>
  <c r="EF40" i="3"/>
  <c r="DN40" i="3"/>
  <c r="DK40" i="3"/>
  <c r="DE40" i="3"/>
  <c r="CV40" i="3"/>
  <c r="CS40" i="3"/>
  <c r="CM40" i="3"/>
  <c r="BW40" i="3"/>
  <c r="BH40" i="3"/>
  <c r="AS40" i="3"/>
  <c r="AD40" i="3"/>
  <c r="EM39" i="3"/>
  <c r="EF39" i="3"/>
  <c r="DN39" i="3"/>
  <c r="DK39" i="3"/>
  <c r="DE39" i="3"/>
  <c r="CV39" i="3"/>
  <c r="CS39" i="3"/>
  <c r="CM39" i="3"/>
  <c r="BW39" i="3"/>
  <c r="BH39" i="3"/>
  <c r="AS39" i="3"/>
  <c r="AD39" i="3"/>
  <c r="EM38" i="3"/>
  <c r="EF38" i="3"/>
  <c r="DN38" i="3"/>
  <c r="DK38" i="3"/>
  <c r="DE38" i="3"/>
  <c r="CV38" i="3"/>
  <c r="CS38" i="3"/>
  <c r="CM38" i="3"/>
  <c r="BW38" i="3"/>
  <c r="BH38" i="3"/>
  <c r="AS38" i="3"/>
  <c r="AD38" i="3"/>
  <c r="GI37" i="3"/>
  <c r="GF37" i="3"/>
  <c r="FZ37" i="3"/>
  <c r="EM37" i="3"/>
  <c r="EF37" i="3"/>
  <c r="DN37" i="3"/>
  <c r="DK37" i="3"/>
  <c r="DE37" i="3"/>
  <c r="CV37" i="3"/>
  <c r="CS37" i="3"/>
  <c r="CM37" i="3"/>
  <c r="BW37" i="3"/>
  <c r="BH37" i="3"/>
  <c r="AS37" i="3"/>
  <c r="AD37" i="3"/>
  <c r="GI36" i="3"/>
  <c r="GF36" i="3"/>
  <c r="FZ36" i="3"/>
  <c r="EM36" i="3"/>
  <c r="EF36" i="3"/>
  <c r="DN36" i="3"/>
  <c r="DK36" i="3"/>
  <c r="DE36" i="3"/>
  <c r="CV36" i="3"/>
  <c r="CS36" i="3"/>
  <c r="CM36" i="3"/>
  <c r="BW36" i="3"/>
  <c r="BH36" i="3"/>
  <c r="AS36" i="3"/>
  <c r="AD36" i="3"/>
  <c r="GI35" i="3"/>
  <c r="GF35" i="3"/>
  <c r="FZ35" i="3"/>
  <c r="FW35" i="3"/>
  <c r="FQ35" i="3"/>
  <c r="FN35" i="3"/>
  <c r="FH35" i="3"/>
  <c r="FE35" i="3"/>
  <c r="EY35" i="3"/>
  <c r="EV35" i="3"/>
  <c r="EP35" i="3"/>
  <c r="EM35" i="3"/>
  <c r="EF35" i="3"/>
  <c r="DN35" i="3"/>
  <c r="DK35" i="3"/>
  <c r="DE35" i="3"/>
  <c r="CV35" i="3"/>
  <c r="CS35" i="3"/>
  <c r="CM35" i="3"/>
  <c r="BW35" i="3"/>
  <c r="BH35" i="3"/>
  <c r="AS35" i="3"/>
  <c r="AD35" i="3"/>
  <c r="GI34" i="3"/>
  <c r="GF34" i="3"/>
  <c r="FZ34" i="3"/>
  <c r="FW34" i="3"/>
  <c r="FQ34" i="3"/>
  <c r="FN34" i="3"/>
  <c r="FH34" i="3"/>
  <c r="FE34" i="3"/>
  <c r="EY34" i="3"/>
  <c r="EV34" i="3"/>
  <c r="EP34" i="3"/>
  <c r="EM34" i="3"/>
  <c r="EF34" i="3"/>
  <c r="DN34" i="3"/>
  <c r="DK34" i="3"/>
  <c r="DE34" i="3"/>
  <c r="CV34" i="3"/>
  <c r="CS34" i="3"/>
  <c r="CM34" i="3"/>
  <c r="BW34" i="3"/>
  <c r="BH34" i="3"/>
  <c r="AS34" i="3"/>
  <c r="AD34" i="3"/>
  <c r="GI33" i="3"/>
  <c r="GF33" i="3"/>
  <c r="FZ33" i="3"/>
  <c r="FW33" i="3"/>
  <c r="FQ33" i="3"/>
  <c r="FN33" i="3"/>
  <c r="FH33" i="3"/>
  <c r="FE33" i="3"/>
  <c r="EY33" i="3"/>
  <c r="EV33" i="3"/>
  <c r="EP33" i="3"/>
  <c r="EM33" i="3"/>
  <c r="EF33" i="3"/>
  <c r="DN33" i="3"/>
  <c r="DK33" i="3"/>
  <c r="DE33" i="3"/>
  <c r="CV33" i="3"/>
  <c r="CS33" i="3"/>
  <c r="CM33" i="3"/>
  <c r="BW33" i="3"/>
  <c r="BH33" i="3"/>
  <c r="AS33" i="3"/>
  <c r="AD33" i="3"/>
  <c r="GI32" i="3"/>
  <c r="GF32" i="3"/>
  <c r="FZ32" i="3"/>
  <c r="FW32" i="3"/>
  <c r="FQ32" i="3"/>
  <c r="FN32" i="3"/>
  <c r="FH32" i="3"/>
  <c r="FE32" i="3"/>
  <c r="EY32" i="3"/>
  <c r="EV32" i="3"/>
  <c r="EP32" i="3"/>
  <c r="EM32" i="3"/>
  <c r="EF32" i="3"/>
  <c r="DN32" i="3"/>
  <c r="DK32" i="3"/>
  <c r="DE32" i="3"/>
  <c r="CV32" i="3"/>
  <c r="CS32" i="3"/>
  <c r="CM32" i="3"/>
  <c r="BW32" i="3"/>
  <c r="BH32" i="3"/>
  <c r="AS32" i="3"/>
  <c r="AD32" i="3"/>
  <c r="GI31" i="3"/>
  <c r="GF31" i="3"/>
  <c r="FZ31" i="3"/>
  <c r="FW31" i="3"/>
  <c r="FQ31" i="3"/>
  <c r="FN31" i="3"/>
  <c r="FH31" i="3"/>
  <c r="FE31" i="3"/>
  <c r="EY31" i="3"/>
  <c r="EV31" i="3"/>
  <c r="EP31" i="3"/>
  <c r="EM31" i="3"/>
  <c r="EF31" i="3"/>
  <c r="DN31" i="3"/>
  <c r="DK31" i="3"/>
  <c r="DE31" i="3"/>
  <c r="CV31" i="3"/>
  <c r="CS31" i="3"/>
  <c r="CM31" i="3"/>
  <c r="BW31" i="3"/>
  <c r="BH31" i="3"/>
  <c r="AS31" i="3"/>
  <c r="AD31" i="3"/>
  <c r="GI30" i="3"/>
  <c r="GF30" i="3"/>
  <c r="FZ30" i="3"/>
  <c r="FW30" i="3"/>
  <c r="FQ30" i="3"/>
  <c r="FN30" i="3"/>
  <c r="FH30" i="3"/>
  <c r="FE30" i="3"/>
  <c r="EY30" i="3"/>
  <c r="EV30" i="3"/>
  <c r="EP30" i="3"/>
  <c r="EM30" i="3"/>
  <c r="EF30" i="3"/>
  <c r="DN30" i="3"/>
  <c r="DK30" i="3"/>
  <c r="DE30" i="3"/>
  <c r="CV30" i="3"/>
  <c r="CS30" i="3"/>
  <c r="CM30" i="3"/>
  <c r="BW30" i="3"/>
  <c r="BH30" i="3"/>
  <c r="AS30" i="3"/>
  <c r="AD30" i="3"/>
  <c r="R30" i="3"/>
  <c r="O30" i="3"/>
  <c r="GI29" i="3"/>
  <c r="GF29" i="3"/>
  <c r="FZ29" i="3"/>
  <c r="FW29" i="3"/>
  <c r="FQ29" i="3"/>
  <c r="FN29" i="3"/>
  <c r="FH29" i="3"/>
  <c r="FE29" i="3"/>
  <c r="EY29" i="3"/>
  <c r="EV29" i="3"/>
  <c r="EP29" i="3"/>
  <c r="EM29" i="3"/>
  <c r="EF29" i="3"/>
  <c r="DN29" i="3"/>
  <c r="DK29" i="3"/>
  <c r="DE29" i="3"/>
  <c r="CV29" i="3"/>
  <c r="CS29" i="3"/>
  <c r="CM29" i="3"/>
  <c r="BW29" i="3"/>
  <c r="BH29" i="3"/>
  <c r="AS29" i="3"/>
  <c r="AD29" i="3"/>
  <c r="W29" i="3"/>
  <c r="N29" i="3"/>
  <c r="GI28" i="3"/>
  <c r="GF28" i="3"/>
  <c r="FZ28" i="3"/>
  <c r="FW28" i="3"/>
  <c r="FQ28" i="3"/>
  <c r="FN28" i="3"/>
  <c r="FH28" i="3"/>
  <c r="FE28" i="3"/>
  <c r="EY28" i="3"/>
  <c r="EV28" i="3"/>
  <c r="EP28" i="3"/>
  <c r="EM28" i="3"/>
  <c r="EF28" i="3"/>
  <c r="DN28" i="3"/>
  <c r="DK28" i="3"/>
  <c r="DE28" i="3"/>
  <c r="CV28" i="3"/>
  <c r="CS28" i="3"/>
  <c r="CM28" i="3"/>
  <c r="BW28" i="3"/>
  <c r="BH28" i="3"/>
  <c r="BC28" i="3"/>
  <c r="BA28" i="3"/>
  <c r="BB28" i="3" s="1"/>
  <c r="AS28" i="3"/>
  <c r="AD28" i="3"/>
  <c r="W28" i="3"/>
  <c r="X28" i="3" s="1"/>
  <c r="N28" i="3"/>
  <c r="GI27" i="3"/>
  <c r="GF27" i="3"/>
  <c r="FZ27" i="3"/>
  <c r="FW27" i="3"/>
  <c r="FQ27" i="3"/>
  <c r="FN27" i="3"/>
  <c r="FH27" i="3"/>
  <c r="FE27" i="3"/>
  <c r="EY27" i="3"/>
  <c r="EV27" i="3"/>
  <c r="EP27" i="3"/>
  <c r="EM27" i="3"/>
  <c r="EF27" i="3"/>
  <c r="DN27" i="3"/>
  <c r="DK27" i="3"/>
  <c r="DE27" i="3"/>
  <c r="CV27" i="3"/>
  <c r="CS27" i="3"/>
  <c r="CM27" i="3"/>
  <c r="CH27" i="3"/>
  <c r="BW27" i="3"/>
  <c r="BR27" i="3"/>
  <c r="BH27" i="3"/>
  <c r="BD27" i="3"/>
  <c r="BC27" i="3"/>
  <c r="BB27" i="3"/>
  <c r="AX27" i="3"/>
  <c r="AY27" i="3" s="1"/>
  <c r="AV27" i="3"/>
  <c r="AX28" i="3" s="1"/>
  <c r="AY28" i="3" s="1"/>
  <c r="AS27" i="3"/>
  <c r="AL27" i="3"/>
  <c r="AD27" i="3"/>
  <c r="N27" i="3"/>
  <c r="GI26" i="3"/>
  <c r="GF26" i="3"/>
  <c r="GC26" i="3"/>
  <c r="GC27" i="3" s="1"/>
  <c r="GC28" i="3" s="1"/>
  <c r="GC29" i="3" s="1"/>
  <c r="GC30" i="3" s="1"/>
  <c r="GC31" i="3" s="1"/>
  <c r="GC32" i="3" s="1"/>
  <c r="GC33" i="3" s="1"/>
  <c r="GC34" i="3" s="1"/>
  <c r="GC35" i="3" s="1"/>
  <c r="GC36" i="3" s="1"/>
  <c r="GC37" i="3" s="1"/>
  <c r="FZ26" i="3"/>
  <c r="FW26" i="3"/>
  <c r="FT26" i="3"/>
  <c r="FT27" i="3" s="1"/>
  <c r="FT28" i="3" s="1"/>
  <c r="FT29" i="3" s="1"/>
  <c r="FT30" i="3" s="1"/>
  <c r="FT31" i="3" s="1"/>
  <c r="FT32" i="3" s="1"/>
  <c r="FT33" i="3" s="1"/>
  <c r="FT34" i="3" s="1"/>
  <c r="FT35" i="3" s="1"/>
  <c r="FQ26" i="3"/>
  <c r="FN26" i="3"/>
  <c r="FK26" i="3"/>
  <c r="FK13" i="3" s="1"/>
  <c r="FK11" i="3" s="1"/>
  <c r="FH26" i="3"/>
  <c r="FE26" i="3"/>
  <c r="FB26" i="3"/>
  <c r="FB27" i="3" s="1"/>
  <c r="FB28" i="3" s="1"/>
  <c r="FB29" i="3" s="1"/>
  <c r="FB30" i="3" s="1"/>
  <c r="FB31" i="3" s="1"/>
  <c r="FB32" i="3" s="1"/>
  <c r="FB33" i="3" s="1"/>
  <c r="FB34" i="3" s="1"/>
  <c r="FB35" i="3" s="1"/>
  <c r="EY26" i="3"/>
  <c r="EV26" i="3"/>
  <c r="ES26" i="3"/>
  <c r="ES27" i="3" s="1"/>
  <c r="ES28" i="3" s="1"/>
  <c r="ES29" i="3" s="1"/>
  <c r="ES30" i="3" s="1"/>
  <c r="ES31" i="3" s="1"/>
  <c r="ES32" i="3" s="1"/>
  <c r="ES33" i="3" s="1"/>
  <c r="ES34" i="3" s="1"/>
  <c r="ES35" i="3" s="1"/>
  <c r="EP26" i="3"/>
  <c r="EM26" i="3"/>
  <c r="EI26" i="3"/>
  <c r="EI27" i="3" s="1"/>
  <c r="EF26" i="3"/>
  <c r="DT26" i="3"/>
  <c r="DQ26" i="3"/>
  <c r="DS27" i="3" s="1"/>
  <c r="DT27" i="3" s="1"/>
  <c r="DN26" i="3"/>
  <c r="DK26" i="3"/>
  <c r="DH26" i="3"/>
  <c r="DH13" i="3" s="1"/>
  <c r="DE26" i="3"/>
  <c r="DA26" i="3"/>
  <c r="DB26" i="3" s="1"/>
  <c r="I38" i="3" s="1"/>
  <c r="CY26" i="3"/>
  <c r="CY13" i="3" s="1"/>
  <c r="CV26" i="3"/>
  <c r="CS26" i="3"/>
  <c r="CP26" i="3"/>
  <c r="CP27" i="3" s="1"/>
  <c r="CP28" i="3" s="1"/>
  <c r="CP29" i="3" s="1"/>
  <c r="CP30" i="3" s="1"/>
  <c r="CP31" i="3" s="1"/>
  <c r="CP32" i="3" s="1"/>
  <c r="CP33" i="3" s="1"/>
  <c r="CP34" i="3" s="1"/>
  <c r="CP35" i="3" s="1"/>
  <c r="CP36" i="3" s="1"/>
  <c r="CP37" i="3" s="1"/>
  <c r="CP38" i="3" s="1"/>
  <c r="CP39" i="3" s="1"/>
  <c r="CP40" i="3" s="1"/>
  <c r="CP41" i="3" s="1"/>
  <c r="CP42" i="3" s="1"/>
  <c r="CP43" i="3" s="1"/>
  <c r="CM26" i="3"/>
  <c r="CI26" i="3"/>
  <c r="CH26" i="3"/>
  <c r="CC26" i="3"/>
  <c r="CE26" i="3" s="1"/>
  <c r="BZ26" i="3"/>
  <c r="BZ27" i="3" s="1"/>
  <c r="BW26" i="3"/>
  <c r="BS26" i="3"/>
  <c r="BR26" i="3"/>
  <c r="BO26" i="3"/>
  <c r="BM26" i="3"/>
  <c r="BK26" i="3"/>
  <c r="BM27" i="3" s="1"/>
  <c r="BO27" i="3" s="1"/>
  <c r="BH26" i="3"/>
  <c r="BD26" i="3"/>
  <c r="BC26" i="3"/>
  <c r="BB26" i="3"/>
  <c r="AX26" i="3"/>
  <c r="AY26" i="3" s="1"/>
  <c r="AS26" i="3"/>
  <c r="AN26" i="3"/>
  <c r="AI26" i="3"/>
  <c r="AH26" i="3"/>
  <c r="AM26" i="3" s="1"/>
  <c r="AD26" i="3"/>
  <c r="S26" i="3"/>
  <c r="N26" i="3"/>
  <c r="C26" i="3"/>
  <c r="B26" i="3" s="1"/>
  <c r="GI25" i="3"/>
  <c r="GA25" i="3"/>
  <c r="FR25" i="3"/>
  <c r="FI25" i="3"/>
  <c r="FK8" i="3" s="1"/>
  <c r="FK9" i="3" s="1"/>
  <c r="FH25" i="3"/>
  <c r="EZ25" i="3"/>
  <c r="FB8" i="3" s="1"/>
  <c r="FB9" i="3" s="1"/>
  <c r="EQ25" i="3"/>
  <c r="EP25" i="3" s="1"/>
  <c r="EF25" i="3"/>
  <c r="DN25" i="3"/>
  <c r="DE25" i="3"/>
  <c r="CV25" i="3"/>
  <c r="CM25" i="3"/>
  <c r="BW25" i="3"/>
  <c r="BH25" i="3"/>
  <c r="AS25" i="3"/>
  <c r="AD25" i="3"/>
  <c r="N25" i="3"/>
  <c r="B25" i="3"/>
  <c r="GM24" i="3"/>
  <c r="GD24" i="3"/>
  <c r="FU24" i="3"/>
  <c r="FL24" i="3"/>
  <c r="FC24" i="3"/>
  <c r="ET24" i="3"/>
  <c r="EJ24" i="3"/>
  <c r="DR24" i="3"/>
  <c r="DI24" i="3"/>
  <c r="CZ24" i="3"/>
  <c r="CQ24" i="3"/>
  <c r="CB24" i="3"/>
  <c r="CA24" i="3"/>
  <c r="AW24" i="3"/>
  <c r="Q20" i="3"/>
  <c r="R26" i="3" s="1"/>
  <c r="BZ19" i="3"/>
  <c r="Q17" i="3"/>
  <c r="T35" i="3" s="1"/>
  <c r="DQ15" i="3"/>
  <c r="CY15" i="3"/>
  <c r="CY12" i="3" s="1"/>
  <c r="CY11" i="3" s="1"/>
  <c r="BK15" i="3"/>
  <c r="AY15" i="3"/>
  <c r="AV15" i="3"/>
  <c r="GL13" i="3"/>
  <c r="GL11" i="3" s="1"/>
  <c r="GE13" i="3"/>
  <c r="GC13" i="3"/>
  <c r="GC11" i="3" s="1"/>
  <c r="FT13" i="3"/>
  <c r="FT11" i="3" s="1"/>
  <c r="FB13" i="3"/>
  <c r="FB11" i="3" s="1"/>
  <c r="DQ13" i="3"/>
  <c r="BZ12" i="3"/>
  <c r="GL8" i="3"/>
  <c r="GL9" i="3" s="1"/>
  <c r="EI8" i="3"/>
  <c r="EI9" i="3" s="1"/>
  <c r="DQ8" i="3"/>
  <c r="DQ9" i="3" s="1"/>
  <c r="DH8" i="3"/>
  <c r="DH9" i="3" s="1"/>
  <c r="CY8" i="3"/>
  <c r="CY9" i="3" s="1"/>
  <c r="CP8" i="3"/>
  <c r="CP9" i="3" s="1"/>
  <c r="BZ8" i="3"/>
  <c r="BZ9" i="3" s="1"/>
  <c r="BK8" i="3"/>
  <c r="BK9" i="3" s="1"/>
  <c r="AV8" i="3"/>
  <c r="AV9" i="3" s="1"/>
  <c r="AG8" i="3"/>
  <c r="AG9" i="3" s="1"/>
  <c r="BK27" i="3" l="1"/>
  <c r="BM28" i="3" s="1"/>
  <c r="BO28" i="3" s="1"/>
  <c r="BK13" i="3"/>
  <c r="BK11" i="3" s="1"/>
  <c r="EY25" i="3"/>
  <c r="BT26" i="3"/>
  <c r="CC27" i="3"/>
  <c r="CE27" i="3" s="1"/>
  <c r="DQ27" i="3"/>
  <c r="DS28" i="3" s="1"/>
  <c r="DT28" i="3" s="1"/>
  <c r="BT12" i="5"/>
  <c r="BT86" i="5" s="1"/>
  <c r="BT10" i="5"/>
  <c r="BT18" i="5" s="1"/>
  <c r="AW9" i="1"/>
  <c r="AW12" i="1" s="1"/>
  <c r="AW93" i="1" s="1"/>
  <c r="AW63" i="1"/>
  <c r="BT75" i="5" s="1"/>
  <c r="BT127" i="5" s="1"/>
  <c r="BT5" i="5"/>
  <c r="BT7" i="5" s="1"/>
  <c r="AT9" i="1"/>
  <c r="AT12" i="1" s="1"/>
  <c r="AT18" i="1" s="1"/>
  <c r="AW92" i="1"/>
  <c r="AU9" i="1"/>
  <c r="AU12" i="1" s="1"/>
  <c r="AU18" i="1" s="1"/>
  <c r="AU21" i="1" s="1"/>
  <c r="AU23" i="1" s="1"/>
  <c r="BS12" i="5"/>
  <c r="BS86" i="5" s="1"/>
  <c r="AV9" i="1"/>
  <c r="AV12" i="1" s="1"/>
  <c r="AV18" i="1" s="1"/>
  <c r="AV21" i="1" s="1"/>
  <c r="AV23" i="1" s="1"/>
  <c r="BS45" i="5"/>
  <c r="BS50" i="5" s="1"/>
  <c r="BS8" i="5"/>
  <c r="AJ26" i="3"/>
  <c r="AO26" i="3"/>
  <c r="AG26" i="3"/>
  <c r="AG27" i="3" s="1"/>
  <c r="AH27" i="3"/>
  <c r="AH28" i="3" s="1"/>
  <c r="DQ12" i="3"/>
  <c r="DQ11" i="3" s="1"/>
  <c r="DT13" i="3" s="1"/>
  <c r="DU13" i="3" s="1"/>
  <c r="FQ25" i="3"/>
  <c r="FT8" i="3"/>
  <c r="FT9" i="3" s="1"/>
  <c r="FZ25" i="3"/>
  <c r="GC8" i="3"/>
  <c r="GC9" i="3" s="1"/>
  <c r="AV50" i="1"/>
  <c r="ES8" i="3"/>
  <c r="ES9" i="3" s="1"/>
  <c r="CI27" i="3"/>
  <c r="CJ27" i="3" s="1"/>
  <c r="BE26" i="3"/>
  <c r="CY27" i="3"/>
  <c r="AV36" i="1"/>
  <c r="R27" i="3"/>
  <c r="DA27" i="3"/>
  <c r="DB27" i="3" s="1"/>
  <c r="BS10" i="5"/>
  <c r="CJ26" i="3"/>
  <c r="BE27" i="3"/>
  <c r="BS110" i="5"/>
  <c r="BS77" i="5"/>
  <c r="BS108" i="5"/>
  <c r="BS111" i="5"/>
  <c r="BS113" i="5"/>
  <c r="BS39" i="5"/>
  <c r="BS53" i="5"/>
  <c r="AV32" i="1"/>
  <c r="BS6" i="5"/>
  <c r="BS112" i="5"/>
  <c r="BS128" i="5"/>
  <c r="BS30" i="5"/>
  <c r="BS29" i="5"/>
  <c r="AV42" i="1"/>
  <c r="AI27" i="3"/>
  <c r="AJ27" i="3" s="1"/>
  <c r="AH29" i="3"/>
  <c r="Q26" i="3"/>
  <c r="U26" i="3"/>
  <c r="BZ28" i="3"/>
  <c r="CC28" i="3"/>
  <c r="CE28" i="3" s="1"/>
  <c r="BZ13" i="3"/>
  <c r="EI28" i="3"/>
  <c r="EI29" i="3" s="1"/>
  <c r="EI30" i="3" s="1"/>
  <c r="EI31" i="3" s="1"/>
  <c r="EI32" i="3" s="1"/>
  <c r="EI33" i="3" s="1"/>
  <c r="EI34" i="3" s="1"/>
  <c r="EI35" i="3" s="1"/>
  <c r="EI36" i="3" s="1"/>
  <c r="EI37" i="3" s="1"/>
  <c r="EI38" i="3" s="1"/>
  <c r="EI39" i="3" s="1"/>
  <c r="EI40" i="3" s="1"/>
  <c r="EI41" i="3" s="1"/>
  <c r="EI42" i="3" s="1"/>
  <c r="EI43" i="3" s="1"/>
  <c r="EI44" i="3" s="1"/>
  <c r="EI45" i="3" s="1"/>
  <c r="EI46" i="3" s="1"/>
  <c r="EI47" i="3" s="1"/>
  <c r="EI48" i="3" s="1"/>
  <c r="EI49" i="3" s="1"/>
  <c r="EI50" i="3" s="1"/>
  <c r="EI51" i="3" s="1"/>
  <c r="EI52" i="3" s="1"/>
  <c r="EI53" i="3" s="1"/>
  <c r="EI54" i="3" s="1"/>
  <c r="EI55" i="3" s="1"/>
  <c r="EI56" i="3" s="1"/>
  <c r="EI57" i="3" s="1"/>
  <c r="EI58" i="3" s="1"/>
  <c r="EI59" i="3" s="1"/>
  <c r="EI60" i="3" s="1"/>
  <c r="EI61" i="3" s="1"/>
  <c r="EI62" i="3" s="1"/>
  <c r="EI63" i="3" s="1"/>
  <c r="EI13" i="3"/>
  <c r="EI11" i="3" s="1"/>
  <c r="DH15" i="3"/>
  <c r="DH11" i="3"/>
  <c r="ES13" i="3"/>
  <c r="ES11" i="3" s="1"/>
  <c r="T27" i="3"/>
  <c r="AM27" i="3"/>
  <c r="BS27" i="3"/>
  <c r="BT27" i="3" s="1"/>
  <c r="BD28" i="3"/>
  <c r="BE28" i="3" s="1"/>
  <c r="T30" i="3"/>
  <c r="T32" i="3"/>
  <c r="T43" i="3"/>
  <c r="T26" i="3"/>
  <c r="T37" i="3"/>
  <c r="CP13" i="3"/>
  <c r="CP11" i="3" s="1"/>
  <c r="DH27" i="3"/>
  <c r="DH28" i="3" s="1"/>
  <c r="DH29" i="3" s="1"/>
  <c r="DH30" i="3" s="1"/>
  <c r="DH31" i="3" s="1"/>
  <c r="DH32" i="3" s="1"/>
  <c r="DH33" i="3" s="1"/>
  <c r="DH34" i="3" s="1"/>
  <c r="DH35" i="3" s="1"/>
  <c r="DH36" i="3" s="1"/>
  <c r="DH37" i="3" s="1"/>
  <c r="DH38" i="3" s="1"/>
  <c r="DH39" i="3" s="1"/>
  <c r="DH40" i="3" s="1"/>
  <c r="DH41" i="3" s="1"/>
  <c r="DH42" i="3" s="1"/>
  <c r="DH43" i="3" s="1"/>
  <c r="DH44" i="3" s="1"/>
  <c r="DH45" i="3" s="1"/>
  <c r="DH46" i="3" s="1"/>
  <c r="DH47" i="3" s="1"/>
  <c r="DH48" i="3" s="1"/>
  <c r="DH49" i="3" s="1"/>
  <c r="DH50" i="3" s="1"/>
  <c r="DH51" i="3" s="1"/>
  <c r="DH52" i="3" s="1"/>
  <c r="DH53" i="3" s="1"/>
  <c r="DH54" i="3" s="1"/>
  <c r="DH55" i="3" s="1"/>
  <c r="DH56" i="3" s="1"/>
  <c r="DH57" i="3" s="1"/>
  <c r="DH58" i="3" s="1"/>
  <c r="DH59" i="3" s="1"/>
  <c r="DH60" i="3" s="1"/>
  <c r="DH61" i="3" s="1"/>
  <c r="DH62" i="3" s="1"/>
  <c r="FK27" i="3"/>
  <c r="FK28" i="3" s="1"/>
  <c r="FK29" i="3" s="1"/>
  <c r="FK30" i="3" s="1"/>
  <c r="FK31" i="3" s="1"/>
  <c r="FK32" i="3" s="1"/>
  <c r="FK33" i="3" s="1"/>
  <c r="FK34" i="3" s="1"/>
  <c r="FK35" i="3" s="1"/>
  <c r="T33" i="3"/>
  <c r="T34" i="3"/>
  <c r="C27" i="3"/>
  <c r="AV28" i="3"/>
  <c r="T42" i="3"/>
  <c r="T45" i="3"/>
  <c r="T44" i="3"/>
  <c r="T41" i="3"/>
  <c r="T40" i="3"/>
  <c r="T39" i="3"/>
  <c r="T38" i="3"/>
  <c r="T31" i="3"/>
  <c r="R28" i="3"/>
  <c r="BK28" i="3"/>
  <c r="R29" i="3"/>
  <c r="N30" i="3"/>
  <c r="O31" i="3"/>
  <c r="T28" i="3"/>
  <c r="DQ28" i="3"/>
  <c r="T29" i="3"/>
  <c r="T36" i="3"/>
  <c r="BS18" i="5" l="1"/>
  <c r="AN27" i="3"/>
  <c r="AO27" i="3" s="1"/>
  <c r="BT11" i="5"/>
  <c r="BT74" i="5" s="1"/>
  <c r="AW18" i="1"/>
  <c r="AW21" i="1" s="1"/>
  <c r="AW23" i="1" s="1"/>
  <c r="BS7" i="5"/>
  <c r="BS11" i="5" s="1"/>
  <c r="BS13" i="5" s="1"/>
  <c r="BS15" i="5" s="1"/>
  <c r="BS17" i="5"/>
  <c r="BT13" i="5"/>
  <c r="BT15" i="5" s="1"/>
  <c r="BT19" i="5"/>
  <c r="AV92" i="1"/>
  <c r="AT21" i="1"/>
  <c r="AT23" i="1" s="1"/>
  <c r="BS109" i="5"/>
  <c r="AV41" i="1"/>
  <c r="AV70" i="1" s="1"/>
  <c r="BS56" i="5"/>
  <c r="BS57" i="5" s="1"/>
  <c r="CY28" i="3"/>
  <c r="DA28" i="3"/>
  <c r="DB28" i="3" s="1"/>
  <c r="BS106" i="5"/>
  <c r="AV93" i="1"/>
  <c r="AV31" i="1"/>
  <c r="AV71" i="1"/>
  <c r="AV72" i="1"/>
  <c r="BS33" i="5"/>
  <c r="BS40" i="5" s="1"/>
  <c r="AV74" i="1"/>
  <c r="AV73" i="1"/>
  <c r="Y28" i="3"/>
  <c r="Q27" i="3"/>
  <c r="S27" i="3"/>
  <c r="U27" i="3" s="1"/>
  <c r="DQ29" i="3"/>
  <c r="DS29" i="3"/>
  <c r="DT29" i="3" s="1"/>
  <c r="AH30" i="3"/>
  <c r="C28" i="3"/>
  <c r="B27" i="3"/>
  <c r="BM29" i="3"/>
  <c r="BO29" i="3" s="1"/>
  <c r="BL31" i="3"/>
  <c r="BK29" i="3"/>
  <c r="O32" i="3"/>
  <c r="N31" i="3"/>
  <c r="BZ11" i="3"/>
  <c r="BZ15" i="3"/>
  <c r="AX29" i="3"/>
  <c r="AY29" i="3" s="1"/>
  <c r="AV13" i="3"/>
  <c r="AV29" i="3"/>
  <c r="AG28" i="3"/>
  <c r="AG13" i="3"/>
  <c r="AI28" i="3"/>
  <c r="AJ28" i="3" s="1"/>
  <c r="Y29" i="3"/>
  <c r="AA29" i="3" s="1"/>
  <c r="CC29" i="3"/>
  <c r="CE29" i="3" s="1"/>
  <c r="BZ29" i="3"/>
  <c r="AW86" i="1" l="1"/>
  <c r="BS114" i="5"/>
  <c r="AW94" i="1"/>
  <c r="BS74" i="5"/>
  <c r="CY29" i="3"/>
  <c r="DA29" i="3"/>
  <c r="DB29" i="3" s="1"/>
  <c r="AV86" i="1"/>
  <c r="O33" i="3"/>
  <c r="N32" i="3"/>
  <c r="AI29" i="3"/>
  <c r="AJ29" i="3" s="1"/>
  <c r="AG29" i="3"/>
  <c r="BL32" i="3"/>
  <c r="C29" i="3"/>
  <c r="B28" i="3"/>
  <c r="CC30" i="3"/>
  <c r="CE30" i="3" s="1"/>
  <c r="BZ30" i="3"/>
  <c r="AG11" i="3"/>
  <c r="AG15" i="3"/>
  <c r="BM30" i="3"/>
  <c r="BO30" i="3" s="1"/>
  <c r="BK30" i="3"/>
  <c r="S28" i="3"/>
  <c r="U28" i="3" s="1"/>
  <c r="Z28" i="3"/>
  <c r="AA28" i="3" s="1"/>
  <c r="I28" i="3" s="1"/>
  <c r="Q28" i="3"/>
  <c r="AH31" i="3"/>
  <c r="DQ30" i="3"/>
  <c r="DS30" i="3"/>
  <c r="DT30" i="3" s="1"/>
  <c r="AX30" i="3"/>
  <c r="AY30" i="3" s="1"/>
  <c r="AV30" i="3"/>
  <c r="AV12" i="3"/>
  <c r="AV11" i="3" s="1"/>
  <c r="CY30" i="3" l="1"/>
  <c r="DA30" i="3"/>
  <c r="DB30" i="3" s="1"/>
  <c r="AV91" i="1"/>
  <c r="AV94" i="1"/>
  <c r="AI30" i="3"/>
  <c r="AJ30" i="3" s="1"/>
  <c r="AG30" i="3"/>
  <c r="AV31" i="3"/>
  <c r="AX31" i="3"/>
  <c r="AY31" i="3" s="1"/>
  <c r="S29" i="3"/>
  <c r="U29" i="3" s="1"/>
  <c r="Q29" i="3"/>
  <c r="DQ31" i="3"/>
  <c r="DS31" i="3"/>
  <c r="DT31" i="3" s="1"/>
  <c r="AH32" i="3"/>
  <c r="BM31" i="3"/>
  <c r="BO31" i="3" s="1"/>
  <c r="BK31" i="3"/>
  <c r="C30" i="3"/>
  <c r="B29" i="3"/>
  <c r="BL33" i="3"/>
  <c r="CC31" i="3"/>
  <c r="CE31" i="3" s="1"/>
  <c r="BZ31" i="3"/>
  <c r="O34" i="3"/>
  <c r="N33" i="3"/>
  <c r="DA31" i="3" l="1"/>
  <c r="DB31" i="3" s="1"/>
  <c r="CY31" i="3"/>
  <c r="BL34" i="3"/>
  <c r="C31" i="3"/>
  <c r="B30" i="3"/>
  <c r="AX32" i="3"/>
  <c r="AY32" i="3" s="1"/>
  <c r="AV32" i="3"/>
  <c r="AI31" i="3"/>
  <c r="AJ31" i="3" s="1"/>
  <c r="AG31" i="3"/>
  <c r="AH33" i="3"/>
  <c r="BM32" i="3"/>
  <c r="BO32" i="3" s="1"/>
  <c r="BK32" i="3"/>
  <c r="DQ32" i="3"/>
  <c r="DS32" i="3"/>
  <c r="DT32" i="3" s="1"/>
  <c r="Q30" i="3"/>
  <c r="Q13" i="3"/>
  <c r="S30" i="3"/>
  <c r="O35" i="3"/>
  <c r="N34" i="3"/>
  <c r="CC32" i="3"/>
  <c r="CE32" i="3" s="1"/>
  <c r="BZ32" i="3"/>
  <c r="DA32" i="3" l="1"/>
  <c r="DB32" i="3" s="1"/>
  <c r="CY32" i="3"/>
  <c r="U30" i="3"/>
  <c r="AX33" i="3"/>
  <c r="AY33" i="3" s="1"/>
  <c r="AV33" i="3"/>
  <c r="BK33" i="3"/>
  <c r="BM33" i="3"/>
  <c r="BO33" i="3" s="1"/>
  <c r="C32" i="3"/>
  <c r="B31" i="3"/>
  <c r="AH34" i="3"/>
  <c r="CC33" i="3"/>
  <c r="CE33" i="3" s="1"/>
  <c r="BZ33" i="3"/>
  <c r="N35" i="3"/>
  <c r="O36" i="3"/>
  <c r="AI32" i="3"/>
  <c r="AJ32" i="3" s="1"/>
  <c r="AG32" i="3"/>
  <c r="DS33" i="3"/>
  <c r="DT33" i="3" s="1"/>
  <c r="DQ33" i="3"/>
  <c r="P25" i="3"/>
  <c r="Q11" i="3"/>
  <c r="BL35" i="3"/>
  <c r="R46" i="3"/>
  <c r="R55" i="3"/>
  <c r="R50" i="3"/>
  <c r="R42" i="3"/>
  <c r="R54" i="3"/>
  <c r="R45" i="3"/>
  <c r="R44" i="3"/>
  <c r="R53" i="3"/>
  <c r="R49" i="3"/>
  <c r="R41" i="3"/>
  <c r="R40" i="3"/>
  <c r="R39" i="3"/>
  <c r="R32" i="3"/>
  <c r="S31" i="3"/>
  <c r="R37" i="3"/>
  <c r="R31" i="3"/>
  <c r="Q31" i="3" s="1"/>
  <c r="R48" i="3"/>
  <c r="R36" i="3"/>
  <c r="R52" i="3"/>
  <c r="R51" i="3"/>
  <c r="R43" i="3"/>
  <c r="R47" i="3"/>
  <c r="R38" i="3"/>
  <c r="R34" i="3"/>
  <c r="R35" i="3"/>
  <c r="R33" i="3"/>
  <c r="CY33" i="3" l="1"/>
  <c r="DA33" i="3"/>
  <c r="DB33" i="3" s="1"/>
  <c r="Q32" i="3"/>
  <c r="S32" i="3"/>
  <c r="U32" i="3"/>
  <c r="BK34" i="3"/>
  <c r="BM34" i="3"/>
  <c r="BO34" i="3" s="1"/>
  <c r="AH35" i="3"/>
  <c r="C33" i="3"/>
  <c r="B32" i="3"/>
  <c r="AI33" i="3"/>
  <c r="AJ33" i="3" s="1"/>
  <c r="AG33" i="3"/>
  <c r="AX34" i="3"/>
  <c r="AY34" i="3" s="1"/>
  <c r="AV34" i="3"/>
  <c r="R24" i="3"/>
  <c r="U31" i="3"/>
  <c r="O37" i="3"/>
  <c r="N36" i="3"/>
  <c r="CC34" i="3"/>
  <c r="CE34" i="3" s="1"/>
  <c r="BZ34" i="3"/>
  <c r="BL36" i="3"/>
  <c r="DS34" i="3"/>
  <c r="DT34" i="3" s="1"/>
  <c r="DQ34" i="3"/>
  <c r="DA34" i="3" l="1"/>
  <c r="DB34" i="3" s="1"/>
  <c r="CY34" i="3"/>
  <c r="BK35" i="3"/>
  <c r="BM35" i="3"/>
  <c r="BO35" i="3" s="1"/>
  <c r="CC35" i="3"/>
  <c r="CE35" i="3" s="1"/>
  <c r="BZ35" i="3"/>
  <c r="O38" i="3"/>
  <c r="N37" i="3"/>
  <c r="AX35" i="3"/>
  <c r="AY35" i="3" s="1"/>
  <c r="AV35" i="3"/>
  <c r="BL37" i="3"/>
  <c r="AI34" i="3"/>
  <c r="AJ34" i="3" s="1"/>
  <c r="AG34" i="3"/>
  <c r="B33" i="3"/>
  <c r="C34" i="3"/>
  <c r="Q33" i="3"/>
  <c r="S33" i="3"/>
  <c r="U33" i="3" s="1"/>
  <c r="AH36" i="3"/>
  <c r="DS35" i="3"/>
  <c r="DT35" i="3" s="1"/>
  <c r="DQ35" i="3"/>
  <c r="CY35" i="3" l="1"/>
  <c r="DA35" i="3"/>
  <c r="DB35" i="3" s="1"/>
  <c r="Q34" i="3"/>
  <c r="S34" i="3"/>
  <c r="U34" i="3" s="1"/>
  <c r="BL38" i="3"/>
  <c r="O39" i="3"/>
  <c r="N38" i="3"/>
  <c r="BZ36" i="3"/>
  <c r="CC36" i="3"/>
  <c r="CE36" i="3" s="1"/>
  <c r="AX36" i="3"/>
  <c r="AY36" i="3" s="1"/>
  <c r="AV36" i="3"/>
  <c r="DQ36" i="3"/>
  <c r="DS36" i="3"/>
  <c r="DT36" i="3" s="1"/>
  <c r="B34" i="3"/>
  <c r="C35" i="3"/>
  <c r="AH37" i="3"/>
  <c r="BK36" i="3"/>
  <c r="BM36" i="3"/>
  <c r="BO36" i="3" s="1"/>
  <c r="AI35" i="3"/>
  <c r="AJ35" i="3" s="1"/>
  <c r="AG35" i="3"/>
  <c r="DA36" i="3" l="1"/>
  <c r="DB36" i="3" s="1"/>
  <c r="CY36" i="3"/>
  <c r="BL39" i="3"/>
  <c r="DQ37" i="3"/>
  <c r="DS37" i="3"/>
  <c r="DT37" i="3" s="1"/>
  <c r="BM37" i="3"/>
  <c r="BO37" i="3" s="1"/>
  <c r="BK37" i="3"/>
  <c r="AX37" i="3"/>
  <c r="AY37" i="3" s="1"/>
  <c r="AV37" i="3"/>
  <c r="AH38" i="3"/>
  <c r="Q35" i="3"/>
  <c r="S35" i="3"/>
  <c r="U35" i="3" s="1"/>
  <c r="C36" i="3"/>
  <c r="B35" i="3"/>
  <c r="BZ37" i="3"/>
  <c r="CC37" i="3"/>
  <c r="CE37" i="3" s="1"/>
  <c r="AI36" i="3"/>
  <c r="AJ36" i="3" s="1"/>
  <c r="AG36" i="3"/>
  <c r="O40" i="3"/>
  <c r="N39" i="3"/>
  <c r="DA37" i="3" l="1"/>
  <c r="DB37" i="3" s="1"/>
  <c r="CY37" i="3"/>
  <c r="B36" i="3"/>
  <c r="C37" i="3"/>
  <c r="BK38" i="3"/>
  <c r="BM38" i="3"/>
  <c r="BO38" i="3" s="1"/>
  <c r="Q36" i="3"/>
  <c r="S36" i="3"/>
  <c r="U36" i="3" s="1"/>
  <c r="O41" i="3"/>
  <c r="N40" i="3"/>
  <c r="AH39" i="3"/>
  <c r="DS38" i="3"/>
  <c r="DT38" i="3" s="1"/>
  <c r="DQ38" i="3"/>
  <c r="AI37" i="3"/>
  <c r="AJ37" i="3" s="1"/>
  <c r="AG37" i="3"/>
  <c r="BZ38" i="3"/>
  <c r="CC38" i="3"/>
  <c r="CE38" i="3" s="1"/>
  <c r="AV38" i="3"/>
  <c r="AX38" i="3"/>
  <c r="AY38" i="3" s="1"/>
  <c r="BL40" i="3"/>
  <c r="DA38" i="3" l="1"/>
  <c r="DB38" i="3" s="1"/>
  <c r="CY38" i="3"/>
  <c r="Q37" i="3"/>
  <c r="S37" i="3"/>
  <c r="U37" i="3" s="1"/>
  <c r="BL24" i="3"/>
  <c r="AV39" i="3"/>
  <c r="AX39" i="3"/>
  <c r="AY39" i="3" s="1"/>
  <c r="AH40" i="3"/>
  <c r="BK39" i="3"/>
  <c r="BM39" i="3"/>
  <c r="BO39" i="3" s="1"/>
  <c r="DS39" i="3"/>
  <c r="DT39" i="3" s="1"/>
  <c r="DQ39" i="3"/>
  <c r="CC39" i="3"/>
  <c r="CE39" i="3" s="1"/>
  <c r="BZ39" i="3"/>
  <c r="O42" i="3"/>
  <c r="N41" i="3"/>
  <c r="B37" i="3"/>
  <c r="C38" i="3"/>
  <c r="AI38" i="3"/>
  <c r="AJ38" i="3" s="1"/>
  <c r="AG38" i="3"/>
  <c r="DA39" i="3" l="1"/>
  <c r="DB39" i="3" s="1"/>
  <c r="CY39" i="3"/>
  <c r="AX40" i="3"/>
  <c r="AY40" i="3" s="1"/>
  <c r="AV40" i="3"/>
  <c r="BK40" i="3"/>
  <c r="BM40" i="3"/>
  <c r="BO40" i="3" s="1"/>
  <c r="O43" i="3"/>
  <c r="N42" i="3"/>
  <c r="BZ40" i="3"/>
  <c r="CC40" i="3"/>
  <c r="CE40" i="3" s="1"/>
  <c r="AI39" i="3"/>
  <c r="AJ39" i="3" s="1"/>
  <c r="AG39" i="3"/>
  <c r="DS40" i="3"/>
  <c r="DT40" i="3" s="1"/>
  <c r="DQ40" i="3"/>
  <c r="B38" i="3"/>
  <c r="C39" i="3"/>
  <c r="AH41" i="3"/>
  <c r="Q38" i="3"/>
  <c r="S38" i="3"/>
  <c r="U38" i="3" s="1"/>
  <c r="DA40" i="3" l="1"/>
  <c r="DB40" i="3" s="1"/>
  <c r="CY40" i="3"/>
  <c r="S39" i="3"/>
  <c r="U39" i="3" s="1"/>
  <c r="Q39" i="3"/>
  <c r="AI40" i="3"/>
  <c r="AJ40" i="3" s="1"/>
  <c r="AG40" i="3"/>
  <c r="BZ41" i="3"/>
  <c r="CC41" i="3"/>
  <c r="CE41" i="3" s="1"/>
  <c r="C40" i="3"/>
  <c r="B39" i="3"/>
  <c r="AX41" i="3"/>
  <c r="AY41" i="3" s="1"/>
  <c r="AV41" i="3"/>
  <c r="DQ41" i="3"/>
  <c r="DS41" i="3"/>
  <c r="DT41" i="3" s="1"/>
  <c r="AH42" i="3"/>
  <c r="N43" i="3"/>
  <c r="O44" i="3"/>
  <c r="DA41" i="3" l="1"/>
  <c r="DB41" i="3" s="1"/>
  <c r="CY41" i="3"/>
  <c r="CC42" i="3"/>
  <c r="CE42" i="3" s="1"/>
  <c r="BZ42" i="3"/>
  <c r="DQ42" i="3"/>
  <c r="DS42" i="3"/>
  <c r="DT42" i="3" s="1"/>
  <c r="AV42" i="3"/>
  <c r="AX42" i="3"/>
  <c r="AY42" i="3" s="1"/>
  <c r="O45" i="3"/>
  <c r="N44" i="3"/>
  <c r="AG41" i="3"/>
  <c r="AI41" i="3"/>
  <c r="AJ41" i="3" s="1"/>
  <c r="AH43" i="3"/>
  <c r="C41" i="3"/>
  <c r="B40" i="3"/>
  <c r="Q40" i="3"/>
  <c r="S40" i="3"/>
  <c r="U40" i="3" s="1"/>
  <c r="DA42" i="3" l="1"/>
  <c r="DB42" i="3" s="1"/>
  <c r="CY42" i="3"/>
  <c r="O46" i="3"/>
  <c r="N45" i="3"/>
  <c r="S41" i="3"/>
  <c r="U41" i="3" s="1"/>
  <c r="Q41" i="3"/>
  <c r="AI42" i="3"/>
  <c r="AJ42" i="3" s="1"/>
  <c r="AG42" i="3"/>
  <c r="AX43" i="3"/>
  <c r="AY43" i="3" s="1"/>
  <c r="AV43" i="3"/>
  <c r="C42" i="3"/>
  <c r="B41" i="3"/>
  <c r="CC43" i="3"/>
  <c r="CE43" i="3" s="1"/>
  <c r="BZ43" i="3"/>
  <c r="DS43" i="3"/>
  <c r="DT43" i="3" s="1"/>
  <c r="DQ43" i="3"/>
  <c r="AH44" i="3"/>
  <c r="CY43" i="3" l="1"/>
  <c r="DA43" i="3"/>
  <c r="DB43" i="3" s="1"/>
  <c r="AH45" i="3"/>
  <c r="AV44" i="3"/>
  <c r="AX44" i="3"/>
  <c r="AY44" i="3" s="1"/>
  <c r="Q42" i="3"/>
  <c r="S42" i="3"/>
  <c r="U42" i="3" s="1"/>
  <c r="B42" i="3"/>
  <c r="C43" i="3"/>
  <c r="AI43" i="3"/>
  <c r="AJ43" i="3" s="1"/>
  <c r="AG43" i="3"/>
  <c r="DS44" i="3"/>
  <c r="DT44" i="3" s="1"/>
  <c r="DQ44" i="3"/>
  <c r="BZ44" i="3"/>
  <c r="CC44" i="3"/>
  <c r="CE44" i="3" s="1"/>
  <c r="N46" i="3"/>
  <c r="O47" i="3"/>
  <c r="CY44" i="3" l="1"/>
  <c r="DA44" i="3"/>
  <c r="DB44" i="3" s="1"/>
  <c r="Q43" i="3"/>
  <c r="S43" i="3"/>
  <c r="U43" i="3" s="1"/>
  <c r="N47" i="3"/>
  <c r="O48" i="3"/>
  <c r="AI44" i="3"/>
  <c r="AJ44" i="3" s="1"/>
  <c r="AG44" i="3"/>
  <c r="AV45" i="3"/>
  <c r="AX45" i="3"/>
  <c r="AY45" i="3" s="1"/>
  <c r="DS45" i="3"/>
  <c r="DT45" i="3" s="1"/>
  <c r="DQ45" i="3"/>
  <c r="B43" i="3"/>
  <c r="C44" i="3"/>
  <c r="AH46" i="3"/>
  <c r="CY45" i="3" l="1"/>
  <c r="DA45" i="3"/>
  <c r="DB45" i="3" s="1"/>
  <c r="AH47" i="3"/>
  <c r="AI45" i="3"/>
  <c r="AJ45" i="3" s="1"/>
  <c r="AG45" i="3"/>
  <c r="C45" i="3"/>
  <c r="B44" i="3"/>
  <c r="O49" i="3"/>
  <c r="N48" i="3"/>
  <c r="DS46" i="3"/>
  <c r="DT46" i="3" s="1"/>
  <c r="DQ46" i="3"/>
  <c r="AX46" i="3"/>
  <c r="AY46" i="3" s="1"/>
  <c r="AV46" i="3"/>
  <c r="S44" i="3"/>
  <c r="U44" i="3" s="1"/>
  <c r="Q44" i="3"/>
  <c r="DA46" i="3" l="1"/>
  <c r="DB46" i="3" s="1"/>
  <c r="CY46" i="3"/>
  <c r="O50" i="3"/>
  <c r="N49" i="3"/>
  <c r="DS47" i="3"/>
  <c r="DT47" i="3" s="1"/>
  <c r="DQ47" i="3"/>
  <c r="AI46" i="3"/>
  <c r="AJ46" i="3" s="1"/>
  <c r="AG46" i="3"/>
  <c r="AX47" i="3"/>
  <c r="AY47" i="3" s="1"/>
  <c r="AV47" i="3"/>
  <c r="C46" i="3"/>
  <c r="B45" i="3"/>
  <c r="S45" i="3"/>
  <c r="U45" i="3" s="1"/>
  <c r="Q45" i="3"/>
  <c r="AH48" i="3"/>
  <c r="CY47" i="3" l="1"/>
  <c r="DA47" i="3"/>
  <c r="DB47" i="3" s="1"/>
  <c r="AI47" i="3"/>
  <c r="AJ47" i="3" s="1"/>
  <c r="AG47" i="3"/>
  <c r="S46" i="3"/>
  <c r="U46" i="3" s="1"/>
  <c r="Q46" i="3"/>
  <c r="DS48" i="3"/>
  <c r="DT48" i="3" s="1"/>
  <c r="DQ48" i="3"/>
  <c r="B46" i="3"/>
  <c r="C47" i="3"/>
  <c r="O51" i="3"/>
  <c r="N50" i="3"/>
  <c r="AH49" i="3"/>
  <c r="AV48" i="3"/>
  <c r="AX48" i="3"/>
  <c r="AY48" i="3" s="1"/>
  <c r="DA48" i="3" l="1"/>
  <c r="DB48" i="3" s="1"/>
  <c r="CY48" i="3"/>
  <c r="AX49" i="3"/>
  <c r="AY49" i="3" s="1"/>
  <c r="AV49" i="3"/>
  <c r="DQ49" i="3"/>
  <c r="DS49" i="3"/>
  <c r="DT49" i="3" s="1"/>
  <c r="AH50" i="3"/>
  <c r="N51" i="3"/>
  <c r="O52" i="3"/>
  <c r="AI48" i="3"/>
  <c r="AJ48" i="3" s="1"/>
  <c r="AG48" i="3"/>
  <c r="S47" i="3"/>
  <c r="U47" i="3" s="1"/>
  <c r="Q47" i="3"/>
  <c r="C48" i="3"/>
  <c r="B47" i="3"/>
  <c r="DA49" i="3" l="1"/>
  <c r="DB49" i="3" s="1"/>
  <c r="CY49" i="3"/>
  <c r="O53" i="3"/>
  <c r="N52" i="3"/>
  <c r="AH24" i="3"/>
  <c r="S48" i="3"/>
  <c r="U48" i="3" s="1"/>
  <c r="Q48" i="3"/>
  <c r="B48" i="3"/>
  <c r="C49" i="3"/>
  <c r="AI49" i="3"/>
  <c r="AJ49" i="3" s="1"/>
  <c r="AG49" i="3"/>
  <c r="AX50" i="3"/>
  <c r="AY50" i="3" s="1"/>
  <c r="AV50" i="3"/>
  <c r="DQ50" i="3"/>
  <c r="DS50" i="3"/>
  <c r="DT50" i="3" s="1"/>
  <c r="DA50" i="3" l="1"/>
  <c r="DB50" i="3" s="1"/>
  <c r="CY50" i="3"/>
  <c r="AI50" i="3"/>
  <c r="AJ50" i="3" s="1"/>
  <c r="AG50" i="3"/>
  <c r="C50" i="3"/>
  <c r="B49" i="3"/>
  <c r="DQ51" i="3"/>
  <c r="DS51" i="3"/>
  <c r="DT51" i="3" s="1"/>
  <c r="S49" i="3"/>
  <c r="U49" i="3" s="1"/>
  <c r="Q49" i="3"/>
  <c r="AX51" i="3"/>
  <c r="AY51" i="3" s="1"/>
  <c r="AV51" i="3"/>
  <c r="O54" i="3"/>
  <c r="N53" i="3"/>
  <c r="O55" i="3" l="1"/>
  <c r="N54" i="3"/>
  <c r="AX52" i="3"/>
  <c r="AY52" i="3" s="1"/>
  <c r="AV52" i="3"/>
  <c r="Q50" i="3"/>
  <c r="S50" i="3"/>
  <c r="U50" i="3" s="1"/>
  <c r="B50" i="3"/>
  <c r="C51" i="3"/>
  <c r="AI51" i="3"/>
  <c r="AJ51" i="3" s="1"/>
  <c r="AG51" i="3"/>
  <c r="DQ52" i="3"/>
  <c r="DS52" i="3"/>
  <c r="DT52" i="3" s="1"/>
  <c r="G48" i="3" l="1"/>
  <c r="G51" i="3"/>
  <c r="G49" i="3"/>
  <c r="G45" i="3"/>
  <c r="G50" i="3"/>
  <c r="B51" i="3"/>
  <c r="C52" i="3"/>
  <c r="G52" i="3" s="1"/>
  <c r="N55" i="3"/>
  <c r="Q8" i="3"/>
  <c r="Q9" i="3" s="1"/>
  <c r="F48" i="3"/>
  <c r="Q51" i="3"/>
  <c r="S51" i="3"/>
  <c r="U51" i="3" s="1"/>
  <c r="F46" i="3"/>
  <c r="DS53" i="3"/>
  <c r="DT53" i="3" s="1"/>
  <c r="DQ53" i="3"/>
  <c r="AV53" i="3"/>
  <c r="AX53" i="3"/>
  <c r="AY53" i="3" s="1"/>
  <c r="H48" i="3" l="1"/>
  <c r="I48" i="3" s="1"/>
  <c r="G27" i="3"/>
  <c r="G26" i="3"/>
  <c r="G28" i="3"/>
  <c r="G29" i="3"/>
  <c r="G31" i="3"/>
  <c r="G30" i="3"/>
  <c r="G32" i="3"/>
  <c r="G34" i="3"/>
  <c r="G33" i="3"/>
  <c r="G35" i="3"/>
  <c r="G36" i="3"/>
  <c r="G37" i="3"/>
  <c r="G38" i="3"/>
  <c r="G39" i="3"/>
  <c r="G41" i="3"/>
  <c r="G40" i="3"/>
  <c r="G42" i="3"/>
  <c r="G44" i="3"/>
  <c r="G43" i="3"/>
  <c r="G47" i="3"/>
  <c r="G46" i="3"/>
  <c r="H46" i="3" s="1"/>
  <c r="S52" i="3"/>
  <c r="U52" i="3" s="1"/>
  <c r="Q52" i="3"/>
  <c r="F27" i="3"/>
  <c r="H27" i="3" s="1"/>
  <c r="F26" i="3"/>
  <c r="F28" i="3"/>
  <c r="H28" i="3" s="1"/>
  <c r="F29" i="3"/>
  <c r="H29" i="3" s="1"/>
  <c r="F30" i="3"/>
  <c r="F32" i="3"/>
  <c r="F31" i="3"/>
  <c r="H31" i="3" s="1"/>
  <c r="F34" i="3"/>
  <c r="H34" i="3" s="1"/>
  <c r="F33" i="3"/>
  <c r="F35" i="3"/>
  <c r="H35" i="3" s="1"/>
  <c r="F36" i="3"/>
  <c r="H36" i="3" s="1"/>
  <c r="F37" i="3"/>
  <c r="H37" i="3" s="1"/>
  <c r="F38" i="3"/>
  <c r="H38" i="3" s="1"/>
  <c r="F39" i="3"/>
  <c r="H39" i="3" s="1"/>
  <c r="F40" i="3"/>
  <c r="F41" i="3"/>
  <c r="H41" i="3" s="1"/>
  <c r="F42" i="3"/>
  <c r="H42" i="3" s="1"/>
  <c r="I42" i="3" s="1"/>
  <c r="F50" i="3"/>
  <c r="H50" i="3" s="1"/>
  <c r="I50" i="3" s="1"/>
  <c r="F43" i="3"/>
  <c r="F45" i="3"/>
  <c r="H45" i="3" s="1"/>
  <c r="F49" i="3"/>
  <c r="H49" i="3" s="1"/>
  <c r="F47" i="3"/>
  <c r="AV54" i="3"/>
  <c r="AX54" i="3"/>
  <c r="AY54" i="3" s="1"/>
  <c r="DS54" i="3"/>
  <c r="DT54" i="3" s="1"/>
  <c r="DQ54" i="3"/>
  <c r="B52" i="3"/>
  <c r="C53" i="3"/>
  <c r="G53" i="3" s="1"/>
  <c r="F52" i="3"/>
  <c r="H52" i="3" s="1"/>
  <c r="F51" i="3"/>
  <c r="H51" i="3" s="1"/>
  <c r="F44" i="3"/>
  <c r="H32" i="3" l="1"/>
  <c r="I32" i="3" s="1"/>
  <c r="H33" i="3"/>
  <c r="I33" i="3" s="1"/>
  <c r="H43" i="3"/>
  <c r="H47" i="3"/>
  <c r="H44" i="3"/>
  <c r="H40" i="3"/>
  <c r="I30" i="3"/>
  <c r="H30" i="3"/>
  <c r="B53" i="3"/>
  <c r="C54" i="3"/>
  <c r="G54" i="3" s="1"/>
  <c r="F53" i="3"/>
  <c r="H53" i="3" s="1"/>
  <c r="I53" i="3" s="1"/>
  <c r="H26" i="3"/>
  <c r="DS55" i="3"/>
  <c r="DT55" i="3" s="1"/>
  <c r="DQ55" i="3"/>
  <c r="AV55" i="3"/>
  <c r="AX55" i="3"/>
  <c r="AY55" i="3" s="1"/>
  <c r="S53" i="3"/>
  <c r="U53" i="3" s="1"/>
  <c r="Q53" i="3"/>
  <c r="S54" i="3" l="1"/>
  <c r="U54" i="3" s="1"/>
  <c r="Q54" i="3"/>
  <c r="C55" i="3"/>
  <c r="G55" i="3" s="1"/>
  <c r="F54" i="3"/>
  <c r="H54" i="3" s="1"/>
  <c r="B54" i="3"/>
  <c r="AV56" i="3"/>
  <c r="AX56" i="3"/>
  <c r="AY56" i="3" s="1"/>
  <c r="DS56" i="3"/>
  <c r="DT56" i="3" s="1"/>
  <c r="DQ56" i="3"/>
  <c r="AV57" i="3" l="1"/>
  <c r="AX57" i="3"/>
  <c r="AY57" i="3" s="1"/>
  <c r="C56" i="3"/>
  <c r="G56" i="3" s="1"/>
  <c r="F55" i="3"/>
  <c r="H55" i="3" s="1"/>
  <c r="B55" i="3"/>
  <c r="DS57" i="3"/>
  <c r="DT57" i="3" s="1"/>
  <c r="DQ57" i="3"/>
  <c r="Q55" i="3"/>
  <c r="S55" i="3"/>
  <c r="U55" i="3" s="1"/>
  <c r="DS58" i="3" l="1"/>
  <c r="DT58" i="3" s="1"/>
  <c r="DQ58" i="3"/>
  <c r="C57" i="3"/>
  <c r="G57" i="3" s="1"/>
  <c r="F56" i="3"/>
  <c r="H56" i="3" s="1"/>
  <c r="B56" i="3"/>
  <c r="AV58" i="3"/>
  <c r="AX58" i="3"/>
  <c r="AY58" i="3" s="1"/>
  <c r="AV59" i="3" l="1"/>
  <c r="AX59" i="3"/>
  <c r="AY59" i="3" s="1"/>
  <c r="C58" i="3"/>
  <c r="G58" i="3" s="1"/>
  <c r="F57" i="3"/>
  <c r="H57" i="3" s="1"/>
  <c r="B57" i="3"/>
  <c r="C59" i="3" l="1"/>
  <c r="G59" i="3" s="1"/>
  <c r="F58" i="3"/>
  <c r="H58" i="3" s="1"/>
  <c r="B58" i="3"/>
  <c r="AV60" i="3"/>
  <c r="AX60" i="3"/>
  <c r="AY60" i="3" s="1"/>
  <c r="AX61" i="3" l="1"/>
  <c r="AY61" i="3" s="1"/>
  <c r="AV61" i="3"/>
  <c r="F59" i="3"/>
  <c r="H59" i="3" s="1"/>
  <c r="C60" i="3"/>
  <c r="G60" i="3" s="1"/>
  <c r="B59" i="3"/>
  <c r="F60" i="3" l="1"/>
  <c r="H60" i="3" s="1"/>
  <c r="C61" i="3"/>
  <c r="G61" i="3" s="1"/>
  <c r="B60" i="3"/>
  <c r="AX62" i="3"/>
  <c r="AY62" i="3" s="1"/>
  <c r="AV62" i="3"/>
  <c r="F61" i="3" l="1"/>
  <c r="H61" i="3" s="1"/>
  <c r="I61" i="3" s="1"/>
  <c r="C62" i="3"/>
  <c r="G62" i="3" s="1"/>
  <c r="B61" i="3"/>
  <c r="F62" i="3" l="1"/>
  <c r="H62" i="3" s="1"/>
  <c r="C63" i="3"/>
  <c r="G63" i="3" s="1"/>
  <c r="B62" i="3"/>
  <c r="F63" i="3" l="1"/>
  <c r="H63" i="3" s="1"/>
  <c r="C64" i="3"/>
  <c r="G64" i="3" s="1"/>
  <c r="B63" i="3"/>
  <c r="F64" i="3" l="1"/>
  <c r="H64" i="3" s="1"/>
  <c r="B64" i="3"/>
  <c r="C65" i="3"/>
  <c r="G65" i="3" s="1"/>
  <c r="F65" i="3" l="1"/>
  <c r="H65" i="3" s="1"/>
  <c r="C66" i="3"/>
  <c r="G66" i="3" s="1"/>
  <c r="B65" i="3"/>
  <c r="C67" i="3" l="1"/>
  <c r="G67" i="3" s="1"/>
  <c r="F66" i="3"/>
  <c r="H66" i="3" s="1"/>
  <c r="B66" i="3"/>
  <c r="B67" i="3" l="1"/>
  <c r="C68" i="3"/>
  <c r="G68" i="3" s="1"/>
  <c r="F67" i="3"/>
  <c r="H67" i="3" s="1"/>
  <c r="F68" i="3" l="1"/>
  <c r="H68" i="3" s="1"/>
  <c r="B68" i="3"/>
  <c r="C69" i="3"/>
  <c r="G69" i="3" s="1"/>
  <c r="F69" i="3" l="1"/>
  <c r="H69" i="3" s="1"/>
  <c r="I69" i="3" s="1"/>
  <c r="C70" i="3"/>
  <c r="G70" i="3" s="1"/>
  <c r="B69" i="3"/>
  <c r="F70" i="3" l="1"/>
  <c r="H70" i="3" s="1"/>
  <c r="B70" i="3"/>
  <c r="C71" i="3"/>
  <c r="G71" i="3" s="1"/>
  <c r="B71" i="3" l="1"/>
  <c r="C72" i="3"/>
  <c r="G72" i="3" s="1"/>
  <c r="F71" i="3"/>
  <c r="H71" i="3" s="1"/>
  <c r="B72" i="3" l="1"/>
  <c r="C73" i="3"/>
  <c r="G73" i="3" s="1"/>
  <c r="F72" i="3"/>
  <c r="H72" i="3" s="1"/>
  <c r="F73" i="3" l="1"/>
  <c r="H73" i="3" s="1"/>
  <c r="B73" i="3"/>
  <c r="C74" i="3"/>
  <c r="G74" i="3" s="1"/>
  <c r="F74" i="3" l="1"/>
  <c r="H74" i="3" s="1"/>
  <c r="I74" i="3" s="1"/>
  <c r="C75" i="3"/>
  <c r="G75" i="3" s="1"/>
  <c r="B74" i="3"/>
  <c r="F75" i="3" l="1"/>
  <c r="H75" i="3" s="1"/>
  <c r="I75" i="3" s="1"/>
  <c r="C76" i="3"/>
  <c r="G76" i="3" s="1"/>
  <c r="B75" i="3"/>
  <c r="B76" i="3" l="1"/>
  <c r="C77" i="3"/>
  <c r="G77" i="3" s="1"/>
  <c r="F76" i="3"/>
  <c r="H76" i="3" s="1"/>
  <c r="B77" i="3" l="1"/>
  <c r="C78" i="3"/>
  <c r="G78" i="3" s="1"/>
  <c r="F77" i="3"/>
  <c r="H77" i="3" s="1"/>
  <c r="F78" i="3" l="1"/>
  <c r="H78" i="3" s="1"/>
  <c r="B78" i="3"/>
  <c r="C79" i="3"/>
  <c r="G79" i="3" s="1"/>
  <c r="F79" i="3" l="1"/>
  <c r="H79" i="3" s="1"/>
  <c r="I79" i="3" s="1"/>
  <c r="C80" i="3"/>
  <c r="G80" i="3" s="1"/>
  <c r="B79" i="3"/>
  <c r="C81" i="3" l="1"/>
  <c r="G81" i="3" s="1"/>
  <c r="F80" i="3"/>
  <c r="H80" i="3" s="1"/>
  <c r="B80" i="3"/>
  <c r="B81" i="3" l="1"/>
  <c r="C82" i="3"/>
  <c r="G82" i="3" s="1"/>
  <c r="F81" i="3"/>
  <c r="H81" i="3" s="1"/>
  <c r="F82" i="3" l="1"/>
  <c r="H82" i="3" s="1"/>
  <c r="B82" i="3"/>
  <c r="C83" i="3"/>
  <c r="G83" i="3" s="1"/>
  <c r="F83" i="3" l="1"/>
  <c r="H83" i="3" s="1"/>
  <c r="B83" i="3"/>
  <c r="C84" i="3"/>
  <c r="G84" i="3" s="1"/>
  <c r="C85" i="3" l="1"/>
  <c r="G85" i="3" s="1"/>
  <c r="F84" i="3"/>
  <c r="H84" i="3" s="1"/>
  <c r="B84" i="3"/>
  <c r="B85" i="3" l="1"/>
  <c r="C86" i="3"/>
  <c r="G86" i="3" s="1"/>
  <c r="F85" i="3"/>
  <c r="H85" i="3" s="1"/>
  <c r="F86" i="3" l="1"/>
  <c r="H86" i="3" s="1"/>
  <c r="B86" i="3"/>
  <c r="C87" i="3"/>
  <c r="G87" i="3" s="1"/>
  <c r="F87" i="3" l="1"/>
  <c r="H87" i="3" s="1"/>
  <c r="B87" i="3"/>
  <c r="C88" i="3"/>
  <c r="G88" i="3" s="1"/>
  <c r="C89" i="3" l="1"/>
  <c r="G89" i="3" s="1"/>
  <c r="F88" i="3"/>
  <c r="H88" i="3" s="1"/>
  <c r="B88" i="3"/>
  <c r="B89" i="3" l="1"/>
  <c r="C90" i="3"/>
  <c r="G90" i="3" s="1"/>
  <c r="F89" i="3"/>
  <c r="H89" i="3" s="1"/>
  <c r="F90" i="3" l="1"/>
  <c r="H90" i="3" s="1"/>
  <c r="B90" i="3"/>
  <c r="C91" i="3"/>
  <c r="G91" i="3" s="1"/>
  <c r="F91" i="3" l="1"/>
  <c r="H91" i="3" s="1"/>
  <c r="B91" i="3"/>
  <c r="C92" i="3"/>
  <c r="G92" i="3" s="1"/>
  <c r="C93" i="3" l="1"/>
  <c r="G93" i="3" s="1"/>
  <c r="F92" i="3"/>
  <c r="H92" i="3" s="1"/>
  <c r="B92" i="3"/>
  <c r="B93" i="3" l="1"/>
  <c r="C94" i="3"/>
  <c r="G94" i="3" s="1"/>
  <c r="F93" i="3"/>
  <c r="H93" i="3" s="1"/>
  <c r="F94" i="3" l="1"/>
  <c r="H94" i="3" s="1"/>
  <c r="B94" i="3"/>
  <c r="C95" i="3"/>
  <c r="G95" i="3" s="1"/>
  <c r="F95" i="3" l="1"/>
  <c r="H95" i="3" s="1"/>
  <c r="B95" i="3"/>
  <c r="C96" i="3"/>
  <c r="G96" i="3" s="1"/>
  <c r="C97" i="3" l="1"/>
  <c r="G97" i="3" s="1"/>
  <c r="F96" i="3"/>
  <c r="H96" i="3" s="1"/>
  <c r="B96" i="3"/>
  <c r="B97" i="3" l="1"/>
  <c r="C98" i="3"/>
  <c r="G98" i="3" s="1"/>
  <c r="F97" i="3"/>
  <c r="H97" i="3" s="1"/>
  <c r="F98" i="3" l="1"/>
  <c r="H98" i="3" s="1"/>
  <c r="B98" i="3"/>
  <c r="C99" i="3"/>
  <c r="G99" i="3" s="1"/>
  <c r="F99" i="3" l="1"/>
  <c r="H99" i="3" s="1"/>
  <c r="B99" i="3"/>
  <c r="C100" i="3"/>
  <c r="G100" i="3" s="1"/>
  <c r="C101" i="3" l="1"/>
  <c r="G101" i="3" s="1"/>
  <c r="F100" i="3"/>
  <c r="H100" i="3" s="1"/>
  <c r="B100" i="3"/>
  <c r="B101" i="3" l="1"/>
  <c r="C102" i="3"/>
  <c r="G102" i="3" s="1"/>
  <c r="F101" i="3"/>
  <c r="H101" i="3" s="1"/>
  <c r="F102" i="3" l="1"/>
  <c r="H102" i="3" s="1"/>
  <c r="B102" i="3"/>
  <c r="C103" i="3"/>
  <c r="G103" i="3" s="1"/>
  <c r="F103" i="3" l="1"/>
  <c r="H103" i="3" s="1"/>
  <c r="B103" i="3"/>
  <c r="C104" i="3"/>
  <c r="G104" i="3" s="1"/>
  <c r="C105" i="3" l="1"/>
  <c r="G105" i="3" s="1"/>
  <c r="F104" i="3"/>
  <c r="H104" i="3" s="1"/>
  <c r="B104" i="3"/>
  <c r="B105" i="3" l="1"/>
  <c r="C106" i="3"/>
  <c r="G106" i="3" s="1"/>
  <c r="F105" i="3"/>
  <c r="H105" i="3" s="1"/>
  <c r="F106" i="3" l="1"/>
  <c r="H106" i="3" s="1"/>
  <c r="B106" i="3"/>
  <c r="C107" i="3"/>
  <c r="G107" i="3" s="1"/>
  <c r="F107" i="3" l="1"/>
  <c r="H107" i="3" s="1"/>
  <c r="B107" i="3"/>
  <c r="C108" i="3"/>
  <c r="G108" i="3" s="1"/>
  <c r="C109" i="3" l="1"/>
  <c r="G109" i="3" s="1"/>
  <c r="B108" i="3"/>
  <c r="F108" i="3"/>
  <c r="H108" i="3" s="1"/>
  <c r="F109" i="3" l="1"/>
  <c r="H109" i="3" s="1"/>
  <c r="B109" i="3"/>
  <c r="C110" i="3"/>
  <c r="G110" i="3" s="1"/>
  <c r="F110" i="3" l="1"/>
  <c r="H110" i="3" s="1"/>
  <c r="B110" i="3"/>
  <c r="C111" i="3"/>
  <c r="G111" i="3" s="1"/>
  <c r="B111" i="3" l="1"/>
  <c r="C112" i="3"/>
  <c r="G112" i="3" s="1"/>
  <c r="F111" i="3"/>
  <c r="H111" i="3" s="1"/>
  <c r="C113" i="3" l="1"/>
  <c r="G113" i="3" s="1"/>
  <c r="F112" i="3"/>
  <c r="H112" i="3" s="1"/>
  <c r="B112" i="3"/>
  <c r="F113" i="3" l="1"/>
  <c r="H113" i="3" s="1"/>
  <c r="B113" i="3"/>
  <c r="C114" i="3"/>
  <c r="G114" i="3" s="1"/>
  <c r="F114" i="3" l="1"/>
  <c r="H114" i="3" s="1"/>
  <c r="B114" i="3"/>
  <c r="C115" i="3"/>
  <c r="G115" i="3" s="1"/>
  <c r="F115" i="3" l="1"/>
  <c r="H115" i="3" s="1"/>
  <c r="B115" i="3"/>
  <c r="C116" i="3"/>
  <c r="G116" i="3" s="1"/>
  <c r="C117" i="3" l="1"/>
  <c r="G117" i="3" s="1"/>
  <c r="F116" i="3"/>
  <c r="H116" i="3" s="1"/>
  <c r="B116" i="3"/>
  <c r="B117" i="3" l="1"/>
  <c r="C118" i="3"/>
  <c r="G118" i="3" s="1"/>
  <c r="F117" i="3"/>
  <c r="H117" i="3" s="1"/>
  <c r="F118" i="3" l="1"/>
  <c r="H118" i="3" s="1"/>
  <c r="B118" i="3"/>
  <c r="C119" i="3"/>
  <c r="G119" i="3" s="1"/>
  <c r="C120" i="3" l="1"/>
  <c r="G120" i="3" s="1"/>
  <c r="F119" i="3"/>
  <c r="H119" i="3" s="1"/>
  <c r="B119" i="3"/>
  <c r="C121" i="3" l="1"/>
  <c r="G121" i="3" s="1"/>
  <c r="B120" i="3"/>
  <c r="F120" i="3"/>
  <c r="H120" i="3" s="1"/>
  <c r="F121" i="3" l="1"/>
  <c r="H121" i="3" s="1"/>
  <c r="B121" i="3"/>
  <c r="C122" i="3"/>
  <c r="G122" i="3" s="1"/>
  <c r="F122" i="3" l="1"/>
  <c r="H122" i="3" s="1"/>
  <c r="C123" i="3"/>
  <c r="G123" i="3" s="1"/>
  <c r="B122" i="3"/>
  <c r="B123" i="3" l="1"/>
  <c r="C124" i="3"/>
  <c r="G124" i="3" s="1"/>
  <c r="F123" i="3"/>
  <c r="H123" i="3" s="1"/>
  <c r="C125" i="3" l="1"/>
  <c r="G125" i="3" s="1"/>
  <c r="F124" i="3"/>
  <c r="H124" i="3" s="1"/>
  <c r="B124" i="3"/>
  <c r="C126" i="3" l="1"/>
  <c r="G126" i="3" s="1"/>
  <c r="F125" i="3"/>
  <c r="H125" i="3" s="1"/>
  <c r="B125" i="3"/>
  <c r="F126" i="3" l="1"/>
  <c r="H126" i="3" s="1"/>
  <c r="B126" i="3"/>
  <c r="C127" i="3"/>
  <c r="G127" i="3" s="1"/>
  <c r="F127" i="3" l="1"/>
  <c r="H127" i="3" s="1"/>
  <c r="B127" i="3"/>
  <c r="C128" i="3"/>
  <c r="G128" i="3" s="1"/>
  <c r="C129" i="3" l="1"/>
  <c r="G129" i="3" s="1"/>
  <c r="F128" i="3"/>
  <c r="H128" i="3" s="1"/>
  <c r="B128" i="3"/>
  <c r="B129" i="3" l="1"/>
  <c r="C130" i="3"/>
  <c r="G130" i="3" s="1"/>
  <c r="F129" i="3"/>
  <c r="H129" i="3" s="1"/>
  <c r="F130" i="3" l="1"/>
  <c r="H130" i="3" s="1"/>
  <c r="B130" i="3"/>
  <c r="C131" i="3"/>
  <c r="G131" i="3" s="1"/>
  <c r="C132" i="3" l="1"/>
  <c r="G132" i="3" s="1"/>
  <c r="F131" i="3"/>
  <c r="H131" i="3" s="1"/>
  <c r="B131" i="3"/>
  <c r="C133" i="3" l="1"/>
  <c r="G133" i="3" s="1"/>
  <c r="B132" i="3"/>
  <c r="F132" i="3"/>
  <c r="H132" i="3" s="1"/>
  <c r="F133" i="3" l="1"/>
  <c r="H133" i="3" s="1"/>
  <c r="B133" i="3"/>
  <c r="C134" i="3"/>
  <c r="G134" i="3" s="1"/>
  <c r="F134" i="3" l="1"/>
  <c r="H134" i="3" s="1"/>
  <c r="B134" i="3"/>
  <c r="C135" i="3"/>
  <c r="G135" i="3" s="1"/>
  <c r="B135" i="3" l="1"/>
  <c r="F135" i="3"/>
  <c r="H135" i="3" s="1"/>
  <c r="C136" i="3"/>
  <c r="G136" i="3" s="1"/>
  <c r="C137" i="3" l="1"/>
  <c r="G137" i="3" s="1"/>
  <c r="B136" i="3"/>
  <c r="F136" i="3"/>
  <c r="H136" i="3" s="1"/>
  <c r="B137" i="3" l="1"/>
  <c r="F137" i="3"/>
  <c r="H137" i="3" s="1"/>
  <c r="C138" i="3"/>
  <c r="G138" i="3" s="1"/>
  <c r="F138" i="3" l="1"/>
  <c r="H138" i="3" s="1"/>
  <c r="B138" i="3"/>
  <c r="C139" i="3"/>
  <c r="G139" i="3" s="1"/>
  <c r="B139" i="3" l="1"/>
  <c r="C140" i="3"/>
  <c r="G140" i="3" s="1"/>
  <c r="F139" i="3"/>
  <c r="H139" i="3" s="1"/>
  <c r="C141" i="3" l="1"/>
  <c r="G141" i="3" s="1"/>
  <c r="B140" i="3"/>
  <c r="F140" i="3"/>
  <c r="H140" i="3" s="1"/>
  <c r="B141" i="3" l="1"/>
  <c r="C142" i="3"/>
  <c r="G142" i="3" s="1"/>
  <c r="F141" i="3"/>
  <c r="H141" i="3" s="1"/>
  <c r="F142" i="3" l="1"/>
  <c r="H142" i="3" s="1"/>
  <c r="B142" i="3"/>
  <c r="C143" i="3"/>
  <c r="G143" i="3" s="1"/>
  <c r="B143" i="3" l="1"/>
  <c r="C144" i="3"/>
  <c r="G144" i="3" s="1"/>
  <c r="F143" i="3"/>
  <c r="H143" i="3" s="1"/>
  <c r="C145" i="3" l="1"/>
  <c r="G145" i="3" s="1"/>
  <c r="F144" i="3"/>
  <c r="H144" i="3" s="1"/>
  <c r="B144" i="3"/>
  <c r="B145" i="3" l="1"/>
  <c r="C146" i="3"/>
  <c r="G146" i="3" s="1"/>
  <c r="F145" i="3"/>
  <c r="H145" i="3" s="1"/>
  <c r="F146" i="3" l="1"/>
  <c r="H146" i="3" s="1"/>
  <c r="B146" i="3"/>
  <c r="C147" i="3"/>
  <c r="G147" i="3" s="1"/>
  <c r="B147" i="3" l="1"/>
  <c r="C148" i="3"/>
  <c r="G148" i="3" s="1"/>
  <c r="F147" i="3"/>
  <c r="H147" i="3" s="1"/>
  <c r="C149" i="3" l="1"/>
  <c r="G149" i="3" s="1"/>
  <c r="F148" i="3"/>
  <c r="H148" i="3" s="1"/>
  <c r="B148" i="3"/>
  <c r="B149" i="3" l="1"/>
  <c r="F149" i="3"/>
  <c r="H149" i="3" s="1"/>
  <c r="C150" i="3"/>
  <c r="G150" i="3" s="1"/>
  <c r="F150" i="3" l="1"/>
  <c r="H150" i="3" s="1"/>
  <c r="B150" i="3"/>
  <c r="C151" i="3"/>
  <c r="G151" i="3" s="1"/>
  <c r="B151" i="3" l="1"/>
  <c r="C152" i="3"/>
  <c r="G152" i="3" s="1"/>
  <c r="F151" i="3"/>
  <c r="H151" i="3" s="1"/>
  <c r="C153" i="3" l="1"/>
  <c r="G153" i="3" s="1"/>
  <c r="F152" i="3"/>
  <c r="H152" i="3" s="1"/>
  <c r="B152" i="3"/>
  <c r="B153" i="3" l="1"/>
  <c r="C154" i="3"/>
  <c r="G154" i="3" s="1"/>
  <c r="F153" i="3"/>
  <c r="H153" i="3" s="1"/>
  <c r="F154" i="3" l="1"/>
  <c r="H154" i="3" s="1"/>
  <c r="B154" i="3"/>
  <c r="C155" i="3"/>
  <c r="G155" i="3" s="1"/>
  <c r="B155" i="3" l="1"/>
  <c r="C156" i="3"/>
  <c r="G156" i="3" s="1"/>
  <c r="F155" i="3"/>
  <c r="H155" i="3" s="1"/>
  <c r="C157" i="3" l="1"/>
  <c r="G157" i="3" s="1"/>
  <c r="F156" i="3"/>
  <c r="H156" i="3" s="1"/>
  <c r="B156" i="3"/>
  <c r="B157" i="3" l="1"/>
  <c r="F157" i="3"/>
  <c r="H157" i="3" s="1"/>
  <c r="C158" i="3"/>
  <c r="G158" i="3" s="1"/>
  <c r="F158" i="3" l="1"/>
  <c r="H158" i="3" s="1"/>
  <c r="B158" i="3"/>
  <c r="C159" i="3"/>
  <c r="G159" i="3" s="1"/>
  <c r="B159" i="3" l="1"/>
  <c r="C160" i="3"/>
  <c r="G160" i="3" s="1"/>
  <c r="F159" i="3"/>
  <c r="H159" i="3" s="1"/>
  <c r="C161" i="3" l="1"/>
  <c r="G161" i="3" s="1"/>
  <c r="F160" i="3"/>
  <c r="H160" i="3" s="1"/>
  <c r="B160" i="3"/>
  <c r="F161" i="3" l="1"/>
  <c r="H161" i="3" s="1"/>
  <c r="C162" i="3"/>
  <c r="G162" i="3" s="1"/>
  <c r="B161" i="3"/>
  <c r="F162" i="3" l="1"/>
  <c r="H162" i="3" s="1"/>
  <c r="B162" i="3"/>
  <c r="C163" i="3"/>
  <c r="G163" i="3" s="1"/>
  <c r="F163" i="3" l="1"/>
  <c r="H163" i="3" s="1"/>
  <c r="B163" i="3"/>
  <c r="C164" i="3"/>
  <c r="G164" i="3" s="1"/>
  <c r="C165" i="3" l="1"/>
  <c r="G165" i="3" s="1"/>
  <c r="F164" i="3"/>
  <c r="H164" i="3" s="1"/>
  <c r="B164" i="3"/>
  <c r="B165" i="3" l="1"/>
  <c r="F165" i="3"/>
  <c r="H165" i="3" s="1"/>
  <c r="C166" i="3"/>
  <c r="G166" i="3" s="1"/>
  <c r="F166" i="3" l="1"/>
  <c r="H166" i="3" s="1"/>
  <c r="B166" i="3"/>
  <c r="C167" i="3"/>
  <c r="G167" i="3" s="1"/>
  <c r="C168" i="3" l="1"/>
  <c r="G168" i="3" s="1"/>
  <c r="F167" i="3"/>
  <c r="H167" i="3" s="1"/>
  <c r="B167" i="3"/>
  <c r="C169" i="3" l="1"/>
  <c r="G169" i="3" s="1"/>
  <c r="F168" i="3"/>
  <c r="H168" i="3" s="1"/>
  <c r="B168" i="3"/>
  <c r="B169" i="3" l="1"/>
  <c r="C170" i="3"/>
  <c r="G170" i="3" s="1"/>
  <c r="F169" i="3"/>
  <c r="H169" i="3" s="1"/>
  <c r="F170" i="3" l="1"/>
  <c r="H170" i="3" s="1"/>
  <c r="C171" i="3"/>
  <c r="G171" i="3" s="1"/>
  <c r="B170" i="3"/>
  <c r="C172" i="3" l="1"/>
  <c r="G172" i="3" s="1"/>
  <c r="F171" i="3"/>
  <c r="H171" i="3" s="1"/>
  <c r="B171" i="3"/>
  <c r="C173" i="3" l="1"/>
  <c r="G173" i="3" s="1"/>
  <c r="B172" i="3"/>
  <c r="F172" i="3"/>
  <c r="H172" i="3" s="1"/>
  <c r="C174" i="3" l="1"/>
  <c r="G174" i="3" s="1"/>
  <c r="F173" i="3"/>
  <c r="H173" i="3" s="1"/>
  <c r="B173" i="3"/>
  <c r="F174" i="3" l="1"/>
  <c r="H174" i="3" s="1"/>
  <c r="C175" i="3"/>
  <c r="G175" i="3" s="1"/>
  <c r="B174" i="3"/>
  <c r="C176" i="3" l="1"/>
  <c r="G176" i="3" s="1"/>
  <c r="B175" i="3"/>
  <c r="F175" i="3"/>
  <c r="H175" i="3" s="1"/>
  <c r="C177" i="3" l="1"/>
  <c r="G177" i="3" s="1"/>
  <c r="F176" i="3"/>
  <c r="H176" i="3" s="1"/>
  <c r="B176" i="3"/>
  <c r="F177" i="3" l="1"/>
  <c r="H177" i="3" s="1"/>
  <c r="B177" i="3"/>
  <c r="C178" i="3"/>
  <c r="G178" i="3" s="1"/>
  <c r="F178" i="3" l="1"/>
  <c r="H178" i="3" s="1"/>
  <c r="B178" i="3"/>
  <c r="C179" i="3"/>
  <c r="G179" i="3" s="1"/>
  <c r="C180" i="3" l="1"/>
  <c r="G180" i="3" s="1"/>
  <c r="B179" i="3"/>
  <c r="F179" i="3"/>
  <c r="H179" i="3" s="1"/>
  <c r="C181" i="3" l="1"/>
  <c r="G181" i="3" s="1"/>
  <c r="F180" i="3"/>
  <c r="H180" i="3" s="1"/>
  <c r="B180" i="3"/>
  <c r="F181" i="3" l="1"/>
  <c r="H181" i="3" s="1"/>
  <c r="B181" i="3"/>
  <c r="C182" i="3"/>
  <c r="G182" i="3" s="1"/>
  <c r="F182" i="3" l="1"/>
  <c r="H182" i="3" s="1"/>
  <c r="B182" i="3"/>
  <c r="C183" i="3"/>
  <c r="G183" i="3" s="1"/>
  <c r="C184" i="3" l="1"/>
  <c r="G184" i="3" s="1"/>
  <c r="B183" i="3"/>
  <c r="F183" i="3"/>
  <c r="H183" i="3" s="1"/>
  <c r="C185" i="3" l="1"/>
  <c r="G185" i="3" s="1"/>
  <c r="B184" i="3"/>
  <c r="F184" i="3"/>
  <c r="H184" i="3" s="1"/>
  <c r="F185" i="3" l="1"/>
  <c r="H185" i="3" s="1"/>
  <c r="B185" i="3"/>
  <c r="C186" i="3"/>
  <c r="G186" i="3" s="1"/>
  <c r="F186" i="3" l="1"/>
  <c r="H186" i="3" s="1"/>
  <c r="B186" i="3"/>
  <c r="C187" i="3"/>
  <c r="G187" i="3" s="1"/>
  <c r="C188" i="3" l="1"/>
  <c r="G188" i="3" s="1"/>
  <c r="F187" i="3"/>
  <c r="H187" i="3" s="1"/>
  <c r="B187" i="3"/>
  <c r="C189" i="3" l="1"/>
  <c r="G189" i="3" s="1"/>
  <c r="F188" i="3"/>
  <c r="H188" i="3" s="1"/>
  <c r="B188" i="3"/>
  <c r="F189" i="3" l="1"/>
  <c r="H189" i="3" s="1"/>
  <c r="B189" i="3"/>
  <c r="C190" i="3"/>
  <c r="G190" i="3" s="1"/>
  <c r="F190" i="3" l="1"/>
  <c r="H190" i="3" s="1"/>
  <c r="B190" i="3"/>
  <c r="C191" i="3"/>
  <c r="G191" i="3" s="1"/>
  <c r="C192" i="3" l="1"/>
  <c r="G192" i="3" s="1"/>
  <c r="B191" i="3"/>
  <c r="F191" i="3"/>
  <c r="H191" i="3" s="1"/>
  <c r="C193" i="3" l="1"/>
  <c r="G193" i="3" s="1"/>
  <c r="F192" i="3"/>
  <c r="H192" i="3" s="1"/>
  <c r="B192" i="3"/>
  <c r="F193" i="3" l="1"/>
  <c r="H193" i="3" s="1"/>
  <c r="B193" i="3"/>
  <c r="C194" i="3"/>
  <c r="G194" i="3" s="1"/>
  <c r="F194" i="3" l="1"/>
  <c r="H194" i="3" s="1"/>
  <c r="B194" i="3"/>
  <c r="C195" i="3"/>
  <c r="G195" i="3" s="1"/>
  <c r="C196" i="3" l="1"/>
  <c r="G196" i="3" s="1"/>
  <c r="B195" i="3"/>
  <c r="F195" i="3"/>
  <c r="H195" i="3" s="1"/>
  <c r="C197" i="3" l="1"/>
  <c r="G197" i="3" s="1"/>
  <c r="F196" i="3"/>
  <c r="H196" i="3" s="1"/>
  <c r="B196" i="3"/>
  <c r="F197" i="3" l="1"/>
  <c r="H197" i="3" s="1"/>
  <c r="B197" i="3"/>
  <c r="C198" i="3"/>
  <c r="G198" i="3" s="1"/>
  <c r="F198" i="3" l="1"/>
  <c r="H198" i="3" s="1"/>
  <c r="C199" i="3"/>
  <c r="G199" i="3" s="1"/>
  <c r="B198" i="3"/>
  <c r="C200" i="3" l="1"/>
  <c r="G200" i="3" s="1"/>
  <c r="F199" i="3"/>
  <c r="H199" i="3" s="1"/>
  <c r="B199" i="3"/>
  <c r="B200" i="3" l="1"/>
  <c r="C201" i="3"/>
  <c r="G201" i="3" s="1"/>
  <c r="F200" i="3"/>
  <c r="H200" i="3" s="1"/>
  <c r="F201" i="3" l="1"/>
  <c r="H201" i="3" s="1"/>
  <c r="B201" i="3"/>
  <c r="C202" i="3"/>
  <c r="G202" i="3" s="1"/>
  <c r="F202" i="3" l="1"/>
  <c r="H202" i="3" s="1"/>
  <c r="C203" i="3"/>
  <c r="G203" i="3" s="1"/>
  <c r="B202" i="3"/>
  <c r="C204" i="3" l="1"/>
  <c r="G204" i="3" s="1"/>
  <c r="B203" i="3"/>
  <c r="F203" i="3"/>
  <c r="H203" i="3" s="1"/>
  <c r="B204" i="3" l="1"/>
  <c r="C205" i="3"/>
  <c r="G205" i="3" s="1"/>
  <c r="F204" i="3"/>
  <c r="H204" i="3" s="1"/>
  <c r="F205" i="3" l="1"/>
  <c r="H205" i="3" s="1"/>
  <c r="C206" i="3"/>
  <c r="G206" i="3" s="1"/>
  <c r="B205" i="3"/>
  <c r="F206" i="3" l="1"/>
  <c r="H206" i="3" s="1"/>
  <c r="C207" i="3"/>
  <c r="G207" i="3" s="1"/>
  <c r="B206" i="3"/>
  <c r="C208" i="3" l="1"/>
  <c r="G208" i="3" s="1"/>
  <c r="F207" i="3"/>
  <c r="H207" i="3" s="1"/>
  <c r="B207" i="3"/>
  <c r="B208" i="3" l="1"/>
  <c r="C209" i="3"/>
  <c r="G209" i="3" s="1"/>
  <c r="F208" i="3"/>
  <c r="H208" i="3" s="1"/>
  <c r="F209" i="3" l="1"/>
  <c r="H209" i="3" s="1"/>
  <c r="B209" i="3"/>
  <c r="C210" i="3"/>
  <c r="G210" i="3" s="1"/>
  <c r="F210" i="3" l="1"/>
  <c r="H210" i="3" s="1"/>
  <c r="C211" i="3"/>
  <c r="G211" i="3" s="1"/>
  <c r="B210" i="3"/>
  <c r="C212" i="3" l="1"/>
  <c r="G212" i="3" s="1"/>
  <c r="B211" i="3"/>
  <c r="F211" i="3"/>
  <c r="H211" i="3" s="1"/>
  <c r="B212" i="3" l="1"/>
  <c r="C213" i="3"/>
  <c r="G213" i="3" s="1"/>
  <c r="F212" i="3"/>
  <c r="H212" i="3" s="1"/>
  <c r="F213" i="3" l="1"/>
  <c r="H213" i="3" s="1"/>
  <c r="B213" i="3"/>
  <c r="C214" i="3"/>
  <c r="G214" i="3" s="1"/>
  <c r="F214" i="3" l="1"/>
  <c r="H214" i="3" s="1"/>
  <c r="C215" i="3"/>
  <c r="G215" i="3" s="1"/>
  <c r="B214" i="3"/>
  <c r="B215" i="3" l="1"/>
  <c r="C216" i="3"/>
  <c r="G216" i="3" s="1"/>
  <c r="F215" i="3"/>
  <c r="H215" i="3" s="1"/>
  <c r="B216" i="3" l="1"/>
  <c r="C217" i="3"/>
  <c r="G217" i="3" s="1"/>
  <c r="F216" i="3"/>
  <c r="H216" i="3" s="1"/>
  <c r="F217" i="3" l="1"/>
  <c r="H217" i="3" s="1"/>
  <c r="B217" i="3"/>
  <c r="C218" i="3"/>
  <c r="G218" i="3" s="1"/>
  <c r="F218" i="3" l="1"/>
  <c r="H218" i="3" s="1"/>
  <c r="B218" i="3"/>
  <c r="C219" i="3"/>
  <c r="G219" i="3" s="1"/>
  <c r="B219" i="3" l="1"/>
  <c r="C220" i="3"/>
  <c r="G220" i="3" s="1"/>
  <c r="F219" i="3"/>
  <c r="H219" i="3" s="1"/>
  <c r="B220" i="3" l="1"/>
  <c r="C221" i="3"/>
  <c r="G221" i="3" s="1"/>
  <c r="F220" i="3"/>
  <c r="H220" i="3" s="1"/>
  <c r="F221" i="3" l="1"/>
  <c r="H221" i="3" s="1"/>
  <c r="B221" i="3"/>
  <c r="C222" i="3"/>
  <c r="G222" i="3" s="1"/>
  <c r="F222" i="3" l="1"/>
  <c r="H222" i="3" s="1"/>
  <c r="B222" i="3"/>
  <c r="C223" i="3"/>
  <c r="G223" i="3" s="1"/>
  <c r="B223" i="3" l="1"/>
  <c r="C224" i="3"/>
  <c r="G224" i="3" s="1"/>
  <c r="F223" i="3"/>
  <c r="H223" i="3" s="1"/>
  <c r="B224" i="3" l="1"/>
  <c r="C225" i="3"/>
  <c r="G225" i="3" s="1"/>
  <c r="F224" i="3"/>
  <c r="H224" i="3" s="1"/>
  <c r="F225" i="3" l="1"/>
  <c r="H225" i="3" s="1"/>
  <c r="B225" i="3"/>
  <c r="C226" i="3"/>
  <c r="G226" i="3" s="1"/>
  <c r="C227" i="3" l="1"/>
  <c r="G227" i="3" s="1"/>
  <c r="F226" i="3"/>
  <c r="H226" i="3" s="1"/>
  <c r="B226" i="3"/>
  <c r="B227" i="3" l="1"/>
  <c r="C228" i="3"/>
  <c r="G228" i="3" s="1"/>
  <c r="F227" i="3"/>
  <c r="H227" i="3" s="1"/>
  <c r="F228" i="3" l="1"/>
  <c r="H228" i="3" s="1"/>
  <c r="B228" i="3"/>
  <c r="C229" i="3"/>
  <c r="G229" i="3" s="1"/>
  <c r="C230" i="3" l="1"/>
  <c r="G230" i="3" s="1"/>
  <c r="F229" i="3"/>
  <c r="H229" i="3" s="1"/>
  <c r="B229" i="3"/>
  <c r="C231" i="3" l="1"/>
  <c r="G231" i="3" s="1"/>
  <c r="B230" i="3"/>
  <c r="F230" i="3"/>
  <c r="H230" i="3" s="1"/>
  <c r="F231" i="3" l="1"/>
  <c r="H231" i="3" s="1"/>
  <c r="B231" i="3"/>
  <c r="C232" i="3"/>
  <c r="G232" i="3" s="1"/>
  <c r="F232" i="3" l="1"/>
  <c r="H232" i="3" s="1"/>
  <c r="C233" i="3"/>
  <c r="G233" i="3" s="1"/>
  <c r="B232" i="3"/>
  <c r="B233" i="3" l="1"/>
  <c r="C234" i="3"/>
  <c r="G234" i="3" s="1"/>
  <c r="F233" i="3"/>
  <c r="H233" i="3" s="1"/>
  <c r="C235" i="3" l="1"/>
  <c r="G235" i="3" s="1"/>
  <c r="F234" i="3"/>
  <c r="H234" i="3" s="1"/>
  <c r="B234" i="3"/>
  <c r="C236" i="3" l="1"/>
  <c r="G236" i="3" s="1"/>
  <c r="F235" i="3"/>
  <c r="H235" i="3" s="1"/>
  <c r="B235" i="3"/>
  <c r="F236" i="3" l="1"/>
  <c r="H236" i="3" s="1"/>
  <c r="B236" i="3"/>
  <c r="C237" i="3"/>
  <c r="G237" i="3" s="1"/>
  <c r="F237" i="3" l="1"/>
  <c r="H237" i="3" s="1"/>
  <c r="C238" i="3"/>
  <c r="G238" i="3" s="1"/>
  <c r="B237" i="3"/>
  <c r="C239" i="3" l="1"/>
  <c r="G239" i="3" s="1"/>
  <c r="B238" i="3"/>
  <c r="F238" i="3"/>
  <c r="H238" i="3" s="1"/>
  <c r="F239" i="3" l="1"/>
  <c r="H239" i="3" s="1"/>
  <c r="B239" i="3"/>
  <c r="C240" i="3"/>
  <c r="G240" i="3" s="1"/>
  <c r="F240" i="3" l="1"/>
  <c r="H240" i="3" s="1"/>
  <c r="C241" i="3"/>
  <c r="G241" i="3" s="1"/>
  <c r="B240" i="3"/>
  <c r="B241" i="3" l="1"/>
  <c r="C242" i="3"/>
  <c r="G242" i="3" s="1"/>
  <c r="F241" i="3"/>
  <c r="H241" i="3" s="1"/>
  <c r="C243" i="3" l="1"/>
  <c r="G243" i="3" s="1"/>
  <c r="F242" i="3"/>
  <c r="H242" i="3" s="1"/>
  <c r="B242" i="3"/>
  <c r="F243" i="3" l="1"/>
  <c r="H243" i="3" s="1"/>
  <c r="C244" i="3"/>
  <c r="G244" i="3" s="1"/>
  <c r="B243" i="3"/>
  <c r="F244" i="3" l="1"/>
  <c r="H244" i="3" s="1"/>
  <c r="C245" i="3"/>
  <c r="G245" i="3" s="1"/>
  <c r="B244" i="3"/>
  <c r="F245" i="3" l="1"/>
  <c r="H245" i="3" s="1"/>
  <c r="B245" i="3"/>
  <c r="C246" i="3"/>
  <c r="G246" i="3" s="1"/>
  <c r="C247" i="3" l="1"/>
  <c r="G247" i="3" s="1"/>
  <c r="F246" i="3"/>
  <c r="H246" i="3" s="1"/>
  <c r="B246" i="3"/>
  <c r="F247" i="3" l="1"/>
  <c r="H247" i="3" s="1"/>
  <c r="B247" i="3"/>
  <c r="C248" i="3"/>
  <c r="G248" i="3" s="1"/>
  <c r="F248" i="3" l="1"/>
  <c r="H248" i="3" s="1"/>
  <c r="C249" i="3"/>
  <c r="G249" i="3" s="1"/>
  <c r="B248" i="3"/>
  <c r="B249" i="3" l="1"/>
  <c r="C250" i="3"/>
  <c r="G250" i="3" s="1"/>
  <c r="F249" i="3"/>
  <c r="H249" i="3" s="1"/>
  <c r="C251" i="3" l="1"/>
  <c r="G251" i="3" s="1"/>
  <c r="F250" i="3"/>
  <c r="H250" i="3" s="1"/>
  <c r="B250" i="3"/>
  <c r="B251" i="3" l="1"/>
  <c r="C252" i="3"/>
  <c r="G252" i="3" s="1"/>
  <c r="F251" i="3"/>
  <c r="H251" i="3" s="1"/>
  <c r="F252" i="3" l="1"/>
  <c r="H252" i="3" s="1"/>
  <c r="C253" i="3"/>
  <c r="G253" i="3" s="1"/>
  <c r="B252" i="3"/>
  <c r="C254" i="3" l="1"/>
  <c r="G254" i="3" s="1"/>
  <c r="F253" i="3"/>
  <c r="H253" i="3" s="1"/>
  <c r="B253" i="3"/>
  <c r="C255" i="3" l="1"/>
  <c r="G255" i="3" s="1"/>
  <c r="F254" i="3"/>
  <c r="H254" i="3" s="1"/>
  <c r="B254" i="3"/>
  <c r="C256" i="3" l="1"/>
  <c r="G256" i="3" s="1"/>
  <c r="F255" i="3"/>
  <c r="H255" i="3" s="1"/>
  <c r="B255" i="3"/>
  <c r="F256" i="3" l="1"/>
  <c r="H256" i="3" s="1"/>
  <c r="C257" i="3"/>
  <c r="G257" i="3" s="1"/>
  <c r="B256" i="3"/>
  <c r="C258" i="3" l="1"/>
  <c r="G258" i="3" s="1"/>
  <c r="F257" i="3"/>
  <c r="H257" i="3" s="1"/>
  <c r="B257" i="3"/>
  <c r="C259" i="3" l="1"/>
  <c r="G259" i="3" s="1"/>
  <c r="F258" i="3"/>
  <c r="H258" i="3" s="1"/>
  <c r="B258" i="3"/>
  <c r="B259" i="3" l="1"/>
  <c r="C260" i="3"/>
  <c r="G260" i="3" s="1"/>
  <c r="F259" i="3"/>
  <c r="H259" i="3" s="1"/>
  <c r="F260" i="3" l="1"/>
  <c r="H260" i="3" s="1"/>
  <c r="C261" i="3"/>
  <c r="G261" i="3" s="1"/>
  <c r="B260" i="3"/>
  <c r="C262" i="3" l="1"/>
  <c r="G262" i="3" s="1"/>
  <c r="F261" i="3"/>
  <c r="H261" i="3" s="1"/>
  <c r="B261" i="3"/>
  <c r="C263" i="3" l="1"/>
  <c r="G263" i="3" s="1"/>
  <c r="F262" i="3"/>
  <c r="H262" i="3" s="1"/>
  <c r="B262" i="3"/>
  <c r="B263" i="3" l="1"/>
  <c r="C264" i="3"/>
  <c r="G264" i="3" s="1"/>
  <c r="F263" i="3"/>
  <c r="H263" i="3" s="1"/>
  <c r="F264" i="3" l="1"/>
  <c r="H264" i="3" s="1"/>
  <c r="C265" i="3"/>
  <c r="G265" i="3" s="1"/>
  <c r="B264" i="3"/>
  <c r="C266" i="3" l="1"/>
  <c r="G266" i="3" s="1"/>
  <c r="B265" i="3"/>
  <c r="F265" i="3"/>
  <c r="H265" i="3" s="1"/>
  <c r="C267" i="3" l="1"/>
  <c r="G267" i="3" s="1"/>
  <c r="F266" i="3"/>
  <c r="H266" i="3" s="1"/>
  <c r="B266" i="3"/>
  <c r="B267" i="3" l="1"/>
  <c r="F267" i="3"/>
  <c r="H267" i="3" s="1"/>
  <c r="C268" i="3"/>
  <c r="G268" i="3" s="1"/>
  <c r="F268" i="3" l="1"/>
  <c r="H268" i="3" s="1"/>
  <c r="B268" i="3"/>
  <c r="C269" i="3"/>
  <c r="G269" i="3" s="1"/>
  <c r="F269" i="3" l="1"/>
  <c r="H269" i="3" s="1"/>
  <c r="B269" i="3"/>
  <c r="C270" i="3"/>
  <c r="G270" i="3" s="1"/>
  <c r="C271" i="3" l="1"/>
  <c r="G271" i="3" s="1"/>
  <c r="F270" i="3"/>
  <c r="H270" i="3" s="1"/>
  <c r="B270" i="3"/>
  <c r="B271" i="3" l="1"/>
  <c r="C272" i="3"/>
  <c r="G272" i="3" s="1"/>
  <c r="F271" i="3"/>
  <c r="H271" i="3" s="1"/>
  <c r="F272" i="3" l="1"/>
  <c r="H272" i="3" s="1"/>
  <c r="B272" i="3"/>
  <c r="C273" i="3"/>
  <c r="G273" i="3" s="1"/>
  <c r="B273" i="3" l="1"/>
  <c r="C274" i="3"/>
  <c r="G274" i="3" s="1"/>
  <c r="F273" i="3"/>
  <c r="H273" i="3" s="1"/>
  <c r="C275" i="3" l="1"/>
  <c r="G275" i="3" s="1"/>
  <c r="F274" i="3"/>
  <c r="H274" i="3" s="1"/>
  <c r="B274" i="3"/>
  <c r="B275" i="3" l="1"/>
  <c r="F275" i="3"/>
  <c r="H275" i="3" s="1"/>
  <c r="C276" i="3"/>
  <c r="G276" i="3" s="1"/>
  <c r="F276" i="3" l="1"/>
  <c r="H276" i="3" s="1"/>
  <c r="B276" i="3"/>
  <c r="C277" i="3"/>
  <c r="G277" i="3" s="1"/>
  <c r="C278" i="3" l="1"/>
  <c r="G278" i="3" s="1"/>
  <c r="B277" i="3"/>
  <c r="F277" i="3"/>
  <c r="H277" i="3" s="1"/>
  <c r="F278" i="3" l="1"/>
  <c r="H278" i="3" s="1"/>
  <c r="C279" i="3"/>
  <c r="G279" i="3" s="1"/>
  <c r="B278" i="3"/>
  <c r="F279" i="3" l="1"/>
  <c r="H279" i="3" s="1"/>
  <c r="C280" i="3"/>
  <c r="G280" i="3" s="1"/>
  <c r="B279" i="3"/>
  <c r="C281" i="3" l="1"/>
  <c r="G281" i="3" s="1"/>
  <c r="F280" i="3"/>
  <c r="H280" i="3" s="1"/>
  <c r="B280" i="3"/>
  <c r="C282" i="3" l="1"/>
  <c r="G282" i="3" s="1"/>
  <c r="F281" i="3"/>
  <c r="H281" i="3" s="1"/>
  <c r="B281" i="3"/>
  <c r="F282" i="3" l="1"/>
  <c r="H282" i="3" s="1"/>
  <c r="C283" i="3"/>
  <c r="G283" i="3" s="1"/>
  <c r="B282" i="3"/>
  <c r="F283" i="3" l="1"/>
  <c r="H283" i="3" s="1"/>
  <c r="C284" i="3"/>
  <c r="G284" i="3" s="1"/>
  <c r="B283" i="3"/>
  <c r="C285" i="3" l="1"/>
  <c r="G285" i="3" s="1"/>
  <c r="F284" i="3"/>
  <c r="H284" i="3" s="1"/>
  <c r="B284" i="3"/>
  <c r="C286" i="3" l="1"/>
  <c r="G286" i="3" s="1"/>
  <c r="F285" i="3"/>
  <c r="H285" i="3" s="1"/>
  <c r="B285" i="3"/>
  <c r="F286" i="3" l="1"/>
  <c r="H286" i="3" s="1"/>
  <c r="C287" i="3"/>
  <c r="G287" i="3" s="1"/>
  <c r="B286" i="3"/>
  <c r="F287" i="3" l="1"/>
  <c r="H287" i="3" s="1"/>
  <c r="B287" i="3"/>
  <c r="C288" i="3"/>
  <c r="G288" i="3" s="1"/>
  <c r="C289" i="3" l="1"/>
  <c r="G289" i="3" s="1"/>
  <c r="F288" i="3"/>
  <c r="H288" i="3" s="1"/>
  <c r="B288" i="3"/>
  <c r="C290" i="3" l="1"/>
  <c r="G290" i="3" s="1"/>
  <c r="F289" i="3"/>
  <c r="H289" i="3" s="1"/>
  <c r="B289" i="3"/>
  <c r="F290" i="3" l="1"/>
  <c r="H290" i="3" s="1"/>
  <c r="C291" i="3"/>
  <c r="G291" i="3" s="1"/>
  <c r="B290" i="3"/>
  <c r="F291" i="3" l="1"/>
  <c r="H291" i="3" s="1"/>
  <c r="C292" i="3"/>
  <c r="G292" i="3" s="1"/>
  <c r="B291" i="3"/>
  <c r="C293" i="3" l="1"/>
  <c r="G293" i="3" s="1"/>
  <c r="F292" i="3"/>
  <c r="H292" i="3" s="1"/>
  <c r="B292" i="3"/>
  <c r="C294" i="3" l="1"/>
  <c r="G294" i="3" s="1"/>
  <c r="B293" i="3"/>
  <c r="F293" i="3"/>
  <c r="H293" i="3" s="1"/>
  <c r="F294" i="3" l="1"/>
  <c r="H294" i="3" s="1"/>
  <c r="C295" i="3"/>
  <c r="G295" i="3" s="1"/>
  <c r="B294" i="3"/>
  <c r="F295" i="3" l="1"/>
  <c r="H295" i="3" s="1"/>
  <c r="B295" i="3"/>
  <c r="C296" i="3"/>
  <c r="G296" i="3" s="1"/>
  <c r="C297" i="3" l="1"/>
  <c r="G297" i="3" s="1"/>
  <c r="F296" i="3"/>
  <c r="H296" i="3" s="1"/>
  <c r="B296" i="3"/>
  <c r="C298" i="3" l="1"/>
  <c r="G298" i="3" s="1"/>
  <c r="B297" i="3"/>
  <c r="F297" i="3"/>
  <c r="H297" i="3" s="1"/>
  <c r="F298" i="3" l="1"/>
  <c r="H298" i="3" s="1"/>
  <c r="C299" i="3"/>
  <c r="G299" i="3" s="1"/>
  <c r="B298" i="3"/>
  <c r="F299" i="3" l="1"/>
  <c r="H299" i="3" s="1"/>
  <c r="B299" i="3"/>
  <c r="C300" i="3"/>
  <c r="G300" i="3" s="1"/>
  <c r="C301" i="3" l="1"/>
  <c r="G301" i="3" s="1"/>
  <c r="F300" i="3"/>
  <c r="H300" i="3" s="1"/>
  <c r="B300" i="3"/>
  <c r="C302" i="3" l="1"/>
  <c r="G302" i="3" s="1"/>
  <c r="F301" i="3"/>
  <c r="H301" i="3" s="1"/>
  <c r="B301" i="3"/>
  <c r="F302" i="3" l="1"/>
  <c r="H302" i="3" s="1"/>
  <c r="C303" i="3"/>
  <c r="G303" i="3" s="1"/>
  <c r="B302" i="3"/>
  <c r="F303" i="3" l="1"/>
  <c r="H303" i="3" s="1"/>
  <c r="C304" i="3"/>
  <c r="G304" i="3" s="1"/>
  <c r="B303" i="3"/>
  <c r="C305" i="3" l="1"/>
  <c r="G305" i="3" s="1"/>
  <c r="F304" i="3"/>
  <c r="H304" i="3" s="1"/>
  <c r="B304" i="3"/>
  <c r="C306" i="3" l="1"/>
  <c r="G306" i="3" s="1"/>
  <c r="F305" i="3"/>
  <c r="H305" i="3" s="1"/>
  <c r="B305" i="3"/>
  <c r="F306" i="3" l="1"/>
  <c r="H306" i="3" s="1"/>
  <c r="C307" i="3"/>
  <c r="G307" i="3" s="1"/>
  <c r="B306" i="3"/>
  <c r="F307" i="3" l="1"/>
  <c r="H307" i="3" s="1"/>
  <c r="B307" i="3"/>
  <c r="C308" i="3"/>
  <c r="G308" i="3" s="1"/>
  <c r="C309" i="3" l="1"/>
  <c r="G309" i="3" s="1"/>
  <c r="F308" i="3"/>
  <c r="H308" i="3" s="1"/>
  <c r="B308" i="3"/>
  <c r="C310" i="3" l="1"/>
  <c r="G310" i="3" s="1"/>
  <c r="B309" i="3"/>
  <c r="F309" i="3"/>
  <c r="H309" i="3" s="1"/>
  <c r="F310" i="3" l="1"/>
  <c r="H310" i="3" s="1"/>
  <c r="C311" i="3"/>
  <c r="G311" i="3" s="1"/>
  <c r="B310" i="3"/>
  <c r="F311" i="3" l="1"/>
  <c r="H311" i="3" s="1"/>
  <c r="C312" i="3"/>
  <c r="G312" i="3" s="1"/>
  <c r="B311" i="3"/>
  <c r="C313" i="3" l="1"/>
  <c r="G313" i="3" s="1"/>
  <c r="F312" i="3"/>
  <c r="H312" i="3" s="1"/>
  <c r="B312" i="3"/>
  <c r="C314" i="3" l="1"/>
  <c r="G314" i="3" s="1"/>
  <c r="F313" i="3"/>
  <c r="H313" i="3" s="1"/>
  <c r="B313" i="3"/>
  <c r="F314" i="3" l="1"/>
  <c r="H314" i="3" s="1"/>
  <c r="C315" i="3"/>
  <c r="G315" i="3" s="1"/>
  <c r="B314" i="3"/>
  <c r="F315" i="3" l="1"/>
  <c r="H315" i="3" s="1"/>
  <c r="C316" i="3"/>
  <c r="G316" i="3" s="1"/>
  <c r="B315" i="3"/>
  <c r="C317" i="3" l="1"/>
  <c r="G317" i="3" s="1"/>
  <c r="F316" i="3"/>
  <c r="H316" i="3" s="1"/>
  <c r="B316" i="3"/>
  <c r="C318" i="3" l="1"/>
  <c r="G318" i="3" s="1"/>
  <c r="F317" i="3"/>
  <c r="H317" i="3" s="1"/>
  <c r="B317" i="3"/>
  <c r="F318" i="3" l="1"/>
  <c r="H318" i="3" s="1"/>
  <c r="C319" i="3"/>
  <c r="G319" i="3" s="1"/>
  <c r="B318" i="3"/>
  <c r="F319" i="3" l="1"/>
  <c r="H319" i="3" s="1"/>
  <c r="B319" i="3"/>
  <c r="C320" i="3"/>
  <c r="G320" i="3" s="1"/>
  <c r="C321" i="3" l="1"/>
  <c r="G321" i="3" s="1"/>
  <c r="F320" i="3"/>
  <c r="H320" i="3" s="1"/>
  <c r="B320" i="3"/>
  <c r="C322" i="3" l="1"/>
  <c r="G322" i="3" s="1"/>
  <c r="F321" i="3"/>
  <c r="H321" i="3" s="1"/>
  <c r="B321" i="3"/>
  <c r="F322" i="3" l="1"/>
  <c r="H322" i="3" s="1"/>
  <c r="C323" i="3"/>
  <c r="G323" i="3" s="1"/>
  <c r="B322" i="3"/>
  <c r="F323" i="3" l="1"/>
  <c r="H323" i="3" s="1"/>
  <c r="C324" i="3"/>
  <c r="G324" i="3" s="1"/>
  <c r="B323" i="3"/>
  <c r="C325" i="3" l="1"/>
  <c r="G325" i="3" s="1"/>
  <c r="F324" i="3"/>
  <c r="H324" i="3" s="1"/>
  <c r="B324" i="3"/>
  <c r="C326" i="3" l="1"/>
  <c r="G326" i="3" s="1"/>
  <c r="B325" i="3"/>
  <c r="F325" i="3"/>
  <c r="H325" i="3" s="1"/>
  <c r="F326" i="3" l="1"/>
  <c r="H326" i="3" s="1"/>
  <c r="C327" i="3"/>
  <c r="G327" i="3" s="1"/>
  <c r="B326" i="3"/>
  <c r="F327" i="3" l="1"/>
  <c r="H327" i="3" s="1"/>
  <c r="B327" i="3"/>
  <c r="C328" i="3"/>
  <c r="G328" i="3" s="1"/>
  <c r="C329" i="3" l="1"/>
  <c r="G329" i="3" s="1"/>
  <c r="F328" i="3"/>
  <c r="H328" i="3" s="1"/>
  <c r="B328" i="3"/>
  <c r="C330" i="3" l="1"/>
  <c r="G330" i="3" s="1"/>
  <c r="B329" i="3"/>
  <c r="F329" i="3"/>
  <c r="H329" i="3" s="1"/>
  <c r="F330" i="3" l="1"/>
  <c r="H330" i="3" s="1"/>
  <c r="C331" i="3"/>
  <c r="G331" i="3" s="1"/>
  <c r="B330" i="3"/>
  <c r="F331" i="3" l="1"/>
  <c r="H331" i="3" s="1"/>
  <c r="B331" i="3"/>
  <c r="C332" i="3"/>
  <c r="G332" i="3" s="1"/>
  <c r="C333" i="3" l="1"/>
  <c r="G333" i="3" s="1"/>
  <c r="F332" i="3"/>
  <c r="H332" i="3" s="1"/>
  <c r="B332" i="3"/>
  <c r="C334" i="3" l="1"/>
  <c r="G334" i="3" s="1"/>
  <c r="F333" i="3"/>
  <c r="H333" i="3" s="1"/>
  <c r="B333" i="3"/>
  <c r="F334" i="3" l="1"/>
  <c r="H334" i="3" s="1"/>
  <c r="C335" i="3"/>
  <c r="G335" i="3" s="1"/>
  <c r="B334" i="3"/>
  <c r="F335" i="3" l="1"/>
  <c r="H335" i="3" s="1"/>
  <c r="B335" i="3"/>
  <c r="C336" i="3"/>
  <c r="G336" i="3" s="1"/>
  <c r="C337" i="3" l="1"/>
  <c r="G337" i="3" s="1"/>
  <c r="F336" i="3"/>
  <c r="H336" i="3" s="1"/>
  <c r="B336" i="3"/>
  <c r="C338" i="3" l="1"/>
  <c r="G338" i="3" s="1"/>
  <c r="F337" i="3"/>
  <c r="H337" i="3" s="1"/>
  <c r="B337" i="3"/>
  <c r="F338" i="3" l="1"/>
  <c r="H338" i="3" s="1"/>
  <c r="C339" i="3"/>
  <c r="G339" i="3" s="1"/>
  <c r="B338" i="3"/>
  <c r="F339" i="3" l="1"/>
  <c r="H339" i="3" s="1"/>
  <c r="B339" i="3"/>
  <c r="C340" i="3"/>
  <c r="G340" i="3" s="1"/>
  <c r="C341" i="3" l="1"/>
  <c r="G341" i="3" s="1"/>
  <c r="F340" i="3"/>
  <c r="H340" i="3" s="1"/>
  <c r="B340" i="3"/>
  <c r="C342" i="3" l="1"/>
  <c r="G342" i="3" s="1"/>
  <c r="F341" i="3"/>
  <c r="H341" i="3" s="1"/>
  <c r="B341" i="3"/>
  <c r="F342" i="3" l="1"/>
  <c r="H342" i="3" s="1"/>
  <c r="C343" i="3"/>
  <c r="G343" i="3" s="1"/>
  <c r="B342" i="3"/>
  <c r="F343" i="3" l="1"/>
  <c r="H343" i="3" s="1"/>
  <c r="C344" i="3"/>
  <c r="G344" i="3" s="1"/>
  <c r="B343" i="3"/>
  <c r="C345" i="3" l="1"/>
  <c r="G345" i="3" s="1"/>
  <c r="F344" i="3"/>
  <c r="H344" i="3" s="1"/>
  <c r="B344" i="3"/>
  <c r="C346" i="3" l="1"/>
  <c r="G346" i="3" s="1"/>
  <c r="F345" i="3"/>
  <c r="H345" i="3" s="1"/>
  <c r="B345" i="3"/>
  <c r="F346" i="3" l="1"/>
  <c r="H346" i="3" s="1"/>
  <c r="C347" i="3"/>
  <c r="G347" i="3" s="1"/>
  <c r="B346" i="3"/>
  <c r="F347" i="3" l="1"/>
  <c r="H347" i="3" s="1"/>
  <c r="C348" i="3"/>
  <c r="G348" i="3" s="1"/>
  <c r="B347" i="3"/>
  <c r="C349" i="3" l="1"/>
  <c r="G349" i="3" s="1"/>
  <c r="F348" i="3"/>
  <c r="H348" i="3" s="1"/>
  <c r="B348" i="3"/>
  <c r="C350" i="3" l="1"/>
  <c r="G350" i="3" s="1"/>
  <c r="F349" i="3"/>
  <c r="H349" i="3" s="1"/>
  <c r="B349" i="3"/>
  <c r="F350" i="3" l="1"/>
  <c r="H350" i="3" s="1"/>
  <c r="C351" i="3"/>
  <c r="G351" i="3" s="1"/>
  <c r="B350" i="3"/>
  <c r="F351" i="3" l="1"/>
  <c r="H351" i="3" s="1"/>
  <c r="C352" i="3"/>
  <c r="G352" i="3" s="1"/>
  <c r="B351" i="3"/>
  <c r="C353" i="3" l="1"/>
  <c r="G353" i="3" s="1"/>
  <c r="F352" i="3"/>
  <c r="H352" i="3" s="1"/>
  <c r="B352" i="3"/>
  <c r="B353" i="3" l="1"/>
  <c r="C354" i="3"/>
  <c r="G354" i="3" s="1"/>
  <c r="F353" i="3"/>
  <c r="H353" i="3" s="1"/>
  <c r="F354" i="3" l="1"/>
  <c r="H354" i="3" s="1"/>
  <c r="C355" i="3"/>
  <c r="G355" i="3" s="1"/>
  <c r="B354" i="3"/>
  <c r="F355" i="3" l="1"/>
  <c r="H355" i="3" s="1"/>
  <c r="B355" i="3"/>
  <c r="C356" i="3"/>
  <c r="G356" i="3" s="1"/>
  <c r="C357" i="3" l="1"/>
  <c r="G357" i="3" s="1"/>
  <c r="F356" i="3"/>
  <c r="H356" i="3" s="1"/>
  <c r="B356" i="3"/>
  <c r="B357" i="3" l="1"/>
  <c r="C358" i="3"/>
  <c r="G358" i="3" s="1"/>
  <c r="F357" i="3"/>
  <c r="H357" i="3" s="1"/>
  <c r="F358" i="3" l="1"/>
  <c r="H358" i="3" s="1"/>
  <c r="C359" i="3"/>
  <c r="G359" i="3" s="1"/>
  <c r="B358" i="3"/>
  <c r="F359" i="3" l="1"/>
  <c r="H359" i="3" s="1"/>
  <c r="C360" i="3"/>
  <c r="G360" i="3" s="1"/>
  <c r="B359" i="3"/>
  <c r="C361" i="3" l="1"/>
  <c r="G361" i="3" s="1"/>
  <c r="F360" i="3"/>
  <c r="H360" i="3" s="1"/>
  <c r="B360" i="3"/>
  <c r="B361" i="3" l="1"/>
  <c r="C362" i="3"/>
  <c r="G362" i="3" s="1"/>
  <c r="F361" i="3"/>
  <c r="H361" i="3" s="1"/>
  <c r="F362" i="3" l="1"/>
  <c r="H362" i="3" s="1"/>
  <c r="B362" i="3"/>
  <c r="C363" i="3"/>
  <c r="G363" i="3" s="1"/>
  <c r="F363" i="3" l="1"/>
  <c r="H363" i="3" s="1"/>
  <c r="C364" i="3"/>
  <c r="G364" i="3" s="1"/>
  <c r="B363" i="3"/>
  <c r="C365" i="3" l="1"/>
  <c r="G365" i="3" s="1"/>
  <c r="F364" i="3"/>
  <c r="H364" i="3" s="1"/>
  <c r="B364" i="3"/>
  <c r="B365" i="3" l="1"/>
  <c r="C366" i="3"/>
  <c r="G366" i="3" s="1"/>
  <c r="F365" i="3"/>
  <c r="H365" i="3" s="1"/>
  <c r="F366" i="3" l="1"/>
  <c r="H366" i="3" s="1"/>
  <c r="B366" i="3"/>
  <c r="C367" i="3"/>
  <c r="G367" i="3" s="1"/>
  <c r="F367" i="3" l="1"/>
  <c r="H367" i="3" s="1"/>
  <c r="C368" i="3"/>
  <c r="G368" i="3" s="1"/>
  <c r="B367" i="3"/>
  <c r="C369" i="3" l="1"/>
  <c r="G369" i="3" s="1"/>
  <c r="F368" i="3"/>
  <c r="H368" i="3" s="1"/>
  <c r="B368" i="3"/>
  <c r="B369" i="3" l="1"/>
  <c r="C370" i="3"/>
  <c r="G370" i="3" s="1"/>
  <c r="F369" i="3"/>
  <c r="H369" i="3" s="1"/>
  <c r="F370" i="3" l="1"/>
  <c r="H370" i="3" s="1"/>
  <c r="B370" i="3"/>
  <c r="C371" i="3"/>
  <c r="G371" i="3" s="1"/>
  <c r="F371" i="3" l="1"/>
  <c r="H371" i="3" s="1"/>
  <c r="C372" i="3"/>
  <c r="G372" i="3" s="1"/>
  <c r="B371" i="3"/>
  <c r="C373" i="3" l="1"/>
  <c r="G373" i="3" s="1"/>
  <c r="F372" i="3"/>
  <c r="H372" i="3" s="1"/>
  <c r="B372" i="3"/>
  <c r="B373" i="3" l="1"/>
  <c r="C374" i="3"/>
  <c r="G374" i="3" s="1"/>
  <c r="F373" i="3"/>
  <c r="H373" i="3" s="1"/>
  <c r="F374" i="3" l="1"/>
  <c r="H374" i="3" s="1"/>
  <c r="B374" i="3"/>
  <c r="C375" i="3"/>
  <c r="G375" i="3" s="1"/>
  <c r="F375" i="3" l="1"/>
  <c r="H375" i="3" s="1"/>
  <c r="B375" i="3"/>
  <c r="C376" i="3"/>
  <c r="G376" i="3" s="1"/>
  <c r="C377" i="3" l="1"/>
  <c r="G377" i="3" s="1"/>
  <c r="F376" i="3"/>
  <c r="H376" i="3" s="1"/>
  <c r="B376" i="3"/>
  <c r="B377" i="3" l="1"/>
  <c r="C378" i="3"/>
  <c r="G378" i="3" s="1"/>
  <c r="F377" i="3"/>
  <c r="H377" i="3" s="1"/>
  <c r="F378" i="3" l="1"/>
  <c r="H378" i="3" s="1"/>
  <c r="B378" i="3"/>
  <c r="C379" i="3"/>
  <c r="G379" i="3" s="1"/>
  <c r="C380" i="3" l="1"/>
  <c r="G380" i="3" s="1"/>
  <c r="F379" i="3"/>
  <c r="H379" i="3" s="1"/>
  <c r="B379" i="3"/>
  <c r="C381" i="3" l="1"/>
  <c r="G381" i="3" s="1"/>
  <c r="F380" i="3"/>
  <c r="H380" i="3" s="1"/>
  <c r="B380" i="3"/>
  <c r="F381" i="3" l="1"/>
  <c r="H381" i="3" s="1"/>
  <c r="B381" i="3"/>
  <c r="C382" i="3"/>
  <c r="G382" i="3" s="1"/>
  <c r="F382" i="3" l="1"/>
  <c r="H382" i="3" s="1"/>
  <c r="B382" i="3"/>
  <c r="C383" i="3"/>
  <c r="G383" i="3" s="1"/>
  <c r="C384" i="3" l="1"/>
  <c r="G384" i="3" s="1"/>
  <c r="F383" i="3"/>
  <c r="H383" i="3" s="1"/>
  <c r="B383" i="3"/>
  <c r="C385" i="3" l="1"/>
  <c r="G385" i="3" s="1"/>
  <c r="F384" i="3"/>
  <c r="H384" i="3" s="1"/>
  <c r="B384" i="3"/>
  <c r="F385" i="3" l="1"/>
  <c r="H385" i="3" s="1"/>
  <c r="B385" i="3"/>
  <c r="C386" i="3"/>
  <c r="G386" i="3" s="1"/>
  <c r="F386" i="3" l="1"/>
  <c r="H386" i="3" s="1"/>
  <c r="B386" i="3"/>
  <c r="C387" i="3"/>
  <c r="G387" i="3" s="1"/>
  <c r="C388" i="3" l="1"/>
  <c r="G388" i="3" s="1"/>
  <c r="F387" i="3"/>
  <c r="H387" i="3" s="1"/>
  <c r="B387" i="3"/>
  <c r="C389" i="3" l="1"/>
  <c r="G389" i="3" s="1"/>
  <c r="F388" i="3"/>
  <c r="H388" i="3" s="1"/>
  <c r="B388" i="3"/>
  <c r="F389" i="3" l="1"/>
  <c r="H389" i="3" s="1"/>
  <c r="B389" i="3"/>
  <c r="C390" i="3"/>
  <c r="G390" i="3" s="1"/>
  <c r="G24" i="3" s="1"/>
  <c r="F390" i="3" l="1"/>
  <c r="B390" i="3"/>
  <c r="H390" i="3" l="1"/>
  <c r="F24" i="3"/>
  <c r="E25" i="3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BR107" i="5" l="1"/>
  <c r="AU62" i="1"/>
  <c r="AV63" i="1" s="1"/>
  <c r="BS75" i="5" s="1"/>
  <c r="BS127" i="5" s="1"/>
  <c r="BR6" i="5"/>
  <c r="BR17" i="5" s="1"/>
  <c r="BR8" i="5"/>
  <c r="BR9" i="5"/>
  <c r="BR12" i="5"/>
  <c r="BR14" i="5"/>
  <c r="AU92" i="1" l="1"/>
  <c r="BR10" i="5"/>
  <c r="BR18" i="5" s="1"/>
  <c r="BR77" i="5"/>
  <c r="BR86" i="5"/>
  <c r="BR5" i="5"/>
  <c r="BR19" i="5" l="1"/>
  <c r="BR7" i="5"/>
  <c r="AU93" i="1"/>
  <c r="BR11" i="5" l="1"/>
  <c r="AU86" i="1"/>
  <c r="AU94" i="1" l="1"/>
  <c r="BR13" i="5"/>
  <c r="BR74" i="5"/>
  <c r="BR15" i="5" l="1"/>
  <c r="A2" i="13"/>
  <c r="A3" i="13" s="1"/>
  <c r="A4" i="13" s="1"/>
  <c r="A5" i="13" s="1"/>
  <c r="A6" i="13" s="1"/>
  <c r="A7" i="13" s="1"/>
  <c r="A8" i="13" s="1"/>
  <c r="A9" i="13" s="1"/>
  <c r="A10" i="13" s="1"/>
  <c r="A11" i="13" s="1"/>
  <c r="A12" i="13" s="1"/>
  <c r="H64" i="1" l="1"/>
  <c r="G64" i="1"/>
  <c r="AC22" i="1"/>
  <c r="AC20" i="1"/>
  <c r="AC19" i="1"/>
  <c r="AC17" i="1"/>
  <c r="AC16" i="1"/>
  <c r="AC15" i="1"/>
  <c r="AC14" i="1"/>
  <c r="AC13" i="1"/>
  <c r="AC11" i="1"/>
  <c r="AC10" i="1"/>
  <c r="AC7" i="1"/>
  <c r="AC8" i="1"/>
  <c r="AB22" i="1"/>
  <c r="AB20" i="1"/>
  <c r="AB19" i="1"/>
  <c r="AB17" i="1"/>
  <c r="AB16" i="1"/>
  <c r="AB15" i="1"/>
  <c r="AB14" i="1"/>
  <c r="AB13" i="1"/>
  <c r="AB11" i="1"/>
  <c r="AB10" i="1"/>
  <c r="AB7" i="1"/>
  <c r="AB8" i="1"/>
  <c r="AA22" i="1"/>
  <c r="AA20" i="1"/>
  <c r="AA19" i="1"/>
  <c r="AA17" i="1"/>
  <c r="AA16" i="1"/>
  <c r="AA15" i="1"/>
  <c r="AA14" i="1"/>
  <c r="AA13" i="1"/>
  <c r="AA11" i="1"/>
  <c r="AA10" i="1"/>
  <c r="AA8" i="1"/>
  <c r="AA7" i="1"/>
  <c r="AC6" i="1"/>
  <c r="AB6" i="1"/>
  <c r="AA6" i="1"/>
  <c r="Z22" i="1"/>
  <c r="Z20" i="1"/>
  <c r="Z19" i="1"/>
  <c r="Z17" i="1"/>
  <c r="Z16" i="1"/>
  <c r="Z15" i="1"/>
  <c r="Z14" i="1"/>
  <c r="Z13" i="1"/>
  <c r="Z11" i="1"/>
  <c r="Z10" i="1"/>
  <c r="Z7" i="1"/>
  <c r="Z8" i="1"/>
  <c r="Z6" i="1"/>
  <c r="Y22" i="1"/>
  <c r="Y20" i="1"/>
  <c r="Y19" i="1"/>
  <c r="Y17" i="1"/>
  <c r="Y16" i="1"/>
  <c r="Y15" i="1"/>
  <c r="Y14" i="1"/>
  <c r="Y13" i="1"/>
  <c r="Y11" i="1"/>
  <c r="Y10" i="1"/>
  <c r="Y7" i="1"/>
  <c r="Y8" i="1"/>
  <c r="Y6" i="1"/>
  <c r="X22" i="1"/>
  <c r="X20" i="1"/>
  <c r="X19" i="1"/>
  <c r="X17" i="1"/>
  <c r="X16" i="1"/>
  <c r="X15" i="1"/>
  <c r="X14" i="1"/>
  <c r="X13" i="1"/>
  <c r="X11" i="1"/>
  <c r="X10" i="1"/>
  <c r="X7" i="1"/>
  <c r="X8" i="1"/>
  <c r="W22" i="1"/>
  <c r="W20" i="1"/>
  <c r="W19" i="1"/>
  <c r="W17" i="1"/>
  <c r="W16" i="1"/>
  <c r="W15" i="1"/>
  <c r="W14" i="1"/>
  <c r="W13" i="1"/>
  <c r="W11" i="1"/>
  <c r="W10" i="1"/>
  <c r="W7" i="1"/>
  <c r="W8" i="1"/>
  <c r="W6" i="1"/>
  <c r="X6" i="1"/>
  <c r="V22" i="1"/>
  <c r="V20" i="1"/>
  <c r="V19" i="1"/>
  <c r="V17" i="1"/>
  <c r="V16" i="1"/>
  <c r="V15" i="1"/>
  <c r="V14" i="1"/>
  <c r="V13" i="1"/>
  <c r="V11" i="1"/>
  <c r="V10" i="1"/>
  <c r="V7" i="1"/>
  <c r="V8" i="1"/>
  <c r="V6" i="1"/>
  <c r="U22" i="1"/>
  <c r="U20" i="1"/>
  <c r="U19" i="1"/>
  <c r="U17" i="1"/>
  <c r="U16" i="1"/>
  <c r="U15" i="1"/>
  <c r="U14" i="1"/>
  <c r="U13" i="1"/>
  <c r="U11" i="1"/>
  <c r="U10" i="1"/>
  <c r="U7" i="1"/>
  <c r="U8" i="1"/>
  <c r="U6" i="1"/>
  <c r="T22" i="1" l="1"/>
  <c r="T20" i="1"/>
  <c r="T19" i="1"/>
  <c r="T17" i="1"/>
  <c r="T16" i="1"/>
  <c r="T15" i="1"/>
  <c r="T14" i="1"/>
  <c r="T13" i="1"/>
  <c r="T11" i="1"/>
  <c r="T10" i="1"/>
  <c r="T7" i="1"/>
  <c r="T8" i="1"/>
  <c r="T6" i="1"/>
  <c r="S22" i="1"/>
  <c r="S20" i="1"/>
  <c r="S19" i="1"/>
  <c r="S17" i="1"/>
  <c r="S16" i="1"/>
  <c r="S15" i="1"/>
  <c r="S14" i="1"/>
  <c r="S13" i="1"/>
  <c r="S11" i="1"/>
  <c r="S10" i="1"/>
  <c r="S7" i="1"/>
  <c r="S8" i="1"/>
  <c r="S6" i="1"/>
  <c r="R6" i="1"/>
  <c r="R22" i="1"/>
  <c r="R20" i="1"/>
  <c r="R19" i="1"/>
  <c r="R17" i="1"/>
  <c r="R16" i="1"/>
  <c r="R15" i="1"/>
  <c r="R14" i="1"/>
  <c r="R13" i="1"/>
  <c r="R11" i="1"/>
  <c r="R10" i="1"/>
  <c r="R7" i="1"/>
  <c r="R8" i="1"/>
  <c r="AE6" i="1"/>
  <c r="E29" i="1"/>
  <c r="Q29" i="1"/>
  <c r="R29" i="1"/>
  <c r="AD29" i="1"/>
  <c r="E67" i="1"/>
  <c r="Q67" i="1"/>
  <c r="R67" i="1"/>
  <c r="AD67" i="1"/>
  <c r="Q62" i="1"/>
  <c r="Q57" i="1"/>
  <c r="F57" i="1"/>
  <c r="Q55" i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E51" i="1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E45" i="1"/>
  <c r="F45" i="1" s="1"/>
  <c r="Q44" i="1"/>
  <c r="E43" i="1"/>
  <c r="F43" i="1" s="1"/>
  <c r="G43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E37" i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E33" i="1"/>
  <c r="F33" i="1" s="1"/>
  <c r="P22" i="1"/>
  <c r="O22" i="1"/>
  <c r="N22" i="1"/>
  <c r="M22" i="1"/>
  <c r="L22" i="1"/>
  <c r="K22" i="1"/>
  <c r="J22" i="1"/>
  <c r="I22" i="1"/>
  <c r="H22" i="1"/>
  <c r="G22" i="1"/>
  <c r="F22" i="1"/>
  <c r="E22" i="1"/>
  <c r="P20" i="1"/>
  <c r="O20" i="1"/>
  <c r="N20" i="1"/>
  <c r="M20" i="1"/>
  <c r="L20" i="1"/>
  <c r="K20" i="1"/>
  <c r="J20" i="1"/>
  <c r="I20" i="1"/>
  <c r="H20" i="1"/>
  <c r="G20" i="1"/>
  <c r="F20" i="1"/>
  <c r="E20" i="1"/>
  <c r="P19" i="1"/>
  <c r="O19" i="1"/>
  <c r="N19" i="1"/>
  <c r="M19" i="1"/>
  <c r="L19" i="1"/>
  <c r="K19" i="1"/>
  <c r="J19" i="1"/>
  <c r="I19" i="1"/>
  <c r="H19" i="1"/>
  <c r="G19" i="1"/>
  <c r="F19" i="1"/>
  <c r="E19" i="1"/>
  <c r="P17" i="1"/>
  <c r="O17" i="1"/>
  <c r="N17" i="1"/>
  <c r="M17" i="1"/>
  <c r="L17" i="1"/>
  <c r="K17" i="1"/>
  <c r="J17" i="1"/>
  <c r="I17" i="1"/>
  <c r="H17" i="1"/>
  <c r="G17" i="1"/>
  <c r="F17" i="1"/>
  <c r="E17" i="1"/>
  <c r="P16" i="1"/>
  <c r="O16" i="1"/>
  <c r="N16" i="1"/>
  <c r="M16" i="1"/>
  <c r="L16" i="1"/>
  <c r="K16" i="1"/>
  <c r="J16" i="1"/>
  <c r="I16" i="1"/>
  <c r="H16" i="1"/>
  <c r="G16" i="1"/>
  <c r="F16" i="1"/>
  <c r="E16" i="1"/>
  <c r="P15" i="1"/>
  <c r="O15" i="1"/>
  <c r="N15" i="1"/>
  <c r="M15" i="1"/>
  <c r="L15" i="1"/>
  <c r="K15" i="1"/>
  <c r="J15" i="1"/>
  <c r="I15" i="1"/>
  <c r="H15" i="1"/>
  <c r="G15" i="1"/>
  <c r="F15" i="1"/>
  <c r="E15" i="1"/>
  <c r="Q14" i="1"/>
  <c r="P13" i="1"/>
  <c r="O13" i="1"/>
  <c r="N13" i="1"/>
  <c r="M13" i="1"/>
  <c r="L13" i="1"/>
  <c r="K13" i="1"/>
  <c r="J13" i="1"/>
  <c r="I13" i="1"/>
  <c r="H13" i="1"/>
  <c r="G13" i="1"/>
  <c r="F13" i="1"/>
  <c r="E13" i="1"/>
  <c r="P11" i="1"/>
  <c r="O11" i="1"/>
  <c r="N11" i="1"/>
  <c r="M11" i="1"/>
  <c r="L11" i="1"/>
  <c r="K11" i="1"/>
  <c r="J11" i="1"/>
  <c r="I11" i="1"/>
  <c r="H11" i="1"/>
  <c r="G11" i="1"/>
  <c r="F11" i="1"/>
  <c r="E11" i="1"/>
  <c r="P10" i="1"/>
  <c r="O10" i="1"/>
  <c r="N10" i="1"/>
  <c r="M10" i="1"/>
  <c r="L10" i="1"/>
  <c r="K10" i="1"/>
  <c r="J10" i="1"/>
  <c r="I10" i="1"/>
  <c r="H10" i="1"/>
  <c r="G10" i="1"/>
  <c r="F10" i="1"/>
  <c r="E10" i="1"/>
  <c r="P8" i="1"/>
  <c r="O8" i="1"/>
  <c r="N8" i="1"/>
  <c r="M8" i="1"/>
  <c r="L8" i="1"/>
  <c r="K8" i="1"/>
  <c r="J8" i="1"/>
  <c r="I8" i="1"/>
  <c r="H8" i="1"/>
  <c r="G8" i="1"/>
  <c r="F8" i="1"/>
  <c r="E8" i="1"/>
  <c r="P7" i="1"/>
  <c r="O7" i="1"/>
  <c r="N7" i="1"/>
  <c r="M7" i="1"/>
  <c r="L7" i="1"/>
  <c r="K7" i="1"/>
  <c r="J7" i="1"/>
  <c r="I7" i="1"/>
  <c r="H7" i="1"/>
  <c r="G7" i="1"/>
  <c r="F7" i="1"/>
  <c r="E7" i="1"/>
  <c r="P6" i="1"/>
  <c r="O6" i="1"/>
  <c r="N6" i="1"/>
  <c r="M6" i="1"/>
  <c r="L6" i="1"/>
  <c r="K6" i="1"/>
  <c r="J6" i="1"/>
  <c r="I6" i="1"/>
  <c r="H6" i="1"/>
  <c r="G6" i="1"/>
  <c r="F6" i="1"/>
  <c r="E6" i="1"/>
  <c r="F2" i="1"/>
  <c r="F29" i="1" s="1"/>
  <c r="E9" i="1" l="1"/>
  <c r="G5" i="1"/>
  <c r="K9" i="1"/>
  <c r="K92" i="1" s="1"/>
  <c r="M9" i="1"/>
  <c r="O9" i="1"/>
  <c r="P5" i="1"/>
  <c r="H5" i="1"/>
  <c r="M12" i="1"/>
  <c r="M18" i="1" s="1"/>
  <c r="Q10" i="1"/>
  <c r="K5" i="1"/>
  <c r="E36" i="1"/>
  <c r="G9" i="1"/>
  <c r="G92" i="1" s="1"/>
  <c r="M5" i="1"/>
  <c r="M92" i="1" s="1"/>
  <c r="O5" i="1"/>
  <c r="O92" i="1" s="1"/>
  <c r="E12" i="1"/>
  <c r="E18" i="1" s="1"/>
  <c r="E86" i="1" s="1"/>
  <c r="K12" i="1"/>
  <c r="G2" i="1"/>
  <c r="F67" i="1"/>
  <c r="O12" i="1"/>
  <c r="Q17" i="1"/>
  <c r="Q7" i="1"/>
  <c r="Q20" i="1"/>
  <c r="Q16" i="1"/>
  <c r="F9" i="1"/>
  <c r="E50" i="1"/>
  <c r="H9" i="1"/>
  <c r="Q13" i="1"/>
  <c r="I9" i="1"/>
  <c r="J5" i="1"/>
  <c r="Q8" i="1"/>
  <c r="Q22" i="1"/>
  <c r="L5" i="1"/>
  <c r="Q19" i="1"/>
  <c r="N9" i="1"/>
  <c r="Q11" i="1"/>
  <c r="P9" i="1"/>
  <c r="E5" i="1"/>
  <c r="E92" i="1" s="1"/>
  <c r="Q15" i="1"/>
  <c r="F32" i="1"/>
  <c r="G33" i="1"/>
  <c r="F42" i="1"/>
  <c r="F73" i="1" s="1"/>
  <c r="G45" i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F5" i="1"/>
  <c r="N5" i="1"/>
  <c r="Q6" i="1"/>
  <c r="J9" i="1"/>
  <c r="E32" i="1"/>
  <c r="L9" i="1"/>
  <c r="F37" i="1"/>
  <c r="E42" i="1"/>
  <c r="H43" i="1"/>
  <c r="I5" i="1"/>
  <c r="F51" i="1"/>
  <c r="M93" i="1" l="1"/>
  <c r="Q5" i="1"/>
  <c r="G12" i="1"/>
  <c r="E31" i="1"/>
  <c r="E71" i="1"/>
  <c r="E72" i="1"/>
  <c r="L12" i="1"/>
  <c r="L92" i="1"/>
  <c r="J12" i="1"/>
  <c r="J92" i="1"/>
  <c r="F74" i="1"/>
  <c r="F71" i="1"/>
  <c r="F72" i="1"/>
  <c r="O18" i="1"/>
  <c r="O93" i="1"/>
  <c r="P12" i="1"/>
  <c r="P92" i="1"/>
  <c r="M21" i="1"/>
  <c r="M23" i="1" s="1"/>
  <c r="M86" i="1"/>
  <c r="K18" i="1"/>
  <c r="K93" i="1"/>
  <c r="I12" i="1"/>
  <c r="I92" i="1"/>
  <c r="H12" i="1"/>
  <c r="H92" i="1"/>
  <c r="F12" i="1"/>
  <c r="F92" i="1"/>
  <c r="G18" i="1"/>
  <c r="G93" i="1"/>
  <c r="H2" i="1"/>
  <c r="G67" i="1"/>
  <c r="G29" i="1"/>
  <c r="N12" i="1"/>
  <c r="N92" i="1"/>
  <c r="E41" i="1"/>
  <c r="E70" i="1" s="1"/>
  <c r="E74" i="1"/>
  <c r="E73" i="1"/>
  <c r="E93" i="1"/>
  <c r="G32" i="1"/>
  <c r="H33" i="1"/>
  <c r="G51" i="1"/>
  <c r="F50" i="1"/>
  <c r="F41" i="1" s="1"/>
  <c r="F70" i="1" s="1"/>
  <c r="H42" i="1"/>
  <c r="I43" i="1"/>
  <c r="G42" i="1"/>
  <c r="G74" i="1" s="1"/>
  <c r="Q9" i="1"/>
  <c r="Q92" i="1" s="1"/>
  <c r="F36" i="1"/>
  <c r="F31" i="1" s="1"/>
  <c r="G37" i="1"/>
  <c r="E21" i="1"/>
  <c r="G73" i="1" l="1"/>
  <c r="Q12" i="1"/>
  <c r="Q93" i="1" s="1"/>
  <c r="H74" i="1"/>
  <c r="H73" i="1"/>
  <c r="O21" i="1"/>
  <c r="O23" i="1" s="1"/>
  <c r="O86" i="1"/>
  <c r="I2" i="1"/>
  <c r="H67" i="1"/>
  <c r="H29" i="1"/>
  <c r="F18" i="1"/>
  <c r="F93" i="1"/>
  <c r="H18" i="1"/>
  <c r="H93" i="1"/>
  <c r="M58" i="1"/>
  <c r="M90" i="1"/>
  <c r="M94" i="1"/>
  <c r="G21" i="1"/>
  <c r="G23" i="1" s="1"/>
  <c r="G86" i="1"/>
  <c r="K21" i="1"/>
  <c r="K23" i="1" s="1"/>
  <c r="K86" i="1"/>
  <c r="G71" i="1"/>
  <c r="G72" i="1"/>
  <c r="P18" i="1"/>
  <c r="P93" i="1"/>
  <c r="E59" i="1"/>
  <c r="E85" i="1" s="1"/>
  <c r="E84" i="1"/>
  <c r="E82" i="1"/>
  <c r="E83" i="1" s="1"/>
  <c r="N18" i="1"/>
  <c r="N93" i="1"/>
  <c r="J18" i="1"/>
  <c r="J93" i="1"/>
  <c r="L18" i="1"/>
  <c r="L93" i="1"/>
  <c r="F59" i="1"/>
  <c r="F85" i="1" s="1"/>
  <c r="F84" i="1"/>
  <c r="F82" i="1"/>
  <c r="F83" i="1" s="1"/>
  <c r="I18" i="1"/>
  <c r="I93" i="1"/>
  <c r="H51" i="1"/>
  <c r="G50" i="1"/>
  <c r="G41" i="1" s="1"/>
  <c r="G70" i="1" s="1"/>
  <c r="H32" i="1"/>
  <c r="I33" i="1"/>
  <c r="G36" i="1"/>
  <c r="G31" i="1" s="1"/>
  <c r="H37" i="1"/>
  <c r="E23" i="1"/>
  <c r="I42" i="1"/>
  <c r="J43" i="1"/>
  <c r="H71" i="1" l="1"/>
  <c r="H72" i="1"/>
  <c r="G59" i="1"/>
  <c r="G85" i="1" s="1"/>
  <c r="G82" i="1"/>
  <c r="G83" i="1" s="1"/>
  <c r="G84" i="1"/>
  <c r="G58" i="1"/>
  <c r="G90" i="1"/>
  <c r="G94" i="1"/>
  <c r="G91" i="1"/>
  <c r="O58" i="1"/>
  <c r="O90" i="1"/>
  <c r="O94" i="1"/>
  <c r="I74" i="1"/>
  <c r="I73" i="1"/>
  <c r="K58" i="1"/>
  <c r="K90" i="1"/>
  <c r="K94" i="1"/>
  <c r="I21" i="1"/>
  <c r="I23" i="1" s="1"/>
  <c r="I86" i="1"/>
  <c r="L21" i="1"/>
  <c r="L23" i="1" s="1"/>
  <c r="L86" i="1"/>
  <c r="H21" i="1"/>
  <c r="H23" i="1" s="1"/>
  <c r="H86" i="1"/>
  <c r="J21" i="1"/>
  <c r="J23" i="1" s="1"/>
  <c r="J86" i="1"/>
  <c r="F21" i="1"/>
  <c r="F86" i="1"/>
  <c r="Q18" i="1"/>
  <c r="Q86" i="1" s="1"/>
  <c r="N21" i="1"/>
  <c r="N23" i="1" s="1"/>
  <c r="N86" i="1"/>
  <c r="J2" i="1"/>
  <c r="I29" i="1"/>
  <c r="I67" i="1"/>
  <c r="E90" i="1"/>
  <c r="E94" i="1"/>
  <c r="E91" i="1"/>
  <c r="P21" i="1"/>
  <c r="P23" i="1" s="1"/>
  <c r="P86" i="1"/>
  <c r="K43" i="1"/>
  <c r="J42" i="1"/>
  <c r="H50" i="1"/>
  <c r="H41" i="1" s="1"/>
  <c r="I51" i="1"/>
  <c r="I37" i="1"/>
  <c r="H36" i="1"/>
  <c r="H31" i="1" s="1"/>
  <c r="I32" i="1"/>
  <c r="J33" i="1"/>
  <c r="E58" i="1"/>
  <c r="G56" i="1" l="1"/>
  <c r="G60" i="1" s="1"/>
  <c r="P58" i="1"/>
  <c r="Q58" i="1" s="1"/>
  <c r="P94" i="1"/>
  <c r="P90" i="1"/>
  <c r="F23" i="1"/>
  <c r="Q21" i="1"/>
  <c r="J73" i="1"/>
  <c r="J74" i="1"/>
  <c r="K2" i="1"/>
  <c r="J29" i="1"/>
  <c r="J67" i="1"/>
  <c r="N58" i="1"/>
  <c r="N90" i="1"/>
  <c r="N94" i="1"/>
  <c r="H59" i="1"/>
  <c r="H85" i="1" s="1"/>
  <c r="H84" i="1"/>
  <c r="L58" i="1"/>
  <c r="L90" i="1"/>
  <c r="L94" i="1"/>
  <c r="I71" i="1"/>
  <c r="I72" i="1"/>
  <c r="J58" i="1"/>
  <c r="J90" i="1"/>
  <c r="J94" i="1"/>
  <c r="H58" i="1"/>
  <c r="H90" i="1"/>
  <c r="H91" i="1"/>
  <c r="H94" i="1"/>
  <c r="I58" i="1"/>
  <c r="I90" i="1"/>
  <c r="I94" i="1"/>
  <c r="H70" i="1"/>
  <c r="J32" i="1"/>
  <c r="K33" i="1"/>
  <c r="J37" i="1"/>
  <c r="I36" i="1"/>
  <c r="I31" i="1" s="1"/>
  <c r="I91" i="1" s="1"/>
  <c r="I50" i="1"/>
  <c r="I41" i="1" s="1"/>
  <c r="I70" i="1" s="1"/>
  <c r="J51" i="1"/>
  <c r="E56" i="1"/>
  <c r="E60" i="1" s="1"/>
  <c r="L43" i="1"/>
  <c r="K42" i="1"/>
  <c r="H56" i="1" l="1"/>
  <c r="H60" i="1" s="1"/>
  <c r="K74" i="1"/>
  <c r="K73" i="1"/>
  <c r="J71" i="1"/>
  <c r="J72" i="1"/>
  <c r="H82" i="1"/>
  <c r="H83" i="1" s="1"/>
  <c r="L2" i="1"/>
  <c r="K29" i="1"/>
  <c r="K67" i="1"/>
  <c r="F90" i="1"/>
  <c r="F94" i="1"/>
  <c r="F91" i="1"/>
  <c r="Q23" i="1"/>
  <c r="F58" i="1"/>
  <c r="F56" i="1" s="1"/>
  <c r="F60" i="1" s="1"/>
  <c r="I59" i="1"/>
  <c r="I85" i="1" s="1"/>
  <c r="I84" i="1"/>
  <c r="J36" i="1"/>
  <c r="J31" i="1" s="1"/>
  <c r="K37" i="1"/>
  <c r="J50" i="1"/>
  <c r="J41" i="1" s="1"/>
  <c r="J70" i="1" s="1"/>
  <c r="K51" i="1"/>
  <c r="L42" i="1"/>
  <c r="M43" i="1"/>
  <c r="K32" i="1"/>
  <c r="L33" i="1"/>
  <c r="J91" i="1" l="1"/>
  <c r="I56" i="1"/>
  <c r="I60" i="1" s="1"/>
  <c r="I82" i="1"/>
  <c r="I83" i="1" s="1"/>
  <c r="Q94" i="1"/>
  <c r="Q90" i="1"/>
  <c r="M2" i="1"/>
  <c r="L29" i="1"/>
  <c r="L67" i="1"/>
  <c r="L74" i="1"/>
  <c r="L73" i="1"/>
  <c r="K72" i="1"/>
  <c r="K71" i="1"/>
  <c r="J59" i="1"/>
  <c r="J85" i="1" s="1"/>
  <c r="J84" i="1"/>
  <c r="M42" i="1"/>
  <c r="N43" i="1"/>
  <c r="M33" i="1"/>
  <c r="L32" i="1"/>
  <c r="K50" i="1"/>
  <c r="K41" i="1" s="1"/>
  <c r="K70" i="1" s="1"/>
  <c r="L51" i="1"/>
  <c r="K36" i="1"/>
  <c r="K31" i="1" s="1"/>
  <c r="L37" i="1"/>
  <c r="CN135" i="5"/>
  <c r="EN93" i="5"/>
  <c r="EN89" i="5"/>
  <c r="EN87" i="5"/>
  <c r="EN85" i="5"/>
  <c r="EA93" i="5"/>
  <c r="EA89" i="5"/>
  <c r="EA87" i="5"/>
  <c r="EA85" i="5"/>
  <c r="DN93" i="5"/>
  <c r="DN89" i="5"/>
  <c r="DN87" i="5"/>
  <c r="DN85" i="5"/>
  <c r="DA93" i="5"/>
  <c r="DA89" i="5"/>
  <c r="DA87" i="5"/>
  <c r="DA85" i="5"/>
  <c r="CN93" i="5"/>
  <c r="CN89" i="5"/>
  <c r="CN87" i="5"/>
  <c r="CN85" i="5"/>
  <c r="K91" i="1" l="1"/>
  <c r="J82" i="1"/>
  <c r="J83" i="1" s="1"/>
  <c r="N2" i="1"/>
  <c r="M29" i="1"/>
  <c r="M67" i="1"/>
  <c r="K59" i="1"/>
  <c r="K85" i="1" s="1"/>
  <c r="K84" i="1"/>
  <c r="L72" i="1"/>
  <c r="L71" i="1"/>
  <c r="M73" i="1"/>
  <c r="M74" i="1"/>
  <c r="J56" i="1"/>
  <c r="J60" i="1" s="1"/>
  <c r="L50" i="1"/>
  <c r="L41" i="1" s="1"/>
  <c r="M51" i="1"/>
  <c r="N33" i="1"/>
  <c r="M32" i="1"/>
  <c r="L36" i="1"/>
  <c r="L31" i="1" s="1"/>
  <c r="M37" i="1"/>
  <c r="N42" i="1"/>
  <c r="O43" i="1"/>
  <c r="K82" i="1" l="1"/>
  <c r="K83" i="1" s="1"/>
  <c r="N73" i="1"/>
  <c r="N74" i="1"/>
  <c r="L59" i="1"/>
  <c r="L85" i="1" s="1"/>
  <c r="L82" i="1"/>
  <c r="L83" i="1" s="1"/>
  <c r="L84" i="1"/>
  <c r="O2" i="1"/>
  <c r="N29" i="1"/>
  <c r="N67" i="1"/>
  <c r="L91" i="1"/>
  <c r="L70" i="1"/>
  <c r="M72" i="1"/>
  <c r="M71" i="1"/>
  <c r="K56" i="1"/>
  <c r="K60" i="1" s="1"/>
  <c r="M36" i="1"/>
  <c r="M31" i="1" s="1"/>
  <c r="M91" i="1" s="1"/>
  <c r="N37" i="1"/>
  <c r="N32" i="1"/>
  <c r="O33" i="1"/>
  <c r="O42" i="1"/>
  <c r="P43" i="1"/>
  <c r="M50" i="1"/>
  <c r="M41" i="1" s="1"/>
  <c r="M70" i="1" s="1"/>
  <c r="N51" i="1"/>
  <c r="L56" i="1" l="1"/>
  <c r="L60" i="1" s="1"/>
  <c r="N72" i="1"/>
  <c r="N71" i="1"/>
  <c r="O73" i="1"/>
  <c r="O74" i="1"/>
  <c r="P2" i="1"/>
  <c r="O29" i="1"/>
  <c r="O67" i="1"/>
  <c r="M59" i="1"/>
  <c r="M85" i="1" s="1"/>
  <c r="M84" i="1"/>
  <c r="O51" i="1"/>
  <c r="N50" i="1"/>
  <c r="N41" i="1" s="1"/>
  <c r="O32" i="1"/>
  <c r="P33" i="1"/>
  <c r="P42" i="1"/>
  <c r="Q43" i="1"/>
  <c r="N36" i="1"/>
  <c r="N31" i="1" s="1"/>
  <c r="O37" i="1"/>
  <c r="M56" i="1" l="1"/>
  <c r="M60" i="1" s="1"/>
  <c r="M82" i="1"/>
  <c r="M83" i="1" s="1"/>
  <c r="N91" i="1"/>
  <c r="P73" i="1"/>
  <c r="P74" i="1"/>
  <c r="O72" i="1"/>
  <c r="O71" i="1"/>
  <c r="N59" i="1"/>
  <c r="N85" i="1" s="1"/>
  <c r="N84" i="1"/>
  <c r="P29" i="1"/>
  <c r="P67" i="1"/>
  <c r="N70" i="1"/>
  <c r="P32" i="1"/>
  <c r="Q33" i="1"/>
  <c r="Q42" i="1"/>
  <c r="O36" i="1"/>
  <c r="O31" i="1" s="1"/>
  <c r="P37" i="1"/>
  <c r="P51" i="1"/>
  <c r="O50" i="1"/>
  <c r="O41" i="1" s="1"/>
  <c r="O59" i="1" l="1"/>
  <c r="O85" i="1" s="1"/>
  <c r="O84" i="1"/>
  <c r="O56" i="1"/>
  <c r="O91" i="1"/>
  <c r="O70" i="1"/>
  <c r="P72" i="1"/>
  <c r="P71" i="1"/>
  <c r="N82" i="1"/>
  <c r="N83" i="1" s="1"/>
  <c r="Q73" i="1"/>
  <c r="Q74" i="1"/>
  <c r="N56" i="1"/>
  <c r="N60" i="1" s="1"/>
  <c r="Q37" i="1"/>
  <c r="P36" i="1"/>
  <c r="Q36" i="1" s="1"/>
  <c r="O60" i="1"/>
  <c r="P50" i="1"/>
  <c r="Q51" i="1"/>
  <c r="Q32" i="1"/>
  <c r="P31" i="1" l="1"/>
  <c r="P91" i="1" s="1"/>
  <c r="O82" i="1"/>
  <c r="O83" i="1" s="1"/>
  <c r="Q72" i="1"/>
  <c r="Q71" i="1"/>
  <c r="Q31" i="1"/>
  <c r="Q91" i="1" s="1"/>
  <c r="Q50" i="1"/>
  <c r="P41" i="1"/>
  <c r="P84" i="1" l="1"/>
  <c r="P70" i="1"/>
  <c r="Q41" i="1"/>
  <c r="P59" i="1"/>
  <c r="P85" i="1" s="1"/>
  <c r="Q84" i="1" l="1"/>
  <c r="Q70" i="1"/>
  <c r="P82" i="1"/>
  <c r="P83" i="1" s="1"/>
  <c r="Q59" i="1"/>
  <c r="Q85" i="1" s="1"/>
  <c r="P56" i="1"/>
  <c r="Q56" i="1" s="1"/>
  <c r="Q82" i="1" l="1"/>
  <c r="Q83" i="1" s="1"/>
  <c r="P60" i="1"/>
  <c r="L17" i="2" l="1"/>
  <c r="L52" i="2"/>
  <c r="L69" i="2"/>
  <c r="L116" i="2"/>
  <c r="N126" i="5" l="1"/>
  <c r="B126" i="5"/>
  <c r="AD62" i="1" l="1"/>
  <c r="AT62" i="1"/>
  <c r="AS62" i="1"/>
  <c r="AR62" i="1"/>
  <c r="AP62" i="1"/>
  <c r="AQ62" i="1" s="1"/>
  <c r="AR63" i="1" s="1"/>
  <c r="BO75" i="5" s="1"/>
  <c r="AO62" i="1"/>
  <c r="AN62" i="1"/>
  <c r="AM62" i="1"/>
  <c r="AL62" i="1"/>
  <c r="AK62" i="1"/>
  <c r="AJ62" i="1"/>
  <c r="AI62" i="1"/>
  <c r="AH62" i="1"/>
  <c r="AG62" i="1"/>
  <c r="AF62" i="1"/>
  <c r="AE62" i="1"/>
  <c r="F116" i="2"/>
  <c r="F154" i="2" s="1"/>
  <c r="BA89" i="5"/>
  <c r="BA87" i="5"/>
  <c r="BA85" i="5"/>
  <c r="AM61" i="5"/>
  <c r="AM62" i="5"/>
  <c r="AH63" i="1" l="1"/>
  <c r="BE75" i="5" s="1"/>
  <c r="BE127" i="5" s="1"/>
  <c r="AJ63" i="1"/>
  <c r="BG75" i="5" s="1"/>
  <c r="BG127" i="5" s="1"/>
  <c r="AS63" i="1"/>
  <c r="BP75" i="5" s="1"/>
  <c r="BP127" i="5" s="1"/>
  <c r="AF63" i="1"/>
  <c r="BC75" i="5" s="1"/>
  <c r="BC127" i="5" s="1"/>
  <c r="AI63" i="1"/>
  <c r="BF75" i="5" s="1"/>
  <c r="BF127" i="5" s="1"/>
  <c r="BO127" i="5"/>
  <c r="AT63" i="1"/>
  <c r="BQ75" i="5" s="1"/>
  <c r="BQ127" i="5" s="1"/>
  <c r="AU63" i="1"/>
  <c r="BR75" i="5" s="1"/>
  <c r="BR127" i="5" s="1"/>
  <c r="AG63" i="1"/>
  <c r="BD75" i="5" s="1"/>
  <c r="BD127" i="5" s="1"/>
  <c r="AE63" i="1"/>
  <c r="BB75" i="5" s="1"/>
  <c r="BB127" i="5" s="1"/>
  <c r="AK63" i="1"/>
  <c r="BH75" i="5" s="1"/>
  <c r="BH127" i="5" s="1"/>
  <c r="AL63" i="1"/>
  <c r="BI75" i="5" s="1"/>
  <c r="BI127" i="5" s="1"/>
  <c r="AO63" i="1"/>
  <c r="BL75" i="5" s="1"/>
  <c r="BL127" i="5" s="1"/>
  <c r="AM63" i="1"/>
  <c r="BJ75" i="5" s="1"/>
  <c r="BJ127" i="5" s="1"/>
  <c r="AN63" i="1"/>
  <c r="BK75" i="5" s="1"/>
  <c r="BK127" i="5" s="1"/>
  <c r="AP63" i="1"/>
  <c r="BM75" i="5" s="1"/>
  <c r="F121" i="2" l="1"/>
  <c r="BN75" i="5"/>
  <c r="BM127" i="5"/>
  <c r="BN127" i="5" s="1"/>
  <c r="S2" i="1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5" i="14"/>
  <c r="B4" i="14"/>
  <c r="B3" i="14"/>
  <c r="B2" i="14"/>
  <c r="I10" i="13"/>
  <c r="I8" i="13"/>
  <c r="S29" i="1" l="1"/>
  <c r="S67" i="1"/>
  <c r="I11" i="13"/>
  <c r="T2" i="1"/>
  <c r="F17" i="2"/>
  <c r="F69" i="2"/>
  <c r="F52" i="2"/>
  <c r="AO9" i="5"/>
  <c r="AZ8" i="5"/>
  <c r="BQ107" i="5"/>
  <c r="BP107" i="5"/>
  <c r="BO107" i="5"/>
  <c r="BA51" i="5"/>
  <c r="BN51" i="5"/>
  <c r="BN31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 s="1"/>
  <c r="BB107" i="5"/>
  <c r="BC107" i="5"/>
  <c r="BD107" i="5"/>
  <c r="BE107" i="5"/>
  <c r="BF107" i="5"/>
  <c r="BG107" i="5"/>
  <c r="BH107" i="5"/>
  <c r="BI107" i="5"/>
  <c r="BJ107" i="5"/>
  <c r="BK107" i="5"/>
  <c r="BL107" i="5"/>
  <c r="S57" i="1"/>
  <c r="R54" i="1"/>
  <c r="AO52" i="5" s="1"/>
  <c r="R53" i="1"/>
  <c r="R52" i="1"/>
  <c r="AO55" i="5" s="1"/>
  <c r="R51" i="1"/>
  <c r="R49" i="1"/>
  <c r="AO46" i="5" s="1"/>
  <c r="AO110" i="5" s="1"/>
  <c r="R48" i="1"/>
  <c r="AO47" i="5" s="1"/>
  <c r="R47" i="1"/>
  <c r="AO49" i="5" s="1"/>
  <c r="AO113" i="5" s="1"/>
  <c r="R46" i="1"/>
  <c r="AO48" i="5" s="1"/>
  <c r="AO112" i="5" s="1"/>
  <c r="R45" i="1"/>
  <c r="AO44" i="5" s="1"/>
  <c r="R43" i="1"/>
  <c r="AO45" i="5" s="1"/>
  <c r="AO109" i="5" s="1"/>
  <c r="R35" i="1"/>
  <c r="S35" i="1" s="1"/>
  <c r="R40" i="1"/>
  <c r="AO36" i="5" s="1"/>
  <c r="R39" i="1"/>
  <c r="AO38" i="5" s="1"/>
  <c r="R38" i="1"/>
  <c r="AO37" i="5" s="1"/>
  <c r="R37" i="1"/>
  <c r="R34" i="1"/>
  <c r="AO30" i="5" s="1"/>
  <c r="AO106" i="5" s="1"/>
  <c r="R33" i="1"/>
  <c r="AD57" i="1"/>
  <c r="AD55" i="1"/>
  <c r="AD44" i="1"/>
  <c r="AD14" i="1"/>
  <c r="S5" i="1"/>
  <c r="Y5" i="1"/>
  <c r="AA5" i="1"/>
  <c r="AP6" i="5"/>
  <c r="AQ6" i="5"/>
  <c r="AS6" i="5"/>
  <c r="AT6" i="5"/>
  <c r="AU6" i="5"/>
  <c r="AV6" i="5"/>
  <c r="AW6" i="5"/>
  <c r="AX6" i="5"/>
  <c r="AY6" i="5"/>
  <c r="AZ6" i="5"/>
  <c r="AP8" i="5"/>
  <c r="AQ8" i="5"/>
  <c r="AR8" i="5"/>
  <c r="AS8" i="5"/>
  <c r="AT8" i="5"/>
  <c r="AU8" i="5"/>
  <c r="AV8" i="5"/>
  <c r="AW8" i="5"/>
  <c r="AX8" i="5"/>
  <c r="AY8" i="5"/>
  <c r="AP9" i="5"/>
  <c r="AQ9" i="5"/>
  <c r="AR9" i="5"/>
  <c r="AS9" i="5"/>
  <c r="AT9" i="5"/>
  <c r="AU9" i="5"/>
  <c r="AV9" i="5"/>
  <c r="AW9" i="5"/>
  <c r="AX9" i="5"/>
  <c r="AY9" i="5"/>
  <c r="AZ9" i="5"/>
  <c r="AQ12" i="5"/>
  <c r="AY12" i="5"/>
  <c r="AP14" i="5"/>
  <c r="AQ14" i="5"/>
  <c r="AR14" i="5"/>
  <c r="AS14" i="5"/>
  <c r="AT14" i="5"/>
  <c r="AU14" i="5"/>
  <c r="AV14" i="5"/>
  <c r="AW14" i="5"/>
  <c r="AX14" i="5"/>
  <c r="AY14" i="5"/>
  <c r="AZ14" i="5"/>
  <c r="AO14" i="5"/>
  <c r="AO6" i="5"/>
  <c r="AO29" i="5" l="1"/>
  <c r="U2" i="1"/>
  <c r="T29" i="1"/>
  <c r="T67" i="1"/>
  <c r="AO53" i="5"/>
  <c r="AV5" i="5"/>
  <c r="AV7" i="5" s="1"/>
  <c r="AX5" i="5"/>
  <c r="AX7" i="5" s="1"/>
  <c r="AT12" i="5"/>
  <c r="AT86" i="5" s="1"/>
  <c r="AZ12" i="5"/>
  <c r="AZ86" i="5" s="1"/>
  <c r="AR12" i="5"/>
  <c r="AR86" i="5" s="1"/>
  <c r="X5" i="1"/>
  <c r="AU10" i="5"/>
  <c r="BU75" i="5"/>
  <c r="AO77" i="5"/>
  <c r="AQ86" i="5"/>
  <c r="AY86" i="5"/>
  <c r="AU77" i="5"/>
  <c r="AT77" i="5"/>
  <c r="AR77" i="5"/>
  <c r="AX12" i="5"/>
  <c r="V5" i="1"/>
  <c r="AY77" i="5"/>
  <c r="AQ77" i="5"/>
  <c r="AW12" i="5"/>
  <c r="AS10" i="5"/>
  <c r="AC5" i="1"/>
  <c r="U5" i="1"/>
  <c r="AO10" i="5"/>
  <c r="AX77" i="5"/>
  <c r="AP77" i="5"/>
  <c r="AV12" i="5"/>
  <c r="AW10" i="5"/>
  <c r="AZ10" i="5"/>
  <c r="AR10" i="5"/>
  <c r="AB5" i="1"/>
  <c r="T5" i="1"/>
  <c r="BA9" i="5"/>
  <c r="AV77" i="5"/>
  <c r="AV10" i="5"/>
  <c r="AS77" i="5"/>
  <c r="AW77" i="5"/>
  <c r="AZ77" i="5"/>
  <c r="AP12" i="5"/>
  <c r="AU12" i="5"/>
  <c r="AD15" i="1"/>
  <c r="AO54" i="5"/>
  <c r="R50" i="1"/>
  <c r="AP5" i="5"/>
  <c r="AP7" i="5" s="1"/>
  <c r="AY10" i="5"/>
  <c r="AP10" i="5"/>
  <c r="Z9" i="1"/>
  <c r="Z5" i="1"/>
  <c r="AO35" i="5"/>
  <c r="S37" i="1"/>
  <c r="BA14" i="5"/>
  <c r="AD19" i="1"/>
  <c r="AO12" i="5"/>
  <c r="AS12" i="5"/>
  <c r="AT10" i="5"/>
  <c r="AX10" i="5"/>
  <c r="AD7" i="1"/>
  <c r="W5" i="1"/>
  <c r="AD6" i="1"/>
  <c r="AD17" i="1"/>
  <c r="AD16" i="1"/>
  <c r="AD13" i="1"/>
  <c r="AC9" i="1"/>
  <c r="U9" i="1"/>
  <c r="U12" i="1" s="1"/>
  <c r="X9" i="1"/>
  <c r="X12" i="1" s="1"/>
  <c r="AA9" i="1"/>
  <c r="S9" i="1"/>
  <c r="R5" i="1"/>
  <c r="AD20" i="1"/>
  <c r="AD10" i="1"/>
  <c r="R9" i="1"/>
  <c r="AD8" i="1"/>
  <c r="S34" i="1"/>
  <c r="AP30" i="5" s="1"/>
  <c r="AP106" i="5" s="1"/>
  <c r="AD22" i="1"/>
  <c r="AD11" i="1"/>
  <c r="S40" i="1"/>
  <c r="T40" i="1" s="1"/>
  <c r="AQ10" i="5"/>
  <c r="AO8" i="5"/>
  <c r="AR6" i="5"/>
  <c r="V9" i="1"/>
  <c r="AO50" i="5"/>
  <c r="S33" i="1"/>
  <c r="S48" i="1"/>
  <c r="S47" i="1"/>
  <c r="S38" i="1"/>
  <c r="S49" i="1"/>
  <c r="Y9" i="1"/>
  <c r="AB9" i="1"/>
  <c r="T9" i="1"/>
  <c r="R32" i="1"/>
  <c r="S39" i="1"/>
  <c r="S51" i="1"/>
  <c r="S52" i="1"/>
  <c r="AO32" i="5"/>
  <c r="AO108" i="5" s="1"/>
  <c r="W9" i="1"/>
  <c r="S43" i="1"/>
  <c r="S53" i="1"/>
  <c r="S45" i="1"/>
  <c r="S54" i="1"/>
  <c r="AP32" i="5"/>
  <c r="AP108" i="5" s="1"/>
  <c r="T35" i="1"/>
  <c r="S46" i="1"/>
  <c r="AO111" i="5"/>
  <c r="R42" i="1"/>
  <c r="R36" i="1"/>
  <c r="AQ67" i="1"/>
  <c r="AQ29" i="1"/>
  <c r="AP57" i="1"/>
  <c r="AQ57" i="1" s="1"/>
  <c r="AP56" i="1"/>
  <c r="AP54" i="1"/>
  <c r="AP53" i="1"/>
  <c r="AP52" i="1"/>
  <c r="AP51" i="1"/>
  <c r="AP50" i="1"/>
  <c r="AQ50" i="1" s="1"/>
  <c r="AP49" i="1"/>
  <c r="AP48" i="1"/>
  <c r="AP47" i="1"/>
  <c r="AP46" i="1"/>
  <c r="AP45" i="1"/>
  <c r="AP44" i="1"/>
  <c r="AQ44" i="1" s="1"/>
  <c r="AP43" i="1"/>
  <c r="AP42" i="1"/>
  <c r="AQ42" i="1" s="1"/>
  <c r="AP40" i="1"/>
  <c r="AP39" i="1"/>
  <c r="AP38" i="1"/>
  <c r="AP37" i="1"/>
  <c r="AP35" i="1"/>
  <c r="AP34" i="1"/>
  <c r="AP33" i="1"/>
  <c r="AP31" i="1"/>
  <c r="AQ31" i="1" s="1"/>
  <c r="AP22" i="1"/>
  <c r="BM14" i="5" s="1"/>
  <c r="AP20" i="1"/>
  <c r="AP19" i="1"/>
  <c r="AP17" i="1"/>
  <c r="AP16" i="1"/>
  <c r="AP15" i="1"/>
  <c r="AP14" i="1"/>
  <c r="AP13" i="1"/>
  <c r="AP11" i="1"/>
  <c r="BM9" i="5" s="1"/>
  <c r="AP10" i="1"/>
  <c r="BM8" i="5" s="1"/>
  <c r="AP8" i="1"/>
  <c r="BM6" i="5" s="1"/>
  <c r="BM17" i="5" s="1"/>
  <c r="AP7" i="1"/>
  <c r="AP6" i="1"/>
  <c r="AP5" i="1"/>
  <c r="AO5" i="1"/>
  <c r="BL5" i="5" s="1"/>
  <c r="AO22" i="1"/>
  <c r="BL14" i="5" s="1"/>
  <c r="AO20" i="1"/>
  <c r="AO19" i="1"/>
  <c r="AO17" i="1"/>
  <c r="AO16" i="1"/>
  <c r="AO15" i="1"/>
  <c r="AO14" i="1"/>
  <c r="AO13" i="1"/>
  <c r="AO11" i="1"/>
  <c r="BL9" i="5" s="1"/>
  <c r="AO10" i="1"/>
  <c r="BL8" i="5" s="1"/>
  <c r="AO8" i="1"/>
  <c r="BL6" i="5" s="1"/>
  <c r="BL17" i="5" s="1"/>
  <c r="AO7" i="1"/>
  <c r="AO6" i="1"/>
  <c r="AN5" i="1"/>
  <c r="AN22" i="1"/>
  <c r="BK14" i="5" s="1"/>
  <c r="AN20" i="1"/>
  <c r="AN19" i="1"/>
  <c r="AN17" i="1"/>
  <c r="AN16" i="1"/>
  <c r="AN15" i="1"/>
  <c r="AN14" i="1"/>
  <c r="AN13" i="1"/>
  <c r="AN11" i="1"/>
  <c r="BK9" i="5" s="1"/>
  <c r="AN10" i="1"/>
  <c r="BK8" i="5" s="1"/>
  <c r="AN8" i="1"/>
  <c r="BK6" i="5" s="1"/>
  <c r="BK17" i="5" s="1"/>
  <c r="AN7" i="1"/>
  <c r="AN6" i="1"/>
  <c r="AM5" i="1"/>
  <c r="BJ5" i="5" s="1"/>
  <c r="AM22" i="1"/>
  <c r="BJ14" i="5" s="1"/>
  <c r="AM20" i="1"/>
  <c r="AM19" i="1"/>
  <c r="AM17" i="1"/>
  <c r="AM16" i="1"/>
  <c r="AM15" i="1"/>
  <c r="AM14" i="1"/>
  <c r="AM13" i="1"/>
  <c r="AM11" i="1"/>
  <c r="BJ9" i="5" s="1"/>
  <c r="AM10" i="1"/>
  <c r="BJ8" i="5" s="1"/>
  <c r="AM8" i="1"/>
  <c r="BJ6" i="5" s="1"/>
  <c r="BJ17" i="5" s="1"/>
  <c r="AM7" i="1"/>
  <c r="AM6" i="1"/>
  <c r="AL5" i="1"/>
  <c r="BI5" i="5" s="1"/>
  <c r="AL22" i="1"/>
  <c r="BI14" i="5" s="1"/>
  <c r="AL20" i="1"/>
  <c r="AL19" i="1"/>
  <c r="AL17" i="1"/>
  <c r="AL16" i="1"/>
  <c r="AL15" i="1"/>
  <c r="AL14" i="1"/>
  <c r="AL13" i="1"/>
  <c r="AL11" i="1"/>
  <c r="BI9" i="5" s="1"/>
  <c r="AL10" i="1"/>
  <c r="BI8" i="5" s="1"/>
  <c r="AL6" i="1"/>
  <c r="AL7" i="1"/>
  <c r="AL8" i="1"/>
  <c r="BI6" i="5" s="1"/>
  <c r="BI17" i="5" s="1"/>
  <c r="AK5" i="1"/>
  <c r="BH5" i="5" s="1"/>
  <c r="AK22" i="1"/>
  <c r="BH14" i="5" s="1"/>
  <c r="AK20" i="1"/>
  <c r="AK19" i="1"/>
  <c r="AK17" i="1"/>
  <c r="AK16" i="1"/>
  <c r="AK15" i="1"/>
  <c r="AK14" i="1"/>
  <c r="AK13" i="1"/>
  <c r="AK11" i="1"/>
  <c r="BH9" i="5" s="1"/>
  <c r="AK10" i="1"/>
  <c r="BH8" i="5" s="1"/>
  <c r="AK6" i="1"/>
  <c r="AK7" i="1"/>
  <c r="AK8" i="1"/>
  <c r="BH6" i="5" s="1"/>
  <c r="BH17" i="5" s="1"/>
  <c r="AT42" i="1"/>
  <c r="AT43" i="1"/>
  <c r="AT44" i="1"/>
  <c r="AT45" i="1"/>
  <c r="BQ44" i="5" s="1"/>
  <c r="AT46" i="1"/>
  <c r="BQ48" i="5" s="1"/>
  <c r="AT47" i="1"/>
  <c r="BQ49" i="5" s="1"/>
  <c r="AT48" i="1"/>
  <c r="BQ47" i="5" s="1"/>
  <c r="AT49" i="1"/>
  <c r="BQ46" i="5" s="1"/>
  <c r="AT50" i="1"/>
  <c r="AT51" i="1"/>
  <c r="BQ53" i="5" s="1"/>
  <c r="AT52" i="1"/>
  <c r="BQ55" i="5" s="1"/>
  <c r="AT53" i="1"/>
  <c r="BQ54" i="5" s="1"/>
  <c r="AT54" i="1"/>
  <c r="BQ52" i="5" s="1"/>
  <c r="AT56" i="1"/>
  <c r="BQ60" i="5" s="1"/>
  <c r="AT57" i="1"/>
  <c r="BQ29" i="5"/>
  <c r="AT34" i="1"/>
  <c r="BQ30" i="5" s="1"/>
  <c r="AT35" i="1"/>
  <c r="BQ32" i="5" s="1"/>
  <c r="AT37" i="1"/>
  <c r="BQ35" i="5" s="1"/>
  <c r="BR126" i="5" s="1"/>
  <c r="AT38" i="1"/>
  <c r="BQ37" i="5" s="1"/>
  <c r="AT39" i="1"/>
  <c r="BQ38" i="5" s="1"/>
  <c r="AT40" i="1"/>
  <c r="BQ36" i="5" s="1"/>
  <c r="BQ6" i="5"/>
  <c r="BQ17" i="5" s="1"/>
  <c r="BQ8" i="5"/>
  <c r="BQ9" i="5"/>
  <c r="BQ14" i="5"/>
  <c r="BQ5" i="5"/>
  <c r="AS5" i="1"/>
  <c r="BP5" i="5" s="1"/>
  <c r="AS22" i="1"/>
  <c r="BP14" i="5" s="1"/>
  <c r="AS20" i="1"/>
  <c r="AS19" i="1"/>
  <c r="AS14" i="1"/>
  <c r="AS15" i="1"/>
  <c r="AS16" i="1"/>
  <c r="AS17" i="1"/>
  <c r="AS13" i="1"/>
  <c r="AS11" i="1"/>
  <c r="BP9" i="5" s="1"/>
  <c r="AS10" i="1"/>
  <c r="BP8" i="5" s="1"/>
  <c r="AS6" i="1"/>
  <c r="AS7" i="1"/>
  <c r="AS8" i="1"/>
  <c r="BP6" i="5" s="1"/>
  <c r="BP17" i="5" s="1"/>
  <c r="AR5" i="1"/>
  <c r="AR6" i="1"/>
  <c r="AR7" i="1"/>
  <c r="AR8" i="1"/>
  <c r="BO6" i="5" s="1"/>
  <c r="AR10" i="1"/>
  <c r="BO8" i="5" s="1"/>
  <c r="AR11" i="1"/>
  <c r="BO9" i="5" s="1"/>
  <c r="AR13" i="1"/>
  <c r="AR14" i="1"/>
  <c r="AR15" i="1"/>
  <c r="AR16" i="1"/>
  <c r="AR17" i="1"/>
  <c r="AR19" i="1"/>
  <c r="AR20" i="1"/>
  <c r="AR22" i="1"/>
  <c r="BO14" i="5" s="1"/>
  <c r="F65" i="2" s="1"/>
  <c r="F57" i="2" l="1"/>
  <c r="BO17" i="5"/>
  <c r="BI12" i="5"/>
  <c r="F60" i="2"/>
  <c r="F59" i="2"/>
  <c r="F6" i="2"/>
  <c r="R41" i="1"/>
  <c r="R70" i="1" s="1"/>
  <c r="AP36" i="5"/>
  <c r="R71" i="1"/>
  <c r="R72" i="1"/>
  <c r="BO5" i="5"/>
  <c r="F56" i="2" s="1"/>
  <c r="AV79" i="1"/>
  <c r="AV77" i="1"/>
  <c r="AV78" i="1"/>
  <c r="V2" i="1"/>
  <c r="U29" i="1"/>
  <c r="U67" i="1"/>
  <c r="R74" i="1"/>
  <c r="R73" i="1"/>
  <c r="R12" i="1"/>
  <c r="R18" i="1" s="1"/>
  <c r="R86" i="1" s="1"/>
  <c r="AU5" i="5"/>
  <c r="AU7" i="5" s="1"/>
  <c r="AU11" i="5" s="1"/>
  <c r="AU13" i="5" s="1"/>
  <c r="AU15" i="5" s="1"/>
  <c r="AW5" i="5"/>
  <c r="AW7" i="5" s="1"/>
  <c r="AW11" i="5" s="1"/>
  <c r="X93" i="1"/>
  <c r="AS5" i="5"/>
  <c r="AS7" i="5" s="1"/>
  <c r="AS11" i="5" s="1"/>
  <c r="AS74" i="5" s="1"/>
  <c r="AQ5" i="5"/>
  <c r="AQ7" i="5" s="1"/>
  <c r="AQ11" i="5" s="1"/>
  <c r="AQ74" i="5" s="1"/>
  <c r="S92" i="1"/>
  <c r="AY5" i="5"/>
  <c r="AY7" i="5" s="1"/>
  <c r="AY11" i="5" s="1"/>
  <c r="AY13" i="5" s="1"/>
  <c r="AY15" i="5" s="1"/>
  <c r="AR5" i="5"/>
  <c r="AR7" i="5" s="1"/>
  <c r="AR11" i="5" s="1"/>
  <c r="AR74" i="5" s="1"/>
  <c r="AA92" i="1"/>
  <c r="AZ5" i="5"/>
  <c r="AZ7" i="5" s="1"/>
  <c r="AZ11" i="5" s="1"/>
  <c r="AZ74" i="5" s="1"/>
  <c r="T92" i="1"/>
  <c r="AC92" i="1"/>
  <c r="AB12" i="1"/>
  <c r="AB92" i="1"/>
  <c r="Z92" i="1"/>
  <c r="Y12" i="1"/>
  <c r="Y92" i="1"/>
  <c r="X92" i="1"/>
  <c r="W12" i="1"/>
  <c r="W92" i="1"/>
  <c r="V12" i="1"/>
  <c r="V92" i="1"/>
  <c r="U93" i="1"/>
  <c r="U92" i="1"/>
  <c r="R93" i="1"/>
  <c r="R92" i="1"/>
  <c r="AO39" i="5"/>
  <c r="AP126" i="5"/>
  <c r="AO128" i="5"/>
  <c r="AC12" i="1"/>
  <c r="AV11" i="5"/>
  <c r="AV13" i="5" s="1"/>
  <c r="AV15" i="5" s="1"/>
  <c r="BA6" i="5"/>
  <c r="BP12" i="5"/>
  <c r="BQ128" i="5"/>
  <c r="BV75" i="5"/>
  <c r="BU127" i="5"/>
  <c r="AO56" i="5"/>
  <c r="AO57" i="5" s="1"/>
  <c r="BL77" i="5"/>
  <c r="BQ77" i="5"/>
  <c r="BA10" i="5"/>
  <c r="BK77" i="5"/>
  <c r="AX86" i="5"/>
  <c r="BI86" i="5"/>
  <c r="BJ77" i="5"/>
  <c r="AS86" i="5"/>
  <c r="BH77" i="5"/>
  <c r="AO86" i="5"/>
  <c r="S50" i="1"/>
  <c r="BA8" i="5"/>
  <c r="T34" i="1"/>
  <c r="AQ30" i="5" s="1"/>
  <c r="AQ106" i="5" s="1"/>
  <c r="AP11" i="5"/>
  <c r="AV86" i="5"/>
  <c r="BA77" i="5"/>
  <c r="AU86" i="5"/>
  <c r="AW86" i="5"/>
  <c r="BP77" i="5"/>
  <c r="BI77" i="5"/>
  <c r="AD5" i="1"/>
  <c r="AP86" i="5"/>
  <c r="AQ38" i="1"/>
  <c r="BM37" i="5"/>
  <c r="BN37" i="5" s="1"/>
  <c r="AQ47" i="1"/>
  <c r="BM49" i="5"/>
  <c r="AQ56" i="1"/>
  <c r="BM60" i="5"/>
  <c r="T12" i="1"/>
  <c r="AO5" i="5"/>
  <c r="AP35" i="5"/>
  <c r="T37" i="1"/>
  <c r="AQ46" i="1"/>
  <c r="BM48" i="5"/>
  <c r="BN48" i="5" s="1"/>
  <c r="BQ33" i="5"/>
  <c r="AQ39" i="1"/>
  <c r="BM38" i="5"/>
  <c r="AQ48" i="1"/>
  <c r="BM47" i="5"/>
  <c r="BN47" i="5" s="1"/>
  <c r="X18" i="1"/>
  <c r="S12" i="1"/>
  <c r="BM5" i="5"/>
  <c r="BM7" i="5" s="1"/>
  <c r="AQ49" i="1"/>
  <c r="BM46" i="5"/>
  <c r="BN46" i="5" s="1"/>
  <c r="S42" i="1"/>
  <c r="S73" i="1" s="1"/>
  <c r="U18" i="1"/>
  <c r="AA12" i="1"/>
  <c r="AQ54" i="1"/>
  <c r="BM52" i="5"/>
  <c r="AQ40" i="1"/>
  <c r="BM36" i="5"/>
  <c r="BN36" i="5" s="1"/>
  <c r="BQ12" i="5"/>
  <c r="BQ39" i="5"/>
  <c r="BK5" i="5"/>
  <c r="BK7" i="5" s="1"/>
  <c r="AX11" i="5"/>
  <c r="AX74" i="5" s="1"/>
  <c r="BA12" i="5"/>
  <c r="Z12" i="1"/>
  <c r="BQ45" i="5"/>
  <c r="BQ56" i="5"/>
  <c r="AQ33" i="1"/>
  <c r="BM29" i="5"/>
  <c r="AQ43" i="1"/>
  <c r="BM45" i="5"/>
  <c r="BN45" i="5" s="1"/>
  <c r="AQ51" i="1"/>
  <c r="BM53" i="5"/>
  <c r="BN53" i="5" s="1"/>
  <c r="AT5" i="5"/>
  <c r="AT7" i="5" s="1"/>
  <c r="AT11" i="5" s="1"/>
  <c r="AT74" i="5" s="1"/>
  <c r="AQ37" i="1"/>
  <c r="BM35" i="5"/>
  <c r="BO77" i="5"/>
  <c r="AQ34" i="1"/>
  <c r="BM30" i="5"/>
  <c r="BN30" i="5" s="1"/>
  <c r="AQ52" i="1"/>
  <c r="BM55" i="5"/>
  <c r="BN55" i="5" s="1"/>
  <c r="AQ35" i="1"/>
  <c r="BM32" i="5"/>
  <c r="BN32" i="5" s="1"/>
  <c r="AQ45" i="1"/>
  <c r="BM44" i="5"/>
  <c r="BN44" i="5" s="1"/>
  <c r="AQ53" i="1"/>
  <c r="BM54" i="5"/>
  <c r="BN54" i="5" s="1"/>
  <c r="S36" i="1"/>
  <c r="AQ7" i="1"/>
  <c r="BJ10" i="5"/>
  <c r="BJ7" i="5"/>
  <c r="AO114" i="5"/>
  <c r="T46" i="1"/>
  <c r="AP48" i="5"/>
  <c r="AP112" i="5" s="1"/>
  <c r="AP47" i="5"/>
  <c r="AP111" i="5" s="1"/>
  <c r="T48" i="1"/>
  <c r="BO12" i="5"/>
  <c r="BH12" i="5"/>
  <c r="BL7" i="5"/>
  <c r="BL12" i="5"/>
  <c r="AQ32" i="5"/>
  <c r="AQ108" i="5" s="1"/>
  <c r="U35" i="1"/>
  <c r="AP53" i="5"/>
  <c r="T51" i="1"/>
  <c r="S32" i="1"/>
  <c r="AP29" i="5"/>
  <c r="AP33" i="5" s="1"/>
  <c r="T33" i="1"/>
  <c r="BP10" i="5"/>
  <c r="BP18" i="5" s="1"/>
  <c r="BP7" i="5"/>
  <c r="BI10" i="5"/>
  <c r="BI18" i="5" s="1"/>
  <c r="BI19" i="5" s="1"/>
  <c r="BI7" i="5"/>
  <c r="AP54" i="5"/>
  <c r="T53" i="1"/>
  <c r="T52" i="1"/>
  <c r="AP55" i="5"/>
  <c r="T39" i="1"/>
  <c r="AP38" i="5"/>
  <c r="BQ7" i="5"/>
  <c r="BQ10" i="5"/>
  <c r="BK12" i="5"/>
  <c r="AP45" i="5"/>
  <c r="AP109" i="5" s="1"/>
  <c r="T43" i="1"/>
  <c r="AQ36" i="5"/>
  <c r="U40" i="1"/>
  <c r="R31" i="1"/>
  <c r="AP46" i="5"/>
  <c r="AP110" i="5" s="1"/>
  <c r="T49" i="1"/>
  <c r="BH10" i="5"/>
  <c r="BH7" i="5"/>
  <c r="BL10" i="5"/>
  <c r="AP52" i="5"/>
  <c r="T54" i="1"/>
  <c r="AP37" i="5"/>
  <c r="T38" i="1"/>
  <c r="BJ12" i="5"/>
  <c r="AP44" i="5"/>
  <c r="T45" i="1"/>
  <c r="AO33" i="5"/>
  <c r="AD9" i="1"/>
  <c r="BO10" i="5"/>
  <c r="BO18" i="5" s="1"/>
  <c r="BK10" i="5"/>
  <c r="AP49" i="5"/>
  <c r="AP113" i="5" s="1"/>
  <c r="T47" i="1"/>
  <c r="AT36" i="1"/>
  <c r="BM12" i="5"/>
  <c r="AQ14" i="1"/>
  <c r="BM10" i="5"/>
  <c r="BM18" i="5" s="1"/>
  <c r="AT79" i="1"/>
  <c r="AT73" i="1"/>
  <c r="AP74" i="1"/>
  <c r="AP73" i="1"/>
  <c r="AS9" i="1"/>
  <c r="AT41" i="1"/>
  <c r="AT74" i="1"/>
  <c r="AT77" i="1" s="1"/>
  <c r="AT32" i="1"/>
  <c r="AR9" i="1"/>
  <c r="DM16" i="4"/>
  <c r="DM9" i="4"/>
  <c r="DM10" i="4"/>
  <c r="DM15" i="4"/>
  <c r="DM17" i="4"/>
  <c r="DM18" i="4"/>
  <c r="DM11" i="4"/>
  <c r="DM12" i="4"/>
  <c r="DM2" i="4"/>
  <c r="O21" i="10"/>
  <c r="O22" i="10"/>
  <c r="O23" i="10"/>
  <c r="O24" i="10"/>
  <c r="O25" i="10"/>
  <c r="O26" i="10"/>
  <c r="O27" i="10"/>
  <c r="O28" i="10"/>
  <c r="O29" i="10"/>
  <c r="O30" i="10"/>
  <c r="O31" i="10"/>
  <c r="O32" i="10"/>
  <c r="O20" i="10"/>
  <c r="D33" i="10"/>
  <c r="E33" i="10"/>
  <c r="F33" i="10"/>
  <c r="G33" i="10"/>
  <c r="H33" i="10"/>
  <c r="I33" i="10"/>
  <c r="J33" i="10"/>
  <c r="K33" i="10"/>
  <c r="L33" i="10"/>
  <c r="M33" i="10"/>
  <c r="N33" i="10"/>
  <c r="C33" i="10"/>
  <c r="D17" i="10"/>
  <c r="E17" i="10"/>
  <c r="F17" i="10"/>
  <c r="G17" i="10"/>
  <c r="H17" i="10"/>
  <c r="I17" i="10"/>
  <c r="J17" i="10"/>
  <c r="K17" i="10"/>
  <c r="L17" i="10"/>
  <c r="M17" i="10"/>
  <c r="N17" i="10"/>
  <c r="C17" i="10"/>
  <c r="H116" i="2"/>
  <c r="O85" i="6"/>
  <c r="O84" i="6"/>
  <c r="N83" i="6"/>
  <c r="N82" i="6" s="1"/>
  <c r="M83" i="6"/>
  <c r="L83" i="6"/>
  <c r="K83" i="6"/>
  <c r="K82" i="6" s="1"/>
  <c r="J83" i="6"/>
  <c r="J82" i="6" s="1"/>
  <c r="I83" i="6"/>
  <c r="I82" i="6" s="1"/>
  <c r="H83" i="6"/>
  <c r="H82" i="6" s="1"/>
  <c r="G83" i="6"/>
  <c r="G82" i="6" s="1"/>
  <c r="F83" i="6"/>
  <c r="O83" i="6" s="1"/>
  <c r="E83" i="6"/>
  <c r="D83" i="6"/>
  <c r="C83" i="6"/>
  <c r="C82" i="6" s="1"/>
  <c r="M82" i="6"/>
  <c r="L82" i="6"/>
  <c r="F82" i="6"/>
  <c r="E82" i="6"/>
  <c r="D82" i="6"/>
  <c r="O81" i="6"/>
  <c r="O80" i="6"/>
  <c r="N79" i="6"/>
  <c r="N78" i="6" s="1"/>
  <c r="M79" i="6"/>
  <c r="M78" i="6" s="1"/>
  <c r="L79" i="6"/>
  <c r="L78" i="6" s="1"/>
  <c r="K79" i="6"/>
  <c r="K78" i="6" s="1"/>
  <c r="J79" i="6"/>
  <c r="J78" i="6" s="1"/>
  <c r="I79" i="6"/>
  <c r="I78" i="6" s="1"/>
  <c r="H79" i="6"/>
  <c r="G79" i="6"/>
  <c r="G78" i="6" s="1"/>
  <c r="F79" i="6"/>
  <c r="F78" i="6" s="1"/>
  <c r="E79" i="6"/>
  <c r="E78" i="6" s="1"/>
  <c r="D79" i="6"/>
  <c r="D78" i="6" s="1"/>
  <c r="C79" i="6"/>
  <c r="H78" i="6"/>
  <c r="O77" i="6"/>
  <c r="O76" i="6"/>
  <c r="N75" i="6"/>
  <c r="N74" i="6" s="1"/>
  <c r="BZ14" i="5" s="1"/>
  <c r="M75" i="6"/>
  <c r="M74" i="6" s="1"/>
  <c r="BY14" i="5" s="1"/>
  <c r="L75" i="6"/>
  <c r="L74" i="6" s="1"/>
  <c r="BX14" i="5" s="1"/>
  <c r="K75" i="6"/>
  <c r="K74" i="6" s="1"/>
  <c r="BW14" i="5" s="1"/>
  <c r="J75" i="6"/>
  <c r="J74" i="6" s="1"/>
  <c r="BV14" i="5" s="1"/>
  <c r="I75" i="6"/>
  <c r="I74" i="6" s="1"/>
  <c r="BU14" i="5" s="1"/>
  <c r="H75" i="6"/>
  <c r="H74" i="6" s="1"/>
  <c r="G75" i="6"/>
  <c r="F75" i="6"/>
  <c r="E75" i="6"/>
  <c r="E74" i="6" s="1"/>
  <c r="D75" i="6"/>
  <c r="D74" i="6" s="1"/>
  <c r="C75" i="6"/>
  <c r="C74" i="6" s="1"/>
  <c r="F74" i="6"/>
  <c r="O73" i="6"/>
  <c r="O72" i="6"/>
  <c r="N71" i="6"/>
  <c r="N70" i="6" s="1"/>
  <c r="M71" i="6"/>
  <c r="M70" i="6" s="1"/>
  <c r="L71" i="6"/>
  <c r="L70" i="6" s="1"/>
  <c r="K71" i="6"/>
  <c r="K70" i="6" s="1"/>
  <c r="J71" i="6"/>
  <c r="J70" i="6" s="1"/>
  <c r="I71" i="6"/>
  <c r="H71" i="6"/>
  <c r="H70" i="6" s="1"/>
  <c r="G71" i="6"/>
  <c r="G70" i="6" s="1"/>
  <c r="F71" i="6"/>
  <c r="E71" i="6"/>
  <c r="E70" i="6" s="1"/>
  <c r="D71" i="6"/>
  <c r="D70" i="6" s="1"/>
  <c r="C71" i="6"/>
  <c r="I70" i="6"/>
  <c r="F70" i="6"/>
  <c r="O68" i="6"/>
  <c r="N67" i="6"/>
  <c r="M67" i="6"/>
  <c r="L67" i="6"/>
  <c r="K67" i="6"/>
  <c r="J67" i="6"/>
  <c r="I67" i="6"/>
  <c r="H67" i="6"/>
  <c r="G67" i="6"/>
  <c r="F67" i="6"/>
  <c r="E67" i="6"/>
  <c r="D67" i="6"/>
  <c r="C67" i="6"/>
  <c r="O66" i="6"/>
  <c r="O65" i="6"/>
  <c r="O64" i="6"/>
  <c r="N63" i="6"/>
  <c r="M63" i="6"/>
  <c r="L63" i="6"/>
  <c r="K63" i="6"/>
  <c r="J63" i="6"/>
  <c r="I63" i="6"/>
  <c r="H63" i="6"/>
  <c r="G63" i="6"/>
  <c r="F63" i="6"/>
  <c r="E63" i="6"/>
  <c r="D63" i="6"/>
  <c r="C63" i="6"/>
  <c r="O62" i="6"/>
  <c r="O61" i="6"/>
  <c r="N60" i="6"/>
  <c r="M60" i="6"/>
  <c r="L60" i="6"/>
  <c r="K60" i="6"/>
  <c r="J60" i="6"/>
  <c r="I60" i="6"/>
  <c r="H60" i="6"/>
  <c r="G60" i="6"/>
  <c r="F60" i="6"/>
  <c r="E60" i="6"/>
  <c r="D60" i="6"/>
  <c r="C60" i="6"/>
  <c r="O59" i="6"/>
  <c r="O58" i="6"/>
  <c r="O57" i="6"/>
  <c r="N56" i="6"/>
  <c r="M56" i="6"/>
  <c r="L56" i="6"/>
  <c r="L55" i="6" s="1"/>
  <c r="BX9" i="5" s="1"/>
  <c r="K56" i="6"/>
  <c r="K55" i="6" s="1"/>
  <c r="BW9" i="5" s="1"/>
  <c r="J56" i="6"/>
  <c r="I56" i="6"/>
  <c r="I55" i="6" s="1"/>
  <c r="BU9" i="5" s="1"/>
  <c r="H56" i="6"/>
  <c r="G56" i="6"/>
  <c r="F56" i="6"/>
  <c r="E56" i="6"/>
  <c r="D56" i="6"/>
  <c r="C56" i="6"/>
  <c r="C55" i="6" s="1"/>
  <c r="O54" i="6"/>
  <c r="O53" i="6"/>
  <c r="N52" i="6"/>
  <c r="M52" i="6"/>
  <c r="L52" i="6"/>
  <c r="K52" i="6"/>
  <c r="J52" i="6"/>
  <c r="I52" i="6"/>
  <c r="H52" i="6"/>
  <c r="G52" i="6"/>
  <c r="F52" i="6"/>
  <c r="E52" i="6"/>
  <c r="D52" i="6"/>
  <c r="C52" i="6"/>
  <c r="O51" i="6"/>
  <c r="O50" i="6"/>
  <c r="O49" i="6"/>
  <c r="N48" i="6"/>
  <c r="M48" i="6"/>
  <c r="L48" i="6"/>
  <c r="K48" i="6"/>
  <c r="J48" i="6"/>
  <c r="I48" i="6"/>
  <c r="H48" i="6"/>
  <c r="G48" i="6"/>
  <c r="F48" i="6"/>
  <c r="E48" i="6"/>
  <c r="D48" i="6"/>
  <c r="C48" i="6"/>
  <c r="O47" i="6"/>
  <c r="O46" i="6"/>
  <c r="N45" i="6"/>
  <c r="M45" i="6"/>
  <c r="L45" i="6"/>
  <c r="K45" i="6"/>
  <c r="J45" i="6"/>
  <c r="I45" i="6"/>
  <c r="H45" i="6"/>
  <c r="G45" i="6"/>
  <c r="F45" i="6"/>
  <c r="E45" i="6"/>
  <c r="D45" i="6"/>
  <c r="C45" i="6"/>
  <c r="O44" i="6"/>
  <c r="O43" i="6"/>
  <c r="O42" i="6"/>
  <c r="N41" i="6"/>
  <c r="N40" i="6" s="1"/>
  <c r="M41" i="6"/>
  <c r="M40" i="6" s="1"/>
  <c r="L41" i="6"/>
  <c r="K41" i="6"/>
  <c r="K40" i="6" s="1"/>
  <c r="J41" i="6"/>
  <c r="I41" i="6"/>
  <c r="H41" i="6"/>
  <c r="G41" i="6"/>
  <c r="F41" i="6"/>
  <c r="F40" i="6" s="1"/>
  <c r="E41" i="6"/>
  <c r="E40" i="6" s="1"/>
  <c r="D41" i="6"/>
  <c r="C41" i="6"/>
  <c r="C40" i="6" s="1"/>
  <c r="O39" i="6"/>
  <c r="O38" i="6"/>
  <c r="O37" i="6"/>
  <c r="N36" i="6"/>
  <c r="N35" i="6" s="1"/>
  <c r="M36" i="6"/>
  <c r="M35" i="6" s="1"/>
  <c r="L36" i="6"/>
  <c r="L35" i="6" s="1"/>
  <c r="K36" i="6"/>
  <c r="K35" i="6" s="1"/>
  <c r="J36" i="6"/>
  <c r="J35" i="6" s="1"/>
  <c r="I36" i="6"/>
  <c r="I35" i="6" s="1"/>
  <c r="H36" i="6"/>
  <c r="H35" i="6" s="1"/>
  <c r="G36" i="6"/>
  <c r="G35" i="6" s="1"/>
  <c r="F36" i="6"/>
  <c r="F35" i="6" s="1"/>
  <c r="E36" i="6"/>
  <c r="E35" i="6" s="1"/>
  <c r="D36" i="6"/>
  <c r="D35" i="6" s="1"/>
  <c r="C36" i="6"/>
  <c r="C35" i="6"/>
  <c r="O34" i="6"/>
  <c r="O33" i="6"/>
  <c r="O32" i="6"/>
  <c r="O31" i="6"/>
  <c r="O30" i="6"/>
  <c r="N29" i="6"/>
  <c r="N28" i="6" s="1"/>
  <c r="M29" i="6"/>
  <c r="M28" i="6" s="1"/>
  <c r="L29" i="6"/>
  <c r="L28" i="6" s="1"/>
  <c r="K29" i="6"/>
  <c r="K28" i="6" s="1"/>
  <c r="J29" i="6"/>
  <c r="J28" i="6" s="1"/>
  <c r="I29" i="6"/>
  <c r="I28" i="6" s="1"/>
  <c r="H29" i="6"/>
  <c r="H28" i="6" s="1"/>
  <c r="G29" i="6"/>
  <c r="G28" i="6" s="1"/>
  <c r="F29" i="6"/>
  <c r="F28" i="6" s="1"/>
  <c r="E29" i="6"/>
  <c r="E28" i="6" s="1"/>
  <c r="D29" i="6"/>
  <c r="D28" i="6" s="1"/>
  <c r="C29" i="6"/>
  <c r="O25" i="6"/>
  <c r="O24" i="6"/>
  <c r="N23" i="6"/>
  <c r="M23" i="6"/>
  <c r="L23" i="6"/>
  <c r="K23" i="6"/>
  <c r="J23" i="6"/>
  <c r="I23" i="6"/>
  <c r="H23" i="6"/>
  <c r="G23" i="6"/>
  <c r="F23" i="6"/>
  <c r="E23" i="6"/>
  <c r="D23" i="6"/>
  <c r="C23" i="6"/>
  <c r="O22" i="6"/>
  <c r="O21" i="6"/>
  <c r="O20" i="6"/>
  <c r="O18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O15" i="6"/>
  <c r="O14" i="6"/>
  <c r="O13" i="6"/>
  <c r="O12" i="6"/>
  <c r="O11" i="6"/>
  <c r="N10" i="6"/>
  <c r="N9" i="6" s="1"/>
  <c r="N8" i="6" s="1"/>
  <c r="N6" i="6" s="1"/>
  <c r="M10" i="6"/>
  <c r="M9" i="6" s="1"/>
  <c r="L10" i="6"/>
  <c r="L9" i="6" s="1"/>
  <c r="L8" i="6" s="1"/>
  <c r="L6" i="6" s="1"/>
  <c r="K10" i="6"/>
  <c r="J10" i="6"/>
  <c r="I10" i="6"/>
  <c r="H10" i="6"/>
  <c r="H9" i="6" s="1"/>
  <c r="H8" i="6" s="1"/>
  <c r="G10" i="6"/>
  <c r="G9" i="6" s="1"/>
  <c r="G8" i="6" s="1"/>
  <c r="G6" i="6" s="1"/>
  <c r="F10" i="6"/>
  <c r="F9" i="6" s="1"/>
  <c r="F8" i="6" s="1"/>
  <c r="F6" i="6" s="1"/>
  <c r="E10" i="6"/>
  <c r="E9" i="6" s="1"/>
  <c r="D10" i="6"/>
  <c r="D9" i="6" s="1"/>
  <c r="D8" i="6" s="1"/>
  <c r="D6" i="6" s="1"/>
  <c r="C10" i="6"/>
  <c r="K9" i="6"/>
  <c r="J9" i="6"/>
  <c r="I9" i="6"/>
  <c r="I8" i="6" s="1"/>
  <c r="I6" i="6" s="1"/>
  <c r="C9" i="6"/>
  <c r="F13" i="2" l="1"/>
  <c r="F159" i="2"/>
  <c r="BV10" i="5"/>
  <c r="BQ18" i="5"/>
  <c r="M8" i="6"/>
  <c r="M6" i="6" s="1"/>
  <c r="O23" i="6"/>
  <c r="D40" i="6"/>
  <c r="L40" i="6"/>
  <c r="J55" i="6"/>
  <c r="BV9" i="5" s="1"/>
  <c r="O33" i="10"/>
  <c r="F123" i="2"/>
  <c r="BQ40" i="5"/>
  <c r="O52" i="6"/>
  <c r="H40" i="6"/>
  <c r="O48" i="6"/>
  <c r="J27" i="6"/>
  <c r="I40" i="6"/>
  <c r="BU10" i="5"/>
  <c r="F63" i="2"/>
  <c r="F8" i="2"/>
  <c r="F9" i="2"/>
  <c r="BM19" i="5"/>
  <c r="F61" i="2"/>
  <c r="F7" i="2"/>
  <c r="F22" i="2"/>
  <c r="F169" i="2" s="1"/>
  <c r="BL18" i="5"/>
  <c r="BL19" i="5" s="1"/>
  <c r="BH18" i="5"/>
  <c r="BH19" i="5" s="1"/>
  <c r="R84" i="1"/>
  <c r="R59" i="1"/>
  <c r="R85" i="1" s="1"/>
  <c r="BJ18" i="5"/>
  <c r="BJ19" i="5" s="1"/>
  <c r="BP19" i="5"/>
  <c r="BO19" i="5"/>
  <c r="BK18" i="5"/>
  <c r="BK19" i="5" s="1"/>
  <c r="AT31" i="1"/>
  <c r="AT78" i="1" s="1"/>
  <c r="BQ19" i="5"/>
  <c r="H27" i="6"/>
  <c r="I27" i="6"/>
  <c r="J26" i="6"/>
  <c r="J86" i="6" s="1"/>
  <c r="U34" i="1"/>
  <c r="V34" i="1" s="1"/>
  <c r="J8" i="6"/>
  <c r="J6" i="6" s="1"/>
  <c r="K8" i="6"/>
  <c r="K6" i="6" s="1"/>
  <c r="O82" i="6"/>
  <c r="S74" i="1"/>
  <c r="O17" i="6"/>
  <c r="O79" i="6"/>
  <c r="O60" i="6"/>
  <c r="G55" i="6"/>
  <c r="G27" i="6"/>
  <c r="J40" i="6"/>
  <c r="N55" i="6"/>
  <c r="BZ9" i="5" s="1"/>
  <c r="H55" i="6"/>
  <c r="E8" i="6"/>
  <c r="E6" i="6" s="1"/>
  <c r="F27" i="6"/>
  <c r="AO40" i="5"/>
  <c r="O63" i="6"/>
  <c r="M55" i="6"/>
  <c r="BY9" i="5" s="1"/>
  <c r="O71" i="6"/>
  <c r="S72" i="1"/>
  <c r="S71" i="1"/>
  <c r="F158" i="2"/>
  <c r="O45" i="6"/>
  <c r="O56" i="6"/>
  <c r="BO7" i="5"/>
  <c r="E55" i="6"/>
  <c r="O67" i="6"/>
  <c r="O75" i="6"/>
  <c r="W2" i="1"/>
  <c r="V29" i="1"/>
  <c r="V67" i="1"/>
  <c r="O41" i="6"/>
  <c r="K27" i="6"/>
  <c r="AU74" i="5"/>
  <c r="H6" i="6"/>
  <c r="O29" i="6"/>
  <c r="O36" i="6"/>
  <c r="F55" i="6"/>
  <c r="V93" i="1"/>
  <c r="V18" i="1"/>
  <c r="V21" i="1" s="1"/>
  <c r="V23" i="1" s="1"/>
  <c r="T93" i="1"/>
  <c r="AY74" i="5"/>
  <c r="Z93" i="1"/>
  <c r="S93" i="1"/>
  <c r="AA93" i="1"/>
  <c r="AZ13" i="5"/>
  <c r="AZ15" i="5" s="1"/>
  <c r="AC18" i="1"/>
  <c r="AC93" i="1"/>
  <c r="AB18" i="1"/>
  <c r="AB93" i="1"/>
  <c r="AV74" i="5"/>
  <c r="Y18" i="1"/>
  <c r="Y93" i="1"/>
  <c r="AD92" i="1"/>
  <c r="X21" i="1"/>
  <c r="X23" i="1" s="1"/>
  <c r="X86" i="1"/>
  <c r="W18" i="1"/>
  <c r="W93" i="1"/>
  <c r="U21" i="1"/>
  <c r="U23" i="1" s="1"/>
  <c r="U86" i="1"/>
  <c r="AD12" i="1"/>
  <c r="AD93" i="1" s="1"/>
  <c r="T36" i="1"/>
  <c r="AP128" i="5"/>
  <c r="AQ126" i="5"/>
  <c r="BP86" i="5"/>
  <c r="BN35" i="5"/>
  <c r="BO126" i="5" s="1"/>
  <c r="BM128" i="5"/>
  <c r="BN128" i="5" s="1"/>
  <c r="BW75" i="5"/>
  <c r="BV127" i="5"/>
  <c r="AP80" i="5"/>
  <c r="AS13" i="5"/>
  <c r="AS15" i="5" s="1"/>
  <c r="BP11" i="5"/>
  <c r="BP74" i="5" s="1"/>
  <c r="BH11" i="5"/>
  <c r="BH74" i="5" s="1"/>
  <c r="AP84" i="5"/>
  <c r="BJ86" i="5"/>
  <c r="S41" i="1"/>
  <c r="BL86" i="5"/>
  <c r="BA86" i="5"/>
  <c r="BK86" i="5"/>
  <c r="BH86" i="5"/>
  <c r="AP79" i="5"/>
  <c r="S31" i="1"/>
  <c r="BJ11" i="5"/>
  <c r="BJ74" i="5" s="1"/>
  <c r="BQ86" i="5"/>
  <c r="AW13" i="5"/>
  <c r="AW15" i="5" s="1"/>
  <c r="AW74" i="5"/>
  <c r="AP13" i="5"/>
  <c r="AP15" i="5" s="1"/>
  <c r="AP74" i="5"/>
  <c r="AX13" i="5"/>
  <c r="AX15" i="5" s="1"/>
  <c r="AT13" i="5"/>
  <c r="AT15" i="5" s="1"/>
  <c r="BN52" i="5"/>
  <c r="BM56" i="5"/>
  <c r="S18" i="1"/>
  <c r="T18" i="1"/>
  <c r="AQ13" i="5"/>
  <c r="AQ15" i="5" s="1"/>
  <c r="BM33" i="5"/>
  <c r="BN29" i="5"/>
  <c r="AR13" i="5"/>
  <c r="AR15" i="5" s="1"/>
  <c r="U37" i="1"/>
  <c r="AQ35" i="5"/>
  <c r="AP114" i="5"/>
  <c r="AP115" i="5" s="1"/>
  <c r="AP76" i="5" s="1"/>
  <c r="AS92" i="1"/>
  <c r="BO86" i="5"/>
  <c r="BQ50" i="5"/>
  <c r="AA18" i="1"/>
  <c r="BM50" i="5"/>
  <c r="BN49" i="5"/>
  <c r="Z18" i="1"/>
  <c r="AO7" i="5"/>
  <c r="BA5" i="5"/>
  <c r="B5" i="13" s="1"/>
  <c r="BM39" i="5"/>
  <c r="BN38" i="5"/>
  <c r="R21" i="1"/>
  <c r="T42" i="1"/>
  <c r="T73" i="1" s="1"/>
  <c r="AQ45" i="5"/>
  <c r="AQ109" i="5" s="1"/>
  <c r="U43" i="1"/>
  <c r="AS12" i="1"/>
  <c r="AS93" i="1" s="1"/>
  <c r="AQ49" i="5"/>
  <c r="AQ113" i="5" s="1"/>
  <c r="U47" i="1"/>
  <c r="AQ37" i="5"/>
  <c r="U38" i="1"/>
  <c r="AQ38" i="5"/>
  <c r="U39" i="1"/>
  <c r="V35" i="1"/>
  <c r="AR32" i="5"/>
  <c r="AR108" i="5" s="1"/>
  <c r="AQ46" i="5"/>
  <c r="AQ110" i="5" s="1"/>
  <c r="U49" i="1"/>
  <c r="U33" i="1"/>
  <c r="AQ29" i="5"/>
  <c r="AQ33" i="5" s="1"/>
  <c r="T32" i="1"/>
  <c r="AQ44" i="5"/>
  <c r="U45" i="1"/>
  <c r="AP39" i="5"/>
  <c r="AP40" i="5" s="1"/>
  <c r="AQ55" i="5"/>
  <c r="U52" i="1"/>
  <c r="AQ47" i="5"/>
  <c r="AQ111" i="5" s="1"/>
  <c r="U48" i="1"/>
  <c r="AP50" i="5"/>
  <c r="U54" i="1"/>
  <c r="AQ52" i="5"/>
  <c r="AQ54" i="5"/>
  <c r="U53" i="1"/>
  <c r="BL11" i="5"/>
  <c r="V40" i="1"/>
  <c r="AR36" i="5"/>
  <c r="BQ11" i="5"/>
  <c r="T50" i="1"/>
  <c r="AQ53" i="5"/>
  <c r="U51" i="1"/>
  <c r="U46" i="1"/>
  <c r="AQ48" i="5"/>
  <c r="AQ112" i="5" s="1"/>
  <c r="BK11" i="5"/>
  <c r="BI11" i="5"/>
  <c r="AP56" i="5"/>
  <c r="BM11" i="5"/>
  <c r="BM13" i="5" s="1"/>
  <c r="BM15" i="5" s="1"/>
  <c r="AT92" i="1"/>
  <c r="AR12" i="1"/>
  <c r="AR92" i="1"/>
  <c r="AT72" i="1"/>
  <c r="AT71" i="1"/>
  <c r="AT70" i="1"/>
  <c r="DM14" i="4"/>
  <c r="AP9" i="1"/>
  <c r="DM5" i="4"/>
  <c r="I26" i="6"/>
  <c r="I86" i="6" s="1"/>
  <c r="L27" i="6"/>
  <c r="L26" i="6" s="1"/>
  <c r="L86" i="6" s="1"/>
  <c r="M27" i="6"/>
  <c r="M26" i="6" s="1"/>
  <c r="M86" i="6" s="1"/>
  <c r="D27" i="6"/>
  <c r="E27" i="6"/>
  <c r="E26" i="6" s="1"/>
  <c r="E86" i="6" s="1"/>
  <c r="N27" i="6"/>
  <c r="N26" i="6" s="1"/>
  <c r="N86" i="6" s="1"/>
  <c r="O35" i="6"/>
  <c r="K26" i="6"/>
  <c r="K86" i="6" s="1"/>
  <c r="O9" i="6"/>
  <c r="O10" i="6"/>
  <c r="C28" i="6"/>
  <c r="G40" i="6"/>
  <c r="D55" i="6"/>
  <c r="C8" i="6"/>
  <c r="C70" i="6"/>
  <c r="O70" i="6" s="1"/>
  <c r="G74" i="6"/>
  <c r="O74" i="6" s="1"/>
  <c r="C78" i="6"/>
  <c r="O78" i="6" s="1"/>
  <c r="F26" i="6" l="1"/>
  <c r="F86" i="6" s="1"/>
  <c r="F58" i="2"/>
  <c r="F163" i="2" s="1"/>
  <c r="F132" i="2"/>
  <c r="R82" i="1"/>
  <c r="R83" i="1" s="1"/>
  <c r="AR30" i="5"/>
  <c r="AR106" i="5" s="1"/>
  <c r="F10" i="2"/>
  <c r="V86" i="1"/>
  <c r="S59" i="1"/>
  <c r="S85" i="1" s="1"/>
  <c r="S84" i="1"/>
  <c r="S82" i="1"/>
  <c r="S83" i="1" s="1"/>
  <c r="S70" i="1"/>
  <c r="T74" i="1"/>
  <c r="O55" i="6"/>
  <c r="G26" i="6"/>
  <c r="G86" i="6" s="1"/>
  <c r="H26" i="6"/>
  <c r="H86" i="6" s="1"/>
  <c r="T31" i="1"/>
  <c r="T72" i="1"/>
  <c r="T71" i="1"/>
  <c r="X2" i="1"/>
  <c r="W29" i="1"/>
  <c r="W67" i="1"/>
  <c r="BO11" i="5"/>
  <c r="U58" i="1"/>
  <c r="AR61" i="5" s="1"/>
  <c r="V58" i="1"/>
  <c r="AS61" i="5" s="1"/>
  <c r="X58" i="1"/>
  <c r="AU61" i="5" s="1"/>
  <c r="AC21" i="1"/>
  <c r="AC23" i="1" s="1"/>
  <c r="AC86" i="1"/>
  <c r="AB21" i="1"/>
  <c r="AB23" i="1" s="1"/>
  <c r="AB86" i="1"/>
  <c r="AA21" i="1"/>
  <c r="AA23" i="1" s="1"/>
  <c r="AA86" i="1"/>
  <c r="Z21" i="1"/>
  <c r="Z23" i="1" s="1"/>
  <c r="Z58" i="1" s="1"/>
  <c r="AW61" i="5" s="1"/>
  <c r="Z86" i="1"/>
  <c r="Y21" i="1"/>
  <c r="Y23" i="1" s="1"/>
  <c r="Y86" i="1"/>
  <c r="X90" i="1"/>
  <c r="X94" i="1"/>
  <c r="W21" i="1"/>
  <c r="W23" i="1" s="1"/>
  <c r="W86" i="1"/>
  <c r="V90" i="1"/>
  <c r="V94" i="1"/>
  <c r="U90" i="1"/>
  <c r="U94" i="1"/>
  <c r="T21" i="1"/>
  <c r="T23" i="1" s="1"/>
  <c r="T58" i="1" s="1"/>
  <c r="AQ61" i="5" s="1"/>
  <c r="T86" i="1"/>
  <c r="S21" i="1"/>
  <c r="S23" i="1" s="1"/>
  <c r="S86" i="1"/>
  <c r="AQ128" i="5"/>
  <c r="AR126" i="5"/>
  <c r="T41" i="1"/>
  <c r="T70" i="1" s="1"/>
  <c r="BX75" i="5"/>
  <c r="BW127" i="5"/>
  <c r="CA126" i="5"/>
  <c r="BP13" i="5"/>
  <c r="BP15" i="5" s="1"/>
  <c r="BH13" i="5"/>
  <c r="BH15" i="5" s="1"/>
  <c r="BM57" i="5"/>
  <c r="AQ79" i="5"/>
  <c r="AQ84" i="5"/>
  <c r="BJ13" i="5"/>
  <c r="BJ15" i="5" s="1"/>
  <c r="AD18" i="1"/>
  <c r="AD86" i="1" s="1"/>
  <c r="AQ80" i="5"/>
  <c r="BQ57" i="5"/>
  <c r="AS18" i="1"/>
  <c r="AS21" i="1" s="1"/>
  <c r="AS23" i="1" s="1"/>
  <c r="AQ39" i="5"/>
  <c r="AQ40" i="5" s="1"/>
  <c r="BM40" i="5"/>
  <c r="AR35" i="5"/>
  <c r="V37" i="1"/>
  <c r="AO11" i="5"/>
  <c r="AO74" i="5" s="1"/>
  <c r="BA7" i="5"/>
  <c r="BQ74" i="5"/>
  <c r="BQ13" i="5"/>
  <c r="BQ15" i="5" s="1"/>
  <c r="V54" i="1"/>
  <c r="AR52" i="5"/>
  <c r="W35" i="1"/>
  <c r="AS32" i="5"/>
  <c r="AS108" i="5" s="1"/>
  <c r="W40" i="1"/>
  <c r="AS36" i="5"/>
  <c r="AR29" i="5"/>
  <c r="AR33" i="5" s="1"/>
  <c r="V33" i="1"/>
  <c r="U32" i="1"/>
  <c r="R23" i="1"/>
  <c r="AR53" i="5"/>
  <c r="V51" i="1"/>
  <c r="U50" i="1"/>
  <c r="BL74" i="5"/>
  <c r="BL13" i="5"/>
  <c r="BL15" i="5" s="1"/>
  <c r="AQ50" i="5"/>
  <c r="AQ56" i="5"/>
  <c r="V53" i="1"/>
  <c r="AR54" i="5"/>
  <c r="AQ114" i="5"/>
  <c r="V46" i="1"/>
  <c r="AR48" i="5"/>
  <c r="AR112" i="5" s="1"/>
  <c r="V49" i="1"/>
  <c r="AR46" i="5"/>
  <c r="AP57" i="5"/>
  <c r="AR47" i="5"/>
  <c r="AR111" i="5" s="1"/>
  <c r="V48" i="1"/>
  <c r="AS30" i="5"/>
  <c r="W34" i="1"/>
  <c r="BK13" i="5"/>
  <c r="BK15" i="5" s="1"/>
  <c r="BK74" i="5"/>
  <c r="AR55" i="5"/>
  <c r="V52" i="1"/>
  <c r="AR49" i="5"/>
  <c r="AR113" i="5" s="1"/>
  <c r="V47" i="1"/>
  <c r="V45" i="1"/>
  <c r="AR44" i="5"/>
  <c r="V39" i="1"/>
  <c r="AR38" i="5"/>
  <c r="BI74" i="5"/>
  <c r="BI13" i="5"/>
  <c r="BI15" i="5" s="1"/>
  <c r="AR37" i="5"/>
  <c r="V38" i="1"/>
  <c r="U36" i="1"/>
  <c r="V43" i="1"/>
  <c r="AR45" i="5"/>
  <c r="AR109" i="5" s="1"/>
  <c r="U42" i="1"/>
  <c r="U74" i="1" s="1"/>
  <c r="AP12" i="1"/>
  <c r="AP92" i="1"/>
  <c r="AT93" i="1"/>
  <c r="AR18" i="1"/>
  <c r="AR93" i="1"/>
  <c r="O8" i="6"/>
  <c r="C6" i="6"/>
  <c r="O28" i="6"/>
  <c r="C27" i="6"/>
  <c r="D26" i="6"/>
  <c r="D86" i="6" s="1"/>
  <c r="O40" i="6"/>
  <c r="DN2" i="4"/>
  <c r="AW87" i="1" l="1"/>
  <c r="BO13" i="5"/>
  <c r="F64" i="2" s="1"/>
  <c r="F62" i="2"/>
  <c r="F164" i="2" s="1"/>
  <c r="T59" i="1"/>
  <c r="T85" i="1" s="1"/>
  <c r="T84" i="1"/>
  <c r="T82" i="1"/>
  <c r="T83" i="1" s="1"/>
  <c r="Y2" i="1"/>
  <c r="X29" i="1"/>
  <c r="X67" i="1"/>
  <c r="U71" i="1"/>
  <c r="U72" i="1"/>
  <c r="AU87" i="1"/>
  <c r="AV87" i="1"/>
  <c r="U73" i="1"/>
  <c r="BO15" i="5"/>
  <c r="F165" i="2"/>
  <c r="BO74" i="5"/>
  <c r="AA58" i="1"/>
  <c r="AX61" i="5" s="1"/>
  <c r="AC58" i="1"/>
  <c r="AC90" i="1"/>
  <c r="AC94" i="1"/>
  <c r="AB58" i="1"/>
  <c r="AY61" i="5" s="1"/>
  <c r="AB94" i="1"/>
  <c r="AB90" i="1"/>
  <c r="AA94" i="1"/>
  <c r="AA90" i="1"/>
  <c r="Z94" i="1"/>
  <c r="Z90" i="1"/>
  <c r="Y58" i="1"/>
  <c r="AV61" i="5" s="1"/>
  <c r="Y90" i="1"/>
  <c r="Y94" i="1"/>
  <c r="AD21" i="1"/>
  <c r="W90" i="1"/>
  <c r="W94" i="1"/>
  <c r="W58" i="1"/>
  <c r="AT61" i="5" s="1"/>
  <c r="T94" i="1"/>
  <c r="T91" i="1"/>
  <c r="T90" i="1"/>
  <c r="S94" i="1"/>
  <c r="S90" i="1"/>
  <c r="S91" i="1"/>
  <c r="R90" i="1"/>
  <c r="R94" i="1"/>
  <c r="R91" i="1"/>
  <c r="AR128" i="5"/>
  <c r="AS126" i="5"/>
  <c r="BY75" i="5"/>
  <c r="BX127" i="5"/>
  <c r="AS86" i="1"/>
  <c r="AR84" i="5"/>
  <c r="AR39" i="5"/>
  <c r="AR40" i="5" s="1"/>
  <c r="AR80" i="5"/>
  <c r="BA74" i="5"/>
  <c r="T56" i="1"/>
  <c r="AQ60" i="5" s="1"/>
  <c r="AQ62" i="5" s="1"/>
  <c r="AR79" i="5"/>
  <c r="AO13" i="5"/>
  <c r="BA11" i="5"/>
  <c r="AS35" i="5"/>
  <c r="W37" i="1"/>
  <c r="U31" i="1"/>
  <c r="U91" i="1" s="1"/>
  <c r="AQ57" i="5"/>
  <c r="AS53" i="5"/>
  <c r="W51" i="1"/>
  <c r="V50" i="1"/>
  <c r="X34" i="1"/>
  <c r="AT30" i="5"/>
  <c r="AS45" i="5"/>
  <c r="AS109" i="5" s="1"/>
  <c r="W43" i="1"/>
  <c r="V42" i="1"/>
  <c r="V73" i="1" s="1"/>
  <c r="AS55" i="5"/>
  <c r="W52" i="1"/>
  <c r="AS106" i="5"/>
  <c r="W46" i="1"/>
  <c r="AS48" i="5"/>
  <c r="AS112" i="5" s="1"/>
  <c r="X40" i="1"/>
  <c r="AT36" i="5"/>
  <c r="AS49" i="5"/>
  <c r="AS113" i="5" s="1"/>
  <c r="W47" i="1"/>
  <c r="AR50" i="5"/>
  <c r="AR110" i="5"/>
  <c r="AR114" i="5" s="1"/>
  <c r="AR115" i="5" s="1"/>
  <c r="AR76" i="5" s="1"/>
  <c r="AR56" i="5"/>
  <c r="W48" i="1"/>
  <c r="AS47" i="5"/>
  <c r="AS111" i="5" s="1"/>
  <c r="AQ115" i="5"/>
  <c r="AQ76" i="5" s="1"/>
  <c r="W45" i="1"/>
  <c r="AS44" i="5"/>
  <c r="W54" i="1"/>
  <c r="AS52" i="5"/>
  <c r="AS29" i="5"/>
  <c r="AS33" i="5" s="1"/>
  <c r="V32" i="1"/>
  <c r="W33" i="1"/>
  <c r="U41" i="1"/>
  <c r="W49" i="1"/>
  <c r="AS46" i="5"/>
  <c r="W39" i="1"/>
  <c r="AS38" i="5"/>
  <c r="X35" i="1"/>
  <c r="AT32" i="5"/>
  <c r="AT108" i="5" s="1"/>
  <c r="AS37" i="5"/>
  <c r="W38" i="1"/>
  <c r="V36" i="1"/>
  <c r="R58" i="1"/>
  <c r="AD23" i="1"/>
  <c r="W53" i="1"/>
  <c r="AS54" i="5"/>
  <c r="AP18" i="1"/>
  <c r="AP93" i="1"/>
  <c r="AS94" i="1"/>
  <c r="AR21" i="1"/>
  <c r="AR23" i="1" s="1"/>
  <c r="AS87" i="1"/>
  <c r="AT87" i="1"/>
  <c r="AR86" i="1"/>
  <c r="AR87" i="1"/>
  <c r="AT86" i="1"/>
  <c r="C26" i="6"/>
  <c r="O26" i="6" s="1"/>
  <c r="O27" i="6"/>
  <c r="C86" i="6"/>
  <c r="O6" i="6"/>
  <c r="F66" i="2" l="1"/>
  <c r="U59" i="1"/>
  <c r="U85" i="1" s="1"/>
  <c r="U84" i="1"/>
  <c r="U82" i="1"/>
  <c r="U83" i="1" s="1"/>
  <c r="V71" i="1"/>
  <c r="V72" i="1"/>
  <c r="V74" i="1"/>
  <c r="U70" i="1"/>
  <c r="Z2" i="1"/>
  <c r="Y29" i="1"/>
  <c r="Y67" i="1"/>
  <c r="F120" i="2"/>
  <c r="O86" i="6"/>
  <c r="AD58" i="1"/>
  <c r="AZ61" i="5"/>
  <c r="BA61" i="5" s="1"/>
  <c r="AD90" i="1"/>
  <c r="AD94" i="1"/>
  <c r="AS128" i="5"/>
  <c r="AT126" i="5"/>
  <c r="BZ75" i="5"/>
  <c r="BZ127" i="5" s="1"/>
  <c r="BY127" i="5"/>
  <c r="AQ63" i="5"/>
  <c r="AQ64" i="5" s="1"/>
  <c r="AS84" i="5"/>
  <c r="AS80" i="5"/>
  <c r="T60" i="1"/>
  <c r="AS79" i="5"/>
  <c r="AT35" i="5"/>
  <c r="X37" i="1"/>
  <c r="V41" i="1"/>
  <c r="V31" i="1"/>
  <c r="AO15" i="5"/>
  <c r="BA13" i="5"/>
  <c r="Y35" i="1"/>
  <c r="AU32" i="5"/>
  <c r="AU108" i="5" s="1"/>
  <c r="AS56" i="5"/>
  <c r="X47" i="1"/>
  <c r="AT49" i="5"/>
  <c r="AT113" i="5" s="1"/>
  <c r="AS39" i="5"/>
  <c r="AS40" i="5" s="1"/>
  <c r="X39" i="1"/>
  <c r="AT38" i="5"/>
  <c r="X52" i="1"/>
  <c r="AT55" i="5"/>
  <c r="X48" i="1"/>
  <c r="AT47" i="5"/>
  <c r="AT111" i="5" s="1"/>
  <c r="AT106" i="5"/>
  <c r="AT53" i="5"/>
  <c r="X51" i="1"/>
  <c r="W50" i="1"/>
  <c r="X46" i="1"/>
  <c r="AT48" i="5"/>
  <c r="AT112" i="5" s="1"/>
  <c r="X54" i="1"/>
  <c r="AT52" i="5"/>
  <c r="AS50" i="5"/>
  <c r="AS110" i="5"/>
  <c r="AS114" i="5" s="1"/>
  <c r="AS115" i="5" s="1"/>
  <c r="AS76" i="5" s="1"/>
  <c r="X49" i="1"/>
  <c r="AT46" i="5"/>
  <c r="AT110" i="5" s="1"/>
  <c r="AR57" i="5"/>
  <c r="Y40" i="1"/>
  <c r="AU36" i="5"/>
  <c r="Y34" i="1"/>
  <c r="AU30" i="5"/>
  <c r="AU106" i="5" s="1"/>
  <c r="AO61" i="5"/>
  <c r="S58" i="1"/>
  <c r="X38" i="1"/>
  <c r="AT37" i="5"/>
  <c r="W36" i="1"/>
  <c r="X45" i="1"/>
  <c r="AT44" i="5"/>
  <c r="AT45" i="5"/>
  <c r="AT109" i="5" s="1"/>
  <c r="X43" i="1"/>
  <c r="W42" i="1"/>
  <c r="W73" i="1" s="1"/>
  <c r="X53" i="1"/>
  <c r="AT54" i="5"/>
  <c r="AT29" i="5"/>
  <c r="AT33" i="5" s="1"/>
  <c r="X33" i="1"/>
  <c r="W32" i="1"/>
  <c r="AP21" i="1"/>
  <c r="AP23" i="1" s="1"/>
  <c r="AP86" i="1"/>
  <c r="AT94" i="1"/>
  <c r="AT91" i="1"/>
  <c r="AR58" i="1"/>
  <c r="AR94" i="1"/>
  <c r="N88" i="6"/>
  <c r="M88" i="6"/>
  <c r="L88" i="6"/>
  <c r="K88" i="6"/>
  <c r="J88" i="6"/>
  <c r="I88" i="6"/>
  <c r="H88" i="6"/>
  <c r="G88" i="6"/>
  <c r="F88" i="6"/>
  <c r="E88" i="6"/>
  <c r="D88" i="6"/>
  <c r="C88" i="6"/>
  <c r="U56" i="1" l="1"/>
  <c r="AR60" i="5" s="1"/>
  <c r="AR62" i="5" s="1"/>
  <c r="AR88" i="5" s="1"/>
  <c r="AR90" i="5" s="1"/>
  <c r="F166" i="2"/>
  <c r="W74" i="1"/>
  <c r="V91" i="1"/>
  <c r="AT79" i="5"/>
  <c r="W71" i="1"/>
  <c r="W72" i="1"/>
  <c r="V59" i="1"/>
  <c r="V85" i="1" s="1"/>
  <c r="V84" i="1"/>
  <c r="V82" i="1"/>
  <c r="V83" i="1" s="1"/>
  <c r="AA2" i="1"/>
  <c r="Z67" i="1"/>
  <c r="Z29" i="1"/>
  <c r="V70" i="1"/>
  <c r="AR63" i="5"/>
  <c r="AR64" i="5" s="1"/>
  <c r="AU126" i="5"/>
  <c r="AT128" i="5"/>
  <c r="CA127" i="5"/>
  <c r="AT80" i="5"/>
  <c r="AT84" i="5"/>
  <c r="BA15" i="5"/>
  <c r="U60" i="1"/>
  <c r="W31" i="1"/>
  <c r="W91" i="1" s="1"/>
  <c r="AS57" i="5"/>
  <c r="AU35" i="5"/>
  <c r="Y37" i="1"/>
  <c r="AS58" i="1"/>
  <c r="BO61" i="5"/>
  <c r="Y45" i="1"/>
  <c r="AU44" i="5"/>
  <c r="Y48" i="1"/>
  <c r="AU47" i="5"/>
  <c r="AU111" i="5" s="1"/>
  <c r="Z35" i="1"/>
  <c r="AV32" i="5"/>
  <c r="AV108" i="5" s="1"/>
  <c r="Y53" i="1"/>
  <c r="AU54" i="5"/>
  <c r="AT114" i="5"/>
  <c r="W41" i="1"/>
  <c r="W70" i="1" s="1"/>
  <c r="Y38" i="1"/>
  <c r="AU37" i="5"/>
  <c r="X36" i="1"/>
  <c r="Y54" i="1"/>
  <c r="AU52" i="5"/>
  <c r="Y39" i="1"/>
  <c r="AU38" i="5"/>
  <c r="Y47" i="1"/>
  <c r="AU49" i="5"/>
  <c r="AU113" i="5" s="1"/>
  <c r="AU29" i="5"/>
  <c r="AU33" i="5" s="1"/>
  <c r="X32" i="1"/>
  <c r="Y33" i="1"/>
  <c r="Z34" i="1"/>
  <c r="AV30" i="5"/>
  <c r="AV106" i="5" s="1"/>
  <c r="Z40" i="1"/>
  <c r="AV36" i="5"/>
  <c r="AU45" i="5"/>
  <c r="AU109" i="5" s="1"/>
  <c r="Y43" i="1"/>
  <c r="X42" i="1"/>
  <c r="X73" i="1" s="1"/>
  <c r="AT50" i="5"/>
  <c r="Y49" i="1"/>
  <c r="AU46" i="5"/>
  <c r="AU110" i="5" s="1"/>
  <c r="Y46" i="1"/>
  <c r="AU48" i="5"/>
  <c r="AU112" i="5" s="1"/>
  <c r="AP61" i="5"/>
  <c r="S56" i="1"/>
  <c r="AU53" i="5"/>
  <c r="Y51" i="1"/>
  <c r="X50" i="1"/>
  <c r="Y52" i="1"/>
  <c r="AU55" i="5"/>
  <c r="AT56" i="5"/>
  <c r="AT39" i="5"/>
  <c r="AT40" i="5" s="1"/>
  <c r="AP94" i="1"/>
  <c r="AP91" i="1"/>
  <c r="X74" i="1" l="1"/>
  <c r="X31" i="1"/>
  <c r="X91" i="1" s="1"/>
  <c r="X71" i="1"/>
  <c r="X72" i="1"/>
  <c r="AB2" i="1"/>
  <c r="AA67" i="1"/>
  <c r="AA29" i="1"/>
  <c r="V56" i="1"/>
  <c r="AS60" i="5" s="1"/>
  <c r="AS62" i="5" s="1"/>
  <c r="AS88" i="5" s="1"/>
  <c r="AS90" i="5" s="1"/>
  <c r="W59" i="1"/>
  <c r="W85" i="1" s="1"/>
  <c r="W84" i="1"/>
  <c r="AV126" i="5"/>
  <c r="AU128" i="5"/>
  <c r="X41" i="1"/>
  <c r="AU39" i="5"/>
  <c r="AU40" i="5" s="1"/>
  <c r="AU79" i="5"/>
  <c r="AT57" i="5"/>
  <c r="AU84" i="5"/>
  <c r="AU80" i="5"/>
  <c r="AT58" i="1"/>
  <c r="AU58" i="1" s="1"/>
  <c r="BP61" i="5"/>
  <c r="AU114" i="5"/>
  <c r="AU115" i="5" s="1"/>
  <c r="AU76" i="5" s="1"/>
  <c r="AV35" i="5"/>
  <c r="Z37" i="1"/>
  <c r="AA34" i="1"/>
  <c r="AW30" i="5"/>
  <c r="AW106" i="5" s="1"/>
  <c r="AV29" i="5"/>
  <c r="AV33" i="5" s="1"/>
  <c r="Z33" i="1"/>
  <c r="Y32" i="1"/>
  <c r="Z52" i="1"/>
  <c r="AV55" i="5"/>
  <c r="Z54" i="1"/>
  <c r="AV52" i="5"/>
  <c r="AA35" i="1"/>
  <c r="AW32" i="5"/>
  <c r="AW108" i="5" s="1"/>
  <c r="Z39" i="1"/>
  <c r="AV38" i="5"/>
  <c r="AU56" i="5"/>
  <c r="AV45" i="5"/>
  <c r="AV109" i="5" s="1"/>
  <c r="Z43" i="1"/>
  <c r="Y42" i="1"/>
  <c r="Y73" i="1" s="1"/>
  <c r="Z53" i="1"/>
  <c r="AV54" i="5"/>
  <c r="Z46" i="1"/>
  <c r="AV48" i="5"/>
  <c r="AV112" i="5" s="1"/>
  <c r="Z49" i="1"/>
  <c r="AV46" i="5"/>
  <c r="AV110" i="5" s="1"/>
  <c r="AA40" i="1"/>
  <c r="AW36" i="5"/>
  <c r="Y50" i="1"/>
  <c r="AV53" i="5"/>
  <c r="Z51" i="1"/>
  <c r="Z47" i="1"/>
  <c r="AV49" i="5"/>
  <c r="AV113" i="5" s="1"/>
  <c r="Z38" i="1"/>
  <c r="AV37" i="5"/>
  <c r="Y36" i="1"/>
  <c r="Z48" i="1"/>
  <c r="AV47" i="5"/>
  <c r="AV111" i="5" s="1"/>
  <c r="AU50" i="5"/>
  <c r="S60" i="1"/>
  <c r="AP60" i="5"/>
  <c r="AP62" i="5" s="1"/>
  <c r="AQ88" i="5" s="1"/>
  <c r="AQ90" i="5" s="1"/>
  <c r="AT115" i="5"/>
  <c r="AT76" i="5" s="1"/>
  <c r="Z45" i="1"/>
  <c r="AV44" i="5"/>
  <c r="D38" i="10"/>
  <c r="D40" i="10"/>
  <c r="D41" i="10"/>
  <c r="D42" i="10"/>
  <c r="D43" i="10"/>
  <c r="D44" i="10"/>
  <c r="D45" i="10"/>
  <c r="D46" i="10"/>
  <c r="D47" i="10"/>
  <c r="D48" i="10"/>
  <c r="D37" i="10"/>
  <c r="V60" i="1" l="1"/>
  <c r="X59" i="1"/>
  <c r="X82" i="1"/>
  <c r="X83" i="1" s="1"/>
  <c r="X84" i="1"/>
  <c r="AC2" i="1"/>
  <c r="AB67" i="1"/>
  <c r="AB29" i="1"/>
  <c r="Y71" i="1"/>
  <c r="Y72" i="1"/>
  <c r="AV58" i="1"/>
  <c r="BR61" i="5"/>
  <c r="X70" i="1"/>
  <c r="Y74" i="1"/>
  <c r="W82" i="1"/>
  <c r="W83" i="1" s="1"/>
  <c r="W56" i="1"/>
  <c r="AT60" i="5" s="1"/>
  <c r="AT62" i="5" s="1"/>
  <c r="AS63" i="5"/>
  <c r="AS64" i="5" s="1"/>
  <c r="AV128" i="5"/>
  <c r="AW126" i="5"/>
  <c r="AV79" i="5"/>
  <c r="AV84" i="5"/>
  <c r="AU57" i="5"/>
  <c r="AV114" i="5"/>
  <c r="AV115" i="5" s="1"/>
  <c r="AV76" i="5" s="1"/>
  <c r="AV80" i="5"/>
  <c r="AW35" i="5"/>
  <c r="AA37" i="1"/>
  <c r="AT55" i="1"/>
  <c r="BQ61" i="5"/>
  <c r="AA46" i="1"/>
  <c r="AW48" i="5"/>
  <c r="AW112" i="5" s="1"/>
  <c r="AA54" i="1"/>
  <c r="AW52" i="5"/>
  <c r="AA38" i="1"/>
  <c r="AW37" i="5"/>
  <c r="Z36" i="1"/>
  <c r="AA45" i="1"/>
  <c r="AW44" i="5"/>
  <c r="Y41" i="1"/>
  <c r="Y70" i="1" s="1"/>
  <c r="AA52" i="1"/>
  <c r="AW55" i="5"/>
  <c r="AP63" i="5"/>
  <c r="AP64" i="5" s="1"/>
  <c r="AA53" i="1"/>
  <c r="AW54" i="5"/>
  <c r="AA47" i="1"/>
  <c r="AW49" i="5"/>
  <c r="AW113" i="5" s="1"/>
  <c r="AA49" i="1"/>
  <c r="AW46" i="5"/>
  <c r="AW110" i="5" s="1"/>
  <c r="AW45" i="5"/>
  <c r="AW109" i="5" s="1"/>
  <c r="Z42" i="1"/>
  <c r="Z73" i="1" s="1"/>
  <c r="AA43" i="1"/>
  <c r="AB35" i="1"/>
  <c r="AX32" i="5"/>
  <c r="Y31" i="1"/>
  <c r="Y91" i="1" s="1"/>
  <c r="AA48" i="1"/>
  <c r="AW47" i="5"/>
  <c r="AB34" i="1"/>
  <c r="AX30" i="5"/>
  <c r="AX106" i="5" s="1"/>
  <c r="AV50" i="5"/>
  <c r="AB40" i="1"/>
  <c r="AX36" i="5"/>
  <c r="AW53" i="5"/>
  <c r="AA51" i="1"/>
  <c r="Z50" i="1"/>
  <c r="AV39" i="5"/>
  <c r="AV40" i="5" s="1"/>
  <c r="AW29" i="5"/>
  <c r="AW33" i="5" s="1"/>
  <c r="AA33" i="1"/>
  <c r="Z32" i="1"/>
  <c r="AV56" i="5"/>
  <c r="AA39" i="1"/>
  <c r="AW38" i="5"/>
  <c r="D49" i="10"/>
  <c r="O5" i="10"/>
  <c r="C38" i="10" s="1"/>
  <c r="E38" i="10" s="1"/>
  <c r="F38" i="10" s="1"/>
  <c r="O6" i="10"/>
  <c r="C39" i="10" s="1"/>
  <c r="E39" i="10" s="1"/>
  <c r="O7" i="10"/>
  <c r="C40" i="10" s="1"/>
  <c r="E40" i="10" s="1"/>
  <c r="F40" i="10" s="1"/>
  <c r="O8" i="10"/>
  <c r="C41" i="10" s="1"/>
  <c r="E41" i="10" s="1"/>
  <c r="F41" i="10" s="1"/>
  <c r="O9" i="10"/>
  <c r="C42" i="10" s="1"/>
  <c r="E42" i="10" s="1"/>
  <c r="F42" i="10" s="1"/>
  <c r="O10" i="10"/>
  <c r="C43" i="10" s="1"/>
  <c r="E43" i="10" s="1"/>
  <c r="F43" i="10" s="1"/>
  <c r="O11" i="10"/>
  <c r="C44" i="10" s="1"/>
  <c r="E44" i="10" s="1"/>
  <c r="F44" i="10" s="1"/>
  <c r="O12" i="10"/>
  <c r="O13" i="10"/>
  <c r="O14" i="10"/>
  <c r="C46" i="10" s="1"/>
  <c r="E46" i="10" s="1"/>
  <c r="F46" i="10" s="1"/>
  <c r="O15" i="10"/>
  <c r="C47" i="10" s="1"/>
  <c r="E47" i="10" s="1"/>
  <c r="F47" i="10" s="1"/>
  <c r="O16" i="10"/>
  <c r="C48" i="10" s="1"/>
  <c r="E48" i="10" s="1"/>
  <c r="O17" i="10"/>
  <c r="O4" i="10"/>
  <c r="C37" i="10" s="1"/>
  <c r="W60" i="1" l="1"/>
  <c r="Z74" i="1"/>
  <c r="AV55" i="1"/>
  <c r="BS61" i="5"/>
  <c r="AT63" i="5"/>
  <c r="AT64" i="5" s="1"/>
  <c r="AT88" i="5"/>
  <c r="AT90" i="5" s="1"/>
  <c r="Z71" i="1"/>
  <c r="Z72" i="1"/>
  <c r="Y59" i="1"/>
  <c r="Y85" i="1" s="1"/>
  <c r="Y84" i="1"/>
  <c r="AE2" i="1"/>
  <c r="AC67" i="1"/>
  <c r="AC29" i="1"/>
  <c r="AW79" i="5"/>
  <c r="X56" i="1"/>
  <c r="X85" i="1"/>
  <c r="AX126" i="5"/>
  <c r="AW128" i="5"/>
  <c r="AW80" i="5"/>
  <c r="AW84" i="5"/>
  <c r="BQ62" i="5"/>
  <c r="AX35" i="5"/>
  <c r="AB37" i="1"/>
  <c r="AT59" i="1"/>
  <c r="AT84" i="1"/>
  <c r="AT90" i="1"/>
  <c r="AB53" i="1"/>
  <c r="AX54" i="5"/>
  <c r="AB39" i="1"/>
  <c r="AX38" i="5"/>
  <c r="AB47" i="1"/>
  <c r="AX49" i="5"/>
  <c r="AX113" i="5" s="1"/>
  <c r="AB38" i="1"/>
  <c r="AX37" i="5"/>
  <c r="AA36" i="1"/>
  <c r="AB52" i="1"/>
  <c r="AX55" i="5"/>
  <c r="AX45" i="5"/>
  <c r="AX109" i="5" s="1"/>
  <c r="AA42" i="1"/>
  <c r="AA73" i="1" s="1"/>
  <c r="AB43" i="1"/>
  <c r="AW56" i="5"/>
  <c r="AX53" i="5"/>
  <c r="AA50" i="1"/>
  <c r="AB51" i="1"/>
  <c r="AB46" i="1"/>
  <c r="AX48" i="5"/>
  <c r="AX112" i="5" s="1"/>
  <c r="AX29" i="5"/>
  <c r="AX33" i="5" s="1"/>
  <c r="AA32" i="1"/>
  <c r="AB33" i="1"/>
  <c r="AC34" i="1"/>
  <c r="AY30" i="5"/>
  <c r="AY106" i="5" s="1"/>
  <c r="Z41" i="1"/>
  <c r="Z70" i="1" s="1"/>
  <c r="AW39" i="5"/>
  <c r="AW40" i="5" s="1"/>
  <c r="AB48" i="1"/>
  <c r="AX47" i="5"/>
  <c r="AX111" i="5" s="1"/>
  <c r="AC40" i="1"/>
  <c r="AY36" i="5"/>
  <c r="AB49" i="1"/>
  <c r="AX46" i="5"/>
  <c r="AX110" i="5" s="1"/>
  <c r="AX108" i="5"/>
  <c r="AV57" i="5"/>
  <c r="AC35" i="1"/>
  <c r="AY32" i="5"/>
  <c r="AY108" i="5" s="1"/>
  <c r="Z31" i="1"/>
  <c r="Z91" i="1" s="1"/>
  <c r="AW50" i="5"/>
  <c r="AW111" i="5"/>
  <c r="AW114" i="5" s="1"/>
  <c r="AB45" i="1"/>
  <c r="AX44" i="5"/>
  <c r="AB54" i="1"/>
  <c r="AX52" i="5"/>
  <c r="E37" i="10"/>
  <c r="C45" i="10"/>
  <c r="E45" i="10" s="1"/>
  <c r="F45" i="10" s="1"/>
  <c r="N62" i="5"/>
  <c r="I2" i="5"/>
  <c r="M2" i="5"/>
  <c r="Z1" i="5"/>
  <c r="AD2" i="5" s="1"/>
  <c r="E23" i="5"/>
  <c r="S1" i="5"/>
  <c r="V2" i="5" s="1"/>
  <c r="G23" i="5"/>
  <c r="H23" i="5"/>
  <c r="I23" i="5"/>
  <c r="M70" i="5"/>
  <c r="L102" i="5"/>
  <c r="X1" i="5"/>
  <c r="AK1" i="5" s="1"/>
  <c r="AO2" i="5" s="1"/>
  <c r="E70" i="5"/>
  <c r="D102" i="5"/>
  <c r="P1" i="5"/>
  <c r="S2" i="5" s="1"/>
  <c r="O1" i="5"/>
  <c r="R2" i="5" s="1"/>
  <c r="AA1" i="5"/>
  <c r="AA102" i="5" s="1"/>
  <c r="AA122" i="5"/>
  <c r="Y1" i="5"/>
  <c r="AC2" i="5" s="1"/>
  <c r="R1" i="5"/>
  <c r="U2" i="5" s="1"/>
  <c r="Q1" i="5"/>
  <c r="T2" i="5" s="1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N115" i="5"/>
  <c r="N114" i="5"/>
  <c r="N102" i="5"/>
  <c r="M102" i="5"/>
  <c r="F102" i="5"/>
  <c r="E102" i="5"/>
  <c r="N93" i="5"/>
  <c r="N89" i="5"/>
  <c r="N88" i="5"/>
  <c r="N87" i="5"/>
  <c r="N85" i="5"/>
  <c r="M76" i="5"/>
  <c r="L76" i="5"/>
  <c r="K76" i="5"/>
  <c r="J76" i="5"/>
  <c r="I76" i="5"/>
  <c r="H76" i="5"/>
  <c r="G76" i="5"/>
  <c r="F76" i="5"/>
  <c r="E76" i="5"/>
  <c r="D76" i="5"/>
  <c r="C76" i="5"/>
  <c r="B76" i="5"/>
  <c r="N70" i="5"/>
  <c r="M61" i="5"/>
  <c r="L61" i="5"/>
  <c r="K61" i="5"/>
  <c r="J61" i="5"/>
  <c r="I61" i="5"/>
  <c r="H61" i="5"/>
  <c r="G61" i="5"/>
  <c r="F61" i="5"/>
  <c r="E61" i="5"/>
  <c r="D61" i="5"/>
  <c r="C61" i="5"/>
  <c r="B61" i="5"/>
  <c r="M60" i="5"/>
  <c r="L60" i="5"/>
  <c r="L62" i="5" s="1"/>
  <c r="K60" i="5"/>
  <c r="J60" i="5"/>
  <c r="I60" i="5"/>
  <c r="H60" i="5"/>
  <c r="G60" i="5"/>
  <c r="G62" i="5" s="1"/>
  <c r="F60" i="5"/>
  <c r="F62" i="5" s="1"/>
  <c r="E60" i="5"/>
  <c r="D60" i="5"/>
  <c r="D62" i="5" s="1"/>
  <c r="C60" i="5"/>
  <c r="B60" i="5"/>
  <c r="B55" i="5"/>
  <c r="C55" i="5" s="1"/>
  <c r="D55" i="5" s="1"/>
  <c r="E55" i="5" s="1"/>
  <c r="F55" i="5" s="1"/>
  <c r="G55" i="5" s="1"/>
  <c r="H55" i="5" s="1"/>
  <c r="I55" i="5" s="1"/>
  <c r="J55" i="5" s="1"/>
  <c r="K55" i="5" s="1"/>
  <c r="L55" i="5" s="1"/>
  <c r="M55" i="5" s="1"/>
  <c r="N55" i="5" s="1"/>
  <c r="B54" i="5"/>
  <c r="B53" i="5"/>
  <c r="B52" i="5"/>
  <c r="B49" i="5"/>
  <c r="C49" i="5" s="1"/>
  <c r="D49" i="5" s="1"/>
  <c r="E49" i="5" s="1"/>
  <c r="F49" i="5" s="1"/>
  <c r="G49" i="5" s="1"/>
  <c r="H49" i="5" s="1"/>
  <c r="I49" i="5" s="1"/>
  <c r="J49" i="5" s="1"/>
  <c r="K49" i="5" s="1"/>
  <c r="L49" i="5" s="1"/>
  <c r="M49" i="5" s="1"/>
  <c r="N49" i="5" s="1"/>
  <c r="B48" i="5"/>
  <c r="C48" i="5" s="1"/>
  <c r="D48" i="5" s="1"/>
  <c r="E48" i="5" s="1"/>
  <c r="F48" i="5" s="1"/>
  <c r="G48" i="5" s="1"/>
  <c r="H48" i="5" s="1"/>
  <c r="I48" i="5" s="1"/>
  <c r="J48" i="5" s="1"/>
  <c r="K48" i="5" s="1"/>
  <c r="L48" i="5" s="1"/>
  <c r="M48" i="5" s="1"/>
  <c r="N48" i="5" s="1"/>
  <c r="N112" i="5" s="1"/>
  <c r="B47" i="5"/>
  <c r="C47" i="5" s="1"/>
  <c r="D47" i="5" s="1"/>
  <c r="E47" i="5" s="1"/>
  <c r="F47" i="5" s="1"/>
  <c r="G47" i="5" s="1"/>
  <c r="H47" i="5" s="1"/>
  <c r="I47" i="5" s="1"/>
  <c r="J47" i="5" s="1"/>
  <c r="K47" i="5" s="1"/>
  <c r="L47" i="5" s="1"/>
  <c r="M47" i="5" s="1"/>
  <c r="N47" i="5" s="1"/>
  <c r="N111" i="5" s="1"/>
  <c r="B46" i="5"/>
  <c r="C46" i="5" s="1"/>
  <c r="D46" i="5" s="1"/>
  <c r="E46" i="5" s="1"/>
  <c r="F46" i="5" s="1"/>
  <c r="G46" i="5" s="1"/>
  <c r="H46" i="5" s="1"/>
  <c r="I46" i="5" s="1"/>
  <c r="J46" i="5" s="1"/>
  <c r="K46" i="5" s="1"/>
  <c r="L46" i="5" s="1"/>
  <c r="M46" i="5" s="1"/>
  <c r="N46" i="5" s="1"/>
  <c r="N110" i="5" s="1"/>
  <c r="B45" i="5"/>
  <c r="C45" i="5" s="1"/>
  <c r="D45" i="5" s="1"/>
  <c r="E45" i="5" s="1"/>
  <c r="F45" i="5" s="1"/>
  <c r="G45" i="5" s="1"/>
  <c r="H45" i="5" s="1"/>
  <c r="I45" i="5" s="1"/>
  <c r="J45" i="5" s="1"/>
  <c r="K45" i="5" s="1"/>
  <c r="L45" i="5" s="1"/>
  <c r="M45" i="5" s="1"/>
  <c r="N45" i="5" s="1"/>
  <c r="N109" i="5" s="1"/>
  <c r="B44" i="5"/>
  <c r="C44" i="5" s="1"/>
  <c r="B38" i="5"/>
  <c r="C38" i="5" s="1"/>
  <c r="D38" i="5" s="1"/>
  <c r="E38" i="5" s="1"/>
  <c r="F38" i="5" s="1"/>
  <c r="G38" i="5" s="1"/>
  <c r="H38" i="5" s="1"/>
  <c r="I38" i="5" s="1"/>
  <c r="J38" i="5" s="1"/>
  <c r="K38" i="5" s="1"/>
  <c r="L38" i="5" s="1"/>
  <c r="M38" i="5" s="1"/>
  <c r="N38" i="5" s="1"/>
  <c r="B37" i="5"/>
  <c r="C37" i="5" s="1"/>
  <c r="B36" i="5"/>
  <c r="B35" i="5"/>
  <c r="C35" i="5" s="1"/>
  <c r="B32" i="5"/>
  <c r="C32" i="5" s="1"/>
  <c r="D32" i="5" s="1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N108" i="5" s="1"/>
  <c r="B31" i="5"/>
  <c r="C31" i="5" s="1"/>
  <c r="D31" i="5" s="1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N107" i="5" s="1"/>
  <c r="B30" i="5"/>
  <c r="C30" i="5" s="1"/>
  <c r="D30" i="5" s="1"/>
  <c r="B29" i="5"/>
  <c r="C29" i="5" s="1"/>
  <c r="D29" i="5" s="1"/>
  <c r="E29" i="5" s="1"/>
  <c r="F29" i="5" s="1"/>
  <c r="N23" i="5"/>
  <c r="M23" i="5"/>
  <c r="L23" i="5"/>
  <c r="K23" i="5"/>
  <c r="F23" i="5"/>
  <c r="D23" i="5"/>
  <c r="C23" i="5"/>
  <c r="B23" i="5"/>
  <c r="M14" i="5"/>
  <c r="M77" i="5" s="1"/>
  <c r="L14" i="5"/>
  <c r="L77" i="5" s="1"/>
  <c r="K14" i="5"/>
  <c r="K77" i="5" s="1"/>
  <c r="J14" i="5"/>
  <c r="J77" i="5" s="1"/>
  <c r="I14" i="5"/>
  <c r="I77" i="5" s="1"/>
  <c r="H14" i="5"/>
  <c r="H77" i="5" s="1"/>
  <c r="G14" i="5"/>
  <c r="G77" i="5" s="1"/>
  <c r="F14" i="5"/>
  <c r="F77" i="5" s="1"/>
  <c r="E14" i="5"/>
  <c r="E77" i="5" s="1"/>
  <c r="D14" i="5"/>
  <c r="D77" i="5" s="1"/>
  <c r="C14" i="5"/>
  <c r="C77" i="5" s="1"/>
  <c r="B14" i="5"/>
  <c r="B77" i="5" s="1"/>
  <c r="M12" i="5"/>
  <c r="M86" i="5" s="1"/>
  <c r="L12" i="5"/>
  <c r="L86" i="5" s="1"/>
  <c r="K12" i="5"/>
  <c r="K86" i="5" s="1"/>
  <c r="J12" i="5"/>
  <c r="J86" i="5" s="1"/>
  <c r="I12" i="5"/>
  <c r="I86" i="5" s="1"/>
  <c r="H12" i="5"/>
  <c r="H86" i="5" s="1"/>
  <c r="G12" i="5"/>
  <c r="G86" i="5" s="1"/>
  <c r="F12" i="5"/>
  <c r="F86" i="5" s="1"/>
  <c r="E12" i="5"/>
  <c r="E86" i="5" s="1"/>
  <c r="D12" i="5"/>
  <c r="D86" i="5" s="1"/>
  <c r="C12" i="5"/>
  <c r="C86" i="5" s="1"/>
  <c r="B12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6" i="5"/>
  <c r="L6" i="5"/>
  <c r="K6" i="5"/>
  <c r="J6" i="5"/>
  <c r="I6" i="5"/>
  <c r="H6" i="5"/>
  <c r="G6" i="5"/>
  <c r="F6" i="5"/>
  <c r="E6" i="5"/>
  <c r="D6" i="5"/>
  <c r="C6" i="5"/>
  <c r="B6" i="5"/>
  <c r="M5" i="5"/>
  <c r="M7" i="5" s="1"/>
  <c r="L5" i="5"/>
  <c r="K5" i="5"/>
  <c r="J5" i="5"/>
  <c r="I5" i="5"/>
  <c r="H5" i="5"/>
  <c r="G5" i="5"/>
  <c r="F5" i="5"/>
  <c r="E5" i="5"/>
  <c r="E7" i="5" s="1"/>
  <c r="D5" i="5"/>
  <c r="C5" i="5"/>
  <c r="B5" i="5"/>
  <c r="H2" i="5"/>
  <c r="G2" i="5"/>
  <c r="F2" i="5"/>
  <c r="E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G168" i="2"/>
  <c r="C116" i="2"/>
  <c r="D116" i="2"/>
  <c r="E116" i="2"/>
  <c r="G116" i="2"/>
  <c r="I116" i="2"/>
  <c r="J116" i="2"/>
  <c r="K116" i="2"/>
  <c r="B116" i="2"/>
  <c r="W1" i="5"/>
  <c r="Z2" i="5" s="1"/>
  <c r="J23" i="5"/>
  <c r="F70" i="5"/>
  <c r="G70" i="5"/>
  <c r="H70" i="5"/>
  <c r="G102" i="5"/>
  <c r="I70" i="5"/>
  <c r="H102" i="5"/>
  <c r="T1" i="5"/>
  <c r="W2" i="5" s="1"/>
  <c r="B70" i="5"/>
  <c r="J70" i="5"/>
  <c r="I102" i="5"/>
  <c r="U1" i="5"/>
  <c r="X2" i="5" s="1"/>
  <c r="J2" i="5"/>
  <c r="C70" i="5"/>
  <c r="K70" i="5"/>
  <c r="B102" i="5"/>
  <c r="J102" i="5"/>
  <c r="V1" i="5"/>
  <c r="Y2" i="5" s="1"/>
  <c r="K2" i="5"/>
  <c r="D70" i="5"/>
  <c r="L70" i="5"/>
  <c r="C102" i="5"/>
  <c r="K102" i="5"/>
  <c r="L2" i="5"/>
  <c r="B86" i="5"/>
  <c r="C52" i="5"/>
  <c r="D52" i="5" s="1"/>
  <c r="E52" i="5" s="1"/>
  <c r="F52" i="5" s="1"/>
  <c r="G52" i="5" s="1"/>
  <c r="DO55" i="4"/>
  <c r="BZ10" i="5"/>
  <c r="BY10" i="5"/>
  <c r="BX10" i="5"/>
  <c r="BW10" i="5"/>
  <c r="BX77" i="5"/>
  <c r="BV77" i="5"/>
  <c r="BU77" i="5"/>
  <c r="BZ77" i="5"/>
  <c r="BZ8" i="5"/>
  <c r="BY8" i="5"/>
  <c r="BX8" i="5"/>
  <c r="BW8" i="5"/>
  <c r="BU8" i="5"/>
  <c r="BV8" i="5"/>
  <c r="BY5" i="5"/>
  <c r="DL10" i="4"/>
  <c r="DL11" i="4"/>
  <c r="DL12" i="4"/>
  <c r="DK5" i="4"/>
  <c r="DK9" i="4"/>
  <c r="DK10" i="4"/>
  <c r="DK14" i="4"/>
  <c r="DK15" i="4"/>
  <c r="DK17" i="4"/>
  <c r="DK18" i="4"/>
  <c r="DK16" i="4"/>
  <c r="DK11" i="4"/>
  <c r="DK12" i="4"/>
  <c r="DJ12" i="4"/>
  <c r="DJ11" i="4"/>
  <c r="DJ16" i="4"/>
  <c r="DJ15" i="4"/>
  <c r="DJ17" i="4"/>
  <c r="DJ18" i="4"/>
  <c r="DJ10" i="4"/>
  <c r="DJ9" i="4"/>
  <c r="DJ5" i="4"/>
  <c r="AA70" i="5"/>
  <c r="O70" i="5"/>
  <c r="BA54" i="4"/>
  <c r="AO54" i="4"/>
  <c r="BN54" i="4"/>
  <c r="BB54" i="4"/>
  <c r="BB55" i="4" s="1"/>
  <c r="B75" i="5" s="1"/>
  <c r="B127" i="5" s="1"/>
  <c r="CA54" i="4"/>
  <c r="CA55" i="4"/>
  <c r="BO54" i="4"/>
  <c r="BO55" i="4" s="1"/>
  <c r="O75" i="5" s="1"/>
  <c r="O127" i="5" s="1"/>
  <c r="CN54" i="4"/>
  <c r="CN55" i="4" s="1"/>
  <c r="CB54" i="4"/>
  <c r="AA93" i="5"/>
  <c r="AA89" i="5"/>
  <c r="AA88" i="5"/>
  <c r="AA87" i="5"/>
  <c r="AA85" i="5"/>
  <c r="Z76" i="5"/>
  <c r="Y76" i="5"/>
  <c r="X76" i="5"/>
  <c r="W76" i="5"/>
  <c r="V76" i="5"/>
  <c r="U76" i="5"/>
  <c r="T76" i="5"/>
  <c r="S76" i="5"/>
  <c r="R76" i="5"/>
  <c r="Q76" i="5"/>
  <c r="P76" i="5"/>
  <c r="O76" i="5"/>
  <c r="B55" i="4"/>
  <c r="B54" i="4"/>
  <c r="C54" i="4" s="1"/>
  <c r="O55" i="4"/>
  <c r="O54" i="4"/>
  <c r="P54" i="4" s="1"/>
  <c r="Q54" i="4" s="1"/>
  <c r="AB55" i="4"/>
  <c r="AB54" i="4"/>
  <c r="AC54" i="4" s="1"/>
  <c r="CB55" i="4"/>
  <c r="AB75" i="5"/>
  <c r="AB127" i="5" s="1"/>
  <c r="CC54" i="4"/>
  <c r="CC55" i="4" s="1"/>
  <c r="AC75" i="5" s="1"/>
  <c r="AC127" i="5" s="1"/>
  <c r="AA115" i="5"/>
  <c r="AA114" i="5"/>
  <c r="AN95" i="5"/>
  <c r="AN93" i="5"/>
  <c r="AN89" i="5"/>
  <c r="AN88" i="5"/>
  <c r="AN87" i="5"/>
  <c r="AN85" i="5"/>
  <c r="BN89" i="5"/>
  <c r="BN87" i="5"/>
  <c r="BN85" i="5"/>
  <c r="I13" i="2"/>
  <c r="J13" i="2" s="1"/>
  <c r="K13" i="2" s="1"/>
  <c r="L13" i="2" s="1"/>
  <c r="EN51" i="5"/>
  <c r="EN44" i="5"/>
  <c r="EA51" i="5"/>
  <c r="EA44" i="5"/>
  <c r="DN51" i="5"/>
  <c r="DN44" i="5"/>
  <c r="DA51" i="5"/>
  <c r="DA44" i="5"/>
  <c r="CN44" i="5"/>
  <c r="CA85" i="5"/>
  <c r="CA87" i="5"/>
  <c r="CA89" i="5"/>
  <c r="CA93" i="5"/>
  <c r="DA54" i="4"/>
  <c r="DN55" i="4" s="1"/>
  <c r="CO54" i="4"/>
  <c r="CO55" i="4" s="1"/>
  <c r="AO75" i="5" s="1"/>
  <c r="CP54" i="4"/>
  <c r="CQ54" i="4" s="1"/>
  <c r="A52" i="5"/>
  <c r="A110" i="5"/>
  <c r="A111" i="5"/>
  <c r="A112" i="5"/>
  <c r="A113" i="5"/>
  <c r="A109" i="5"/>
  <c r="A107" i="5"/>
  <c r="A108" i="5"/>
  <c r="A106" i="5"/>
  <c r="V102" i="5"/>
  <c r="W102" i="5"/>
  <c r="X102" i="5"/>
  <c r="O102" i="5"/>
  <c r="P23" i="5"/>
  <c r="T23" i="5"/>
  <c r="Y23" i="5"/>
  <c r="AA23" i="5"/>
  <c r="O23" i="5"/>
  <c r="H69" i="2"/>
  <c r="I69" i="2"/>
  <c r="J69" i="2"/>
  <c r="K69" i="2"/>
  <c r="G69" i="2"/>
  <c r="BY77" i="5"/>
  <c r="BW77" i="5"/>
  <c r="G52" i="2"/>
  <c r="H52" i="2"/>
  <c r="I52" i="2"/>
  <c r="J52" i="2"/>
  <c r="K52" i="2"/>
  <c r="G17" i="2"/>
  <c r="H17" i="2"/>
  <c r="I17" i="2"/>
  <c r="J17" i="2"/>
  <c r="K17" i="2"/>
  <c r="AB46" i="5"/>
  <c r="AC46" i="5" s="1"/>
  <c r="AD46" i="5" s="1"/>
  <c r="O46" i="5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C17" i="2"/>
  <c r="D17" i="2"/>
  <c r="E17" i="2"/>
  <c r="B17" i="2"/>
  <c r="C69" i="2"/>
  <c r="D69" i="2"/>
  <c r="E69" i="2"/>
  <c r="B69" i="2"/>
  <c r="C52" i="2"/>
  <c r="D52" i="2"/>
  <c r="E52" i="2"/>
  <c r="B52" i="2"/>
  <c r="AN61" i="5"/>
  <c r="AN62" i="5" s="1"/>
  <c r="AL61" i="5"/>
  <c r="AK61" i="5"/>
  <c r="AJ61" i="5"/>
  <c r="AI61" i="5"/>
  <c r="AH61" i="5"/>
  <c r="AH62" i="5" s="1"/>
  <c r="AG61" i="5"/>
  <c r="AF61" i="5"/>
  <c r="AE61" i="5"/>
  <c r="AD61" i="5"/>
  <c r="AC61" i="5"/>
  <c r="AB61" i="5"/>
  <c r="AL60" i="5"/>
  <c r="AK60" i="5"/>
  <c r="AJ60" i="5"/>
  <c r="AI60" i="5"/>
  <c r="AH60" i="5"/>
  <c r="AG60" i="5"/>
  <c r="AF60" i="5"/>
  <c r="AE60" i="5"/>
  <c r="AD60" i="5"/>
  <c r="AC60" i="5"/>
  <c r="AB60" i="5"/>
  <c r="AB55" i="5"/>
  <c r="AC55" i="5" s="1"/>
  <c r="AD55" i="5" s="1"/>
  <c r="AE55" i="5" s="1"/>
  <c r="AF55" i="5" s="1"/>
  <c r="AG55" i="5" s="1"/>
  <c r="AH55" i="5" s="1"/>
  <c r="AI55" i="5" s="1"/>
  <c r="AJ55" i="5" s="1"/>
  <c r="AK55" i="5" s="1"/>
  <c r="AL55" i="5" s="1"/>
  <c r="AM55" i="5" s="1"/>
  <c r="AN55" i="5" s="1"/>
  <c r="AB54" i="5"/>
  <c r="AC54" i="5" s="1"/>
  <c r="AB53" i="5"/>
  <c r="AC53" i="5" s="1"/>
  <c r="AB52" i="5"/>
  <c r="AB56" i="5" s="1"/>
  <c r="AB49" i="5"/>
  <c r="AB48" i="5"/>
  <c r="AB47" i="5"/>
  <c r="AC47" i="5" s="1"/>
  <c r="AB45" i="5"/>
  <c r="AC45" i="5" s="1"/>
  <c r="AD45" i="5" s="1"/>
  <c r="AD109" i="5" s="1"/>
  <c r="AB44" i="5"/>
  <c r="AB38" i="5"/>
  <c r="AC38" i="5" s="1"/>
  <c r="AB37" i="5"/>
  <c r="AC37" i="5" s="1"/>
  <c r="AD37" i="5" s="1"/>
  <c r="AE37" i="5" s="1"/>
  <c r="AF37" i="5" s="1"/>
  <c r="AG37" i="5" s="1"/>
  <c r="AH37" i="5" s="1"/>
  <c r="AI37" i="5" s="1"/>
  <c r="AJ37" i="5" s="1"/>
  <c r="AK37" i="5" s="1"/>
  <c r="AL37" i="5" s="1"/>
  <c r="AM37" i="5" s="1"/>
  <c r="AN37" i="5" s="1"/>
  <c r="AB36" i="5"/>
  <c r="AC36" i="5" s="1"/>
  <c r="AD36" i="5" s="1"/>
  <c r="AE36" i="5" s="1"/>
  <c r="AF36" i="5" s="1"/>
  <c r="AG36" i="5" s="1"/>
  <c r="AH36" i="5" s="1"/>
  <c r="AI36" i="5" s="1"/>
  <c r="AJ36" i="5" s="1"/>
  <c r="AK36" i="5" s="1"/>
  <c r="AL36" i="5" s="1"/>
  <c r="AM36" i="5" s="1"/>
  <c r="AN36" i="5" s="1"/>
  <c r="AB35" i="5"/>
  <c r="AB32" i="5"/>
  <c r="AB108" i="5" s="1"/>
  <c r="AB31" i="5"/>
  <c r="AC31" i="5" s="1"/>
  <c r="AB30" i="5"/>
  <c r="AC30" i="5" s="1"/>
  <c r="AB29" i="5"/>
  <c r="A52" i="4"/>
  <c r="A51" i="4"/>
  <c r="BM107" i="5"/>
  <c r="P60" i="5"/>
  <c r="Q60" i="5"/>
  <c r="R60" i="5"/>
  <c r="R62" i="5" s="1"/>
  <c r="S60" i="5"/>
  <c r="T60" i="5"/>
  <c r="U60" i="5"/>
  <c r="V60" i="5"/>
  <c r="W60" i="5"/>
  <c r="X60" i="5"/>
  <c r="Y60" i="5"/>
  <c r="Z60" i="5"/>
  <c r="AA60" i="5" s="1"/>
  <c r="P61" i="5"/>
  <c r="Q61" i="5"/>
  <c r="R61" i="5"/>
  <c r="S61" i="5"/>
  <c r="T61" i="5"/>
  <c r="U61" i="5"/>
  <c r="V61" i="5"/>
  <c r="W61" i="5"/>
  <c r="X61" i="5"/>
  <c r="Y61" i="5"/>
  <c r="Z61" i="5"/>
  <c r="AA61" i="5" s="1"/>
  <c r="O61" i="5"/>
  <c r="O60" i="5"/>
  <c r="O53" i="5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O54" i="5"/>
  <c r="P54" i="5" s="1"/>
  <c r="O55" i="5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O52" i="5"/>
  <c r="O45" i="5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A109" i="5" s="1"/>
  <c r="O47" i="5"/>
  <c r="P47" i="5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A111" i="5" s="1"/>
  <c r="O48" i="5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A112" i="5" s="1"/>
  <c r="O49" i="5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O44" i="5"/>
  <c r="O37" i="5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O38" i="5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O36" i="5"/>
  <c r="P36" i="5" s="1"/>
  <c r="O35" i="5"/>
  <c r="O32" i="5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O30" i="5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A106" i="5" s="1"/>
  <c r="O31" i="5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A107" i="5" s="1"/>
  <c r="O29" i="5"/>
  <c r="AC32" i="5"/>
  <c r="AD32" i="5" s="1"/>
  <c r="AC49" i="5"/>
  <c r="AB113" i="5"/>
  <c r="AC44" i="5"/>
  <c r="AD44" i="5" s="1"/>
  <c r="BN107" i="5"/>
  <c r="V62" i="5"/>
  <c r="P52" i="5"/>
  <c r="AB5" i="5"/>
  <c r="AC5" i="5"/>
  <c r="AD5" i="5"/>
  <c r="AD7" i="5" s="1"/>
  <c r="AE5" i="5"/>
  <c r="AF5" i="5"/>
  <c r="AG5" i="5"/>
  <c r="AH5" i="5"/>
  <c r="AI5" i="5"/>
  <c r="AJ5" i="5"/>
  <c r="AK5" i="5"/>
  <c r="AL5" i="5"/>
  <c r="AM5" i="5"/>
  <c r="AB6" i="5"/>
  <c r="AC6" i="5"/>
  <c r="AD6" i="5"/>
  <c r="AE6" i="5"/>
  <c r="AF6" i="5"/>
  <c r="AG6" i="5"/>
  <c r="AH6" i="5"/>
  <c r="AH7" i="5" s="1"/>
  <c r="AI6" i="5"/>
  <c r="AJ6" i="5"/>
  <c r="AK6" i="5"/>
  <c r="AL6" i="5"/>
  <c r="AM6" i="5"/>
  <c r="AM7" i="5" s="1"/>
  <c r="AB8" i="5"/>
  <c r="AC8" i="5"/>
  <c r="AD8" i="5"/>
  <c r="AE8" i="5"/>
  <c r="AF8" i="5"/>
  <c r="AG8" i="5"/>
  <c r="AH8" i="5"/>
  <c r="AI8" i="5"/>
  <c r="AJ8" i="5"/>
  <c r="AK8" i="5"/>
  <c r="AL8" i="5"/>
  <c r="AM8" i="5"/>
  <c r="AB9" i="5"/>
  <c r="AC9" i="5"/>
  <c r="AD9" i="5"/>
  <c r="AE9" i="5"/>
  <c r="AF9" i="5"/>
  <c r="AG9" i="5"/>
  <c r="AH9" i="5"/>
  <c r="AI9" i="5"/>
  <c r="AJ9" i="5"/>
  <c r="AK9" i="5"/>
  <c r="AL9" i="5"/>
  <c r="AM9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B12" i="5"/>
  <c r="AB86" i="5" s="1"/>
  <c r="AC12" i="5"/>
  <c r="AC86" i="5" s="1"/>
  <c r="AD12" i="5"/>
  <c r="AD86" i="5" s="1"/>
  <c r="AE12" i="5"/>
  <c r="AE86" i="5" s="1"/>
  <c r="AF12" i="5"/>
  <c r="AF86" i="5" s="1"/>
  <c r="AG12" i="5"/>
  <c r="AG86" i="5" s="1"/>
  <c r="AH12" i="5"/>
  <c r="AH86" i="5" s="1"/>
  <c r="AI12" i="5"/>
  <c r="AI86" i="5" s="1"/>
  <c r="AJ12" i="5"/>
  <c r="AJ86" i="5" s="1"/>
  <c r="AK12" i="5"/>
  <c r="AK86" i="5" s="1"/>
  <c r="AL12" i="5"/>
  <c r="AL86" i="5" s="1"/>
  <c r="AM12" i="5"/>
  <c r="AM86" i="5" s="1"/>
  <c r="AB14" i="5"/>
  <c r="AB77" i="5" s="1"/>
  <c r="AC14" i="5"/>
  <c r="AC77" i="5" s="1"/>
  <c r="AD14" i="5"/>
  <c r="AD77" i="5" s="1"/>
  <c r="AE14" i="5"/>
  <c r="AE77" i="5" s="1"/>
  <c r="AF14" i="5"/>
  <c r="AF77" i="5" s="1"/>
  <c r="AG14" i="5"/>
  <c r="AG77" i="5" s="1"/>
  <c r="AH14" i="5"/>
  <c r="AH77" i="5" s="1"/>
  <c r="AI14" i="5"/>
  <c r="AI77" i="5" s="1"/>
  <c r="AJ14" i="5"/>
  <c r="AJ77" i="5" s="1"/>
  <c r="AK14" i="5"/>
  <c r="AK77" i="5" s="1"/>
  <c r="AL14" i="5"/>
  <c r="AL77" i="5" s="1"/>
  <c r="AM14" i="5"/>
  <c r="AM77" i="5" s="1"/>
  <c r="P5" i="5"/>
  <c r="P7" i="5" s="1"/>
  <c r="Q5" i="5"/>
  <c r="R5" i="5"/>
  <c r="S5" i="5"/>
  <c r="T5" i="5"/>
  <c r="U5" i="5"/>
  <c r="V5" i="5"/>
  <c r="W5" i="5"/>
  <c r="X5" i="5"/>
  <c r="Y5" i="5"/>
  <c r="Z5" i="5"/>
  <c r="P6" i="5"/>
  <c r="Q6" i="5"/>
  <c r="R6" i="5"/>
  <c r="S6" i="5"/>
  <c r="T6" i="5"/>
  <c r="U6" i="5"/>
  <c r="V6" i="5"/>
  <c r="W6" i="5"/>
  <c r="X6" i="5"/>
  <c r="Y6" i="5"/>
  <c r="Z6" i="5"/>
  <c r="P8" i="5"/>
  <c r="Q8" i="5"/>
  <c r="R8" i="5"/>
  <c r="S8" i="5"/>
  <c r="T8" i="5"/>
  <c r="U8" i="5"/>
  <c r="V8" i="5"/>
  <c r="W8" i="5"/>
  <c r="X8" i="5"/>
  <c r="Y8" i="5"/>
  <c r="Z8" i="5"/>
  <c r="P9" i="5"/>
  <c r="Q9" i="5"/>
  <c r="R9" i="5"/>
  <c r="S9" i="5"/>
  <c r="T9" i="5"/>
  <c r="U9" i="5"/>
  <c r="V9" i="5"/>
  <c r="W9" i="5"/>
  <c r="X9" i="5"/>
  <c r="Y9" i="5"/>
  <c r="Z9" i="5"/>
  <c r="P10" i="5"/>
  <c r="Q10" i="5"/>
  <c r="R10" i="5"/>
  <c r="S10" i="5"/>
  <c r="T10" i="5"/>
  <c r="U10" i="5"/>
  <c r="V10" i="5"/>
  <c r="W10" i="5"/>
  <c r="X10" i="5"/>
  <c r="Y10" i="5"/>
  <c r="Z10" i="5"/>
  <c r="P12" i="5"/>
  <c r="P86" i="5" s="1"/>
  <c r="Q12" i="5"/>
  <c r="Q86" i="5" s="1"/>
  <c r="R12" i="5"/>
  <c r="R86" i="5" s="1"/>
  <c r="S12" i="5"/>
  <c r="S86" i="5" s="1"/>
  <c r="T12" i="5"/>
  <c r="T86" i="5" s="1"/>
  <c r="U12" i="5"/>
  <c r="U86" i="5" s="1"/>
  <c r="V12" i="5"/>
  <c r="V86" i="5" s="1"/>
  <c r="W12" i="5"/>
  <c r="W86" i="5" s="1"/>
  <c r="X12" i="5"/>
  <c r="X86" i="5" s="1"/>
  <c r="Y12" i="5"/>
  <c r="Y86" i="5" s="1"/>
  <c r="Z12" i="5"/>
  <c r="Z86" i="5" s="1"/>
  <c r="P14" i="5"/>
  <c r="P77" i="5" s="1"/>
  <c r="Q14" i="5"/>
  <c r="Q77" i="5" s="1"/>
  <c r="R14" i="5"/>
  <c r="R77" i="5" s="1"/>
  <c r="S14" i="5"/>
  <c r="S77" i="5" s="1"/>
  <c r="T14" i="5"/>
  <c r="T77" i="5" s="1"/>
  <c r="U14" i="5"/>
  <c r="U77" i="5" s="1"/>
  <c r="V14" i="5"/>
  <c r="V77" i="5" s="1"/>
  <c r="W14" i="5"/>
  <c r="W77" i="5" s="1"/>
  <c r="X14" i="5"/>
  <c r="X77" i="5" s="1"/>
  <c r="Y14" i="5"/>
  <c r="Y77" i="5" s="1"/>
  <c r="Z14" i="5"/>
  <c r="Z77" i="5" s="1"/>
  <c r="O14" i="5"/>
  <c r="O77" i="5" s="1"/>
  <c r="O12" i="5"/>
  <c r="O86" i="5" s="1"/>
  <c r="O10" i="5"/>
  <c r="O9" i="5"/>
  <c r="O8" i="5"/>
  <c r="O6" i="5"/>
  <c r="O5" i="5"/>
  <c r="DK2" i="4"/>
  <c r="DL2" i="4"/>
  <c r="BM77" i="5"/>
  <c r="AN1" i="5"/>
  <c r="AN70" i="5" s="1"/>
  <c r="AC1" i="5"/>
  <c r="AP1" i="5" s="1"/>
  <c r="AE1" i="5"/>
  <c r="AE122" i="5" s="1"/>
  <c r="AG1" i="5"/>
  <c r="AT1" i="5" s="1"/>
  <c r="AH1" i="5"/>
  <c r="AU1" i="5" s="1"/>
  <c r="AU122" i="5" s="1"/>
  <c r="AJ1" i="5"/>
  <c r="AJ122" i="5" s="1"/>
  <c r="AB1" i="5"/>
  <c r="AE2" i="5" s="1"/>
  <c r="AO1" i="5"/>
  <c r="AR2" i="5" s="1"/>
  <c r="AF7" i="5"/>
  <c r="C45" i="1"/>
  <c r="AW45" i="1" s="1"/>
  <c r="BT44" i="5" s="1"/>
  <c r="C55" i="1"/>
  <c r="C33" i="1"/>
  <c r="C34" i="1"/>
  <c r="AW34" i="1" s="1"/>
  <c r="BT30" i="5" s="1"/>
  <c r="C35" i="1"/>
  <c r="AW35" i="1" s="1"/>
  <c r="BT32" i="5" s="1"/>
  <c r="C37" i="1"/>
  <c r="AW37" i="1" s="1"/>
  <c r="C38" i="1"/>
  <c r="C39" i="1"/>
  <c r="C40" i="1"/>
  <c r="C41" i="1"/>
  <c r="C42" i="1"/>
  <c r="AG42" i="1" s="1"/>
  <c r="C43" i="1"/>
  <c r="C44" i="1"/>
  <c r="AW44" i="1" s="1"/>
  <c r="C46" i="1"/>
  <c r="AW46" i="1" s="1"/>
  <c r="BT48" i="5" s="1"/>
  <c r="C47" i="1"/>
  <c r="AW47" i="1" s="1"/>
  <c r="BT49" i="5" s="1"/>
  <c r="C48" i="1"/>
  <c r="C49" i="1"/>
  <c r="C50" i="1"/>
  <c r="AE50" i="1" s="1"/>
  <c r="C51" i="1"/>
  <c r="C52" i="1"/>
  <c r="C53" i="1"/>
  <c r="AW53" i="1" s="1"/>
  <c r="BT54" i="5" s="1"/>
  <c r="C54" i="1"/>
  <c r="AW54" i="1" s="1"/>
  <c r="BT52" i="5" s="1"/>
  <c r="C56" i="1"/>
  <c r="AW56" i="1" s="1"/>
  <c r="C57" i="1"/>
  <c r="C31" i="1"/>
  <c r="AG31" i="1" s="1"/>
  <c r="AF6" i="1"/>
  <c r="AF5" i="1" s="1"/>
  <c r="AG6" i="1"/>
  <c r="AH6" i="1"/>
  <c r="AI6" i="1"/>
  <c r="AJ6" i="1"/>
  <c r="AE8" i="1"/>
  <c r="BB6" i="5" s="1"/>
  <c r="AF8" i="1"/>
  <c r="BC6" i="5" s="1"/>
  <c r="AG8" i="1"/>
  <c r="BD6" i="5" s="1"/>
  <c r="BD17" i="5" s="1"/>
  <c r="AH8" i="1"/>
  <c r="BE6" i="5" s="1"/>
  <c r="BE17" i="5" s="1"/>
  <c r="AI8" i="1"/>
  <c r="BF6" i="5" s="1"/>
  <c r="BF17" i="5" s="1"/>
  <c r="AJ8" i="1"/>
  <c r="BG6" i="5" s="1"/>
  <c r="BG17" i="5" s="1"/>
  <c r="DH5" i="4"/>
  <c r="DI5" i="4"/>
  <c r="AE10" i="1"/>
  <c r="BB8" i="5" s="1"/>
  <c r="AF10" i="1"/>
  <c r="BC8" i="5" s="1"/>
  <c r="AG10" i="1"/>
  <c r="BD8" i="5" s="1"/>
  <c r="AH10" i="1"/>
  <c r="BE8" i="5" s="1"/>
  <c r="AI10" i="1"/>
  <c r="BF8" i="5" s="1"/>
  <c r="AJ10" i="1"/>
  <c r="BG8" i="5" s="1"/>
  <c r="DH9" i="4"/>
  <c r="DI9" i="4"/>
  <c r="AE11" i="1"/>
  <c r="BB9" i="5" s="1"/>
  <c r="AF11" i="1"/>
  <c r="BC9" i="5" s="1"/>
  <c r="AG11" i="1"/>
  <c r="BD9" i="5" s="1"/>
  <c r="AH11" i="1"/>
  <c r="BE9" i="5" s="1"/>
  <c r="AI11" i="1"/>
  <c r="BF9" i="5" s="1"/>
  <c r="AJ11" i="1"/>
  <c r="BG9" i="5" s="1"/>
  <c r="DH10" i="4"/>
  <c r="DI10" i="4"/>
  <c r="AE13" i="1"/>
  <c r="AF13" i="1"/>
  <c r="AG13" i="1"/>
  <c r="AH13" i="1"/>
  <c r="AI13" i="1"/>
  <c r="AJ13" i="1"/>
  <c r="DH14" i="4"/>
  <c r="DI14" i="4"/>
  <c r="AE15" i="1"/>
  <c r="AF15" i="1"/>
  <c r="DC15" i="4" s="1"/>
  <c r="AG15" i="1"/>
  <c r="DD15" i="4" s="1"/>
  <c r="AH15" i="1"/>
  <c r="DE15" i="4" s="1"/>
  <c r="AI15" i="1"/>
  <c r="DF15" i="4" s="1"/>
  <c r="AJ15" i="1"/>
  <c r="DG15" i="4" s="1"/>
  <c r="DH15" i="4"/>
  <c r="DI15" i="4"/>
  <c r="AE16" i="1"/>
  <c r="AF16" i="1"/>
  <c r="DC17" i="4" s="1"/>
  <c r="AG16" i="1"/>
  <c r="DD17" i="4" s="1"/>
  <c r="AH16" i="1"/>
  <c r="DE17" i="4" s="1"/>
  <c r="AI16" i="1"/>
  <c r="DF17" i="4" s="1"/>
  <c r="AJ16" i="1"/>
  <c r="DG17" i="4" s="1"/>
  <c r="DH17" i="4"/>
  <c r="DI17" i="4"/>
  <c r="AE17" i="1"/>
  <c r="AF17" i="1"/>
  <c r="DC18" i="4" s="1"/>
  <c r="AG17" i="1"/>
  <c r="DD18" i="4" s="1"/>
  <c r="AH17" i="1"/>
  <c r="DE18" i="4" s="1"/>
  <c r="AI17" i="1"/>
  <c r="DF18" i="4" s="1"/>
  <c r="AJ17" i="1"/>
  <c r="DG18" i="4" s="1"/>
  <c r="DH18" i="4"/>
  <c r="DI18" i="4"/>
  <c r="AE19" i="1"/>
  <c r="AF19" i="1"/>
  <c r="AG19" i="1"/>
  <c r="AH19" i="1"/>
  <c r="AI19" i="1"/>
  <c r="AJ19" i="1"/>
  <c r="DH16" i="4"/>
  <c r="DI16" i="4"/>
  <c r="AE20" i="1"/>
  <c r="AF20" i="1"/>
  <c r="DC11" i="4" s="1"/>
  <c r="AG20" i="1"/>
  <c r="DD11" i="4" s="1"/>
  <c r="AH20" i="1"/>
  <c r="DE11" i="4" s="1"/>
  <c r="AI20" i="1"/>
  <c r="DF11" i="4" s="1"/>
  <c r="AJ20" i="1"/>
  <c r="DG11" i="4" s="1"/>
  <c r="DH11" i="4"/>
  <c r="DI11" i="4"/>
  <c r="AE22" i="1"/>
  <c r="BB14" i="5" s="1"/>
  <c r="AF22" i="1"/>
  <c r="BC14" i="5" s="1"/>
  <c r="AG22" i="1"/>
  <c r="BD14" i="5" s="1"/>
  <c r="AH22" i="1"/>
  <c r="BE14" i="5" s="1"/>
  <c r="AI22" i="1"/>
  <c r="BF14" i="5" s="1"/>
  <c r="AJ22" i="1"/>
  <c r="BG14" i="5" s="1"/>
  <c r="DH12" i="4"/>
  <c r="DI12" i="4"/>
  <c r="DH2" i="4"/>
  <c r="AJ5" i="1"/>
  <c r="AI5" i="1"/>
  <c r="AH5" i="1"/>
  <c r="AG5" i="1"/>
  <c r="AI37" i="1"/>
  <c r="BF35" i="5" s="1"/>
  <c r="AG47" i="1"/>
  <c r="BD49" i="5" s="1"/>
  <c r="BD113" i="5" s="1"/>
  <c r="AF46" i="1"/>
  <c r="BC48" i="5" s="1"/>
  <c r="BC112" i="5" s="1"/>
  <c r="I23" i="2"/>
  <c r="J23" i="2" s="1"/>
  <c r="K23" i="2" s="1"/>
  <c r="L23" i="2" s="1"/>
  <c r="H21" i="2"/>
  <c r="I21" i="2" s="1"/>
  <c r="J21" i="2" s="1"/>
  <c r="K21" i="2" s="1"/>
  <c r="L21" i="2" s="1"/>
  <c r="AC55" i="4" l="1"/>
  <c r="AD54" i="4"/>
  <c r="AU52" i="1"/>
  <c r="BR55" i="5" s="1"/>
  <c r="AW52" i="1"/>
  <c r="BT55" i="5" s="1"/>
  <c r="F101" i="2" s="1"/>
  <c r="F36" i="2" s="1"/>
  <c r="AU43" i="1"/>
  <c r="AW43" i="1"/>
  <c r="BT106" i="5"/>
  <c r="F76" i="2"/>
  <c r="F21" i="2" s="1"/>
  <c r="F168" i="2" s="1"/>
  <c r="AK62" i="5"/>
  <c r="N54" i="4"/>
  <c r="AU51" i="1"/>
  <c r="AW51" i="1"/>
  <c r="AU33" i="1"/>
  <c r="AW33" i="1"/>
  <c r="T7" i="5"/>
  <c r="AL62" i="5"/>
  <c r="BN55" i="4"/>
  <c r="E62" i="5"/>
  <c r="AB7" i="5"/>
  <c r="AH49" i="1"/>
  <c r="AW49" i="1"/>
  <c r="BT46" i="5" s="1"/>
  <c r="AU40" i="1"/>
  <c r="BR36" i="5" s="1"/>
  <c r="AW40" i="1"/>
  <c r="BT36" i="5" s="1"/>
  <c r="F90" i="2"/>
  <c r="BU44" i="5"/>
  <c r="BV44" i="5" s="1"/>
  <c r="BW44" i="5" s="1"/>
  <c r="BX44" i="5" s="1"/>
  <c r="BY44" i="5" s="1"/>
  <c r="BZ44" i="5" s="1"/>
  <c r="AM11" i="5"/>
  <c r="AI7" i="5"/>
  <c r="AB33" i="5"/>
  <c r="AU57" i="1"/>
  <c r="AW57" i="1"/>
  <c r="AU48" i="1"/>
  <c r="BR47" i="5" s="1"/>
  <c r="BR111" i="5" s="1"/>
  <c r="AW48" i="1"/>
  <c r="BT47" i="5" s="1"/>
  <c r="AU39" i="1"/>
  <c r="BR38" i="5" s="1"/>
  <c r="AW39" i="1"/>
  <c r="BT38" i="5" s="1"/>
  <c r="F84" i="2" s="1"/>
  <c r="F34" i="2" s="1"/>
  <c r="V7" i="5"/>
  <c r="AB62" i="5"/>
  <c r="BP54" i="4"/>
  <c r="BQ54" i="4" s="1"/>
  <c r="BT60" i="5"/>
  <c r="AW55" i="1"/>
  <c r="AW90" i="1" s="1"/>
  <c r="F95" i="2"/>
  <c r="F28" i="2" s="1"/>
  <c r="F175" i="2" s="1"/>
  <c r="BT113" i="5"/>
  <c r="AG38" i="1"/>
  <c r="BD37" i="5" s="1"/>
  <c r="AW38" i="1"/>
  <c r="BT37" i="5" s="1"/>
  <c r="F83" i="2" s="1"/>
  <c r="F33" i="2" s="1"/>
  <c r="F98" i="2"/>
  <c r="F94" i="2"/>
  <c r="BT112" i="5"/>
  <c r="BT35" i="5"/>
  <c r="AW79" i="1"/>
  <c r="AB70" i="5"/>
  <c r="AB107" i="5"/>
  <c r="BT80" i="5"/>
  <c r="F100" i="2"/>
  <c r="F35" i="2" s="1"/>
  <c r="F78" i="2"/>
  <c r="F23" i="2" s="1"/>
  <c r="F170" i="2" s="1"/>
  <c r="BT108" i="5"/>
  <c r="O62" i="5"/>
  <c r="K62" i="5"/>
  <c r="AH42" i="1"/>
  <c r="Y82" i="1"/>
  <c r="Y83" i="1" s="1"/>
  <c r="AJ42" i="1"/>
  <c r="AH38" i="1"/>
  <c r="DE35" i="4" s="1"/>
  <c r="AE42" i="1"/>
  <c r="AE41" i="1" s="1"/>
  <c r="AE51" i="1"/>
  <c r="BB53" i="5" s="1"/>
  <c r="AF42" i="1"/>
  <c r="AF48" i="1"/>
  <c r="BC47" i="5" s="1"/>
  <c r="BC111" i="5" s="1"/>
  <c r="AI42" i="1"/>
  <c r="AF51" i="1"/>
  <c r="BC53" i="5" s="1"/>
  <c r="BQ55" i="4"/>
  <c r="Q75" i="5" s="1"/>
  <c r="Q127" i="5" s="1"/>
  <c r="BR54" i="4"/>
  <c r="D54" i="4"/>
  <c r="C55" i="4"/>
  <c r="CR54" i="4"/>
  <c r="CQ55" i="4"/>
  <c r="AQ75" i="5" s="1"/>
  <c r="AO127" i="5"/>
  <c r="Q55" i="4"/>
  <c r="R54" i="4"/>
  <c r="D35" i="5"/>
  <c r="C128" i="5"/>
  <c r="D126" i="5"/>
  <c r="AF2" i="1"/>
  <c r="AE67" i="1"/>
  <c r="AE29" i="1"/>
  <c r="CD54" i="4"/>
  <c r="AE54" i="1"/>
  <c r="BB52" i="5" s="1"/>
  <c r="AU54" i="1"/>
  <c r="BR52" i="5" s="1"/>
  <c r="BP55" i="4"/>
  <c r="P75" i="5" s="1"/>
  <c r="P127" i="5" s="1"/>
  <c r="AE33" i="1"/>
  <c r="BB29" i="5" s="1"/>
  <c r="AF53" i="1"/>
  <c r="BC54" i="5" s="1"/>
  <c r="AU53" i="1"/>
  <c r="BR54" i="5" s="1"/>
  <c r="R23" i="5"/>
  <c r="BC54" i="4"/>
  <c r="M11" i="5"/>
  <c r="AE23" i="5"/>
  <c r="V11" i="5"/>
  <c r="P35" i="5"/>
  <c r="P126" i="5"/>
  <c r="O128" i="5"/>
  <c r="Q23" i="5"/>
  <c r="U70" i="5"/>
  <c r="AE35" i="1"/>
  <c r="BB32" i="5" s="1"/>
  <c r="BB108" i="5" s="1"/>
  <c r="AU35" i="1"/>
  <c r="BR32" i="5" s="1"/>
  <c r="BR108" i="5" s="1"/>
  <c r="AH34" i="1"/>
  <c r="DE27" i="4" s="1"/>
  <c r="AU34" i="1"/>
  <c r="BR30" i="5" s="1"/>
  <c r="AG56" i="1"/>
  <c r="BD60" i="5" s="1"/>
  <c r="AU56" i="1"/>
  <c r="AE102" i="5"/>
  <c r="U7" i="5"/>
  <c r="AI62" i="5"/>
  <c r="R70" i="5"/>
  <c r="AF49" i="1"/>
  <c r="BC46" i="5" s="1"/>
  <c r="BC110" i="5" s="1"/>
  <c r="AU49" i="1"/>
  <c r="BR46" i="5" s="1"/>
  <c r="BR110" i="5" s="1"/>
  <c r="S7" i="5"/>
  <c r="BR29" i="5"/>
  <c r="BR53" i="5"/>
  <c r="AG51" i="1"/>
  <c r="BD53" i="5" s="1"/>
  <c r="AR1" i="5"/>
  <c r="AR122" i="5" s="1"/>
  <c r="AB128" i="5"/>
  <c r="AC126" i="5"/>
  <c r="AJ62" i="5"/>
  <c r="AP54" i="4"/>
  <c r="AL7" i="5"/>
  <c r="Z62" i="5"/>
  <c r="AA62" i="5" s="1"/>
  <c r="Q62" i="5"/>
  <c r="Y102" i="5"/>
  <c r="Y56" i="1"/>
  <c r="AV60" i="5" s="1"/>
  <c r="AV62" i="5" s="1"/>
  <c r="AV63" i="5" s="1"/>
  <c r="AV64" i="5" s="1"/>
  <c r="BS62" i="5"/>
  <c r="AG45" i="1"/>
  <c r="BD44" i="5" s="1"/>
  <c r="AU45" i="1"/>
  <c r="BR44" i="5" s="1"/>
  <c r="AE47" i="1"/>
  <c r="BB49" i="5" s="1"/>
  <c r="BB113" i="5" s="1"/>
  <c r="AU47" i="1"/>
  <c r="BR49" i="5" s="1"/>
  <c r="BR113" i="5" s="1"/>
  <c r="AI46" i="1"/>
  <c r="DF42" i="4" s="1"/>
  <c r="AU46" i="1"/>
  <c r="BR48" i="5" s="1"/>
  <c r="BR112" i="5" s="1"/>
  <c r="AF44" i="1"/>
  <c r="AU44" i="1"/>
  <c r="BR45" i="5" s="1"/>
  <c r="BR109" i="5" s="1"/>
  <c r="P55" i="4"/>
  <c r="I7" i="5"/>
  <c r="I11" i="5" s="1"/>
  <c r="Y7" i="5"/>
  <c r="R102" i="5"/>
  <c r="AA74" i="1"/>
  <c r="AJ51" i="1"/>
  <c r="BG53" i="5" s="1"/>
  <c r="X7" i="5"/>
  <c r="X11" i="5" s="1"/>
  <c r="W62" i="5"/>
  <c r="CP55" i="4"/>
  <c r="AP75" i="5" s="1"/>
  <c r="P102" i="5"/>
  <c r="AE38" i="1"/>
  <c r="BB37" i="5" s="1"/>
  <c r="AU38" i="1"/>
  <c r="BR37" i="5" s="1"/>
  <c r="BS79" i="5" s="1"/>
  <c r="B81" i="5"/>
  <c r="N81" i="5" s="1"/>
  <c r="B128" i="5"/>
  <c r="B129" i="5" s="1"/>
  <c r="C126" i="5"/>
  <c r="AA71" i="1"/>
  <c r="AA72" i="1"/>
  <c r="AV59" i="1"/>
  <c r="AV84" i="1"/>
  <c r="AV90" i="1"/>
  <c r="Y62" i="5"/>
  <c r="AD62" i="5"/>
  <c r="AE70" i="5"/>
  <c r="AE62" i="5"/>
  <c r="DA55" i="4"/>
  <c r="AB109" i="5"/>
  <c r="B62" i="5"/>
  <c r="AJ38" i="1"/>
  <c r="AG37" i="1"/>
  <c r="BD35" i="5" s="1"/>
  <c r="BE126" i="5" s="1"/>
  <c r="AU37" i="1"/>
  <c r="Z59" i="1"/>
  <c r="Z85" i="1" s="1"/>
  <c r="Z84" i="1"/>
  <c r="AH2" i="5"/>
  <c r="AC62" i="5"/>
  <c r="AI51" i="1"/>
  <c r="BF53" i="5" s="1"/>
  <c r="Z7" i="5"/>
  <c r="Z11" i="5" s="1"/>
  <c r="Z13" i="5" s="1"/>
  <c r="Z15" i="5" s="1"/>
  <c r="AH51" i="1"/>
  <c r="BE53" i="5" s="1"/>
  <c r="AH33" i="1"/>
  <c r="BE29" i="5" s="1"/>
  <c r="AL1" i="5"/>
  <c r="B101" i="2"/>
  <c r="C62" i="5"/>
  <c r="AU60" i="5"/>
  <c r="AU62" i="5" s="1"/>
  <c r="X60" i="1"/>
  <c r="AX128" i="5"/>
  <c r="AY126" i="5"/>
  <c r="BG126" i="5"/>
  <c r="BF128" i="5"/>
  <c r="AE32" i="5"/>
  <c r="AE108" i="5" s="1"/>
  <c r="AD108" i="5"/>
  <c r="S11" i="5"/>
  <c r="S13" i="5" s="1"/>
  <c r="S15" i="5" s="1"/>
  <c r="AC108" i="5"/>
  <c r="U102" i="5"/>
  <c r="P70" i="5"/>
  <c r="AB122" i="5"/>
  <c r="AF62" i="5"/>
  <c r="T102" i="5"/>
  <c r="F7" i="5"/>
  <c r="F11" i="5" s="1"/>
  <c r="F13" i="5" s="1"/>
  <c r="F15" i="5" s="1"/>
  <c r="J7" i="5"/>
  <c r="J11" i="5" s="1"/>
  <c r="J13" i="5" s="1"/>
  <c r="J15" i="5" s="1"/>
  <c r="BA1" i="5"/>
  <c r="BA70" i="5" s="1"/>
  <c r="AG62" i="5"/>
  <c r="AJ70" i="5"/>
  <c r="AD49" i="5"/>
  <c r="AE49" i="5" s="1"/>
  <c r="T62" i="5"/>
  <c r="P62" i="5"/>
  <c r="AB39" i="5"/>
  <c r="AL11" i="5"/>
  <c r="AL13" i="5" s="1"/>
  <c r="AL15" i="5" s="1"/>
  <c r="AD11" i="5"/>
  <c r="AD13" i="5" s="1"/>
  <c r="AD15" i="5" s="1"/>
  <c r="AC109" i="5"/>
  <c r="AC52" i="5"/>
  <c r="AD52" i="5" s="1"/>
  <c r="AE52" i="5" s="1"/>
  <c r="AF52" i="5" s="1"/>
  <c r="AG52" i="5" s="1"/>
  <c r="AH52" i="5" s="1"/>
  <c r="AI52" i="5" s="1"/>
  <c r="AB110" i="5"/>
  <c r="W23" i="5"/>
  <c r="Y70" i="5"/>
  <c r="AK7" i="5"/>
  <c r="AK11" i="5" s="1"/>
  <c r="AK13" i="5" s="1"/>
  <c r="AK15" i="5" s="1"/>
  <c r="AC29" i="5"/>
  <c r="AD29" i="5" s="1"/>
  <c r="AE29" i="5" s="1"/>
  <c r="AF29" i="5" s="1"/>
  <c r="U23" i="5"/>
  <c r="P81" i="5"/>
  <c r="W70" i="5"/>
  <c r="B50" i="5"/>
  <c r="J62" i="5"/>
  <c r="AB11" i="5"/>
  <c r="P56" i="5"/>
  <c r="I13" i="5"/>
  <c r="I15" i="5" s="1"/>
  <c r="I74" i="5"/>
  <c r="AK74" i="5"/>
  <c r="U11" i="5"/>
  <c r="U13" i="5" s="1"/>
  <c r="U15" i="5" s="1"/>
  <c r="AB40" i="5"/>
  <c r="AF1" i="5"/>
  <c r="AF23" i="5" s="1"/>
  <c r="H62" i="5"/>
  <c r="AI11" i="5"/>
  <c r="U62" i="5"/>
  <c r="S102" i="5"/>
  <c r="S70" i="5"/>
  <c r="B79" i="5"/>
  <c r="N79" i="5" s="1"/>
  <c r="I62" i="5"/>
  <c r="AD1" i="5"/>
  <c r="AD70" i="5" s="1"/>
  <c r="O7" i="5"/>
  <c r="O11" i="5" s="1"/>
  <c r="O79" i="5"/>
  <c r="X62" i="5"/>
  <c r="V23" i="5"/>
  <c r="AN6" i="5"/>
  <c r="AG7" i="5"/>
  <c r="AG11" i="5" s="1"/>
  <c r="AG74" i="5" s="1"/>
  <c r="AC35" i="5"/>
  <c r="AC79" i="5" s="1"/>
  <c r="S62" i="5"/>
  <c r="Q102" i="5"/>
  <c r="Q70" i="5"/>
  <c r="B7" i="5"/>
  <c r="B11" i="5" s="1"/>
  <c r="B56" i="5"/>
  <c r="M62" i="5"/>
  <c r="N76" i="5"/>
  <c r="V70" i="5"/>
  <c r="AB23" i="5"/>
  <c r="AJ7" i="5"/>
  <c r="AJ11" i="5" s="1"/>
  <c r="AJ13" i="5" s="1"/>
  <c r="AJ15" i="5" s="1"/>
  <c r="O33" i="5"/>
  <c r="K7" i="5"/>
  <c r="K11" i="5" s="1"/>
  <c r="N10" i="5"/>
  <c r="B84" i="5"/>
  <c r="N84" i="5" s="1"/>
  <c r="AL122" i="5"/>
  <c r="AI1" i="5"/>
  <c r="AI70" i="5" s="1"/>
  <c r="W7" i="5"/>
  <c r="W11" i="5" s="1"/>
  <c r="W74" i="5" s="1"/>
  <c r="R7" i="5"/>
  <c r="R11" i="5" s="1"/>
  <c r="S23" i="5"/>
  <c r="D7" i="5"/>
  <c r="D11" i="5" s="1"/>
  <c r="D13" i="5" s="1"/>
  <c r="D15" i="5" s="1"/>
  <c r="N6" i="5"/>
  <c r="N8" i="5"/>
  <c r="B80" i="5"/>
  <c r="N80" i="5" s="1"/>
  <c r="AD47" i="5"/>
  <c r="AC111" i="5"/>
  <c r="Q54" i="5"/>
  <c r="R54" i="5" s="1"/>
  <c r="P80" i="5"/>
  <c r="AD30" i="5"/>
  <c r="AC106" i="5"/>
  <c r="AD38" i="5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79" i="5" s="1"/>
  <c r="AD54" i="5"/>
  <c r="AC80" i="5"/>
  <c r="AN23" i="5"/>
  <c r="AA10" i="5"/>
  <c r="B61" i="2" s="1"/>
  <c r="AA9" i="5"/>
  <c r="B60" i="2" s="1"/>
  <c r="O50" i="5"/>
  <c r="Z102" i="5"/>
  <c r="AC7" i="5"/>
  <c r="AC11" i="5" s="1"/>
  <c r="AC13" i="5" s="1"/>
  <c r="AC15" i="5" s="1"/>
  <c r="AN102" i="5"/>
  <c r="Q7" i="5"/>
  <c r="Q11" i="5" s="1"/>
  <c r="Q74" i="5" s="1"/>
  <c r="AE45" i="5"/>
  <c r="AF45" i="5" s="1"/>
  <c r="Q52" i="5"/>
  <c r="Q56" i="5" s="1"/>
  <c r="N12" i="5"/>
  <c r="E11" i="5"/>
  <c r="E13" i="5" s="1"/>
  <c r="E15" i="5" s="1"/>
  <c r="L7" i="5"/>
  <c r="L11" i="5" s="1"/>
  <c r="L13" i="5" s="1"/>
  <c r="L15" i="5" s="1"/>
  <c r="C53" i="5"/>
  <c r="AB2" i="5"/>
  <c r="AJ102" i="5"/>
  <c r="AN122" i="5"/>
  <c r="AJ2" i="5"/>
  <c r="Z23" i="5"/>
  <c r="Z70" i="5"/>
  <c r="B39" i="5"/>
  <c r="G7" i="5"/>
  <c r="G11" i="5" s="1"/>
  <c r="G74" i="5" s="1"/>
  <c r="B33" i="5"/>
  <c r="C36" i="5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C54" i="5"/>
  <c r="AA6" i="5"/>
  <c r="B57" i="2" s="1"/>
  <c r="AJ23" i="5"/>
  <c r="AG23" i="5"/>
  <c r="AG122" i="5"/>
  <c r="AM1" i="5"/>
  <c r="AQ2" i="5" s="1"/>
  <c r="AH11" i="5"/>
  <c r="AH13" i="5" s="1"/>
  <c r="AH15" i="5" s="1"/>
  <c r="AN5" i="5"/>
  <c r="B4" i="13" s="1"/>
  <c r="AC113" i="5"/>
  <c r="O56" i="5"/>
  <c r="AB106" i="5"/>
  <c r="O80" i="5"/>
  <c r="C50" i="5"/>
  <c r="N14" i="5"/>
  <c r="H7" i="5"/>
  <c r="H11" i="5" s="1"/>
  <c r="H13" i="5" s="1"/>
  <c r="H15" i="5" s="1"/>
  <c r="N9" i="5"/>
  <c r="AL74" i="5"/>
  <c r="AW1" i="5"/>
  <c r="BJ1" i="5" s="1"/>
  <c r="BW1" i="5" s="1"/>
  <c r="AG102" i="5"/>
  <c r="AM2" i="5"/>
  <c r="AG70" i="5"/>
  <c r="AN10" i="5"/>
  <c r="AN9" i="5"/>
  <c r="AN8" i="5"/>
  <c r="C59" i="2" s="1"/>
  <c r="O39" i="5"/>
  <c r="O40" i="5" s="1"/>
  <c r="X23" i="5"/>
  <c r="X70" i="5"/>
  <c r="Y11" i="5"/>
  <c r="Y74" i="5" s="1"/>
  <c r="T11" i="5"/>
  <c r="T74" i="5" s="1"/>
  <c r="AA8" i="5"/>
  <c r="P11" i="5"/>
  <c r="P74" i="5" s="1"/>
  <c r="P78" i="5" s="1"/>
  <c r="AN86" i="5"/>
  <c r="AC110" i="5"/>
  <c r="AB111" i="5"/>
  <c r="N5" i="5"/>
  <c r="B2" i="13" s="1"/>
  <c r="AA76" i="5"/>
  <c r="B180" i="2" s="1"/>
  <c r="C7" i="5"/>
  <c r="C11" i="5" s="1"/>
  <c r="C13" i="5" s="1"/>
  <c r="C15" i="5" s="1"/>
  <c r="AA108" i="5"/>
  <c r="B78" i="2"/>
  <c r="AA110" i="5"/>
  <c r="B92" i="2"/>
  <c r="V13" i="5"/>
  <c r="V15" i="5" s="1"/>
  <c r="V74" i="5"/>
  <c r="AA113" i="5"/>
  <c r="AM74" i="5"/>
  <c r="AM13" i="5"/>
  <c r="AM15" i="5" s="1"/>
  <c r="AI74" i="5"/>
  <c r="AI13" i="5"/>
  <c r="AI15" i="5" s="1"/>
  <c r="AW2" i="5"/>
  <c r="AT122" i="5"/>
  <c r="BG1" i="5"/>
  <c r="BG122" i="5" s="1"/>
  <c r="AA77" i="5"/>
  <c r="AN77" i="5"/>
  <c r="AJ74" i="5"/>
  <c r="AA86" i="5"/>
  <c r="AB13" i="5"/>
  <c r="U74" i="5"/>
  <c r="AN14" i="5"/>
  <c r="AA5" i="5"/>
  <c r="B3" i="13" s="1"/>
  <c r="AY1" i="5"/>
  <c r="BL1" i="5" s="1"/>
  <c r="BP2" i="5" s="1"/>
  <c r="AH122" i="5"/>
  <c r="AC70" i="5"/>
  <c r="Q80" i="5"/>
  <c r="AF11" i="5"/>
  <c r="AN12" i="5"/>
  <c r="C63" i="2" s="1"/>
  <c r="AC102" i="5"/>
  <c r="AH23" i="5"/>
  <c r="AK2" i="5"/>
  <c r="AK122" i="5"/>
  <c r="AE44" i="5"/>
  <c r="AK23" i="5"/>
  <c r="AH102" i="5"/>
  <c r="AH70" i="5"/>
  <c r="AG2" i="5"/>
  <c r="AD53" i="5"/>
  <c r="AD84" i="5" s="1"/>
  <c r="AD90" i="5" s="1"/>
  <c r="Q36" i="5"/>
  <c r="P79" i="5"/>
  <c r="M74" i="5"/>
  <c r="M13" i="5"/>
  <c r="M15" i="5" s="1"/>
  <c r="BB1" i="5"/>
  <c r="BB122" i="5" s="1"/>
  <c r="AB74" i="5"/>
  <c r="AA14" i="5"/>
  <c r="B65" i="2" s="1"/>
  <c r="AE7" i="5"/>
  <c r="AJ52" i="5"/>
  <c r="AE46" i="5"/>
  <c r="AD110" i="5"/>
  <c r="AA12" i="5"/>
  <c r="B63" i="2" s="1"/>
  <c r="AB102" i="5"/>
  <c r="AP2" i="5"/>
  <c r="O81" i="5"/>
  <c r="AA81" i="5" s="1"/>
  <c r="AC48" i="5"/>
  <c r="AB112" i="5"/>
  <c r="AB50" i="5"/>
  <c r="P44" i="5"/>
  <c r="O84" i="5"/>
  <c r="J74" i="5"/>
  <c r="H74" i="5"/>
  <c r="N77" i="5"/>
  <c r="C33" i="5"/>
  <c r="C79" i="5"/>
  <c r="D37" i="5"/>
  <c r="E37" i="5" s="1"/>
  <c r="F37" i="5" s="1"/>
  <c r="G37" i="5" s="1"/>
  <c r="H37" i="5" s="1"/>
  <c r="I37" i="5" s="1"/>
  <c r="J37" i="5" s="1"/>
  <c r="K37" i="5" s="1"/>
  <c r="L37" i="5" s="1"/>
  <c r="M37" i="5" s="1"/>
  <c r="N37" i="5" s="1"/>
  <c r="C39" i="5"/>
  <c r="N113" i="5"/>
  <c r="AC107" i="5"/>
  <c r="D33" i="5"/>
  <c r="E30" i="5"/>
  <c r="AD31" i="5"/>
  <c r="P29" i="5"/>
  <c r="C74" i="5"/>
  <c r="G29" i="5"/>
  <c r="N86" i="5"/>
  <c r="E35" i="5"/>
  <c r="D44" i="5"/>
  <c r="AX84" i="5"/>
  <c r="AX114" i="5"/>
  <c r="AX115" i="5" s="1"/>
  <c r="AX76" i="5" s="1"/>
  <c r="T70" i="5"/>
  <c r="B129" i="2" s="1"/>
  <c r="H52" i="5"/>
  <c r="AW57" i="5"/>
  <c r="AX79" i="5"/>
  <c r="B99" i="2"/>
  <c r="BD77" i="5"/>
  <c r="AX80" i="5"/>
  <c r="BC77" i="5"/>
  <c r="AG49" i="1"/>
  <c r="BD46" i="5" s="1"/>
  <c r="BD110" i="5" s="1"/>
  <c r="AF56" i="1"/>
  <c r="BC60" i="5" s="1"/>
  <c r="BG77" i="5"/>
  <c r="AH45" i="1"/>
  <c r="DE39" i="4" s="1"/>
  <c r="AF38" i="1"/>
  <c r="BC37" i="5" s="1"/>
  <c r="AI38" i="1"/>
  <c r="DF35" i="4" s="1"/>
  <c r="AE37" i="1"/>
  <c r="BB35" i="5" s="1"/>
  <c r="BF77" i="5"/>
  <c r="BB77" i="5"/>
  <c r="AJ37" i="1"/>
  <c r="BG35" i="5" s="1"/>
  <c r="AH44" i="1"/>
  <c r="BE77" i="5"/>
  <c r="BG5" i="5"/>
  <c r="BG7" i="5" s="1"/>
  <c r="AT60" i="1"/>
  <c r="AT82" i="1"/>
  <c r="AT83" i="1" s="1"/>
  <c r="AT85" i="1"/>
  <c r="AY35" i="5"/>
  <c r="AC37" i="1"/>
  <c r="BF5" i="5"/>
  <c r="BF7" i="5" s="1"/>
  <c r="BD5" i="5"/>
  <c r="BD7" i="5" s="1"/>
  <c r="BQ63" i="5"/>
  <c r="BE5" i="5"/>
  <c r="BE7" i="5" s="1"/>
  <c r="BC5" i="5"/>
  <c r="DE44" i="4"/>
  <c r="BE46" i="5"/>
  <c r="BE110" i="5" s="1"/>
  <c r="BE37" i="5"/>
  <c r="DG35" i="4"/>
  <c r="BG37" i="5"/>
  <c r="AO122" i="5"/>
  <c r="BH1" i="5"/>
  <c r="BH23" i="5" s="1"/>
  <c r="AP102" i="5"/>
  <c r="AP70" i="5"/>
  <c r="AP23" i="5"/>
  <c r="AS2" i="5"/>
  <c r="BC1" i="5"/>
  <c r="AP122" i="5"/>
  <c r="BB70" i="5"/>
  <c r="BO1" i="5"/>
  <c r="BR2" i="5" s="1"/>
  <c r="AK102" i="5"/>
  <c r="AK70" i="5"/>
  <c r="AX1" i="5"/>
  <c r="AT70" i="5"/>
  <c r="AT102" i="5"/>
  <c r="AT23" i="5"/>
  <c r="AU70" i="5"/>
  <c r="AU102" i="5"/>
  <c r="AU23" i="5"/>
  <c r="AY23" i="5"/>
  <c r="AY102" i="5"/>
  <c r="BU1" i="5"/>
  <c r="BT1" i="5"/>
  <c r="AY122" i="5"/>
  <c r="AI102" i="5"/>
  <c r="AI122" i="5"/>
  <c r="AF2" i="5"/>
  <c r="BC2" i="5"/>
  <c r="AI23" i="5"/>
  <c r="AC23" i="5"/>
  <c r="AL2" i="5"/>
  <c r="AC122" i="5"/>
  <c r="AV1" i="5"/>
  <c r="AR70" i="5"/>
  <c r="AR23" i="5"/>
  <c r="AR102" i="5"/>
  <c r="AX2" i="5"/>
  <c r="AO102" i="5"/>
  <c r="AO70" i="5"/>
  <c r="AO23" i="5"/>
  <c r="BQ110" i="5"/>
  <c r="AD34" i="1"/>
  <c r="AZ30" i="5"/>
  <c r="AA41" i="1"/>
  <c r="AA70" i="1" s="1"/>
  <c r="AE49" i="1"/>
  <c r="BB46" i="5" s="1"/>
  <c r="BB110" i="5" s="1"/>
  <c r="DD35" i="4"/>
  <c r="AE45" i="1"/>
  <c r="BB44" i="5" s="1"/>
  <c r="BB10" i="5"/>
  <c r="AD40" i="1"/>
  <c r="AZ36" i="5"/>
  <c r="AY29" i="5"/>
  <c r="AY33" i="5" s="1"/>
  <c r="AB32" i="1"/>
  <c r="AC33" i="1"/>
  <c r="AX56" i="5"/>
  <c r="AC47" i="1"/>
  <c r="AY49" i="5"/>
  <c r="BC12" i="5"/>
  <c r="BB12" i="5"/>
  <c r="AG53" i="1"/>
  <c r="BD54" i="5" s="1"/>
  <c r="AI31" i="1"/>
  <c r="AJ45" i="1"/>
  <c r="AC54" i="1"/>
  <c r="AY52" i="5"/>
  <c r="AD35" i="1"/>
  <c r="AZ32" i="5"/>
  <c r="AA31" i="1"/>
  <c r="AA91" i="1" s="1"/>
  <c r="BC10" i="5"/>
  <c r="DB46" i="4"/>
  <c r="AX50" i="5"/>
  <c r="AC48" i="1"/>
  <c r="AY47" i="5"/>
  <c r="AY111" i="5" s="1"/>
  <c r="AC39" i="1"/>
  <c r="AY38" i="5"/>
  <c r="AI49" i="1"/>
  <c r="AF9" i="1"/>
  <c r="AF12" i="1" s="1"/>
  <c r="AF45" i="1"/>
  <c r="BC44" i="5" s="1"/>
  <c r="BG12" i="5"/>
  <c r="BG10" i="5"/>
  <c r="AC45" i="1"/>
  <c r="AY44" i="5"/>
  <c r="AC52" i="1"/>
  <c r="AY55" i="5"/>
  <c r="DC42" i="4"/>
  <c r="AJ49" i="1"/>
  <c r="BF12" i="5"/>
  <c r="BF10" i="5"/>
  <c r="AC53" i="1"/>
  <c r="AY54" i="5"/>
  <c r="BE12" i="5"/>
  <c r="BE10" i="5"/>
  <c r="AW115" i="5"/>
  <c r="AW76" i="5" s="1"/>
  <c r="AC46" i="1"/>
  <c r="AY48" i="5"/>
  <c r="AY112" i="5" s="1"/>
  <c r="AX39" i="5"/>
  <c r="AX40" i="5" s="1"/>
  <c r="DD43" i="4"/>
  <c r="BD12" i="5"/>
  <c r="BD10" i="5"/>
  <c r="AC49" i="1"/>
  <c r="AY46" i="5"/>
  <c r="AY110" i="5" s="1"/>
  <c r="AY53" i="5"/>
  <c r="AB50" i="1"/>
  <c r="AC51" i="1"/>
  <c r="AY45" i="5"/>
  <c r="AY109" i="5" s="1"/>
  <c r="AC43" i="1"/>
  <c r="AB42" i="1"/>
  <c r="AB73" i="1" s="1"/>
  <c r="AC38" i="1"/>
  <c r="AY37" i="5"/>
  <c r="AB36" i="1"/>
  <c r="AG54" i="1"/>
  <c r="BD52" i="5" s="1"/>
  <c r="AH37" i="1"/>
  <c r="AF35" i="1"/>
  <c r="BC32" i="5" s="1"/>
  <c r="BC108" i="5" s="1"/>
  <c r="AH53" i="1"/>
  <c r="AE53" i="1"/>
  <c r="BB54" i="5" s="1"/>
  <c r="AG44" i="1"/>
  <c r="AF37" i="1"/>
  <c r="BC35" i="5" s="1"/>
  <c r="AJ35" i="1"/>
  <c r="AH35" i="1"/>
  <c r="AI54" i="1"/>
  <c r="AG35" i="1"/>
  <c r="BD32" i="5" s="1"/>
  <c r="AJ44" i="1"/>
  <c r="AI44" i="1"/>
  <c r="AH46" i="1"/>
  <c r="AE44" i="1"/>
  <c r="AE46" i="1"/>
  <c r="BB48" i="5" s="1"/>
  <c r="BB112" i="5" s="1"/>
  <c r="DE12" i="4"/>
  <c r="DE16" i="4"/>
  <c r="DE14" i="4"/>
  <c r="DE10" i="4"/>
  <c r="DE9" i="4"/>
  <c r="AF34" i="1"/>
  <c r="BC30" i="5" s="1"/>
  <c r="BC106" i="5" s="1"/>
  <c r="DG2" i="4"/>
  <c r="DD12" i="4"/>
  <c r="DD16" i="4"/>
  <c r="DD14" i="4"/>
  <c r="DD10" i="4"/>
  <c r="DD9" i="4"/>
  <c r="DD5" i="4"/>
  <c r="AE5" i="1"/>
  <c r="AQ6" i="1"/>
  <c r="AJ50" i="1"/>
  <c r="AJ41" i="1" s="1"/>
  <c r="DF12" i="4"/>
  <c r="DF5" i="4"/>
  <c r="AJ34" i="1"/>
  <c r="DC12" i="4"/>
  <c r="DC14" i="4"/>
  <c r="DC10" i="4"/>
  <c r="DC9" i="4"/>
  <c r="DC5" i="4"/>
  <c r="AI45" i="1"/>
  <c r="DF16" i="4"/>
  <c r="DB12" i="4"/>
  <c r="AQ22" i="1"/>
  <c r="AQ20" i="1"/>
  <c r="DB16" i="4"/>
  <c r="AQ19" i="1"/>
  <c r="DB18" i="4"/>
  <c r="AQ17" i="1"/>
  <c r="DB17" i="4"/>
  <c r="AQ16" i="1"/>
  <c r="DB15" i="4"/>
  <c r="AQ15" i="1"/>
  <c r="AQ13" i="1"/>
  <c r="DB10" i="4"/>
  <c r="AQ11" i="1"/>
  <c r="DB9" i="4"/>
  <c r="AQ10" i="1"/>
  <c r="DB5" i="4"/>
  <c r="AQ8" i="1"/>
  <c r="DF9" i="4"/>
  <c r="AE34" i="1"/>
  <c r="BB30" i="5" s="1"/>
  <c r="BB106" i="5" s="1"/>
  <c r="AG34" i="1"/>
  <c r="BD30" i="5" s="1"/>
  <c r="BD106" i="5" s="1"/>
  <c r="DF10" i="4"/>
  <c r="AI34" i="1"/>
  <c r="DF14" i="4"/>
  <c r="DG12" i="4"/>
  <c r="DG16" i="4"/>
  <c r="DG14" i="4"/>
  <c r="DG10" i="4"/>
  <c r="DG9" i="4"/>
  <c r="DG5" i="4"/>
  <c r="AE31" i="1"/>
  <c r="AK31" i="1"/>
  <c r="AM31" i="1"/>
  <c r="AL31" i="1"/>
  <c r="AN31" i="1"/>
  <c r="AO31" i="1"/>
  <c r="AL49" i="1"/>
  <c r="AK49" i="1"/>
  <c r="AN49" i="1"/>
  <c r="BK46" i="5" s="1"/>
  <c r="BK110" i="5" s="1"/>
  <c r="AM49" i="1"/>
  <c r="BJ46" i="5" s="1"/>
  <c r="BJ110" i="5" s="1"/>
  <c r="AO49" i="1"/>
  <c r="AK40" i="1"/>
  <c r="AL40" i="1"/>
  <c r="AN40" i="1"/>
  <c r="AM40" i="1"/>
  <c r="AO40" i="1"/>
  <c r="BL36" i="5" s="1"/>
  <c r="DB47" i="4"/>
  <c r="AJ9" i="1"/>
  <c r="AH73" i="1"/>
  <c r="AL57" i="1"/>
  <c r="DI51" i="4" s="1"/>
  <c r="AN57" i="1"/>
  <c r="DK51" i="4" s="1"/>
  <c r="AM57" i="1"/>
  <c r="DJ51" i="4" s="1"/>
  <c r="AK57" i="1"/>
  <c r="DH51" i="4" s="1"/>
  <c r="AO57" i="1"/>
  <c r="DL51" i="4" s="1"/>
  <c r="AL48" i="1"/>
  <c r="AK48" i="1"/>
  <c r="BH47" i="5" s="1"/>
  <c r="BH111" i="5" s="1"/>
  <c r="AN48" i="1"/>
  <c r="BK47" i="5" s="1"/>
  <c r="BK111" i="5" s="1"/>
  <c r="AM48" i="1"/>
  <c r="AO48" i="1"/>
  <c r="AK39" i="1"/>
  <c r="AL39" i="1"/>
  <c r="AN39" i="1"/>
  <c r="BK38" i="5" s="1"/>
  <c r="AM39" i="1"/>
  <c r="BJ38" i="5" s="1"/>
  <c r="AO39" i="1"/>
  <c r="BL38" i="5" s="1"/>
  <c r="AL56" i="1"/>
  <c r="BI60" i="5" s="1"/>
  <c r="AN56" i="1"/>
  <c r="BK60" i="5" s="1"/>
  <c r="AM56" i="1"/>
  <c r="BJ60" i="5" s="1"/>
  <c r="AK56" i="1"/>
  <c r="BH60" i="5" s="1"/>
  <c r="AO56" i="1"/>
  <c r="BL60" i="5" s="1"/>
  <c r="AL47" i="1"/>
  <c r="AK47" i="1"/>
  <c r="AN47" i="1"/>
  <c r="BK49" i="5" s="1"/>
  <c r="BK113" i="5" s="1"/>
  <c r="AM47" i="1"/>
  <c r="AO47" i="1"/>
  <c r="AK38" i="1"/>
  <c r="BH37" i="5" s="1"/>
  <c r="AL38" i="1"/>
  <c r="AN38" i="1"/>
  <c r="AM38" i="1"/>
  <c r="AO38" i="1"/>
  <c r="BL37" i="5" s="1"/>
  <c r="AE56" i="1"/>
  <c r="BB60" i="5" s="1"/>
  <c r="AJ31" i="1"/>
  <c r="AG40" i="1"/>
  <c r="BD36" i="5" s="1"/>
  <c r="DG47" i="4"/>
  <c r="AL54" i="1"/>
  <c r="BI52" i="5" s="1"/>
  <c r="AN54" i="1"/>
  <c r="AM54" i="1"/>
  <c r="AK54" i="1"/>
  <c r="AO54" i="1"/>
  <c r="AL46" i="1"/>
  <c r="BI48" i="5" s="1"/>
  <c r="BI112" i="5" s="1"/>
  <c r="AK46" i="1"/>
  <c r="AN46" i="1"/>
  <c r="BK48" i="5" s="1"/>
  <c r="BK112" i="5" s="1"/>
  <c r="AM46" i="1"/>
  <c r="BJ48" i="5" s="1"/>
  <c r="BJ112" i="5" s="1"/>
  <c r="AO46" i="1"/>
  <c r="AK37" i="1"/>
  <c r="AL37" i="1"/>
  <c r="BI35" i="5" s="1"/>
  <c r="AN37" i="1"/>
  <c r="BK35" i="5" s="1"/>
  <c r="AM37" i="1"/>
  <c r="BJ35" i="5" s="1"/>
  <c r="AO37" i="1"/>
  <c r="BL35" i="5" s="1"/>
  <c r="AF50" i="1"/>
  <c r="AF41" i="1" s="1"/>
  <c r="AG50" i="1"/>
  <c r="AG41" i="1" s="1"/>
  <c r="AH50" i="1"/>
  <c r="AH41" i="1" s="1"/>
  <c r="AI57" i="1"/>
  <c r="DF51" i="4" s="1"/>
  <c r="DD2" i="4"/>
  <c r="AJ53" i="1"/>
  <c r="AO53" i="1"/>
  <c r="AL53" i="1"/>
  <c r="BI54" i="5" s="1"/>
  <c r="AN53" i="1"/>
  <c r="BK54" i="5" s="1"/>
  <c r="AM53" i="1"/>
  <c r="BJ54" i="5" s="1"/>
  <c r="AK53" i="1"/>
  <c r="AO44" i="1"/>
  <c r="AN44" i="1"/>
  <c r="AM44" i="1"/>
  <c r="AL44" i="1"/>
  <c r="AK44" i="1"/>
  <c r="AK35" i="1"/>
  <c r="AO35" i="1"/>
  <c r="AL35" i="1"/>
  <c r="AN35" i="1"/>
  <c r="BK32" i="5" s="1"/>
  <c r="BK108" i="5" s="1"/>
  <c r="AM35" i="1"/>
  <c r="AI50" i="1"/>
  <c r="DC47" i="4"/>
  <c r="DE2" i="4"/>
  <c r="AO52" i="1"/>
  <c r="BL55" i="5" s="1"/>
  <c r="AN52" i="1"/>
  <c r="AM52" i="1"/>
  <c r="BJ55" i="5" s="1"/>
  <c r="AK52" i="1"/>
  <c r="BH55" i="5" s="1"/>
  <c r="AL52" i="1"/>
  <c r="AI43" i="1"/>
  <c r="AN43" i="1"/>
  <c r="AM43" i="1"/>
  <c r="AK43" i="1"/>
  <c r="AO43" i="1"/>
  <c r="AL43" i="1"/>
  <c r="AO34" i="1"/>
  <c r="BL30" i="5" s="1"/>
  <c r="BL106" i="5" s="1"/>
  <c r="AN34" i="1"/>
  <c r="BK30" i="5" s="1"/>
  <c r="BK106" i="5" s="1"/>
  <c r="AM34" i="1"/>
  <c r="BJ30" i="5" s="1"/>
  <c r="BJ106" i="5" s="1"/>
  <c r="AK34" i="1"/>
  <c r="AL34" i="1"/>
  <c r="AO45" i="1"/>
  <c r="AL45" i="1"/>
  <c r="AK45" i="1"/>
  <c r="AN45" i="1"/>
  <c r="AM45" i="1"/>
  <c r="AL50" i="1"/>
  <c r="AN50" i="1"/>
  <c r="AM50" i="1"/>
  <c r="AO50" i="1"/>
  <c r="AK50" i="1"/>
  <c r="DF2" i="4"/>
  <c r="DC2" i="4"/>
  <c r="AN51" i="1"/>
  <c r="AM51" i="1"/>
  <c r="AK51" i="1"/>
  <c r="BH53" i="5" s="1"/>
  <c r="AO51" i="1"/>
  <c r="BL53" i="5" s="1"/>
  <c r="AL51" i="1"/>
  <c r="BI53" i="5" s="1"/>
  <c r="AL42" i="1"/>
  <c r="AN42" i="1"/>
  <c r="AM42" i="1"/>
  <c r="AK42" i="1"/>
  <c r="AO42" i="1"/>
  <c r="AN33" i="1"/>
  <c r="AM33" i="1"/>
  <c r="BJ29" i="5" s="1"/>
  <c r="AO33" i="1"/>
  <c r="BL29" i="5" s="1"/>
  <c r="AL33" i="1"/>
  <c r="AK33" i="1"/>
  <c r="BH29" i="5" s="1"/>
  <c r="AE40" i="1"/>
  <c r="BB36" i="5" s="1"/>
  <c r="AE57" i="1"/>
  <c r="DB51" i="4" s="1"/>
  <c r="AG48" i="1"/>
  <c r="BD47" i="5" s="1"/>
  <c r="BD111" i="5" s="1"/>
  <c r="AH39" i="1"/>
  <c r="AJ48" i="1"/>
  <c r="AH56" i="1"/>
  <c r="BE60" i="5" s="1"/>
  <c r="AG57" i="1"/>
  <c r="DD51" i="4" s="1"/>
  <c r="AH40" i="1"/>
  <c r="AI39" i="1"/>
  <c r="AF39" i="1"/>
  <c r="BC38" i="5" s="1"/>
  <c r="AH48" i="1"/>
  <c r="AJ57" i="1"/>
  <c r="DG51" i="4" s="1"/>
  <c r="DF31" i="4"/>
  <c r="AG39" i="1"/>
  <c r="BD38" i="5" s="1"/>
  <c r="AH47" i="1"/>
  <c r="AI33" i="1"/>
  <c r="BF29" i="5" s="1"/>
  <c r="AJ33" i="1"/>
  <c r="BG29" i="5" s="1"/>
  <c r="AI40" i="1"/>
  <c r="AH57" i="1"/>
  <c r="DE51" i="4" s="1"/>
  <c r="AF33" i="1"/>
  <c r="BC29" i="5" s="1"/>
  <c r="AF40" i="1"/>
  <c r="BC36" i="5" s="1"/>
  <c r="AI47" i="1"/>
  <c r="AI53" i="1"/>
  <c r="AJ47" i="1"/>
  <c r="AJ40" i="1"/>
  <c r="AI35" i="1"/>
  <c r="AI48" i="1"/>
  <c r="AJ39" i="1"/>
  <c r="AE48" i="1"/>
  <c r="BB47" i="5" s="1"/>
  <c r="BB111" i="5" s="1"/>
  <c r="AF47" i="1"/>
  <c r="BC49" i="5" s="1"/>
  <c r="BC113" i="5" s="1"/>
  <c r="AF57" i="1"/>
  <c r="DC51" i="4" s="1"/>
  <c r="AE39" i="1"/>
  <c r="BB38" i="5" s="1"/>
  <c r="AI56" i="1"/>
  <c r="BF60" i="5" s="1"/>
  <c r="AG33" i="1"/>
  <c r="BD29" i="5" s="1"/>
  <c r="AK9" i="1"/>
  <c r="AH31" i="1"/>
  <c r="AJ46" i="1"/>
  <c r="DL9" i="4"/>
  <c r="AF54" i="1"/>
  <c r="BC52" i="5" s="1"/>
  <c r="AH54" i="1"/>
  <c r="AG46" i="1"/>
  <c r="BD48" i="5" s="1"/>
  <c r="BD112" i="5" s="1"/>
  <c r="AF31" i="1"/>
  <c r="AI9" i="1"/>
  <c r="AJ54" i="1"/>
  <c r="AI52" i="1"/>
  <c r="AS31" i="1"/>
  <c r="AR31" i="1"/>
  <c r="AS51" i="1"/>
  <c r="BP53" i="5" s="1"/>
  <c r="AR51" i="1"/>
  <c r="BO53" i="5" s="1"/>
  <c r="DM47" i="4"/>
  <c r="AR42" i="1"/>
  <c r="AS42" i="1"/>
  <c r="AS38" i="1"/>
  <c r="BP37" i="5" s="1"/>
  <c r="AR38" i="1"/>
  <c r="BO37" i="5" s="1"/>
  <c r="DM35" i="4"/>
  <c r="BU37" i="5" s="1"/>
  <c r="BV37" i="5" s="1"/>
  <c r="BW37" i="5" s="1"/>
  <c r="BX37" i="5" s="1"/>
  <c r="BY37" i="5" s="1"/>
  <c r="BZ37" i="5" s="1"/>
  <c r="CA37" i="5" s="1"/>
  <c r="CB37" i="5" s="1"/>
  <c r="CC37" i="5" s="1"/>
  <c r="CD37" i="5" s="1"/>
  <c r="CE37" i="5" s="1"/>
  <c r="CF37" i="5" s="1"/>
  <c r="CG37" i="5" s="1"/>
  <c r="CH37" i="5" s="1"/>
  <c r="CI37" i="5" s="1"/>
  <c r="CJ37" i="5" s="1"/>
  <c r="CK37" i="5" s="1"/>
  <c r="CL37" i="5" s="1"/>
  <c r="CM37" i="5" s="1"/>
  <c r="CN37" i="5" s="1"/>
  <c r="DJ14" i="4"/>
  <c r="AS52" i="1"/>
  <c r="BP55" i="5" s="1"/>
  <c r="AR52" i="1"/>
  <c r="BO55" i="5" s="1"/>
  <c r="AR43" i="1"/>
  <c r="AS43" i="1"/>
  <c r="AE52" i="1"/>
  <c r="BB55" i="5" s="1"/>
  <c r="AS57" i="1"/>
  <c r="AR57" i="1"/>
  <c r="DM51" i="4"/>
  <c r="BN60" i="5" s="1"/>
  <c r="BU60" i="5" s="1"/>
  <c r="BV60" i="5" s="1"/>
  <c r="BW60" i="5" s="1"/>
  <c r="BX60" i="5" s="1"/>
  <c r="BY60" i="5" s="1"/>
  <c r="BZ60" i="5" s="1"/>
  <c r="CA60" i="5" s="1"/>
  <c r="AR50" i="1"/>
  <c r="AS50" i="1"/>
  <c r="AS34" i="1"/>
  <c r="BP30" i="5" s="1"/>
  <c r="AR34" i="1"/>
  <c r="BO30" i="5" s="1"/>
  <c r="AS56" i="1"/>
  <c r="AR56" i="1"/>
  <c r="AS49" i="1"/>
  <c r="BP46" i="5" s="1"/>
  <c r="BP110" i="5" s="1"/>
  <c r="AR49" i="1"/>
  <c r="BO46" i="5" s="1"/>
  <c r="DM44" i="4"/>
  <c r="BN110" i="5" s="1"/>
  <c r="AS54" i="1"/>
  <c r="BP52" i="5" s="1"/>
  <c r="AR54" i="1"/>
  <c r="BO52" i="5" s="1"/>
  <c r="DM46" i="4"/>
  <c r="AS48" i="1"/>
  <c r="BP47" i="5" s="1"/>
  <c r="BP111" i="5" s="1"/>
  <c r="AR48" i="1"/>
  <c r="BO47" i="5" s="1"/>
  <c r="DM41" i="4"/>
  <c r="AS40" i="1"/>
  <c r="BP36" i="5" s="1"/>
  <c r="AR40" i="1"/>
  <c r="BO36" i="5" s="1"/>
  <c r="DM34" i="4"/>
  <c r="AS37" i="1"/>
  <c r="BP35" i="5" s="1"/>
  <c r="AR37" i="1"/>
  <c r="BO35" i="5" s="1"/>
  <c r="AS45" i="1"/>
  <c r="BP44" i="5" s="1"/>
  <c r="AR45" i="1"/>
  <c r="BO44" i="5" s="1"/>
  <c r="DM39" i="4"/>
  <c r="AF52" i="1"/>
  <c r="BC55" i="5" s="1"/>
  <c r="AJ52" i="1"/>
  <c r="AG9" i="1"/>
  <c r="AS47" i="1"/>
  <c r="BP49" i="5" s="1"/>
  <c r="AR47" i="1"/>
  <c r="BO49" i="5" s="1"/>
  <c r="DM43" i="4"/>
  <c r="AG52" i="1"/>
  <c r="BD55" i="5" s="1"/>
  <c r="AE43" i="1"/>
  <c r="AJ43" i="1"/>
  <c r="AS46" i="1"/>
  <c r="BP48" i="5" s="1"/>
  <c r="BP112" i="5" s="1"/>
  <c r="AR46" i="1"/>
  <c r="BO48" i="5" s="1"/>
  <c r="DM42" i="4"/>
  <c r="AS33" i="1"/>
  <c r="AR33" i="1"/>
  <c r="BO29" i="5" s="1"/>
  <c r="AF43" i="1"/>
  <c r="AG43" i="1"/>
  <c r="AH43" i="1"/>
  <c r="AH52" i="1"/>
  <c r="AJ56" i="1"/>
  <c r="BG60" i="5" s="1"/>
  <c r="AS53" i="1"/>
  <c r="BP54" i="5" s="1"/>
  <c r="AR53" i="1"/>
  <c r="BO54" i="5" s="1"/>
  <c r="DM48" i="4"/>
  <c r="AS44" i="1"/>
  <c r="AR44" i="1"/>
  <c r="AS39" i="1"/>
  <c r="BP38" i="5" s="1"/>
  <c r="AR39" i="1"/>
  <c r="BO38" i="5" s="1"/>
  <c r="DM36" i="4"/>
  <c r="AS35" i="1"/>
  <c r="BP32" i="5" s="1"/>
  <c r="AR35" i="1"/>
  <c r="BO32" i="5" s="1"/>
  <c r="BO108" i="5" s="1"/>
  <c r="DM29" i="4"/>
  <c r="DM31" i="4"/>
  <c r="DI2" i="4"/>
  <c r="AL9" i="1"/>
  <c r="DM27" i="4"/>
  <c r="DC16" i="4"/>
  <c r="DL18" i="4"/>
  <c r="BN14" i="5"/>
  <c r="DL17" i="4"/>
  <c r="DE5" i="4"/>
  <c r="AH9" i="1"/>
  <c r="AN9" i="1"/>
  <c r="DL16" i="4"/>
  <c r="DL15" i="4"/>
  <c r="DB14" i="4"/>
  <c r="DJ2" i="4"/>
  <c r="AM9" i="1"/>
  <c r="DL5" i="4"/>
  <c r="AO9" i="1"/>
  <c r="DB11" i="4"/>
  <c r="DL14" i="4"/>
  <c r="C49" i="10"/>
  <c r="E49" i="10" s="1"/>
  <c r="F49" i="10" s="1"/>
  <c r="BX5" i="5"/>
  <c r="BW6" i="5"/>
  <c r="CA77" i="5"/>
  <c r="CA14" i="5"/>
  <c r="BU5" i="5"/>
  <c r="BZ5" i="5"/>
  <c r="BV5" i="5"/>
  <c r="BW5" i="5"/>
  <c r="BU6" i="5"/>
  <c r="CA8" i="5"/>
  <c r="BX6" i="5"/>
  <c r="DP55" i="4"/>
  <c r="B84" i="2"/>
  <c r="B106" i="2"/>
  <c r="B107" i="2"/>
  <c r="B83" i="2"/>
  <c r="B93" i="2"/>
  <c r="B77" i="2"/>
  <c r="B76" i="2"/>
  <c r="B95" i="2"/>
  <c r="B91" i="2"/>
  <c r="B94" i="2"/>
  <c r="C56" i="2"/>
  <c r="C158" i="2" s="1"/>
  <c r="B59" i="2"/>
  <c r="B127" i="2"/>
  <c r="B56" i="2"/>
  <c r="DC41" i="4" l="1"/>
  <c r="Y60" i="1"/>
  <c r="AU50" i="1"/>
  <c r="BT62" i="5"/>
  <c r="F106" i="2"/>
  <c r="F82" i="2"/>
  <c r="F32" i="2" s="1"/>
  <c r="BT79" i="5"/>
  <c r="B131" i="2"/>
  <c r="B135" i="2"/>
  <c r="BT29" i="5"/>
  <c r="AW32" i="1"/>
  <c r="AW42" i="1"/>
  <c r="BT45" i="5"/>
  <c r="BT110" i="5"/>
  <c r="F92" i="2"/>
  <c r="F25" i="2" s="1"/>
  <c r="BT53" i="5"/>
  <c r="AW50" i="1"/>
  <c r="B90" i="5"/>
  <c r="N90" i="5" s="1"/>
  <c r="AW36" i="1"/>
  <c r="CB44" i="5"/>
  <c r="CC44" i="5" s="1"/>
  <c r="CA44" i="5"/>
  <c r="BB23" i="5"/>
  <c r="AC84" i="5"/>
  <c r="AC90" i="5" s="1"/>
  <c r="AD74" i="5"/>
  <c r="AF32" i="5"/>
  <c r="AG32" i="5" s="1"/>
  <c r="AH32" i="5" s="1"/>
  <c r="AI32" i="5" s="1"/>
  <c r="AV88" i="5"/>
  <c r="AV90" i="5" s="1"/>
  <c r="BT39" i="5"/>
  <c r="BT128" i="5"/>
  <c r="BT129" i="5" s="1"/>
  <c r="BT131" i="5" s="1"/>
  <c r="F81" i="2"/>
  <c r="F31" i="2" s="1"/>
  <c r="BT81" i="5"/>
  <c r="BT111" i="5"/>
  <c r="F93" i="2"/>
  <c r="F26" i="2" s="1"/>
  <c r="F173" i="2" s="1"/>
  <c r="AA54" i="4"/>
  <c r="N55" i="4"/>
  <c r="AE54" i="4"/>
  <c r="AD55" i="4"/>
  <c r="BT70" i="5"/>
  <c r="BT122" i="5"/>
  <c r="BT102" i="5"/>
  <c r="AC56" i="5"/>
  <c r="CO37" i="5"/>
  <c r="CP37" i="5" s="1"/>
  <c r="CQ37" i="5" s="1"/>
  <c r="CR37" i="5" s="1"/>
  <c r="CS37" i="5" s="1"/>
  <c r="CT37" i="5" s="1"/>
  <c r="CU37" i="5" s="1"/>
  <c r="CV37" i="5" s="1"/>
  <c r="CW37" i="5" s="1"/>
  <c r="CX37" i="5" s="1"/>
  <c r="CY37" i="5" s="1"/>
  <c r="CZ37" i="5" s="1"/>
  <c r="DA37" i="5" s="1"/>
  <c r="DB37" i="5" s="1"/>
  <c r="DC37" i="5" s="1"/>
  <c r="DD37" i="5" s="1"/>
  <c r="DE37" i="5" s="1"/>
  <c r="DF37" i="5" s="1"/>
  <c r="DG37" i="5" s="1"/>
  <c r="DH37" i="5" s="1"/>
  <c r="DI37" i="5" s="1"/>
  <c r="DJ37" i="5" s="1"/>
  <c r="DK37" i="5" s="1"/>
  <c r="DL37" i="5" s="1"/>
  <c r="DM37" i="5" s="1"/>
  <c r="DN37" i="5" s="1"/>
  <c r="DO37" i="5" s="1"/>
  <c r="DP37" i="5" s="1"/>
  <c r="DQ37" i="5" s="1"/>
  <c r="DR37" i="5" s="1"/>
  <c r="DS37" i="5" s="1"/>
  <c r="DT37" i="5" s="1"/>
  <c r="DU37" i="5" s="1"/>
  <c r="DV37" i="5" s="1"/>
  <c r="DW37" i="5" s="1"/>
  <c r="DX37" i="5" s="1"/>
  <c r="DY37" i="5" s="1"/>
  <c r="DZ37" i="5" s="1"/>
  <c r="EA37" i="5" s="1"/>
  <c r="EB37" i="5" s="1"/>
  <c r="EC37" i="5" s="1"/>
  <c r="ED37" i="5" s="1"/>
  <c r="EE37" i="5" s="1"/>
  <c r="EF37" i="5" s="1"/>
  <c r="EG37" i="5" s="1"/>
  <c r="EH37" i="5" s="1"/>
  <c r="EI37" i="5" s="1"/>
  <c r="EJ37" i="5" s="1"/>
  <c r="EK37" i="5" s="1"/>
  <c r="EL37" i="5" s="1"/>
  <c r="EM37" i="5" s="1"/>
  <c r="EN37" i="5" s="1"/>
  <c r="BE18" i="5"/>
  <c r="BE19" i="5" s="1"/>
  <c r="BD18" i="5"/>
  <c r="BD19" i="5" s="1"/>
  <c r="DF47" i="4"/>
  <c r="BG18" i="5"/>
  <c r="BG19" i="5" s="1"/>
  <c r="BF18" i="5"/>
  <c r="BF19" i="5" s="1"/>
  <c r="AB74" i="1"/>
  <c r="DE26" i="4"/>
  <c r="DB26" i="4"/>
  <c r="DE47" i="4"/>
  <c r="DH35" i="4"/>
  <c r="DK27" i="4"/>
  <c r="BD45" i="5"/>
  <c r="BD109" i="5" s="1"/>
  <c r="DK48" i="4"/>
  <c r="BC45" i="5"/>
  <c r="BC109" i="5" s="1"/>
  <c r="BC114" i="5" s="1"/>
  <c r="DC48" i="4"/>
  <c r="BE30" i="5"/>
  <c r="BE106" i="5" s="1"/>
  <c r="BH45" i="5"/>
  <c r="BH109" i="5" s="1"/>
  <c r="AE73" i="1"/>
  <c r="BD128" i="5"/>
  <c r="DD47" i="4"/>
  <c r="AI41" i="1"/>
  <c r="DC35" i="4"/>
  <c r="DB35" i="4"/>
  <c r="B36" i="2"/>
  <c r="BW53" i="5"/>
  <c r="BW12" i="5"/>
  <c r="BW86" i="5" s="1"/>
  <c r="X74" i="5"/>
  <c r="X13" i="5"/>
  <c r="X15" i="5" s="1"/>
  <c r="B137" i="2"/>
  <c r="B132" i="2"/>
  <c r="B122" i="2"/>
  <c r="BS84" i="5"/>
  <c r="BR50" i="5"/>
  <c r="BR84" i="5"/>
  <c r="AU32" i="1"/>
  <c r="B123" i="2"/>
  <c r="BJ45" i="5"/>
  <c r="BJ109" i="5" s="1"/>
  <c r="BU53" i="5"/>
  <c r="BU12" i="5"/>
  <c r="BU86" i="5" s="1"/>
  <c r="L74" i="5"/>
  <c r="Z82" i="1"/>
  <c r="Z83" i="1" s="1"/>
  <c r="Q35" i="5"/>
  <c r="P128" i="5"/>
  <c r="P129" i="5" s="1"/>
  <c r="Q126" i="5"/>
  <c r="B134" i="2"/>
  <c r="DI48" i="4"/>
  <c r="AY70" i="5"/>
  <c r="AG108" i="5"/>
  <c r="P39" i="5"/>
  <c r="AC81" i="5"/>
  <c r="BS63" i="5"/>
  <c r="AU79" i="1"/>
  <c r="AU36" i="1"/>
  <c r="BR35" i="5"/>
  <c r="AP127" i="5"/>
  <c r="AP129" i="5" s="1"/>
  <c r="AP81" i="5"/>
  <c r="AP78" i="5"/>
  <c r="AA59" i="1"/>
  <c r="AA85" i="1" s="1"/>
  <c r="AA84" i="1"/>
  <c r="BF37" i="5"/>
  <c r="DB43" i="4"/>
  <c r="BF48" i="5"/>
  <c r="BF112" i="5" s="1"/>
  <c r="AU88" i="5"/>
  <c r="AU90" i="5" s="1"/>
  <c r="AU63" i="5"/>
  <c r="AU64" i="5" s="1"/>
  <c r="C61" i="2"/>
  <c r="C13" i="2" s="1"/>
  <c r="O57" i="5"/>
  <c r="O63" i="5" s="1"/>
  <c r="O64" i="5" s="1"/>
  <c r="BS80" i="5"/>
  <c r="BR80" i="5"/>
  <c r="AB71" i="1"/>
  <c r="AB72" i="1"/>
  <c r="DI42" i="4"/>
  <c r="BE1" i="5"/>
  <c r="AL70" i="5"/>
  <c r="AL23" i="5"/>
  <c r="DL36" i="4"/>
  <c r="DG31" i="4"/>
  <c r="DB31" i="4"/>
  <c r="DD39" i="4"/>
  <c r="AE109" i="5"/>
  <c r="C3" i="13"/>
  <c r="AG13" i="5"/>
  <c r="AG15" i="5" s="1"/>
  <c r="BR79" i="5"/>
  <c r="BR60" i="5"/>
  <c r="BR62" i="5" s="1"/>
  <c r="AU55" i="1"/>
  <c r="AU90" i="1" s="1"/>
  <c r="AQ127" i="5"/>
  <c r="AQ129" i="5" s="1"/>
  <c r="AQ81" i="5"/>
  <c r="AQ78" i="5"/>
  <c r="F126" i="5"/>
  <c r="E128" i="5"/>
  <c r="E126" i="5"/>
  <c r="D128" i="5"/>
  <c r="BJ70" i="5"/>
  <c r="BJ23" i="5"/>
  <c r="R52" i="5"/>
  <c r="S52" i="5" s="1"/>
  <c r="BC55" i="4"/>
  <c r="C75" i="5" s="1"/>
  <c r="C78" i="5" s="1"/>
  <c r="BD54" i="4"/>
  <c r="BC7" i="5"/>
  <c r="BC11" i="5" s="1"/>
  <c r="BC19" i="5"/>
  <c r="DD44" i="4"/>
  <c r="C4" i="13"/>
  <c r="C5" i="13"/>
  <c r="DJ48" i="4"/>
  <c r="DH41" i="4"/>
  <c r="DB29" i="4"/>
  <c r="DC44" i="4"/>
  <c r="Z56" i="1"/>
  <c r="AW60" i="5" s="1"/>
  <c r="AW62" i="5" s="1"/>
  <c r="AW63" i="5" s="1"/>
  <c r="AW64" i="5" s="1"/>
  <c r="C65" i="2"/>
  <c r="C9" i="2" s="1"/>
  <c r="AC33" i="5"/>
  <c r="AQ54" i="4"/>
  <c r="AP55" i="4"/>
  <c r="CS54" i="4"/>
  <c r="CR55" i="4"/>
  <c r="AR75" i="5" s="1"/>
  <c r="AC39" i="5"/>
  <c r="AC128" i="5"/>
  <c r="AD126" i="5"/>
  <c r="AD35" i="5"/>
  <c r="BJ102" i="5"/>
  <c r="G13" i="5"/>
  <c r="G15" i="5" s="1"/>
  <c r="R55" i="4"/>
  <c r="S54" i="4"/>
  <c r="AZ2" i="5"/>
  <c r="AH108" i="5"/>
  <c r="BR56" i="5"/>
  <c r="AC74" i="5"/>
  <c r="AC129" i="5"/>
  <c r="E54" i="4"/>
  <c r="D55" i="4"/>
  <c r="AW122" i="5"/>
  <c r="BJ122" i="5"/>
  <c r="AW23" i="5"/>
  <c r="T13" i="5"/>
  <c r="T15" i="5" s="1"/>
  <c r="CE54" i="4"/>
  <c r="CD55" i="4"/>
  <c r="AD75" i="5" s="1"/>
  <c r="AW70" i="5"/>
  <c r="AU2" i="5"/>
  <c r="BM2" i="5"/>
  <c r="F74" i="5"/>
  <c r="Y13" i="5"/>
  <c r="Y15" i="5" s="1"/>
  <c r="AL102" i="5"/>
  <c r="S74" i="5"/>
  <c r="AV60" i="1"/>
  <c r="AV85" i="1"/>
  <c r="AV82" i="1"/>
  <c r="AV83" i="1" s="1"/>
  <c r="AG2" i="1"/>
  <c r="AF29" i="1"/>
  <c r="AF67" i="1"/>
  <c r="B133" i="2"/>
  <c r="AU42" i="1"/>
  <c r="BR33" i="5"/>
  <c r="BR106" i="5"/>
  <c r="BR114" i="5" s="1"/>
  <c r="BS115" i="5" s="1"/>
  <c r="AH74" i="1"/>
  <c r="BA102" i="5"/>
  <c r="C60" i="2"/>
  <c r="C8" i="2" s="1"/>
  <c r="Q78" i="5"/>
  <c r="DD31" i="4"/>
  <c r="AW102" i="5"/>
  <c r="BB102" i="5"/>
  <c r="AA7" i="5"/>
  <c r="B58" i="2" s="1"/>
  <c r="B163" i="2" s="1"/>
  <c r="BS54" i="4"/>
  <c r="BR55" i="4"/>
  <c r="R75" i="5" s="1"/>
  <c r="R127" i="5" s="1"/>
  <c r="AY128" i="5"/>
  <c r="AZ126" i="5"/>
  <c r="BG81" i="5"/>
  <c r="BH126" i="5"/>
  <c r="BG128" i="5"/>
  <c r="BG129" i="5" s="1"/>
  <c r="BC128" i="5"/>
  <c r="BD126" i="5"/>
  <c r="BB128" i="5"/>
  <c r="BC126" i="5"/>
  <c r="BQ126" i="5"/>
  <c r="BQ129" i="5" s="1"/>
  <c r="BP128" i="5"/>
  <c r="BK128" i="5"/>
  <c r="BL126" i="5"/>
  <c r="DK41" i="4"/>
  <c r="DJ49" i="4"/>
  <c r="BI128" i="5"/>
  <c r="BJ126" i="5"/>
  <c r="BL128" i="5"/>
  <c r="BM126" i="5"/>
  <c r="BM129" i="5" s="1"/>
  <c r="BP126" i="5"/>
  <c r="BO128" i="5"/>
  <c r="BO129" i="5" s="1"/>
  <c r="BK126" i="5"/>
  <c r="BJ128" i="5"/>
  <c r="AD113" i="5"/>
  <c r="Z74" i="5"/>
  <c r="AB114" i="5"/>
  <c r="AE113" i="5"/>
  <c r="BN1" i="5"/>
  <c r="BA122" i="5"/>
  <c r="AF49" i="5"/>
  <c r="AF113" i="5" s="1"/>
  <c r="Q13" i="5"/>
  <c r="Q15" i="5" s="1"/>
  <c r="BO81" i="5"/>
  <c r="AH74" i="5"/>
  <c r="C57" i="2"/>
  <c r="C6" i="2" s="1"/>
  <c r="BE2" i="5"/>
  <c r="AD79" i="5"/>
  <c r="AF108" i="5"/>
  <c r="B57" i="5"/>
  <c r="B63" i="5" s="1"/>
  <c r="K13" i="5"/>
  <c r="K15" i="5" s="1"/>
  <c r="K74" i="5"/>
  <c r="R74" i="5"/>
  <c r="R13" i="5"/>
  <c r="R15" i="5" s="1"/>
  <c r="E79" i="5"/>
  <c r="N7" i="5"/>
  <c r="B40" i="5"/>
  <c r="BW7" i="5"/>
  <c r="BW11" i="5" s="1"/>
  <c r="BW74" i="5" s="1"/>
  <c r="C40" i="5"/>
  <c r="D74" i="5"/>
  <c r="E74" i="5"/>
  <c r="AQ1" i="5"/>
  <c r="AD102" i="5"/>
  <c r="AD122" i="5"/>
  <c r="AD23" i="5"/>
  <c r="AF122" i="5"/>
  <c r="AF70" i="5"/>
  <c r="AS1" i="5"/>
  <c r="D66" i="2" s="1"/>
  <c r="AF102" i="5"/>
  <c r="AI2" i="5"/>
  <c r="D54" i="5"/>
  <c r="C80" i="5"/>
  <c r="AD80" i="5"/>
  <c r="AE54" i="5"/>
  <c r="BJ2" i="5"/>
  <c r="AE30" i="5"/>
  <c r="AD106" i="5"/>
  <c r="AM122" i="5"/>
  <c r="AM102" i="5"/>
  <c r="AM23" i="5"/>
  <c r="AM70" i="5"/>
  <c r="AZ1" i="5"/>
  <c r="BG70" i="5"/>
  <c r="BH122" i="5"/>
  <c r="BH70" i="5"/>
  <c r="AD39" i="5"/>
  <c r="W13" i="5"/>
  <c r="W15" i="5" s="1"/>
  <c r="P13" i="5"/>
  <c r="P15" i="5" s="1"/>
  <c r="C57" i="5"/>
  <c r="C63" i="5" s="1"/>
  <c r="C64" i="5" s="1"/>
  <c r="BG23" i="5"/>
  <c r="D53" i="5"/>
  <c r="C84" i="5"/>
  <c r="C90" i="5" s="1"/>
  <c r="C56" i="5"/>
  <c r="BG102" i="5"/>
  <c r="AE47" i="5"/>
  <c r="AD111" i="5"/>
  <c r="AB115" i="5"/>
  <c r="AB76" i="5" s="1"/>
  <c r="AG45" i="5"/>
  <c r="AF109" i="5"/>
  <c r="BG11" i="5"/>
  <c r="BG74" i="5" s="1"/>
  <c r="D39" i="5"/>
  <c r="D40" i="5" s="1"/>
  <c r="AB57" i="5"/>
  <c r="AB63" i="5" s="1"/>
  <c r="AB64" i="5" s="1"/>
  <c r="S54" i="5"/>
  <c r="R80" i="5"/>
  <c r="I52" i="5"/>
  <c r="H29" i="5"/>
  <c r="AF46" i="5"/>
  <c r="AE110" i="5"/>
  <c r="AE53" i="5"/>
  <c r="AE84" i="5" s="1"/>
  <c r="AE90" i="5" s="1"/>
  <c r="AD56" i="5"/>
  <c r="AF44" i="5"/>
  <c r="O13" i="5"/>
  <c r="AA11" i="5"/>
  <c r="B62" i="2" s="1"/>
  <c r="O74" i="5"/>
  <c r="AY84" i="5"/>
  <c r="Q29" i="5"/>
  <c r="P33" i="5"/>
  <c r="AD48" i="5"/>
  <c r="AC50" i="5"/>
  <c r="AC112" i="5"/>
  <c r="AC114" i="5" s="1"/>
  <c r="AK52" i="5"/>
  <c r="AB15" i="5"/>
  <c r="BU7" i="5"/>
  <c r="BU11" i="5" s="1"/>
  <c r="BU74" i="5" s="1"/>
  <c r="D84" i="5"/>
  <c r="D90" i="5" s="1"/>
  <c r="D50" i="5"/>
  <c r="E44" i="5"/>
  <c r="AE31" i="5"/>
  <c r="AD107" i="5"/>
  <c r="Q39" i="5"/>
  <c r="R36" i="5"/>
  <c r="BC80" i="5"/>
  <c r="O90" i="5"/>
  <c r="AA90" i="5" s="1"/>
  <c r="B136" i="2" s="1"/>
  <c r="AA84" i="5"/>
  <c r="B130" i="2" s="1"/>
  <c r="B74" i="5"/>
  <c r="B13" i="5"/>
  <c r="N11" i="5"/>
  <c r="Q79" i="5"/>
  <c r="AG49" i="5"/>
  <c r="P82" i="5"/>
  <c r="BC33" i="5"/>
  <c r="AD33" i="5"/>
  <c r="D79" i="5"/>
  <c r="Q44" i="5"/>
  <c r="P50" i="5"/>
  <c r="P57" i="5" s="1"/>
  <c r="P63" i="5" s="1"/>
  <c r="P84" i="5"/>
  <c r="P90" i="5" s="1"/>
  <c r="AE11" i="5"/>
  <c r="AN7" i="5"/>
  <c r="C58" i="2" s="1"/>
  <c r="C163" i="2" s="1"/>
  <c r="AF13" i="5"/>
  <c r="AF15" i="5" s="1"/>
  <c r="AF74" i="5"/>
  <c r="F35" i="5"/>
  <c r="E39" i="5"/>
  <c r="E33" i="5"/>
  <c r="F30" i="5"/>
  <c r="AG29" i="5"/>
  <c r="DI31" i="4"/>
  <c r="BL45" i="5"/>
  <c r="BL109" i="5" s="1"/>
  <c r="DL35" i="4"/>
  <c r="DK43" i="4"/>
  <c r="DH26" i="4"/>
  <c r="DK29" i="4"/>
  <c r="BE86" i="5"/>
  <c r="BC86" i="5"/>
  <c r="AY79" i="5"/>
  <c r="BD86" i="5"/>
  <c r="BF86" i="5"/>
  <c r="BE44" i="5"/>
  <c r="AH32" i="1"/>
  <c r="AH70" i="1" s="1"/>
  <c r="BB86" i="5"/>
  <c r="BL39" i="5"/>
  <c r="DL47" i="4"/>
  <c r="DL34" i="4"/>
  <c r="BB39" i="5"/>
  <c r="BG86" i="5"/>
  <c r="DK44" i="4"/>
  <c r="BE11" i="5"/>
  <c r="BE13" i="5" s="1"/>
  <c r="BE15" i="5" s="1"/>
  <c r="DK42" i="4"/>
  <c r="AO32" i="1"/>
  <c r="AO71" i="1" s="1"/>
  <c r="DI46" i="4"/>
  <c r="AY80" i="5"/>
  <c r="BO33" i="5"/>
  <c r="DJ36" i="4"/>
  <c r="DL27" i="4"/>
  <c r="DK36" i="4"/>
  <c r="DJ44" i="4"/>
  <c r="DJ42" i="4"/>
  <c r="DH49" i="4"/>
  <c r="BO56" i="5"/>
  <c r="BP56" i="5"/>
  <c r="AS55" i="1"/>
  <c r="AS90" i="1" s="1"/>
  <c r="BP60" i="5"/>
  <c r="BP62" i="5" s="1"/>
  <c r="DJ39" i="4"/>
  <c r="BJ44" i="5"/>
  <c r="DI49" i="4"/>
  <c r="BI55" i="5"/>
  <c r="BI56" i="5" s="1"/>
  <c r="BK81" i="5"/>
  <c r="DJ43" i="4"/>
  <c r="BJ49" i="5"/>
  <c r="BJ113" i="5" s="1"/>
  <c r="DL41" i="4"/>
  <c r="BL47" i="5"/>
  <c r="BL111" i="5" s="1"/>
  <c r="DK34" i="4"/>
  <c r="BK36" i="5"/>
  <c r="BB5" i="5"/>
  <c r="BB7" i="5" s="1"/>
  <c r="BB11" i="5" s="1"/>
  <c r="BB13" i="5" s="1"/>
  <c r="BB15" i="5" s="1"/>
  <c r="DL43" i="4"/>
  <c r="BL49" i="5"/>
  <c r="BL113" i="5" s="1"/>
  <c r="DJ27" i="4"/>
  <c r="DK39" i="4"/>
  <c r="BK44" i="5"/>
  <c r="DJ29" i="4"/>
  <c r="BJ32" i="5"/>
  <c r="BJ108" i="5" s="1"/>
  <c r="BL81" i="5"/>
  <c r="DL46" i="4"/>
  <c r="BL52" i="5"/>
  <c r="DJ41" i="4"/>
  <c r="BJ47" i="5"/>
  <c r="BJ111" i="5" s="1"/>
  <c r="DI34" i="4"/>
  <c r="BI36" i="5"/>
  <c r="BB56" i="5"/>
  <c r="DK47" i="4"/>
  <c r="BK53" i="5"/>
  <c r="DC31" i="4"/>
  <c r="BD79" i="5"/>
  <c r="DI26" i="4"/>
  <c r="BI29" i="5"/>
  <c r="DH39" i="4"/>
  <c r="BH44" i="5"/>
  <c r="BI45" i="5"/>
  <c r="BI109" i="5" s="1"/>
  <c r="BJ81" i="5"/>
  <c r="DH46" i="4"/>
  <c r="BH52" i="5"/>
  <c r="DH43" i="4"/>
  <c r="BH49" i="5"/>
  <c r="BH113" i="5" s="1"/>
  <c r="DH34" i="4"/>
  <c r="BH36" i="5"/>
  <c r="AZ35" i="5"/>
  <c r="AD37" i="1"/>
  <c r="AR55" i="1"/>
  <c r="AR90" i="1" s="1"/>
  <c r="BO60" i="5"/>
  <c r="BO62" i="5" s="1"/>
  <c r="DH42" i="4"/>
  <c r="BH48" i="5"/>
  <c r="BH112" i="5" s="1"/>
  <c r="DI44" i="4"/>
  <c r="BI46" i="5"/>
  <c r="BI110" i="5" s="1"/>
  <c r="BP45" i="5"/>
  <c r="BP50" i="5" s="1"/>
  <c r="DI39" i="4"/>
  <c r="BI44" i="5"/>
  <c r="DK49" i="4"/>
  <c r="BK55" i="5"/>
  <c r="BK80" i="5" s="1"/>
  <c r="DI29" i="4"/>
  <c r="BI32" i="5"/>
  <c r="BI108" i="5" s="1"/>
  <c r="DH48" i="4"/>
  <c r="BH54" i="5"/>
  <c r="DH31" i="4"/>
  <c r="BH35" i="5"/>
  <c r="DJ46" i="4"/>
  <c r="BJ52" i="5"/>
  <c r="DJ35" i="4"/>
  <c r="BJ37" i="5"/>
  <c r="DI43" i="4"/>
  <c r="BI49" i="5"/>
  <c r="BI113" i="5" s="1"/>
  <c r="DL44" i="4"/>
  <c r="BL46" i="5"/>
  <c r="BL110" i="5" s="1"/>
  <c r="AB41" i="1"/>
  <c r="AB70" i="1" s="1"/>
  <c r="BD11" i="5"/>
  <c r="BD74" i="5" s="1"/>
  <c r="BP39" i="5"/>
  <c r="BB45" i="5"/>
  <c r="BB109" i="5" s="1"/>
  <c r="BB114" i="5" s="1"/>
  <c r="BO45" i="5"/>
  <c r="BO50" i="5" s="1"/>
  <c r="DL39" i="4"/>
  <c r="BL44" i="5"/>
  <c r="DL29" i="4"/>
  <c r="BL32" i="5"/>
  <c r="DL42" i="4"/>
  <c r="BL48" i="5"/>
  <c r="BL112" i="5" s="1"/>
  <c r="DK46" i="4"/>
  <c r="BK52" i="5"/>
  <c r="DK35" i="4"/>
  <c r="BK37" i="5"/>
  <c r="DI41" i="4"/>
  <c r="BI47" i="5"/>
  <c r="BI111" i="5" s="1"/>
  <c r="DL48" i="4"/>
  <c r="BL54" i="5"/>
  <c r="DJ34" i="4"/>
  <c r="BJ36" i="5"/>
  <c r="DK26" i="4"/>
  <c r="BK29" i="5"/>
  <c r="BK33" i="5" s="1"/>
  <c r="DI27" i="4"/>
  <c r="BI30" i="5"/>
  <c r="BI106" i="5" s="1"/>
  <c r="DH29" i="4"/>
  <c r="BH32" i="5"/>
  <c r="BH108" i="5" s="1"/>
  <c r="DI35" i="4"/>
  <c r="BI37" i="5"/>
  <c r="DH36" i="4"/>
  <c r="BH38" i="5"/>
  <c r="AS73" i="1"/>
  <c r="BP29" i="5"/>
  <c r="BP33" i="5" s="1"/>
  <c r="BO39" i="5"/>
  <c r="DJ47" i="4"/>
  <c r="BJ53" i="5"/>
  <c r="DH27" i="4"/>
  <c r="BH30" i="5"/>
  <c r="BH106" i="5" s="1"/>
  <c r="BK45" i="5"/>
  <c r="BK109" i="5" s="1"/>
  <c r="BK114" i="5" s="1"/>
  <c r="DI36" i="4"/>
  <c r="BI38" i="5"/>
  <c r="DH44" i="4"/>
  <c r="BH46" i="5"/>
  <c r="BH110" i="5" s="1"/>
  <c r="BF11" i="5"/>
  <c r="BF13" i="5" s="1"/>
  <c r="BF15" i="5" s="1"/>
  <c r="AF92" i="1"/>
  <c r="DG27" i="4"/>
  <c r="BG30" i="5"/>
  <c r="BG106" i="5" s="1"/>
  <c r="BD33" i="5"/>
  <c r="BD108" i="5"/>
  <c r="DG49" i="4"/>
  <c r="BG55" i="5"/>
  <c r="DE46" i="4"/>
  <c r="BE52" i="5"/>
  <c r="DF46" i="4"/>
  <c r="BF52" i="5"/>
  <c r="DE31" i="4"/>
  <c r="BE35" i="5"/>
  <c r="BC56" i="5"/>
  <c r="DF39" i="4"/>
  <c r="BF44" i="5"/>
  <c r="DE29" i="4"/>
  <c r="BE32" i="5"/>
  <c r="BD56" i="5"/>
  <c r="DG39" i="4"/>
  <c r="BG44" i="5"/>
  <c r="DE36" i="4"/>
  <c r="BE38" i="5"/>
  <c r="DF27" i="4"/>
  <c r="BF30" i="5"/>
  <c r="DE49" i="4"/>
  <c r="BE55" i="5"/>
  <c r="DG46" i="4"/>
  <c r="BG52" i="5"/>
  <c r="DG34" i="4"/>
  <c r="BG36" i="5"/>
  <c r="DF34" i="4"/>
  <c r="BF36" i="5"/>
  <c r="DG29" i="4"/>
  <c r="BG32" i="5"/>
  <c r="BG108" i="5" s="1"/>
  <c r="DF49" i="4"/>
  <c r="BF55" i="5"/>
  <c r="DE41" i="4"/>
  <c r="BE47" i="5"/>
  <c r="BE111" i="5" s="1"/>
  <c r="DE40" i="4"/>
  <c r="BE45" i="5"/>
  <c r="BE109" i="5" s="1"/>
  <c r="DG43" i="4"/>
  <c r="BG49" i="5"/>
  <c r="BG113" i="5" s="1"/>
  <c r="DF36" i="4"/>
  <c r="BF38" i="5"/>
  <c r="DF40" i="4"/>
  <c r="BF45" i="5"/>
  <c r="BF109" i="5" s="1"/>
  <c r="BC39" i="5"/>
  <c r="BD81" i="5"/>
  <c r="BC84" i="5"/>
  <c r="BD80" i="5"/>
  <c r="DF29" i="4"/>
  <c r="BF32" i="5"/>
  <c r="BF108" i="5" s="1"/>
  <c r="DG42" i="4"/>
  <c r="BG48" i="5"/>
  <c r="BG112" i="5" s="1"/>
  <c r="DG36" i="4"/>
  <c r="BG38" i="5"/>
  <c r="DF48" i="4"/>
  <c r="BF54" i="5"/>
  <c r="DE34" i="4"/>
  <c r="BE36" i="5"/>
  <c r="BC79" i="5"/>
  <c r="DG48" i="4"/>
  <c r="BG54" i="5"/>
  <c r="DE42" i="4"/>
  <c r="BE48" i="5"/>
  <c r="BE112" i="5" s="1"/>
  <c r="BD39" i="5"/>
  <c r="BC81" i="5"/>
  <c r="BB33" i="5"/>
  <c r="DG41" i="4"/>
  <c r="BG47" i="5"/>
  <c r="BG111" i="5" s="1"/>
  <c r="DF41" i="4"/>
  <c r="BF47" i="5"/>
  <c r="BF111" i="5" s="1"/>
  <c r="DF43" i="4"/>
  <c r="BF49" i="5"/>
  <c r="BF113" i="5" s="1"/>
  <c r="DE43" i="4"/>
  <c r="BE49" i="5"/>
  <c r="DF44" i="4"/>
  <c r="BF46" i="5"/>
  <c r="BF110" i="5" s="1"/>
  <c r="BD84" i="5"/>
  <c r="DG40" i="4"/>
  <c r="BG45" i="5"/>
  <c r="BG109" i="5" s="1"/>
  <c r="DE48" i="4"/>
  <c r="BE54" i="5"/>
  <c r="DG44" i="4"/>
  <c r="BG46" i="5"/>
  <c r="BG110" i="5" s="1"/>
  <c r="BD50" i="5"/>
  <c r="BK2" i="5"/>
  <c r="CJ1" i="5"/>
  <c r="BW70" i="5"/>
  <c r="BW23" i="5"/>
  <c r="BW122" i="5"/>
  <c r="BW102" i="5"/>
  <c r="BH102" i="5"/>
  <c r="BZ2" i="5"/>
  <c r="BZ106" i="5" s="1"/>
  <c r="AX102" i="5"/>
  <c r="AX70" i="5"/>
  <c r="AX23" i="5"/>
  <c r="AX122" i="5"/>
  <c r="BB2" i="5"/>
  <c r="BK1" i="5"/>
  <c r="BO2" i="5" s="1"/>
  <c r="BO23" i="5"/>
  <c r="BO70" i="5"/>
  <c r="BO122" i="5"/>
  <c r="BO102" i="5"/>
  <c r="CB1" i="5"/>
  <c r="CG1" i="5"/>
  <c r="BW2" i="5"/>
  <c r="BW106" i="5" s="1"/>
  <c r="BT23" i="5"/>
  <c r="AV23" i="5"/>
  <c r="AV70" i="5"/>
  <c r="AV102" i="5"/>
  <c r="BI1" i="5"/>
  <c r="AY2" i="5"/>
  <c r="AV122" i="5"/>
  <c r="BC23" i="5"/>
  <c r="BP1" i="5"/>
  <c r="BC102" i="5"/>
  <c r="BC70" i="5"/>
  <c r="BF2" i="5"/>
  <c r="BC122" i="5"/>
  <c r="BL23" i="5"/>
  <c r="BL70" i="5"/>
  <c r="BL102" i="5"/>
  <c r="BY1" i="5"/>
  <c r="BY53" i="5" s="1"/>
  <c r="BL122" i="5"/>
  <c r="BU122" i="5"/>
  <c r="BX2" i="5"/>
  <c r="BX106" i="5" s="1"/>
  <c r="BU102" i="5"/>
  <c r="BU23" i="5"/>
  <c r="CH1" i="5"/>
  <c r="BU70" i="5"/>
  <c r="DB49" i="4"/>
  <c r="DC34" i="4"/>
  <c r="DD36" i="4"/>
  <c r="BU38" i="5"/>
  <c r="BV38" i="5" s="1"/>
  <c r="BW38" i="5" s="1"/>
  <c r="BX38" i="5" s="1"/>
  <c r="BY38" i="5" s="1"/>
  <c r="BZ38" i="5" s="1"/>
  <c r="CA38" i="5" s="1"/>
  <c r="DB48" i="4"/>
  <c r="AZ37" i="5"/>
  <c r="BA37" i="5" s="1"/>
  <c r="AD38" i="1"/>
  <c r="AC36" i="1"/>
  <c r="AD36" i="1" s="1"/>
  <c r="AD49" i="1"/>
  <c r="AZ46" i="5"/>
  <c r="AY50" i="5"/>
  <c r="BA32" i="5"/>
  <c r="AZ108" i="5"/>
  <c r="BA108" i="5" s="1"/>
  <c r="AD47" i="1"/>
  <c r="AZ49" i="5"/>
  <c r="DB39" i="4"/>
  <c r="DD42" i="4"/>
  <c r="BQ112" i="5"/>
  <c r="DB41" i="4"/>
  <c r="BO111" i="5"/>
  <c r="AD46" i="1"/>
  <c r="AZ48" i="5"/>
  <c r="AZ44" i="5"/>
  <c r="AD45" i="1"/>
  <c r="DC39" i="4"/>
  <c r="AD39" i="1"/>
  <c r="AZ38" i="5"/>
  <c r="BA38" i="5" s="1"/>
  <c r="DB40" i="4"/>
  <c r="DD29" i="4"/>
  <c r="BQ108" i="5"/>
  <c r="DC29" i="4"/>
  <c r="BP108" i="5"/>
  <c r="AZ45" i="5"/>
  <c r="AD43" i="1"/>
  <c r="AC42" i="1"/>
  <c r="AC74" i="1" s="1"/>
  <c r="AZ29" i="5"/>
  <c r="AC32" i="1"/>
  <c r="AD33" i="1"/>
  <c r="DD49" i="4"/>
  <c r="DC49" i="4"/>
  <c r="DC46" i="4"/>
  <c r="AD54" i="1"/>
  <c r="AZ52" i="5"/>
  <c r="AY39" i="5"/>
  <c r="AY40" i="5" s="1"/>
  <c r="AB31" i="1"/>
  <c r="DB44" i="4"/>
  <c r="BO110" i="5"/>
  <c r="DC36" i="4"/>
  <c r="DD41" i="4"/>
  <c r="BQ111" i="5"/>
  <c r="DD46" i="4"/>
  <c r="AZ53" i="5"/>
  <c r="BA53" i="5" s="1"/>
  <c r="AD51" i="1"/>
  <c r="AC50" i="1"/>
  <c r="AD50" i="1" s="1"/>
  <c r="BO113" i="5"/>
  <c r="AD48" i="1"/>
  <c r="AZ47" i="5"/>
  <c r="DB36" i="4"/>
  <c r="DB42" i="4"/>
  <c r="BO112" i="5"/>
  <c r="BQ113" i="5"/>
  <c r="BP80" i="5"/>
  <c r="AX57" i="5"/>
  <c r="BA36" i="5"/>
  <c r="BA30" i="5"/>
  <c r="AZ106" i="5"/>
  <c r="DD40" i="4"/>
  <c r="BQ109" i="5"/>
  <c r="DB34" i="4"/>
  <c r="DD34" i="4"/>
  <c r="DD27" i="4"/>
  <c r="BQ106" i="5"/>
  <c r="BP81" i="5"/>
  <c r="AY56" i="5"/>
  <c r="AD53" i="1"/>
  <c r="AZ54" i="5"/>
  <c r="BO79" i="5"/>
  <c r="DC40" i="4"/>
  <c r="DC43" i="4"/>
  <c r="DB27" i="4"/>
  <c r="DC27" i="4"/>
  <c r="BP106" i="5"/>
  <c r="AD52" i="1"/>
  <c r="AZ55" i="5"/>
  <c r="BA55" i="5" s="1"/>
  <c r="DD48" i="4"/>
  <c r="AY113" i="5"/>
  <c r="AY114" i="5" s="1"/>
  <c r="AY115" i="5" s="1"/>
  <c r="AY76" i="5" s="1"/>
  <c r="BN8" i="5"/>
  <c r="AK32" i="1"/>
  <c r="AK72" i="1" s="1"/>
  <c r="DH40" i="4"/>
  <c r="AL32" i="1"/>
  <c r="AL71" i="1" s="1"/>
  <c r="AK41" i="1"/>
  <c r="AE74" i="1"/>
  <c r="AM41" i="1"/>
  <c r="AE32" i="1"/>
  <c r="AE71" i="1" s="1"/>
  <c r="AG36" i="1"/>
  <c r="BN9" i="5"/>
  <c r="AQ5" i="1"/>
  <c r="AL41" i="1"/>
  <c r="DB2" i="4"/>
  <c r="AE9" i="1"/>
  <c r="AE92" i="1" s="1"/>
  <c r="DI40" i="4"/>
  <c r="AI36" i="1"/>
  <c r="AO12" i="1"/>
  <c r="AO92" i="1"/>
  <c r="AN12" i="1"/>
  <c r="AN92" i="1"/>
  <c r="AL36" i="1"/>
  <c r="AJ74" i="1"/>
  <c r="AJ73" i="1"/>
  <c r="AK74" i="1"/>
  <c r="AK73" i="1"/>
  <c r="AK12" i="1"/>
  <c r="AK92" i="1"/>
  <c r="AI74" i="1"/>
  <c r="AI73" i="1"/>
  <c r="AL73" i="1"/>
  <c r="AL74" i="1"/>
  <c r="AJ92" i="1"/>
  <c r="AJ12" i="1"/>
  <c r="AM12" i="1"/>
  <c r="AM92" i="1"/>
  <c r="AF18" i="1"/>
  <c r="AF93" i="1"/>
  <c r="AM36" i="1"/>
  <c r="AO73" i="1"/>
  <c r="AO74" i="1"/>
  <c r="DI47" i="4"/>
  <c r="AH12" i="1"/>
  <c r="AH92" i="1"/>
  <c r="DJ31" i="4"/>
  <c r="AM73" i="1"/>
  <c r="AM74" i="1"/>
  <c r="AL12" i="1"/>
  <c r="AL92" i="1"/>
  <c r="AI12" i="1"/>
  <c r="AI92" i="1"/>
  <c r="AF73" i="1"/>
  <c r="AF74" i="1"/>
  <c r="AK36" i="1"/>
  <c r="AN73" i="1"/>
  <c r="AN74" i="1"/>
  <c r="DH47" i="4"/>
  <c r="AN41" i="1"/>
  <c r="AG12" i="1"/>
  <c r="AG92" i="1"/>
  <c r="AG73" i="1"/>
  <c r="AG74" i="1"/>
  <c r="AO41" i="1"/>
  <c r="AO70" i="1" s="1"/>
  <c r="AP36" i="1"/>
  <c r="AQ36" i="1" s="1"/>
  <c r="AE36" i="1"/>
  <c r="AR36" i="1"/>
  <c r="AR79" i="1"/>
  <c r="AR78" i="1"/>
  <c r="AR91" i="1"/>
  <c r="AN32" i="1"/>
  <c r="DJ26" i="4"/>
  <c r="AM32" i="1"/>
  <c r="AS79" i="1"/>
  <c r="AS36" i="1"/>
  <c r="DK31" i="4"/>
  <c r="AN36" i="1"/>
  <c r="AS78" i="1"/>
  <c r="AS91" i="1"/>
  <c r="AJ32" i="1"/>
  <c r="DG26" i="4"/>
  <c r="AO36" i="1"/>
  <c r="AJ36" i="1"/>
  <c r="AF32" i="1"/>
  <c r="DC26" i="4"/>
  <c r="AI32" i="1"/>
  <c r="DF26" i="4"/>
  <c r="DD26" i="4"/>
  <c r="AG32" i="1"/>
  <c r="DL31" i="4"/>
  <c r="BM81" i="5" s="1"/>
  <c r="AF36" i="1"/>
  <c r="AH36" i="1"/>
  <c r="BM79" i="5"/>
  <c r="AR32" i="1"/>
  <c r="AS32" i="1"/>
  <c r="AP32" i="1"/>
  <c r="AQ32" i="1" s="1"/>
  <c r="BM113" i="5"/>
  <c r="AP41" i="1"/>
  <c r="AQ41" i="1" s="1"/>
  <c r="DM40" i="4"/>
  <c r="BM110" i="5"/>
  <c r="AS74" i="1"/>
  <c r="AS77" i="1" s="1"/>
  <c r="DM26" i="4"/>
  <c r="DL26" i="4"/>
  <c r="AR41" i="1"/>
  <c r="AS41" i="1"/>
  <c r="BM108" i="5"/>
  <c r="BM111" i="5"/>
  <c r="DJ40" i="4"/>
  <c r="BM112" i="5"/>
  <c r="DK40" i="4"/>
  <c r="DM49" i="4"/>
  <c r="DL49" i="4"/>
  <c r="AR74" i="1"/>
  <c r="AR77" i="1" s="1"/>
  <c r="AR73" i="1"/>
  <c r="DL40" i="4"/>
  <c r="CB60" i="5"/>
  <c r="CC60" i="5" s="1"/>
  <c r="CD60" i="5" s="1"/>
  <c r="CE60" i="5" s="1"/>
  <c r="CF60" i="5" s="1"/>
  <c r="CG60" i="5" s="1"/>
  <c r="CH60" i="5" s="1"/>
  <c r="CI60" i="5" s="1"/>
  <c r="CJ60" i="5" s="1"/>
  <c r="CK60" i="5" s="1"/>
  <c r="CL60" i="5" s="1"/>
  <c r="CM60" i="5" s="1"/>
  <c r="CN60" i="5" s="1"/>
  <c r="CO60" i="5" s="1"/>
  <c r="BN6" i="5"/>
  <c r="BN17" i="5" s="1"/>
  <c r="BN113" i="5"/>
  <c r="CA9" i="5"/>
  <c r="BX7" i="5"/>
  <c r="BX11" i="5" s="1"/>
  <c r="BX74" i="5" s="1"/>
  <c r="BN39" i="5"/>
  <c r="BM86" i="5"/>
  <c r="BM106" i="5"/>
  <c r="CA10" i="5"/>
  <c r="BY6" i="5"/>
  <c r="BV6" i="5"/>
  <c r="BZ6" i="5"/>
  <c r="CB75" i="5"/>
  <c r="CO75" i="5" s="1"/>
  <c r="CO127" i="5" s="1"/>
  <c r="DQ55" i="4"/>
  <c r="BQ81" i="5" s="1"/>
  <c r="CC75" i="5"/>
  <c r="B28" i="2"/>
  <c r="B175" i="2" s="1"/>
  <c r="B25" i="2"/>
  <c r="B172" i="2" s="1"/>
  <c r="B27" i="2"/>
  <c r="B174" i="2" s="1"/>
  <c r="B21" i="2"/>
  <c r="B168" i="2" s="1"/>
  <c r="C7" i="2"/>
  <c r="B26" i="2"/>
  <c r="B173" i="2" s="1"/>
  <c r="C4" i="2"/>
  <c r="B24" i="2"/>
  <c r="B171" i="2" s="1"/>
  <c r="B22" i="2"/>
  <c r="B169" i="2" s="1"/>
  <c r="B33" i="2"/>
  <c r="B9" i="2"/>
  <c r="B7" i="2"/>
  <c r="B158" i="2"/>
  <c r="B34" i="2"/>
  <c r="B8" i="2"/>
  <c r="B6" i="2"/>
  <c r="B23" i="2"/>
  <c r="B170" i="2" s="1"/>
  <c r="B13" i="2"/>
  <c r="BP40" i="5" l="1"/>
  <c r="C134" i="2"/>
  <c r="F91" i="2"/>
  <c r="F24" i="2" s="1"/>
  <c r="F171" i="2" s="1"/>
  <c r="BT109" i="5"/>
  <c r="BT114" i="5" s="1"/>
  <c r="BT115" i="5" s="1"/>
  <c r="BT76" i="5" s="1"/>
  <c r="BT78" i="5" s="1"/>
  <c r="BT82" i="5" s="1"/>
  <c r="BT50" i="5"/>
  <c r="F96" i="2" s="1"/>
  <c r="AF54" i="4"/>
  <c r="AE55" i="4"/>
  <c r="BT40" i="5"/>
  <c r="F86" i="2" s="1"/>
  <c r="F162" i="2" s="1"/>
  <c r="F85" i="2"/>
  <c r="AW41" i="1"/>
  <c r="AW59" i="1"/>
  <c r="AW74" i="1"/>
  <c r="AW77" i="1" s="1"/>
  <c r="AN54" i="4"/>
  <c r="AA55" i="4"/>
  <c r="AI108" i="5"/>
  <c r="AJ32" i="5"/>
  <c r="AW71" i="1"/>
  <c r="AW72" i="1"/>
  <c r="AW31" i="1"/>
  <c r="AW70" i="1"/>
  <c r="AW73" i="1"/>
  <c r="D61" i="2"/>
  <c r="AA82" i="1"/>
  <c r="AA83" i="1" s="1"/>
  <c r="F99" i="2"/>
  <c r="BT84" i="5"/>
  <c r="BT56" i="5"/>
  <c r="F75" i="2"/>
  <c r="BT33" i="5"/>
  <c r="F79" i="2" s="1"/>
  <c r="F108" i="2"/>
  <c r="F161" i="2" s="1"/>
  <c r="R78" i="5"/>
  <c r="G25" i="2"/>
  <c r="F172" i="2"/>
  <c r="BT88" i="5"/>
  <c r="BT90" i="5" s="1"/>
  <c r="D161" i="2"/>
  <c r="BE84" i="5"/>
  <c r="BD114" i="5"/>
  <c r="BD13" i="5"/>
  <c r="BD15" i="5" s="1"/>
  <c r="AP82" i="5"/>
  <c r="AW88" i="5"/>
  <c r="AW90" i="5" s="1"/>
  <c r="AH71" i="1"/>
  <c r="AA56" i="1"/>
  <c r="AX60" i="5" s="1"/>
  <c r="AX62" i="5" s="1"/>
  <c r="AX88" i="5" s="1"/>
  <c r="AX90" i="5" s="1"/>
  <c r="BJ129" i="5"/>
  <c r="Z60" i="1"/>
  <c r="AH72" i="1"/>
  <c r="BC50" i="5"/>
  <c r="BC57" i="5" s="1"/>
  <c r="BG13" i="5"/>
  <c r="BG15" i="5" s="1"/>
  <c r="BC40" i="5"/>
  <c r="AS59" i="1"/>
  <c r="AS60" i="1" s="1"/>
  <c r="AQ82" i="5"/>
  <c r="AQ92" i="5" s="1"/>
  <c r="AQ94" i="5" s="1"/>
  <c r="AQ95" i="5" s="1"/>
  <c r="BP109" i="5"/>
  <c r="AH77" i="1"/>
  <c r="BD129" i="5"/>
  <c r="AC40" i="5"/>
  <c r="BC74" i="5"/>
  <c r="BC13" i="5"/>
  <c r="BC15" i="5" s="1"/>
  <c r="BT54" i="4"/>
  <c r="BS55" i="4"/>
  <c r="S75" i="5" s="1"/>
  <c r="S78" i="5" s="1"/>
  <c r="AU31" i="1"/>
  <c r="AE35" i="5"/>
  <c r="AD128" i="5"/>
  <c r="AD129" i="5" s="1"/>
  <c r="AE126" i="5"/>
  <c r="CJ53" i="5"/>
  <c r="CJ12" i="5"/>
  <c r="CJ86" i="5" s="1"/>
  <c r="AD40" i="5"/>
  <c r="C123" i="2"/>
  <c r="AB59" i="1"/>
  <c r="AB85" i="1" s="1"/>
  <c r="AB82" i="1"/>
  <c r="AB83" i="1" s="1"/>
  <c r="AB84" i="1"/>
  <c r="D78" i="5"/>
  <c r="AD127" i="5"/>
  <c r="BD55" i="4"/>
  <c r="D75" i="5" s="1"/>
  <c r="BE54" i="4"/>
  <c r="C127" i="5"/>
  <c r="C81" i="5"/>
  <c r="C82" i="5" s="1"/>
  <c r="C92" i="5" s="1"/>
  <c r="C94" i="5" s="1"/>
  <c r="CB53" i="5"/>
  <c r="CB12" i="5"/>
  <c r="CB86" i="5" s="1"/>
  <c r="R56" i="5"/>
  <c r="AU73" i="1"/>
  <c r="AU41" i="1"/>
  <c r="AU70" i="1" s="1"/>
  <c r="AU59" i="1"/>
  <c r="AU74" i="1"/>
  <c r="AU77" i="1" s="1"/>
  <c r="R35" i="5"/>
  <c r="R39" i="5" s="1"/>
  <c r="Q128" i="5"/>
  <c r="R126" i="5"/>
  <c r="Q81" i="5"/>
  <c r="Q82" i="5" s="1"/>
  <c r="S55" i="4"/>
  <c r="T54" i="4"/>
  <c r="D65" i="2"/>
  <c r="CG53" i="5"/>
  <c r="CG12" i="5"/>
  <c r="CG86" i="5" s="1"/>
  <c r="CF54" i="4"/>
  <c r="CE55" i="4"/>
  <c r="AE75" i="5" s="1"/>
  <c r="AE127" i="5" s="1"/>
  <c r="AR127" i="5"/>
  <c r="AR129" i="5" s="1"/>
  <c r="AR81" i="5"/>
  <c r="AR78" i="5"/>
  <c r="AR82" i="5" s="1"/>
  <c r="AR92" i="5" s="1"/>
  <c r="AR94" i="5" s="1"/>
  <c r="AR95" i="5" s="1"/>
  <c r="Q129" i="5"/>
  <c r="CS55" i="4"/>
  <c r="AS75" i="5" s="1"/>
  <c r="CT54" i="4"/>
  <c r="AB91" i="1"/>
  <c r="P40" i="5"/>
  <c r="P64" i="5" s="1"/>
  <c r="AQ55" i="4"/>
  <c r="AR54" i="4"/>
  <c r="BS88" i="5"/>
  <c r="BS90" i="5" s="1"/>
  <c r="BR88" i="5"/>
  <c r="E55" i="4"/>
  <c r="F54" i="4"/>
  <c r="BR1" i="5"/>
  <c r="BE102" i="5"/>
  <c r="BH2" i="5"/>
  <c r="BE122" i="5"/>
  <c r="BE23" i="5"/>
  <c r="BE70" i="5"/>
  <c r="AH2" i="1"/>
  <c r="AG29" i="1"/>
  <c r="AG67" i="1"/>
  <c r="AC73" i="1"/>
  <c r="F77" i="1"/>
  <c r="BR57" i="5"/>
  <c r="BR63" i="5" s="1"/>
  <c r="AU71" i="1"/>
  <c r="AU72" i="1"/>
  <c r="AC71" i="1"/>
  <c r="AC72" i="1"/>
  <c r="F79" i="5"/>
  <c r="G126" i="5"/>
  <c r="F128" i="5"/>
  <c r="BK129" i="5"/>
  <c r="CH53" i="5"/>
  <c r="CH12" i="5"/>
  <c r="CH86" i="5" s="1"/>
  <c r="AD81" i="5"/>
  <c r="BR39" i="5"/>
  <c r="BR40" i="5" s="1"/>
  <c r="BS81" i="5"/>
  <c r="BS126" i="5"/>
  <c r="BS129" i="5" s="1"/>
  <c r="BR128" i="5"/>
  <c r="BR129" i="5" s="1"/>
  <c r="Y79" i="1"/>
  <c r="P77" i="1"/>
  <c r="AC79" i="1"/>
  <c r="E78" i="1"/>
  <c r="T78" i="1"/>
  <c r="Q79" i="1"/>
  <c r="X78" i="1"/>
  <c r="R78" i="1"/>
  <c r="O79" i="1"/>
  <c r="Z78" i="1"/>
  <c r="AA77" i="1"/>
  <c r="AB77" i="1"/>
  <c r="V78" i="1"/>
  <c r="W78" i="1"/>
  <c r="Q77" i="1"/>
  <c r="L78" i="1"/>
  <c r="I79" i="1"/>
  <c r="H78" i="1"/>
  <c r="J78" i="1"/>
  <c r="G79" i="1"/>
  <c r="L79" i="1"/>
  <c r="AB78" i="1"/>
  <c r="X77" i="1"/>
  <c r="L77" i="1"/>
  <c r="N78" i="1"/>
  <c r="AA79" i="1"/>
  <c r="N79" i="1"/>
  <c r="AA78" i="1"/>
  <c r="U79" i="1"/>
  <c r="Z77" i="1"/>
  <c r="Y78" i="1"/>
  <c r="T77" i="1"/>
  <c r="AD79" i="1"/>
  <c r="S77" i="1"/>
  <c r="K77" i="1"/>
  <c r="F78" i="1"/>
  <c r="S79" i="1"/>
  <c r="V77" i="1"/>
  <c r="N77" i="1"/>
  <c r="S78" i="1"/>
  <c r="U77" i="1"/>
  <c r="J77" i="1"/>
  <c r="Q78" i="1"/>
  <c r="W79" i="1"/>
  <c r="W77" i="1"/>
  <c r="O77" i="1"/>
  <c r="R77" i="1"/>
  <c r="K79" i="1"/>
  <c r="Z79" i="1"/>
  <c r="F79" i="1"/>
  <c r="K78" i="1"/>
  <c r="X79" i="1"/>
  <c r="E79" i="1"/>
  <c r="I78" i="1"/>
  <c r="H77" i="1"/>
  <c r="AB79" i="1"/>
  <c r="V79" i="1"/>
  <c r="R79" i="1"/>
  <c r="M79" i="1"/>
  <c r="AC77" i="1"/>
  <c r="P79" i="1"/>
  <c r="O78" i="1"/>
  <c r="Y77" i="1"/>
  <c r="M78" i="1"/>
  <c r="G77" i="1"/>
  <c r="T79" i="1"/>
  <c r="P78" i="1"/>
  <c r="U78" i="1"/>
  <c r="J79" i="1"/>
  <c r="G78" i="1"/>
  <c r="M77" i="1"/>
  <c r="H79" i="1"/>
  <c r="E77" i="1"/>
  <c r="I77" i="1"/>
  <c r="BF126" i="5"/>
  <c r="BF129" i="5" s="1"/>
  <c r="BE128" i="5"/>
  <c r="BE129" i="5" s="1"/>
  <c r="BC129" i="5"/>
  <c r="AZ128" i="5"/>
  <c r="BA128" i="5" s="1"/>
  <c r="AX63" i="5"/>
  <c r="AX64" i="5" s="1"/>
  <c r="AA60" i="1"/>
  <c r="BB40" i="5"/>
  <c r="BP129" i="5"/>
  <c r="BU13" i="5"/>
  <c r="BU15" i="5" s="1"/>
  <c r="BW13" i="5"/>
  <c r="BW15" i="5" s="1"/>
  <c r="CC127" i="5"/>
  <c r="CP75" i="5"/>
  <c r="CP127" i="5" s="1"/>
  <c r="BH128" i="5"/>
  <c r="BH129" i="5" s="1"/>
  <c r="BI126" i="5"/>
  <c r="BI129" i="5" s="1"/>
  <c r="CB127" i="5"/>
  <c r="BL129" i="5"/>
  <c r="AM77" i="1"/>
  <c r="C132" i="2"/>
  <c r="BN70" i="5"/>
  <c r="BN102" i="5"/>
  <c r="BN23" i="5"/>
  <c r="CA1" i="5"/>
  <c r="BN122" i="5"/>
  <c r="BO57" i="5"/>
  <c r="BO63" i="5" s="1"/>
  <c r="BM84" i="5"/>
  <c r="B64" i="5"/>
  <c r="E40" i="5"/>
  <c r="D58" i="2"/>
  <c r="C135" i="2"/>
  <c r="D56" i="2"/>
  <c r="D166" i="2" s="1"/>
  <c r="D62" i="2"/>
  <c r="D59" i="2"/>
  <c r="D57" i="2"/>
  <c r="C131" i="2"/>
  <c r="D63" i="2"/>
  <c r="D64" i="2"/>
  <c r="BF74" i="5"/>
  <c r="C133" i="2"/>
  <c r="BD1" i="5"/>
  <c r="E59" i="2" s="1"/>
  <c r="AQ23" i="5"/>
  <c r="D78" i="2" s="1"/>
  <c r="AQ122" i="5"/>
  <c r="AQ102" i="5"/>
  <c r="AQ70" i="5"/>
  <c r="AT2" i="5"/>
  <c r="C137" i="2"/>
  <c r="D60" i="2"/>
  <c r="AS122" i="5"/>
  <c r="AV2" i="5"/>
  <c r="BF1" i="5"/>
  <c r="AS102" i="5"/>
  <c r="AS70" i="5"/>
  <c r="AS23" i="5"/>
  <c r="C107" i="2"/>
  <c r="C82" i="2"/>
  <c r="C32" i="2" s="1"/>
  <c r="E53" i="5"/>
  <c r="E84" i="5" s="1"/>
  <c r="E90" i="5" s="1"/>
  <c r="D56" i="5"/>
  <c r="D57" i="5" s="1"/>
  <c r="D63" i="5" s="1"/>
  <c r="D64" i="5" s="1"/>
  <c r="D80" i="5"/>
  <c r="E54" i="5"/>
  <c r="C84" i="2"/>
  <c r="C34" i="2" s="1"/>
  <c r="BE74" i="5"/>
  <c r="BE80" i="5"/>
  <c r="C106" i="2"/>
  <c r="C101" i="2"/>
  <c r="C36" i="2" s="1"/>
  <c r="C83" i="2"/>
  <c r="C33" i="2" s="1"/>
  <c r="AF47" i="5"/>
  <c r="AE111" i="5"/>
  <c r="BL80" i="5"/>
  <c r="P92" i="5"/>
  <c r="P94" i="5" s="1"/>
  <c r="BM1" i="5"/>
  <c r="BQ2" i="5" s="1"/>
  <c r="AZ122" i="5"/>
  <c r="BD2" i="5"/>
  <c r="AZ70" i="5"/>
  <c r="AZ23" i="5"/>
  <c r="D101" i="2" s="1"/>
  <c r="AZ102" i="5"/>
  <c r="AE80" i="5"/>
  <c r="AF54" i="5"/>
  <c r="AE106" i="5"/>
  <c r="AF30" i="5"/>
  <c r="AE13" i="5"/>
  <c r="AE74" i="5"/>
  <c r="AN74" i="5" s="1"/>
  <c r="C120" i="2" s="1"/>
  <c r="AN11" i="5"/>
  <c r="C62" i="2" s="1"/>
  <c r="BC115" i="5"/>
  <c r="BC76" i="5" s="1"/>
  <c r="G35" i="5"/>
  <c r="F39" i="5"/>
  <c r="AA74" i="5"/>
  <c r="B120" i="2" s="1"/>
  <c r="O78" i="5"/>
  <c r="I29" i="5"/>
  <c r="J52" i="5"/>
  <c r="T52" i="5"/>
  <c r="S56" i="5"/>
  <c r="AL52" i="5"/>
  <c r="AF31" i="5"/>
  <c r="AE107" i="5"/>
  <c r="AE33" i="5"/>
  <c r="BV7" i="5"/>
  <c r="BV11" i="5" s="1"/>
  <c r="O15" i="5"/>
  <c r="AA15" i="5" s="1"/>
  <c r="B66" i="2" s="1"/>
  <c r="B166" i="2" s="1"/>
  <c r="AA13" i="5"/>
  <c r="B64" i="2" s="1"/>
  <c r="B165" i="2" s="1"/>
  <c r="AF53" i="5"/>
  <c r="AE56" i="5"/>
  <c r="AC57" i="5"/>
  <c r="AC63" i="5" s="1"/>
  <c r="G30" i="5"/>
  <c r="F33" i="5"/>
  <c r="E50" i="5"/>
  <c r="F44" i="5"/>
  <c r="AC115" i="5"/>
  <c r="AE48" i="5"/>
  <c r="AD112" i="5"/>
  <c r="AD114" i="5" s="1"/>
  <c r="AD50" i="5"/>
  <c r="BG39" i="5"/>
  <c r="AG113" i="5"/>
  <c r="AH49" i="5"/>
  <c r="B15" i="5"/>
  <c r="N13" i="5"/>
  <c r="S36" i="5"/>
  <c r="R29" i="5"/>
  <c r="Q33" i="5"/>
  <c r="Q40" i="5" s="1"/>
  <c r="AG44" i="5"/>
  <c r="AG46" i="5"/>
  <c r="AF110" i="5"/>
  <c r="AH45" i="5"/>
  <c r="AG109" i="5"/>
  <c r="Q50" i="5"/>
  <c r="Q57" i="5" s="1"/>
  <c r="Q63" i="5" s="1"/>
  <c r="R44" i="5"/>
  <c r="Q84" i="5"/>
  <c r="Q90" i="5" s="1"/>
  <c r="BJ33" i="5"/>
  <c r="BL79" i="5"/>
  <c r="AH29" i="5"/>
  <c r="B78" i="5"/>
  <c r="N74" i="5"/>
  <c r="T54" i="5"/>
  <c r="S80" i="5"/>
  <c r="BP57" i="5"/>
  <c r="BP63" i="5" s="1"/>
  <c r="BH50" i="5"/>
  <c r="BH114" i="5"/>
  <c r="AR59" i="1"/>
  <c r="AR60" i="1" s="1"/>
  <c r="BJ80" i="5"/>
  <c r="AK71" i="1"/>
  <c r="AZ84" i="5"/>
  <c r="BI39" i="5"/>
  <c r="AZ39" i="5"/>
  <c r="BA39" i="5" s="1"/>
  <c r="BF79" i="5"/>
  <c r="BJ114" i="5"/>
  <c r="BK115" i="5" s="1"/>
  <c r="BK76" i="5" s="1"/>
  <c r="BK78" i="5" s="1"/>
  <c r="AK70" i="1"/>
  <c r="AZ80" i="5"/>
  <c r="BB50" i="5"/>
  <c r="BB57" i="5" s="1"/>
  <c r="AO72" i="1"/>
  <c r="BO109" i="5"/>
  <c r="BO40" i="5"/>
  <c r="BJ39" i="5"/>
  <c r="BK56" i="5"/>
  <c r="AL77" i="1"/>
  <c r="BK39" i="5"/>
  <c r="BK40" i="5" s="1"/>
  <c r="AZ79" i="5"/>
  <c r="BA79" i="5" s="1"/>
  <c r="BL50" i="5"/>
  <c r="BL84" i="5"/>
  <c r="AB78" i="5"/>
  <c r="AQ9" i="1"/>
  <c r="BF56" i="5"/>
  <c r="BJ56" i="5"/>
  <c r="BI33" i="5"/>
  <c r="BL56" i="5"/>
  <c r="BH33" i="5"/>
  <c r="BK79" i="5"/>
  <c r="AL72" i="1"/>
  <c r="BI114" i="5"/>
  <c r="BK50" i="5"/>
  <c r="BK84" i="5"/>
  <c r="AE72" i="1"/>
  <c r="BH79" i="5"/>
  <c r="BH39" i="5"/>
  <c r="BI81" i="5"/>
  <c r="BH81" i="5"/>
  <c r="BI84" i="5"/>
  <c r="BI50" i="5"/>
  <c r="BI57" i="5" s="1"/>
  <c r="BJ50" i="5"/>
  <c r="BJ84" i="5"/>
  <c r="BB74" i="5"/>
  <c r="BL33" i="5"/>
  <c r="BL40" i="5" s="1"/>
  <c r="BL108" i="5"/>
  <c r="BL114" i="5" s="1"/>
  <c r="BL115" i="5" s="1"/>
  <c r="BL76" i="5" s="1"/>
  <c r="BL78" i="5" s="1"/>
  <c r="BH56" i="5"/>
  <c r="BA35" i="5"/>
  <c r="BJ79" i="5"/>
  <c r="BD40" i="5"/>
  <c r="BI80" i="5"/>
  <c r="BI79" i="5"/>
  <c r="AO77" i="1"/>
  <c r="BE50" i="5"/>
  <c r="BE113" i="5"/>
  <c r="BG80" i="5"/>
  <c r="BH80" i="5"/>
  <c r="BG33" i="5"/>
  <c r="AF78" i="1"/>
  <c r="BG56" i="5"/>
  <c r="BG50" i="5"/>
  <c r="BG84" i="5"/>
  <c r="BH84" i="5"/>
  <c r="BF81" i="5"/>
  <c r="BE81" i="5"/>
  <c r="AN77" i="1"/>
  <c r="AN79" i="1"/>
  <c r="BE79" i="5"/>
  <c r="BD57" i="5"/>
  <c r="AK77" i="1"/>
  <c r="BG79" i="5"/>
  <c r="BF39" i="5"/>
  <c r="BE108" i="5"/>
  <c r="BE33" i="5"/>
  <c r="AG77" i="1"/>
  <c r="AI77" i="1"/>
  <c r="AM79" i="1"/>
  <c r="BF80" i="5"/>
  <c r="BF33" i="5"/>
  <c r="BF106" i="5"/>
  <c r="BF114" i="5" s="1"/>
  <c r="BE56" i="5"/>
  <c r="BG114" i="5"/>
  <c r="AF77" i="1"/>
  <c r="BD115" i="5"/>
  <c r="BD76" i="5" s="1"/>
  <c r="BD78" i="5" s="1"/>
  <c r="BD82" i="5" s="1"/>
  <c r="BF50" i="5"/>
  <c r="BF84" i="5"/>
  <c r="AK79" i="1"/>
  <c r="BE39" i="5"/>
  <c r="CJ102" i="5"/>
  <c r="CW1" i="5"/>
  <c r="CJ23" i="5"/>
  <c r="CJ70" i="5"/>
  <c r="CJ122" i="5"/>
  <c r="CM2" i="5"/>
  <c r="CE2" i="5"/>
  <c r="CB122" i="5"/>
  <c r="CB102" i="5"/>
  <c r="CB23" i="5"/>
  <c r="CO1" i="5"/>
  <c r="CB70" i="5"/>
  <c r="E60" i="2"/>
  <c r="E57" i="2"/>
  <c r="CG23" i="5"/>
  <c r="CG102" i="5"/>
  <c r="CT1" i="5"/>
  <c r="CJ2" i="5"/>
  <c r="CG122" i="5"/>
  <c r="CG70" i="5"/>
  <c r="BP23" i="5"/>
  <c r="BP122" i="5"/>
  <c r="BP70" i="5"/>
  <c r="BP102" i="5"/>
  <c r="CC1" i="5"/>
  <c r="CC53" i="5" s="1"/>
  <c r="BS2" i="5"/>
  <c r="CU1" i="5"/>
  <c r="CH102" i="5"/>
  <c r="CH23" i="5"/>
  <c r="CH70" i="5"/>
  <c r="CK2" i="5"/>
  <c r="CH122" i="5"/>
  <c r="BY122" i="5"/>
  <c r="BY102" i="5"/>
  <c r="BY23" i="5"/>
  <c r="CL1" i="5"/>
  <c r="CL53" i="5" s="1"/>
  <c r="BY70" i="5"/>
  <c r="CC2" i="5"/>
  <c r="BI23" i="5"/>
  <c r="BI70" i="5"/>
  <c r="BI102" i="5"/>
  <c r="BV1" i="5"/>
  <c r="BV53" i="5" s="1"/>
  <c r="BL2" i="5"/>
  <c r="BI122" i="5"/>
  <c r="BK23" i="5"/>
  <c r="BK102" i="5"/>
  <c r="BK70" i="5"/>
  <c r="BK122" i="5"/>
  <c r="BX1" i="5"/>
  <c r="E65" i="2"/>
  <c r="BQ114" i="5"/>
  <c r="BR115" i="5" s="1"/>
  <c r="BA106" i="5"/>
  <c r="AC41" i="1"/>
  <c r="AC70" i="1" s="1"/>
  <c r="AD42" i="1"/>
  <c r="AD74" i="1" s="1"/>
  <c r="AD77" i="1" s="1"/>
  <c r="AZ50" i="5"/>
  <c r="BA44" i="5"/>
  <c r="BP79" i="5"/>
  <c r="F125" i="2" s="1"/>
  <c r="AZ111" i="5"/>
  <c r="BA111" i="5" s="1"/>
  <c r="BA47" i="5"/>
  <c r="BQ84" i="5"/>
  <c r="BA48" i="5"/>
  <c r="AZ112" i="5"/>
  <c r="BA112" i="5" s="1"/>
  <c r="AZ109" i="5"/>
  <c r="BA109" i="5" s="1"/>
  <c r="BA45" i="5"/>
  <c r="AE70" i="1"/>
  <c r="AE12" i="1"/>
  <c r="BQ80" i="5"/>
  <c r="BA54" i="5"/>
  <c r="BB79" i="5"/>
  <c r="D82" i="2"/>
  <c r="BO80" i="5"/>
  <c r="BO106" i="5"/>
  <c r="BO84" i="5"/>
  <c r="AY57" i="5"/>
  <c r="AC31" i="1"/>
  <c r="AC91" i="1" s="1"/>
  <c r="AD32" i="1"/>
  <c r="BP84" i="5"/>
  <c r="BP113" i="5"/>
  <c r="AZ56" i="5"/>
  <c r="BA52" i="5"/>
  <c r="BA29" i="5"/>
  <c r="AZ33" i="5"/>
  <c r="BA33" i="5" s="1"/>
  <c r="AZ113" i="5"/>
  <c r="BA113" i="5" s="1"/>
  <c r="BA49" i="5"/>
  <c r="AZ110" i="5"/>
  <c r="BA110" i="5" s="1"/>
  <c r="BA46" i="5"/>
  <c r="BQ79" i="5"/>
  <c r="AL78" i="1"/>
  <c r="BU52" i="5"/>
  <c r="BV52" i="5" s="1"/>
  <c r="BW52" i="5" s="1"/>
  <c r="BX52" i="5" s="1"/>
  <c r="BY52" i="5" s="1"/>
  <c r="BZ52" i="5" s="1"/>
  <c r="CA52" i="5" s="1"/>
  <c r="AN78" i="1"/>
  <c r="AE79" i="1"/>
  <c r="AJ77" i="1"/>
  <c r="AM78" i="1"/>
  <c r="BN77" i="5"/>
  <c r="AL70" i="1"/>
  <c r="AE77" i="1"/>
  <c r="AO79" i="1"/>
  <c r="AK78" i="1"/>
  <c r="AO78" i="1"/>
  <c r="AE78" i="1"/>
  <c r="AL79" i="1"/>
  <c r="AP78" i="1"/>
  <c r="AP77" i="1"/>
  <c r="AP79" i="1"/>
  <c r="AJ78" i="1"/>
  <c r="AJ79" i="1"/>
  <c r="AI78" i="1"/>
  <c r="AG79" i="1"/>
  <c r="AH78" i="1"/>
  <c r="AI79" i="1"/>
  <c r="AG78" i="1"/>
  <c r="AH79" i="1"/>
  <c r="AF79" i="1"/>
  <c r="AJ70" i="1"/>
  <c r="AJ72" i="1"/>
  <c r="AJ71" i="1"/>
  <c r="AF21" i="1"/>
  <c r="AF23" i="1" s="1"/>
  <c r="AF86" i="1"/>
  <c r="AG18" i="1"/>
  <c r="AG93" i="1"/>
  <c r="AP70" i="1"/>
  <c r="AP72" i="1"/>
  <c r="AP71" i="1"/>
  <c r="AK18" i="1"/>
  <c r="AK93" i="1"/>
  <c r="AF71" i="1"/>
  <c r="AF70" i="1"/>
  <c r="AF72" i="1"/>
  <c r="AI70" i="1"/>
  <c r="AI72" i="1"/>
  <c r="AI71" i="1"/>
  <c r="AN71" i="1"/>
  <c r="AN70" i="1"/>
  <c r="AN72" i="1"/>
  <c r="AI18" i="1"/>
  <c r="AI93" i="1"/>
  <c r="AH18" i="1"/>
  <c r="AH93" i="1"/>
  <c r="AM18" i="1"/>
  <c r="AM93" i="1"/>
  <c r="AN18" i="1"/>
  <c r="AN93" i="1"/>
  <c r="AJ18" i="1"/>
  <c r="AJ93" i="1"/>
  <c r="AG70" i="1"/>
  <c r="AG71" i="1"/>
  <c r="AG72" i="1"/>
  <c r="AO18" i="1"/>
  <c r="AO93" i="1"/>
  <c r="AM71" i="1"/>
  <c r="AM70" i="1"/>
  <c r="AM72" i="1"/>
  <c r="AL18" i="1"/>
  <c r="AL93" i="1"/>
  <c r="AR84" i="1"/>
  <c r="AS84" i="1"/>
  <c r="AS72" i="1"/>
  <c r="AS70" i="1"/>
  <c r="AS71" i="1"/>
  <c r="AR72" i="1"/>
  <c r="AR71" i="1"/>
  <c r="AR70" i="1"/>
  <c r="BN56" i="5"/>
  <c r="BN112" i="5"/>
  <c r="BN108" i="5"/>
  <c r="BM80" i="5"/>
  <c r="BM109" i="5"/>
  <c r="BM114" i="5" s="1"/>
  <c r="BN50" i="5"/>
  <c r="BN111" i="5"/>
  <c r="BN10" i="5"/>
  <c r="BN18" i="5" s="1"/>
  <c r="CB38" i="5"/>
  <c r="CC38" i="5" s="1"/>
  <c r="CD38" i="5" s="1"/>
  <c r="CE38" i="5" s="1"/>
  <c r="CF38" i="5" s="1"/>
  <c r="CG38" i="5" s="1"/>
  <c r="CH38" i="5" s="1"/>
  <c r="CI38" i="5" s="1"/>
  <c r="CJ38" i="5" s="1"/>
  <c r="CK38" i="5" s="1"/>
  <c r="CL38" i="5" s="1"/>
  <c r="CM38" i="5" s="1"/>
  <c r="BN106" i="5"/>
  <c r="BN86" i="5"/>
  <c r="BN12" i="5"/>
  <c r="E63" i="2" s="1"/>
  <c r="BM74" i="5"/>
  <c r="BU54" i="5"/>
  <c r="BN5" i="5"/>
  <c r="BN7" i="5"/>
  <c r="E58" i="2" s="1"/>
  <c r="BY7" i="5"/>
  <c r="BY11" i="5" s="1"/>
  <c r="BZ7" i="5"/>
  <c r="BZ11" i="5" s="1"/>
  <c r="CA5" i="5"/>
  <c r="CA6" i="5"/>
  <c r="DR55" i="4"/>
  <c r="CD75" i="5"/>
  <c r="C10" i="2"/>
  <c r="B10" i="2"/>
  <c r="F126" i="2" l="1"/>
  <c r="F179" i="2"/>
  <c r="BT92" i="5"/>
  <c r="BT94" i="5" s="1"/>
  <c r="BT95" i="5" s="1"/>
  <c r="F182" i="2"/>
  <c r="F184" i="2"/>
  <c r="AK32" i="5"/>
  <c r="AJ108" i="5"/>
  <c r="AE81" i="5"/>
  <c r="AF55" i="4"/>
  <c r="AG54" i="4"/>
  <c r="F178" i="2"/>
  <c r="F177" i="2"/>
  <c r="AN55" i="4"/>
  <c r="BA55" i="4"/>
  <c r="AO55" i="4"/>
  <c r="AR82" i="1"/>
  <c r="AR83" i="1" s="1"/>
  <c r="BT57" i="5"/>
  <c r="F102" i="2"/>
  <c r="AW91" i="1"/>
  <c r="AW78" i="1"/>
  <c r="AW60" i="1"/>
  <c r="AW85" i="1"/>
  <c r="CO12" i="5"/>
  <c r="CO86" i="5" s="1"/>
  <c r="CO102" i="5"/>
  <c r="CO53" i="5"/>
  <c r="CO70" i="5"/>
  <c r="AW84" i="1"/>
  <c r="AW82" i="1"/>
  <c r="AW83" i="1" s="1"/>
  <c r="BC78" i="5"/>
  <c r="BC82" i="5" s="1"/>
  <c r="F130" i="2"/>
  <c r="AS82" i="1"/>
  <c r="AS83" i="1" s="1"/>
  <c r="AS85" i="1"/>
  <c r="AD73" i="1"/>
  <c r="BP114" i="5"/>
  <c r="BQ115" i="5" s="1"/>
  <c r="BQ76" i="5" s="1"/>
  <c r="BQ78" i="5" s="1"/>
  <c r="BQ82" i="5" s="1"/>
  <c r="AC64" i="5"/>
  <c r="C129" i="5"/>
  <c r="U54" i="4"/>
  <c r="T55" i="4"/>
  <c r="AR55" i="4"/>
  <c r="AS54" i="4"/>
  <c r="BE55" i="4"/>
  <c r="E75" i="5" s="1"/>
  <c r="BF54" i="4"/>
  <c r="E61" i="2"/>
  <c r="D127" i="5"/>
  <c r="D129" i="5" s="1"/>
  <c r="D81" i="5"/>
  <c r="D82" i="5" s="1"/>
  <c r="D92" i="5" s="1"/>
  <c r="D94" i="5" s="1"/>
  <c r="G54" i="4"/>
  <c r="F55" i="4"/>
  <c r="CU53" i="5"/>
  <c r="CU12" i="5"/>
  <c r="CU86" i="5" s="1"/>
  <c r="AE79" i="5"/>
  <c r="D85" i="2"/>
  <c r="D79" i="2"/>
  <c r="CT53" i="5"/>
  <c r="CT12" i="5"/>
  <c r="CT86" i="5" s="1"/>
  <c r="AI2" i="1"/>
  <c r="AH29" i="1"/>
  <c r="AH67" i="1"/>
  <c r="AB56" i="1"/>
  <c r="AY60" i="5" s="1"/>
  <c r="AY62" i="5" s="1"/>
  <c r="AY88" i="5" s="1"/>
  <c r="AY90" i="5" s="1"/>
  <c r="E56" i="2"/>
  <c r="C7" i="13" s="1"/>
  <c r="B6" i="13"/>
  <c r="C6" i="13" s="1"/>
  <c r="AR85" i="1"/>
  <c r="BL57" i="5"/>
  <c r="R81" i="5"/>
  <c r="CW53" i="5"/>
  <c r="CW12" i="5"/>
  <c r="CW86" i="5" s="1"/>
  <c r="BL82" i="5"/>
  <c r="AC78" i="1"/>
  <c r="CG54" i="4"/>
  <c r="CF55" i="4"/>
  <c r="AF75" i="5" s="1"/>
  <c r="AF127" i="5" s="1"/>
  <c r="AF35" i="5"/>
  <c r="AF81" i="5" s="1"/>
  <c r="AE128" i="5"/>
  <c r="AE129" i="5" s="1"/>
  <c r="AF126" i="5"/>
  <c r="AE39" i="5"/>
  <c r="AE40" i="5" s="1"/>
  <c r="H126" i="5"/>
  <c r="G128" i="5"/>
  <c r="BR90" i="5"/>
  <c r="AU78" i="1"/>
  <c r="AU91" i="1"/>
  <c r="AB60" i="1"/>
  <c r="D131" i="2"/>
  <c r="BX53" i="5"/>
  <c r="BX12" i="5"/>
  <c r="CU54" i="4"/>
  <c r="CT55" i="4"/>
  <c r="AT75" i="5" s="1"/>
  <c r="R128" i="5"/>
  <c r="R129" i="5" s="1"/>
  <c r="S126" i="5"/>
  <c r="S35" i="5"/>
  <c r="S79" i="5" s="1"/>
  <c r="AS127" i="5"/>
  <c r="AS81" i="5"/>
  <c r="AS78" i="5"/>
  <c r="AU60" i="1"/>
  <c r="AU85" i="1"/>
  <c r="AU84" i="1"/>
  <c r="AU82" i="1"/>
  <c r="AU83" i="1" s="1"/>
  <c r="R79" i="5"/>
  <c r="S127" i="5"/>
  <c r="BT55" i="4"/>
  <c r="T75" i="5" s="1"/>
  <c r="BU54" i="4"/>
  <c r="AD71" i="1"/>
  <c r="AD72" i="1"/>
  <c r="AC84" i="1"/>
  <c r="BH115" i="5"/>
  <c r="BH76" i="5" s="1"/>
  <c r="BH78" i="5" s="1"/>
  <c r="BH82" i="5" s="1"/>
  <c r="CE1" i="5"/>
  <c r="BR102" i="5"/>
  <c r="BU2" i="5"/>
  <c r="BU106" i="5" s="1"/>
  <c r="BR23" i="5"/>
  <c r="BR70" i="5"/>
  <c r="BR122" i="5"/>
  <c r="CN38" i="5"/>
  <c r="BB81" i="5"/>
  <c r="BN81" i="5" s="1"/>
  <c r="BB126" i="5"/>
  <c r="BB129" i="5" s="1"/>
  <c r="BN126" i="5"/>
  <c r="BN129" i="5" s="1"/>
  <c r="BK57" i="5"/>
  <c r="BH57" i="5"/>
  <c r="D23" i="2"/>
  <c r="D170" i="2" s="1"/>
  <c r="BV74" i="5"/>
  <c r="CD127" i="5"/>
  <c r="CQ75" i="5"/>
  <c r="CQ127" i="5" s="1"/>
  <c r="DC75" i="5"/>
  <c r="DC127" i="5" s="1"/>
  <c r="D32" i="2"/>
  <c r="D6" i="2"/>
  <c r="D165" i="2"/>
  <c r="D36" i="2"/>
  <c r="D13" i="2"/>
  <c r="D8" i="2"/>
  <c r="D9" i="2"/>
  <c r="CA122" i="5"/>
  <c r="CA129" i="5" s="1"/>
  <c r="BZ129" i="5" s="1"/>
  <c r="CN1" i="5"/>
  <c r="CA102" i="5"/>
  <c r="CA23" i="5"/>
  <c r="CA70" i="5"/>
  <c r="D107" i="2"/>
  <c r="D75" i="2"/>
  <c r="D94" i="2"/>
  <c r="BF102" i="5"/>
  <c r="BF23" i="5"/>
  <c r="BF70" i="5"/>
  <c r="BF122" i="5"/>
  <c r="BI2" i="5"/>
  <c r="BS1" i="5"/>
  <c r="D98" i="2"/>
  <c r="D92" i="2"/>
  <c r="D25" i="2" s="1"/>
  <c r="D172" i="2" s="1"/>
  <c r="D93" i="2"/>
  <c r="D26" i="2" s="1"/>
  <c r="D173" i="2" s="1"/>
  <c r="D76" i="2"/>
  <c r="D21" i="2" s="1"/>
  <c r="D168" i="2" s="1"/>
  <c r="D77" i="2"/>
  <c r="D22" i="2" s="1"/>
  <c r="D169" i="2" s="1"/>
  <c r="D83" i="2"/>
  <c r="D33" i="2" s="1"/>
  <c r="D91" i="2"/>
  <c r="D24" i="2" s="1"/>
  <c r="D171" i="2" s="1"/>
  <c r="D99" i="2"/>
  <c r="BG2" i="5"/>
  <c r="BD70" i="5"/>
  <c r="BQ1" i="5"/>
  <c r="BD122" i="5"/>
  <c r="BD102" i="5"/>
  <c r="BD23" i="5"/>
  <c r="D7" i="2"/>
  <c r="D84" i="2"/>
  <c r="D34" i="2" s="1"/>
  <c r="D158" i="2"/>
  <c r="D4" i="2"/>
  <c r="D163" i="2"/>
  <c r="BM122" i="5"/>
  <c r="BM102" i="5"/>
  <c r="BM70" i="5"/>
  <c r="BM23" i="5"/>
  <c r="BZ1" i="5"/>
  <c r="F54" i="5"/>
  <c r="E80" i="5"/>
  <c r="D120" i="2"/>
  <c r="AF106" i="5"/>
  <c r="AG30" i="5"/>
  <c r="AG47" i="5"/>
  <c r="AF111" i="5"/>
  <c r="BO114" i="5"/>
  <c r="D123" i="2"/>
  <c r="AG54" i="5"/>
  <c r="AF80" i="5"/>
  <c r="D135" i="2"/>
  <c r="D125" i="2"/>
  <c r="BG40" i="5"/>
  <c r="BJ40" i="5"/>
  <c r="E56" i="5"/>
  <c r="E57" i="5" s="1"/>
  <c r="E63" i="5" s="1"/>
  <c r="E64" i="5" s="1"/>
  <c r="F53" i="5"/>
  <c r="D133" i="2"/>
  <c r="D132" i="2"/>
  <c r="AD115" i="5"/>
  <c r="AD76" i="5" s="1"/>
  <c r="AD78" i="5" s="1"/>
  <c r="AD82" i="5" s="1"/>
  <c r="AD92" i="5" s="1"/>
  <c r="AD94" i="5" s="1"/>
  <c r="AI49" i="5"/>
  <c r="AH113" i="5"/>
  <c r="AG53" i="5"/>
  <c r="AF56" i="5"/>
  <c r="AM52" i="5"/>
  <c r="K52" i="5"/>
  <c r="U54" i="5"/>
  <c r="T80" i="5"/>
  <c r="S44" i="5"/>
  <c r="R84" i="5"/>
  <c r="R90" i="5" s="1"/>
  <c r="R50" i="5"/>
  <c r="R57" i="5" s="1"/>
  <c r="R63" i="5" s="1"/>
  <c r="AH46" i="5"/>
  <c r="AG110" i="5"/>
  <c r="AC76" i="5"/>
  <c r="H30" i="5"/>
  <c r="G33" i="5"/>
  <c r="J29" i="5"/>
  <c r="F40" i="5"/>
  <c r="AE15" i="5"/>
  <c r="AN15" i="5" s="1"/>
  <c r="C66" i="2" s="1"/>
  <c r="AN13" i="5"/>
  <c r="C64" i="2" s="1"/>
  <c r="C165" i="2" s="1"/>
  <c r="Q64" i="5"/>
  <c r="AG84" i="5"/>
  <c r="AG90" i="5" s="1"/>
  <c r="AH44" i="5"/>
  <c r="T36" i="5"/>
  <c r="S39" i="5"/>
  <c r="AG31" i="5"/>
  <c r="AF107" i="5"/>
  <c r="AF33" i="5"/>
  <c r="G39" i="5"/>
  <c r="H35" i="5"/>
  <c r="S29" i="5"/>
  <c r="R33" i="5"/>
  <c r="R40" i="5" s="1"/>
  <c r="AF48" i="5"/>
  <c r="AE112" i="5"/>
  <c r="AE114" i="5" s="1"/>
  <c r="AE50" i="5"/>
  <c r="AI29" i="5"/>
  <c r="AF84" i="5"/>
  <c r="AF90" i="5" s="1"/>
  <c r="Q92" i="5"/>
  <c r="Q94" i="5" s="1"/>
  <c r="T56" i="5"/>
  <c r="U52" i="5"/>
  <c r="BE57" i="5"/>
  <c r="BJ115" i="5"/>
  <c r="BJ76" i="5" s="1"/>
  <c r="BJ78" i="5" s="1"/>
  <c r="BJ82" i="5" s="1"/>
  <c r="BI115" i="5"/>
  <c r="BI76" i="5" s="1"/>
  <c r="BI78" i="5" s="1"/>
  <c r="BI82" i="5" s="1"/>
  <c r="AI45" i="5"/>
  <c r="AH109" i="5"/>
  <c r="F84" i="5"/>
  <c r="F90" i="5" s="1"/>
  <c r="F50" i="5"/>
  <c r="G44" i="5"/>
  <c r="AD57" i="5"/>
  <c r="AD63" i="5" s="1"/>
  <c r="AD64" i="5" s="1"/>
  <c r="G79" i="5"/>
  <c r="B82" i="5"/>
  <c r="O82" i="5"/>
  <c r="BI40" i="5"/>
  <c r="BN79" i="5"/>
  <c r="E125" i="2" s="1"/>
  <c r="D81" i="2"/>
  <c r="D31" i="2" s="1"/>
  <c r="BA114" i="5"/>
  <c r="BH40" i="5"/>
  <c r="BE114" i="5"/>
  <c r="BE115" i="5" s="1"/>
  <c r="BE76" i="5" s="1"/>
  <c r="BE78" i="5" s="1"/>
  <c r="BE82" i="5" s="1"/>
  <c r="AE93" i="1"/>
  <c r="BJ57" i="5"/>
  <c r="BK82" i="5"/>
  <c r="BG57" i="5"/>
  <c r="BG115" i="5"/>
  <c r="BG76" i="5" s="1"/>
  <c r="BG78" i="5" s="1"/>
  <c r="BG82" i="5" s="1"/>
  <c r="BF40" i="5"/>
  <c r="BE40" i="5"/>
  <c r="BF57" i="5"/>
  <c r="E78" i="2"/>
  <c r="E23" i="2" s="1"/>
  <c r="CZ2" i="5"/>
  <c r="CW122" i="5"/>
  <c r="CW70" i="5"/>
  <c r="CW23" i="5"/>
  <c r="DJ1" i="5"/>
  <c r="CW102" i="5"/>
  <c r="BX70" i="5"/>
  <c r="CK1" i="5"/>
  <c r="BX122" i="5"/>
  <c r="BX23" i="5"/>
  <c r="CB2" i="5"/>
  <c r="BX102" i="5"/>
  <c r="CL102" i="5"/>
  <c r="CL23" i="5"/>
  <c r="CL122" i="5"/>
  <c r="CL70" i="5"/>
  <c r="CY1" i="5"/>
  <c r="CY53" i="5" s="1"/>
  <c r="CP2" i="5"/>
  <c r="BV23" i="5"/>
  <c r="BV122" i="5"/>
  <c r="BV70" i="5"/>
  <c r="CI1" i="5"/>
  <c r="CI53" i="5" s="1"/>
  <c r="BY2" i="5"/>
  <c r="BY106" i="5" s="1"/>
  <c r="BV102" i="5"/>
  <c r="CU23" i="5"/>
  <c r="CU70" i="5"/>
  <c r="CU122" i="5"/>
  <c r="CU102" i="5"/>
  <c r="DH1" i="5"/>
  <c r="CX2" i="5"/>
  <c r="CW2" i="5"/>
  <c r="DG1" i="5"/>
  <c r="CT102" i="5"/>
  <c r="CT70" i="5"/>
  <c r="CT23" i="5"/>
  <c r="CT122" i="5"/>
  <c r="DB1" i="5"/>
  <c r="CR2" i="5"/>
  <c r="CO122" i="5"/>
  <c r="CO23" i="5"/>
  <c r="CC70" i="5"/>
  <c r="CF2" i="5"/>
  <c r="CC122" i="5"/>
  <c r="CC102" i="5"/>
  <c r="CC23" i="5"/>
  <c r="CP1" i="5"/>
  <c r="CP53" i="5" s="1"/>
  <c r="AE18" i="1"/>
  <c r="AD31" i="1"/>
  <c r="BA50" i="5"/>
  <c r="D95" i="2"/>
  <c r="CB52" i="5"/>
  <c r="AC59" i="1"/>
  <c r="AC85" i="1" s="1"/>
  <c r="AD41" i="1"/>
  <c r="AD70" i="1" s="1"/>
  <c r="AZ40" i="5"/>
  <c r="BA40" i="5" s="1"/>
  <c r="AQ12" i="1"/>
  <c r="BB80" i="5"/>
  <c r="BN80" i="5" s="1"/>
  <c r="D100" i="2"/>
  <c r="D35" i="2" s="1"/>
  <c r="AZ114" i="5"/>
  <c r="AZ57" i="5"/>
  <c r="BA57" i="5" s="1"/>
  <c r="D103" i="2" s="1"/>
  <c r="D183" i="2" s="1"/>
  <c r="BA56" i="5"/>
  <c r="D102" i="2" s="1"/>
  <c r="BB84" i="5"/>
  <c r="BN84" i="5" s="1"/>
  <c r="D90" i="2"/>
  <c r="BN33" i="5"/>
  <c r="AH21" i="1"/>
  <c r="AH23" i="1" s="1"/>
  <c r="AH86" i="1"/>
  <c r="AF94" i="1"/>
  <c r="AF91" i="1"/>
  <c r="AM21" i="1"/>
  <c r="AM23" i="1" s="1"/>
  <c r="AM86" i="1"/>
  <c r="AL21" i="1"/>
  <c r="AL23" i="1" s="1"/>
  <c r="AL86" i="1"/>
  <c r="AJ21" i="1"/>
  <c r="AJ23" i="1" s="1"/>
  <c r="AJ86" i="1"/>
  <c r="AI21" i="1"/>
  <c r="AI23" i="1" s="1"/>
  <c r="AI86" i="1"/>
  <c r="AK21" i="1"/>
  <c r="AK23" i="1" s="1"/>
  <c r="AK86" i="1"/>
  <c r="AN21" i="1"/>
  <c r="AN23" i="1" s="1"/>
  <c r="AN86" i="1"/>
  <c r="AG21" i="1"/>
  <c r="AG23" i="1" s="1"/>
  <c r="AG86" i="1"/>
  <c r="AO21" i="1"/>
  <c r="AO23" i="1" s="1"/>
  <c r="AO86" i="1"/>
  <c r="BN40" i="5"/>
  <c r="BM115" i="5"/>
  <c r="BM76" i="5" s="1"/>
  <c r="BM78" i="5" s="1"/>
  <c r="BM82" i="5" s="1"/>
  <c r="BN109" i="5"/>
  <c r="BN11" i="5"/>
  <c r="E62" i="2" s="1"/>
  <c r="BV54" i="5"/>
  <c r="CA7" i="5"/>
  <c r="G58" i="2" s="1"/>
  <c r="BZ74" i="5"/>
  <c r="BY74" i="5"/>
  <c r="DB75" i="5"/>
  <c r="DB127" i="5" s="1"/>
  <c r="CE75" i="5"/>
  <c r="DS55" i="4"/>
  <c r="F103" i="2" l="1"/>
  <c r="F183" i="2" s="1"/>
  <c r="BT63" i="5"/>
  <c r="AH54" i="4"/>
  <c r="AG55" i="4"/>
  <c r="E85" i="2"/>
  <c r="E77" i="2"/>
  <c r="E22" i="2" s="1"/>
  <c r="AL32" i="5"/>
  <c r="AK108" i="5"/>
  <c r="G57" i="2"/>
  <c r="CO38" i="5"/>
  <c r="CP38" i="5" s="1"/>
  <c r="CQ38" i="5" s="1"/>
  <c r="CR38" i="5" s="1"/>
  <c r="CS38" i="5" s="1"/>
  <c r="CT38" i="5" s="1"/>
  <c r="CU38" i="5" s="1"/>
  <c r="CV38" i="5" s="1"/>
  <c r="CW38" i="5" s="1"/>
  <c r="CX38" i="5" s="1"/>
  <c r="CY38" i="5" s="1"/>
  <c r="CZ38" i="5" s="1"/>
  <c r="DA38" i="5" s="1"/>
  <c r="DB38" i="5" s="1"/>
  <c r="DC38" i="5" s="1"/>
  <c r="DD38" i="5" s="1"/>
  <c r="DE38" i="5" s="1"/>
  <c r="DF38" i="5" s="1"/>
  <c r="DG38" i="5" s="1"/>
  <c r="DH38" i="5" s="1"/>
  <c r="DI38" i="5" s="1"/>
  <c r="DJ38" i="5" s="1"/>
  <c r="DK38" i="5" s="1"/>
  <c r="DL38" i="5" s="1"/>
  <c r="DM38" i="5" s="1"/>
  <c r="DN38" i="5" s="1"/>
  <c r="C166" i="2"/>
  <c r="C161" i="2"/>
  <c r="D28" i="2"/>
  <c r="D175" i="2" s="1"/>
  <c r="D27" i="2"/>
  <c r="F27" i="2" s="1"/>
  <c r="F174" i="2" s="1"/>
  <c r="B7" i="13"/>
  <c r="B8" i="13" s="1"/>
  <c r="BP115" i="5"/>
  <c r="BP76" i="5" s="1"/>
  <c r="BP78" i="5" s="1"/>
  <c r="BP82" i="5" s="1"/>
  <c r="E163" i="2"/>
  <c r="E7" i="2"/>
  <c r="E4" i="2"/>
  <c r="E8" i="2"/>
  <c r="E9" i="2"/>
  <c r="E6" i="2"/>
  <c r="E13" i="2"/>
  <c r="CA128" i="5"/>
  <c r="CA131" i="5"/>
  <c r="E82" i="2"/>
  <c r="E32" i="2" s="1"/>
  <c r="G32" i="2" s="1"/>
  <c r="H32" i="2" s="1"/>
  <c r="I32" i="2" s="1"/>
  <c r="J32" i="2" s="1"/>
  <c r="K32" i="2" s="1"/>
  <c r="L32" i="2" s="1"/>
  <c r="CV54" i="4"/>
  <c r="CU55" i="4"/>
  <c r="AU75" i="5" s="1"/>
  <c r="E84" i="2"/>
  <c r="E34" i="2" s="1"/>
  <c r="G34" i="2" s="1"/>
  <c r="H34" i="2" s="1"/>
  <c r="I34" i="2" s="1"/>
  <c r="J34" i="2" s="1"/>
  <c r="K34" i="2" s="1"/>
  <c r="L34" i="2" s="1"/>
  <c r="E90" i="2"/>
  <c r="R82" i="5"/>
  <c r="R92" i="5" s="1"/>
  <c r="R94" i="5" s="1"/>
  <c r="E127" i="5"/>
  <c r="E129" i="5" s="1"/>
  <c r="E81" i="5"/>
  <c r="E78" i="5"/>
  <c r="E158" i="2"/>
  <c r="E100" i="2"/>
  <c r="E35" i="2" s="1"/>
  <c r="G35" i="2" s="1"/>
  <c r="H35" i="2" s="1"/>
  <c r="I35" i="2" s="1"/>
  <c r="J35" i="2" s="1"/>
  <c r="K35" i="2" s="1"/>
  <c r="L35" i="2" s="1"/>
  <c r="E82" i="5"/>
  <c r="E92" i="5" s="1"/>
  <c r="E94" i="5" s="1"/>
  <c r="AY63" i="5"/>
  <c r="AY64" i="5" s="1"/>
  <c r="AS55" i="4"/>
  <c r="AT54" i="4"/>
  <c r="BU55" i="4"/>
  <c r="U75" i="5" s="1"/>
  <c r="BV54" i="4"/>
  <c r="T127" i="5"/>
  <c r="T78" i="5"/>
  <c r="E92" i="2"/>
  <c r="E25" i="2" s="1"/>
  <c r="E172" i="2" s="1"/>
  <c r="E106" i="2"/>
  <c r="E75" i="2"/>
  <c r="E81" i="2"/>
  <c r="AD91" i="1"/>
  <c r="AD78" i="1"/>
  <c r="BZ53" i="5"/>
  <c r="BZ12" i="5"/>
  <c r="AT127" i="5"/>
  <c r="AT129" i="5" s="1"/>
  <c r="AT81" i="5"/>
  <c r="AT78" i="5"/>
  <c r="E99" i="2"/>
  <c r="E98" i="2"/>
  <c r="BG54" i="4"/>
  <c r="BF55" i="4"/>
  <c r="F75" i="5" s="1"/>
  <c r="E135" i="2"/>
  <c r="CE53" i="5"/>
  <c r="CE12" i="5"/>
  <c r="CE86" i="5" s="1"/>
  <c r="CE102" i="5"/>
  <c r="CE122" i="5"/>
  <c r="CE70" i="5"/>
  <c r="CR1" i="5"/>
  <c r="CE23" i="5"/>
  <c r="CH2" i="5"/>
  <c r="CH5" i="5" s="1"/>
  <c r="AS82" i="5"/>
  <c r="AS92" i="5" s="1"/>
  <c r="AS94" i="5" s="1"/>
  <c r="AS95" i="5" s="1"/>
  <c r="DH53" i="5"/>
  <c r="DH12" i="5"/>
  <c r="DH86" i="5" s="1"/>
  <c r="E95" i="2"/>
  <c r="H54" i="4"/>
  <c r="G55" i="4"/>
  <c r="CK53" i="5"/>
  <c r="CK12" i="5"/>
  <c r="CK86" i="5" s="1"/>
  <c r="E102" i="2"/>
  <c r="DJ53" i="5"/>
  <c r="DJ12" i="5"/>
  <c r="DJ86" i="5" s="1"/>
  <c r="AJ2" i="1"/>
  <c r="AI29" i="1"/>
  <c r="AI67" i="1"/>
  <c r="I126" i="5"/>
  <c r="H128" i="5"/>
  <c r="BX86" i="5"/>
  <c r="BX13" i="5"/>
  <c r="BX15" i="5" s="1"/>
  <c r="E83" i="2"/>
  <c r="E33" i="2" s="1"/>
  <c r="G33" i="2" s="1"/>
  <c r="H33" i="2" s="1"/>
  <c r="I33" i="2" s="1"/>
  <c r="J33" i="2" s="1"/>
  <c r="K33" i="2" s="1"/>
  <c r="L33" i="2" s="1"/>
  <c r="E76" i="2"/>
  <c r="E21" i="2" s="1"/>
  <c r="E168" i="2" s="1"/>
  <c r="U55" i="4"/>
  <c r="V54" i="4"/>
  <c r="E91" i="2"/>
  <c r="E24" i="2" s="1"/>
  <c r="E171" i="2" s="1"/>
  <c r="AS129" i="5"/>
  <c r="E93" i="2"/>
  <c r="E26" i="2" s="1"/>
  <c r="G26" i="2" s="1"/>
  <c r="BZ111" i="5" s="1"/>
  <c r="AF79" i="5"/>
  <c r="AG126" i="5"/>
  <c r="AF128" i="5"/>
  <c r="AF129" i="5" s="1"/>
  <c r="AF39" i="5"/>
  <c r="AF40" i="5" s="1"/>
  <c r="AG35" i="5"/>
  <c r="AG79" i="5"/>
  <c r="E79" i="2"/>
  <c r="E94" i="2"/>
  <c r="E27" i="2" s="1"/>
  <c r="S81" i="5"/>
  <c r="S82" i="5" s="1"/>
  <c r="S128" i="5"/>
  <c r="S129" i="5" s="1"/>
  <c r="T126" i="5"/>
  <c r="T35" i="5"/>
  <c r="T79" i="5" s="1"/>
  <c r="CH54" i="4"/>
  <c r="CG55" i="4"/>
  <c r="AG75" i="5" s="1"/>
  <c r="AG81" i="5" s="1"/>
  <c r="CB5" i="5"/>
  <c r="CB106" i="5" s="1"/>
  <c r="AD84" i="1"/>
  <c r="E101" i="2"/>
  <c r="E36" i="2" s="1"/>
  <c r="G36" i="2" s="1"/>
  <c r="H36" i="2" s="1"/>
  <c r="I36" i="2" s="1"/>
  <c r="J36" i="2" s="1"/>
  <c r="K36" i="2" s="1"/>
  <c r="L36" i="2" s="1"/>
  <c r="DB53" i="5"/>
  <c r="DB12" i="5"/>
  <c r="DB86" i="5" s="1"/>
  <c r="DG53" i="5"/>
  <c r="DG12" i="5"/>
  <c r="DG86" i="5" s="1"/>
  <c r="AC82" i="1"/>
  <c r="AC83" i="1" s="1"/>
  <c r="E170" i="2"/>
  <c r="AE86" i="1"/>
  <c r="AE21" i="1"/>
  <c r="AE23" i="1" s="1"/>
  <c r="AQ18" i="1"/>
  <c r="AP87" i="1" s="1"/>
  <c r="DP75" i="5"/>
  <c r="DP127" i="5" s="1"/>
  <c r="CC52" i="5"/>
  <c r="DD75" i="5"/>
  <c r="DD127" i="5" s="1"/>
  <c r="CR75" i="5"/>
  <c r="CR127" i="5" s="1"/>
  <c r="CE127" i="5"/>
  <c r="D10" i="2"/>
  <c r="CN23" i="5"/>
  <c r="DA1" i="5"/>
  <c r="CN102" i="5"/>
  <c r="CN122" i="5"/>
  <c r="CN70" i="5"/>
  <c r="AE57" i="5"/>
  <c r="AE63" i="5" s="1"/>
  <c r="AE64" i="5" s="1"/>
  <c r="BQ70" i="5"/>
  <c r="BT2" i="5"/>
  <c r="CD1" i="5"/>
  <c r="BQ102" i="5"/>
  <c r="BQ122" i="5"/>
  <c r="BQ23" i="5"/>
  <c r="BN114" i="5"/>
  <c r="D182" i="2"/>
  <c r="BS23" i="5"/>
  <c r="BS70" i="5"/>
  <c r="G123" i="2" s="1"/>
  <c r="BV2" i="5"/>
  <c r="BV106" i="5" s="1"/>
  <c r="BS102" i="5"/>
  <c r="CF1" i="5"/>
  <c r="CF53" i="5" s="1"/>
  <c r="BS122" i="5"/>
  <c r="BZ70" i="5"/>
  <c r="BZ122" i="5"/>
  <c r="BZ102" i="5"/>
  <c r="CM1" i="5"/>
  <c r="CD2" i="5"/>
  <c r="BZ23" i="5"/>
  <c r="E127" i="2"/>
  <c r="E126" i="2"/>
  <c r="E133" i="2"/>
  <c r="E131" i="2"/>
  <c r="AH30" i="5"/>
  <c r="AG106" i="5"/>
  <c r="G61" i="2"/>
  <c r="E123" i="2"/>
  <c r="E132" i="2"/>
  <c r="G59" i="2"/>
  <c r="BO115" i="5"/>
  <c r="BO76" i="5" s="1"/>
  <c r="E130" i="2"/>
  <c r="E121" i="2"/>
  <c r="E164" i="2" s="1"/>
  <c r="G65" i="2"/>
  <c r="G60" i="2"/>
  <c r="G56" i="2"/>
  <c r="G53" i="5"/>
  <c r="G84" i="5" s="1"/>
  <c r="G90" i="5" s="1"/>
  <c r="F56" i="5"/>
  <c r="F57" i="5" s="1"/>
  <c r="F63" i="5" s="1"/>
  <c r="F64" i="5" s="1"/>
  <c r="AH54" i="5"/>
  <c r="AG80" i="5"/>
  <c r="AH47" i="5"/>
  <c r="AG111" i="5"/>
  <c r="G54" i="5"/>
  <c r="F80" i="5"/>
  <c r="AE115" i="5"/>
  <c r="AE76" i="5" s="1"/>
  <c r="AE78" i="5" s="1"/>
  <c r="AE82" i="5" s="1"/>
  <c r="AE92" i="5" s="1"/>
  <c r="AE94" i="5" s="1"/>
  <c r="AG48" i="5"/>
  <c r="AF112" i="5"/>
  <c r="AF114" i="5" s="1"/>
  <c r="AF50" i="5"/>
  <c r="V54" i="5"/>
  <c r="U80" i="5"/>
  <c r="L52" i="5"/>
  <c r="V52" i="5"/>
  <c r="U56" i="5"/>
  <c r="S33" i="5"/>
  <c r="S40" i="5" s="1"/>
  <c r="T29" i="5"/>
  <c r="AH31" i="5"/>
  <c r="AG107" i="5"/>
  <c r="AG33" i="5"/>
  <c r="S84" i="5"/>
  <c r="S90" i="5" s="1"/>
  <c r="S50" i="5"/>
  <c r="S57" i="5" s="1"/>
  <c r="S63" i="5" s="1"/>
  <c r="T44" i="5"/>
  <c r="I35" i="5"/>
  <c r="H39" i="5"/>
  <c r="I30" i="5"/>
  <c r="H33" i="5"/>
  <c r="AN52" i="5"/>
  <c r="AI113" i="5"/>
  <c r="AJ49" i="5"/>
  <c r="O92" i="5"/>
  <c r="AA82" i="5"/>
  <c r="B128" i="2" s="1"/>
  <c r="AI109" i="5"/>
  <c r="AJ45" i="5"/>
  <c r="AJ29" i="5"/>
  <c r="G40" i="5"/>
  <c r="K29" i="5"/>
  <c r="AC78" i="5"/>
  <c r="AH53" i="5"/>
  <c r="AH84" i="5" s="1"/>
  <c r="AH90" i="5" s="1"/>
  <c r="AG56" i="5"/>
  <c r="AI44" i="5"/>
  <c r="BF115" i="5"/>
  <c r="BF76" i="5" s="1"/>
  <c r="BF78" i="5" s="1"/>
  <c r="BF82" i="5" s="1"/>
  <c r="N82" i="5"/>
  <c r="B92" i="5"/>
  <c r="H79" i="5"/>
  <c r="R64" i="5"/>
  <c r="H44" i="5"/>
  <c r="G50" i="5"/>
  <c r="U36" i="5"/>
  <c r="T39" i="5"/>
  <c r="AI46" i="5"/>
  <c r="AH110" i="5"/>
  <c r="DJ122" i="5"/>
  <c r="DJ23" i="5"/>
  <c r="DW1" i="5"/>
  <c r="DJ70" i="5"/>
  <c r="DJ102" i="5"/>
  <c r="DM2" i="5"/>
  <c r="E169" i="2"/>
  <c r="G22" i="2"/>
  <c r="DH70" i="5"/>
  <c r="DH102" i="5"/>
  <c r="DH122" i="5"/>
  <c r="DU1" i="5"/>
  <c r="DK2" i="5"/>
  <c r="DH23" i="5"/>
  <c r="CI70" i="5"/>
  <c r="CI122" i="5"/>
  <c r="CV1" i="5"/>
  <c r="CV53" i="5" s="1"/>
  <c r="CI102" i="5"/>
  <c r="CI23" i="5"/>
  <c r="CL2" i="5"/>
  <c r="CK122" i="5"/>
  <c r="CK102" i="5"/>
  <c r="CK70" i="5"/>
  <c r="CK23" i="5"/>
  <c r="CX1" i="5"/>
  <c r="CO2" i="5"/>
  <c r="DO1" i="5"/>
  <c r="DB102" i="5"/>
  <c r="DB23" i="5"/>
  <c r="DE2" i="5"/>
  <c r="DB122" i="5"/>
  <c r="DB70" i="5"/>
  <c r="DC2" i="5"/>
  <c r="CY70" i="5"/>
  <c r="DL1" i="5"/>
  <c r="DL53" i="5" s="1"/>
  <c r="CY122" i="5"/>
  <c r="CY102" i="5"/>
  <c r="CY23" i="5"/>
  <c r="CS2" i="5"/>
  <c r="DC1" i="5"/>
  <c r="DC53" i="5" s="1"/>
  <c r="CP70" i="5"/>
  <c r="CP23" i="5"/>
  <c r="CP122" i="5"/>
  <c r="CP102" i="5"/>
  <c r="DG102" i="5"/>
  <c r="DT1" i="5"/>
  <c r="DG70" i="5"/>
  <c r="DJ2" i="5"/>
  <c r="DG122" i="5"/>
  <c r="DG23" i="5"/>
  <c r="G106" i="2"/>
  <c r="D86" i="2"/>
  <c r="D162" i="2" s="1"/>
  <c r="AZ115" i="5"/>
  <c r="AZ76" i="5" s="1"/>
  <c r="BB115" i="5"/>
  <c r="BB76" i="5" s="1"/>
  <c r="BB78" i="5" s="1"/>
  <c r="BB82" i="5" s="1"/>
  <c r="AD59" i="1"/>
  <c r="AD85" i="1" s="1"/>
  <c r="AC56" i="1"/>
  <c r="BN57" i="5"/>
  <c r="E103" i="2" s="1"/>
  <c r="D96" i="2"/>
  <c r="AN94" i="1"/>
  <c r="AN91" i="1"/>
  <c r="AK91" i="1"/>
  <c r="AK94" i="1"/>
  <c r="AJ91" i="1"/>
  <c r="AJ94" i="1"/>
  <c r="AG94" i="1"/>
  <c r="AG91" i="1"/>
  <c r="AL91" i="1"/>
  <c r="AL94" i="1"/>
  <c r="AM94" i="1"/>
  <c r="AM91" i="1"/>
  <c r="AO94" i="1"/>
  <c r="AO91" i="1"/>
  <c r="AI91" i="1"/>
  <c r="AI94" i="1"/>
  <c r="AH91" i="1"/>
  <c r="AH94" i="1"/>
  <c r="E96" i="2"/>
  <c r="E86" i="2"/>
  <c r="BW54" i="5"/>
  <c r="BN13" i="5"/>
  <c r="E64" i="2" s="1"/>
  <c r="E165" i="2" s="1"/>
  <c r="BN74" i="5"/>
  <c r="E120" i="2" s="1"/>
  <c r="CA74" i="5"/>
  <c r="G120" i="2" s="1"/>
  <c r="CA11" i="5"/>
  <c r="G62" i="2" s="1"/>
  <c r="DT55" i="4"/>
  <c r="CF75" i="5"/>
  <c r="DO75" i="5"/>
  <c r="DO127" i="5" s="1"/>
  <c r="G131" i="2" l="1"/>
  <c r="CD5" i="5"/>
  <c r="AL108" i="5"/>
  <c r="AM32" i="5"/>
  <c r="G83" i="2"/>
  <c r="AI54" i="4"/>
  <c r="AH55" i="4"/>
  <c r="BT64" i="5"/>
  <c r="F109" i="2"/>
  <c r="F110" i="2" s="1"/>
  <c r="AT82" i="5"/>
  <c r="AT92" i="5" s="1"/>
  <c r="AT94" i="5" s="1"/>
  <c r="AT95" i="5" s="1"/>
  <c r="E184" i="2"/>
  <c r="CF5" i="5"/>
  <c r="CC5" i="5"/>
  <c r="CC106" i="5" s="1"/>
  <c r="CN126" i="5"/>
  <c r="D174" i="2"/>
  <c r="B9" i="13"/>
  <c r="CZ5" i="5" s="1"/>
  <c r="CE5" i="5"/>
  <c r="CE106" i="5" s="1"/>
  <c r="CK5" i="5"/>
  <c r="CK106" i="5" s="1"/>
  <c r="CJ5" i="5"/>
  <c r="CJ106" i="5" s="1"/>
  <c r="CM5" i="5"/>
  <c r="CM106" i="5" s="1"/>
  <c r="CL5" i="5"/>
  <c r="CL10" i="5" s="1"/>
  <c r="E28" i="2"/>
  <c r="G28" i="2" s="1"/>
  <c r="AF87" i="1"/>
  <c r="AN87" i="1"/>
  <c r="I87" i="1"/>
  <c r="AE87" i="1"/>
  <c r="E87" i="1"/>
  <c r="AQ21" i="1"/>
  <c r="AA87" i="1"/>
  <c r="S87" i="1"/>
  <c r="AI87" i="1"/>
  <c r="AM87" i="1"/>
  <c r="AJ87" i="1"/>
  <c r="AO87" i="1"/>
  <c r="BY111" i="5"/>
  <c r="E10" i="2"/>
  <c r="E31" i="2"/>
  <c r="G173" i="2"/>
  <c r="DT53" i="5"/>
  <c r="DT12" i="5"/>
  <c r="DT86" i="5" s="1"/>
  <c r="CR53" i="5"/>
  <c r="CR12" i="5"/>
  <c r="CR86" i="5" s="1"/>
  <c r="CR23" i="5"/>
  <c r="CU2" i="5"/>
  <c r="CR122" i="5"/>
  <c r="CR70" i="5"/>
  <c r="CR102" i="5"/>
  <c r="DE1" i="5"/>
  <c r="BX111" i="5"/>
  <c r="BU111" i="5"/>
  <c r="AD82" i="1"/>
  <c r="AD83" i="1" s="1"/>
  <c r="CI54" i="4"/>
  <c r="CH55" i="4"/>
  <c r="AH75" i="5" s="1"/>
  <c r="AH127" i="5" s="1"/>
  <c r="AG128" i="5"/>
  <c r="AH126" i="5"/>
  <c r="AH35" i="5"/>
  <c r="AG39" i="5"/>
  <c r="AG40" i="5" s="1"/>
  <c r="AH79" i="5"/>
  <c r="U127" i="5"/>
  <c r="U78" i="5"/>
  <c r="AH87" i="1"/>
  <c r="I79" i="5"/>
  <c r="I128" i="5"/>
  <c r="J126" i="5"/>
  <c r="CM53" i="5"/>
  <c r="CM12" i="5"/>
  <c r="CM86" i="5" s="1"/>
  <c r="AD87" i="1"/>
  <c r="AK2" i="1"/>
  <c r="AJ67" i="1"/>
  <c r="AJ29" i="1"/>
  <c r="BH54" i="4"/>
  <c r="BG55" i="4"/>
  <c r="G75" i="5" s="1"/>
  <c r="BW111" i="5"/>
  <c r="BV111" i="5"/>
  <c r="DO53" i="5"/>
  <c r="DO12" i="5"/>
  <c r="DO86" i="5" s="1"/>
  <c r="BZ86" i="5"/>
  <c r="BZ13" i="5"/>
  <c r="BZ15" i="5" s="1"/>
  <c r="G133" i="2"/>
  <c r="T81" i="5"/>
  <c r="T82" i="5" s="1"/>
  <c r="T128" i="5"/>
  <c r="T129" i="5" s="1"/>
  <c r="U126" i="5"/>
  <c r="U35" i="5"/>
  <c r="U81" i="5"/>
  <c r="DW53" i="5"/>
  <c r="DW12" i="5"/>
  <c r="DW86" i="5" s="1"/>
  <c r="CV55" i="4"/>
  <c r="AV75" i="5" s="1"/>
  <c r="CW54" i="4"/>
  <c r="AL87" i="1"/>
  <c r="V87" i="1"/>
  <c r="AU54" i="4"/>
  <c r="AT55" i="4"/>
  <c r="DU53" i="5"/>
  <c r="DU12" i="5"/>
  <c r="DU86" i="5" s="1"/>
  <c r="V55" i="4"/>
  <c r="W54" i="4"/>
  <c r="AG127" i="5"/>
  <c r="E173" i="2"/>
  <c r="CD53" i="5"/>
  <c r="CD12" i="5"/>
  <c r="CD86" i="5" s="1"/>
  <c r="AU127" i="5"/>
  <c r="AU81" i="5"/>
  <c r="AU78" i="5"/>
  <c r="AU82" i="5" s="1"/>
  <c r="AU92" i="5" s="1"/>
  <c r="AU94" i="5" s="1"/>
  <c r="AU95" i="5" s="1"/>
  <c r="AK87" i="1"/>
  <c r="H26" i="2"/>
  <c r="N87" i="1"/>
  <c r="H55" i="4"/>
  <c r="I54" i="4"/>
  <c r="CX53" i="5"/>
  <c r="CX12" i="5"/>
  <c r="CX86" i="5" s="1"/>
  <c r="AG87" i="1"/>
  <c r="S92" i="5"/>
  <c r="S94" i="5" s="1"/>
  <c r="M87" i="1"/>
  <c r="AG129" i="5"/>
  <c r="F127" i="5"/>
  <c r="F81" i="5"/>
  <c r="F78" i="5"/>
  <c r="F82" i="5" s="1"/>
  <c r="F92" i="5" s="1"/>
  <c r="F94" i="5" s="1"/>
  <c r="BV55" i="4"/>
  <c r="V75" i="5" s="1"/>
  <c r="BW54" i="4"/>
  <c r="G8" i="2"/>
  <c r="H8" i="2" s="1"/>
  <c r="CB9" i="5" s="1"/>
  <c r="G170" i="2"/>
  <c r="BU108" i="5"/>
  <c r="BX108" i="5"/>
  <c r="BV108" i="5"/>
  <c r="BW108" i="5"/>
  <c r="BZ108" i="5"/>
  <c r="BY108" i="5"/>
  <c r="CH106" i="5"/>
  <c r="CH30" i="5" s="1"/>
  <c r="CF106" i="5"/>
  <c r="BR81" i="5"/>
  <c r="F127" i="2" s="1"/>
  <c r="B10" i="13"/>
  <c r="B11" i="13" s="1"/>
  <c r="K87" i="1"/>
  <c r="F87" i="1"/>
  <c r="X87" i="1"/>
  <c r="H87" i="1"/>
  <c r="Q87" i="1"/>
  <c r="AB87" i="1"/>
  <c r="Z87" i="1"/>
  <c r="W87" i="1"/>
  <c r="P87" i="1"/>
  <c r="T87" i="1"/>
  <c r="R87" i="1"/>
  <c r="O87" i="1"/>
  <c r="AC87" i="1"/>
  <c r="L87" i="1"/>
  <c r="J87" i="1"/>
  <c r="G87" i="1"/>
  <c r="U87" i="1"/>
  <c r="Y87" i="1"/>
  <c r="G6" i="2"/>
  <c r="H6" i="2" s="1"/>
  <c r="CH6" i="5" s="1"/>
  <c r="CH108" i="5" s="1"/>
  <c r="F180" i="2"/>
  <c r="G4" i="2"/>
  <c r="DE75" i="5"/>
  <c r="DE127" i="5" s="1"/>
  <c r="DQ75" i="5"/>
  <c r="DQ127" i="5" s="1"/>
  <c r="CD52" i="5"/>
  <c r="CC84" i="5"/>
  <c r="CF127" i="5"/>
  <c r="CS75" i="5"/>
  <c r="CS127" i="5" s="1"/>
  <c r="EC75" i="5"/>
  <c r="EC127" i="5" s="1"/>
  <c r="BO78" i="5"/>
  <c r="EB75" i="5"/>
  <c r="EB127" i="5" s="1"/>
  <c r="G7" i="2"/>
  <c r="G158" i="2"/>
  <c r="G9" i="2"/>
  <c r="H9" i="2" s="1"/>
  <c r="BY107" i="5"/>
  <c r="BX107" i="5"/>
  <c r="BZ107" i="5"/>
  <c r="BU107" i="5"/>
  <c r="BW107" i="5"/>
  <c r="BV107" i="5"/>
  <c r="BV110" i="5"/>
  <c r="BW110" i="5"/>
  <c r="BU110" i="5"/>
  <c r="BX110" i="5"/>
  <c r="BY110" i="5"/>
  <c r="BZ110" i="5"/>
  <c r="BW109" i="5"/>
  <c r="BU109" i="5"/>
  <c r="BX109" i="5"/>
  <c r="BY109" i="5"/>
  <c r="BZ109" i="5"/>
  <c r="BV109" i="5"/>
  <c r="G13" i="2"/>
  <c r="DA70" i="5"/>
  <c r="DN1" i="5"/>
  <c r="DA122" i="5"/>
  <c r="DA23" i="5"/>
  <c r="DA102" i="5"/>
  <c r="G98" i="2"/>
  <c r="CF122" i="5"/>
  <c r="CS1" i="5"/>
  <c r="CS53" i="5" s="1"/>
  <c r="CF23" i="5"/>
  <c r="CF102" i="5"/>
  <c r="CI2" i="5"/>
  <c r="CI5" i="5" s="1"/>
  <c r="CF70" i="5"/>
  <c r="CD23" i="5"/>
  <c r="CD70" i="5"/>
  <c r="H133" i="2" s="1"/>
  <c r="CD122" i="5"/>
  <c r="CD102" i="5"/>
  <c r="CG2" i="5"/>
  <c r="CG5" i="5" s="1"/>
  <c r="CQ1" i="5"/>
  <c r="CD106" i="5"/>
  <c r="G84" i="2"/>
  <c r="AI30" i="5"/>
  <c r="AH106" i="5"/>
  <c r="AI47" i="5"/>
  <c r="AH111" i="5"/>
  <c r="AI54" i="5"/>
  <c r="AH80" i="5"/>
  <c r="H54" i="5"/>
  <c r="G80" i="5"/>
  <c r="G56" i="5"/>
  <c r="G57" i="5" s="1"/>
  <c r="G63" i="5" s="1"/>
  <c r="G64" i="5" s="1"/>
  <c r="H53" i="5"/>
  <c r="H84" i="5" s="1"/>
  <c r="H90" i="5" s="1"/>
  <c r="CM122" i="5"/>
  <c r="CM23" i="5"/>
  <c r="H83" i="2" s="1"/>
  <c r="CZ1" i="5"/>
  <c r="CQ2" i="5"/>
  <c r="CM102" i="5"/>
  <c r="CM70" i="5"/>
  <c r="AF57" i="5"/>
  <c r="AF63" i="5" s="1"/>
  <c r="AF64" i="5" s="1"/>
  <c r="AF115" i="5"/>
  <c r="I44" i="5"/>
  <c r="H50" i="5"/>
  <c r="AC82" i="5"/>
  <c r="AC92" i="5" s="1"/>
  <c r="AC94" i="5" s="1"/>
  <c r="M52" i="5"/>
  <c r="V36" i="5"/>
  <c r="T33" i="5"/>
  <c r="T40" i="5" s="1"/>
  <c r="U29" i="5"/>
  <c r="AH107" i="5"/>
  <c r="AI31" i="5"/>
  <c r="AH33" i="5"/>
  <c r="J30" i="5"/>
  <c r="I33" i="5"/>
  <c r="AJ44" i="5"/>
  <c r="AA92" i="5"/>
  <c r="O94" i="5"/>
  <c r="U44" i="5"/>
  <c r="T84" i="5"/>
  <c r="T90" i="5" s="1"/>
  <c r="T50" i="5"/>
  <c r="T57" i="5" s="1"/>
  <c r="T63" i="5" s="1"/>
  <c r="AH48" i="5"/>
  <c r="AG112" i="5"/>
  <c r="AG114" i="5" s="1"/>
  <c r="AG50" i="5"/>
  <c r="AK29" i="5"/>
  <c r="AK49" i="5"/>
  <c r="AJ113" i="5"/>
  <c r="H40" i="5"/>
  <c r="S64" i="5"/>
  <c r="AI53" i="5"/>
  <c r="AI84" i="5" s="1"/>
  <c r="AI90" i="5" s="1"/>
  <c r="AH56" i="5"/>
  <c r="W52" i="5"/>
  <c r="V56" i="5"/>
  <c r="AJ46" i="5"/>
  <c r="AI110" i="5"/>
  <c r="N92" i="5"/>
  <c r="N94" i="5" s="1"/>
  <c r="B94" i="5"/>
  <c r="AJ109" i="5"/>
  <c r="AK45" i="5"/>
  <c r="W54" i="5"/>
  <c r="V80" i="5"/>
  <c r="U79" i="5"/>
  <c r="U82" i="5" s="1"/>
  <c r="L29" i="5"/>
  <c r="C98" i="2"/>
  <c r="I39" i="5"/>
  <c r="J35" i="5"/>
  <c r="AQ23" i="1"/>
  <c r="DW122" i="5"/>
  <c r="DW102" i="5"/>
  <c r="DZ2" i="5"/>
  <c r="EJ1" i="5"/>
  <c r="DW70" i="5"/>
  <c r="DW23" i="5"/>
  <c r="EG1" i="5"/>
  <c r="DT23" i="5"/>
  <c r="DW2" i="5"/>
  <c r="DT70" i="5"/>
  <c r="DT102" i="5"/>
  <c r="DT122" i="5"/>
  <c r="DP1" i="5"/>
  <c r="DP53" i="5" s="1"/>
  <c r="DC23" i="5"/>
  <c r="DC122" i="5"/>
  <c r="DC70" i="5"/>
  <c r="DF2" i="5"/>
  <c r="DC102" i="5"/>
  <c r="DY1" i="5"/>
  <c r="DY53" i="5" s="1"/>
  <c r="DP2" i="5"/>
  <c r="DL102" i="5"/>
  <c r="DL23" i="5"/>
  <c r="DL122" i="5"/>
  <c r="DL70" i="5"/>
  <c r="DO70" i="5"/>
  <c r="EB1" i="5"/>
  <c r="DO23" i="5"/>
  <c r="DO102" i="5"/>
  <c r="DR2" i="5"/>
  <c r="DO122" i="5"/>
  <c r="CV70" i="5"/>
  <c r="CV122" i="5"/>
  <c r="DI1" i="5"/>
  <c r="DI53" i="5" s="1"/>
  <c r="CY2" i="5"/>
  <c r="CY5" i="5" s="1"/>
  <c r="CV23" i="5"/>
  <c r="CV102" i="5"/>
  <c r="CX23" i="5"/>
  <c r="CX70" i="5"/>
  <c r="CX122" i="5"/>
  <c r="DK1" i="5"/>
  <c r="CX102" i="5"/>
  <c r="DB2" i="5"/>
  <c r="H22" i="2"/>
  <c r="G169" i="2"/>
  <c r="DU70" i="5"/>
  <c r="DU122" i="5"/>
  <c r="EH1" i="5"/>
  <c r="DX2" i="5"/>
  <c r="DU23" i="5"/>
  <c r="DU102" i="5"/>
  <c r="BN76" i="5"/>
  <c r="E122" i="2" s="1"/>
  <c r="BN115" i="5"/>
  <c r="AD56" i="1"/>
  <c r="AZ60" i="5"/>
  <c r="AC60" i="1"/>
  <c r="D177" i="2"/>
  <c r="D179" i="2"/>
  <c r="D178" i="2"/>
  <c r="AE58" i="1"/>
  <c r="BB61" i="5" s="1"/>
  <c r="BB62" i="5" s="1"/>
  <c r="AE91" i="1"/>
  <c r="AE94" i="1"/>
  <c r="E179" i="2"/>
  <c r="E178" i="2"/>
  <c r="E177" i="2"/>
  <c r="G171" i="2"/>
  <c r="DO38" i="5"/>
  <c r="DP38" i="5" s="1"/>
  <c r="DQ38" i="5" s="1"/>
  <c r="DR38" i="5" s="1"/>
  <c r="DS38" i="5" s="1"/>
  <c r="DT38" i="5" s="1"/>
  <c r="DU38" i="5" s="1"/>
  <c r="DV38" i="5" s="1"/>
  <c r="DW38" i="5" s="1"/>
  <c r="DX38" i="5" s="1"/>
  <c r="DY38" i="5" s="1"/>
  <c r="DZ38" i="5" s="1"/>
  <c r="EA38" i="5" s="1"/>
  <c r="H25" i="2"/>
  <c r="G172" i="2"/>
  <c r="BN15" i="5"/>
  <c r="E66" i="2" s="1"/>
  <c r="BN78" i="5"/>
  <c r="E124" i="2" s="1"/>
  <c r="BX54" i="5"/>
  <c r="CH8" i="5"/>
  <c r="CH10" i="5"/>
  <c r="DU55" i="4"/>
  <c r="CG75" i="5"/>
  <c r="CU5" i="5" l="1"/>
  <c r="CQ5" i="5"/>
  <c r="CO5" i="5"/>
  <c r="CO106" i="5" s="1"/>
  <c r="CO30" i="5" s="1"/>
  <c r="CW5" i="5"/>
  <c r="CP5" i="5"/>
  <c r="CX5" i="5"/>
  <c r="CX106" i="5" s="1"/>
  <c r="AJ54" i="4"/>
  <c r="AI55" i="4"/>
  <c r="AN32" i="5"/>
  <c r="AM108" i="5"/>
  <c r="AH81" i="5"/>
  <c r="CS5" i="5"/>
  <c r="CR5" i="5"/>
  <c r="CJ111" i="5"/>
  <c r="CJ47" i="5" s="1"/>
  <c r="E166" i="2"/>
  <c r="E162" i="2"/>
  <c r="CL106" i="5"/>
  <c r="CL30" i="5" s="1"/>
  <c r="CK8" i="5"/>
  <c r="BO82" i="5"/>
  <c r="E175" i="2"/>
  <c r="BV113" i="5"/>
  <c r="G175" i="2"/>
  <c r="H28" i="2"/>
  <c r="CH113" i="5" s="1"/>
  <c r="CH49" i="5" s="1"/>
  <c r="BY113" i="5"/>
  <c r="BX113" i="5"/>
  <c r="BZ113" i="5"/>
  <c r="BW113" i="5"/>
  <c r="BU113" i="5"/>
  <c r="I26" i="2"/>
  <c r="CC111" i="5"/>
  <c r="CB111" i="5"/>
  <c r="CH111" i="5"/>
  <c r="CH47" i="5" s="1"/>
  <c r="CF111" i="5"/>
  <c r="CM111" i="5"/>
  <c r="CM47" i="5" s="1"/>
  <c r="CN47" i="5" s="1"/>
  <c r="CE111" i="5"/>
  <c r="H84" i="2"/>
  <c r="DE53" i="5"/>
  <c r="DE12" i="5"/>
  <c r="DE86" i="5" s="1"/>
  <c r="DE70" i="5"/>
  <c r="DH2" i="5"/>
  <c r="DH5" i="5" s="1"/>
  <c r="DR1" i="5"/>
  <c r="DE23" i="5"/>
  <c r="DE102" i="5"/>
  <c r="DE122" i="5"/>
  <c r="EH53" i="5"/>
  <c r="EH12" i="5"/>
  <c r="EH86" i="5" s="1"/>
  <c r="G127" i="5"/>
  <c r="G129" i="5" s="1"/>
  <c r="G78" i="5"/>
  <c r="G81" i="5"/>
  <c r="AU55" i="4"/>
  <c r="AV54" i="4"/>
  <c r="EG53" i="5"/>
  <c r="EG12" i="5"/>
  <c r="EG86" i="5" s="1"/>
  <c r="DF75" i="5"/>
  <c r="DF127" i="5" s="1"/>
  <c r="H131" i="2"/>
  <c r="CI55" i="4"/>
  <c r="AI75" i="5" s="1"/>
  <c r="AI127" i="5" s="1"/>
  <c r="CJ54" i="4"/>
  <c r="AU129" i="5"/>
  <c r="T92" i="5"/>
  <c r="T94" i="5" s="1"/>
  <c r="AL2" i="1"/>
  <c r="AK67" i="1"/>
  <c r="AK29" i="1"/>
  <c r="AV127" i="5"/>
  <c r="AV129" i="5" s="1"/>
  <c r="AV81" i="5"/>
  <c r="AV78" i="5"/>
  <c r="AV82" i="5" s="1"/>
  <c r="AV92" i="5" s="1"/>
  <c r="AV94" i="5" s="1"/>
  <c r="AV95" i="5" s="1"/>
  <c r="BX54" i="4"/>
  <c r="BW55" i="4"/>
  <c r="W75" i="5" s="1"/>
  <c r="CQ53" i="5"/>
  <c r="CQ12" i="5"/>
  <c r="CQ86" i="5" s="1"/>
  <c r="U128" i="5"/>
  <c r="U129" i="5" s="1"/>
  <c r="V126" i="5"/>
  <c r="V35" i="5"/>
  <c r="H135" i="2"/>
  <c r="U39" i="5"/>
  <c r="CL111" i="5"/>
  <c r="CL47" i="5" s="1"/>
  <c r="V127" i="5"/>
  <c r="V78" i="5"/>
  <c r="J54" i="4"/>
  <c r="I55" i="4"/>
  <c r="CX54" i="4"/>
  <c r="CW55" i="4"/>
  <c r="AW75" i="5" s="1"/>
  <c r="EB53" i="5"/>
  <c r="EB12" i="5"/>
  <c r="EB86" i="5" s="1"/>
  <c r="EJ53" i="5"/>
  <c r="EJ12" i="5"/>
  <c r="EJ86" i="5" s="1"/>
  <c r="DK53" i="5"/>
  <c r="DK12" i="5"/>
  <c r="DK86" i="5" s="1"/>
  <c r="J128" i="5"/>
  <c r="K126" i="5"/>
  <c r="V79" i="5"/>
  <c r="CK111" i="5"/>
  <c r="CK47" i="5" s="1"/>
  <c r="CZ53" i="5"/>
  <c r="CZ12" i="5"/>
  <c r="CZ86" i="5" s="1"/>
  <c r="X54" i="4"/>
  <c r="W55" i="4"/>
  <c r="AH128" i="5"/>
  <c r="AH129" i="5" s="1"/>
  <c r="AI126" i="5"/>
  <c r="AH39" i="5"/>
  <c r="AH40" i="5" s="1"/>
  <c r="AI35" i="5"/>
  <c r="AI79" i="5" s="1"/>
  <c r="BH55" i="4"/>
  <c r="H75" i="5" s="1"/>
  <c r="BI54" i="4"/>
  <c r="F129" i="5"/>
  <c r="CM6" i="5"/>
  <c r="CM108" i="5" s="1"/>
  <c r="CM32" i="5" s="1"/>
  <c r="CN32" i="5" s="1"/>
  <c r="I6" i="2"/>
  <c r="CU6" i="5" s="1"/>
  <c r="CU108" i="5" s="1"/>
  <c r="CP106" i="5"/>
  <c r="CE9" i="5"/>
  <c r="CU106" i="5"/>
  <c r="CS106" i="5"/>
  <c r="CS30" i="5" s="1"/>
  <c r="CI9" i="5"/>
  <c r="CR106" i="5"/>
  <c r="CR30" i="5" s="1"/>
  <c r="CZ106" i="5"/>
  <c r="CW106" i="5"/>
  <c r="CH9" i="5"/>
  <c r="CC9" i="5"/>
  <c r="CK9" i="5"/>
  <c r="CD9" i="5"/>
  <c r="CM9" i="5"/>
  <c r="CF9" i="5"/>
  <c r="CG9" i="5"/>
  <c r="CJ9" i="5"/>
  <c r="CL9" i="5"/>
  <c r="CY106" i="5"/>
  <c r="DZ5" i="5"/>
  <c r="DR5" i="5"/>
  <c r="DX5" i="5"/>
  <c r="DX106" i="5" s="1"/>
  <c r="DP5" i="5"/>
  <c r="DW5" i="5"/>
  <c r="DM5" i="5"/>
  <c r="DE5" i="5"/>
  <c r="DK5" i="5"/>
  <c r="DJ5" i="5"/>
  <c r="DB5" i="5"/>
  <c r="DC5" i="5"/>
  <c r="DF5" i="5"/>
  <c r="B12" i="13"/>
  <c r="I8" i="2"/>
  <c r="CW9" i="5" s="1"/>
  <c r="CE52" i="5"/>
  <c r="CD84" i="5"/>
  <c r="CT75" i="5"/>
  <c r="CT127" i="5" s="1"/>
  <c r="CG127" i="5"/>
  <c r="ED75" i="5"/>
  <c r="ED127" i="5" s="1"/>
  <c r="DR75" i="5"/>
  <c r="DR127" i="5" s="1"/>
  <c r="CD111" i="5"/>
  <c r="CH109" i="5"/>
  <c r="CH45" i="5" s="1"/>
  <c r="CJ107" i="5"/>
  <c r="CJ31" i="5" s="1"/>
  <c r="CK107" i="5"/>
  <c r="CK31" i="5" s="1"/>
  <c r="CD107" i="5"/>
  <c r="CL107" i="5"/>
  <c r="CE107" i="5"/>
  <c r="CM107" i="5"/>
  <c r="CM31" i="5" s="1"/>
  <c r="CN31" i="5" s="1"/>
  <c r="CF107" i="5"/>
  <c r="CF31" i="5" s="1"/>
  <c r="CH107" i="5"/>
  <c r="CD110" i="5"/>
  <c r="CL110" i="5"/>
  <c r="CL46" i="5" s="1"/>
  <c r="CE110" i="5"/>
  <c r="CE46" i="5" s="1"/>
  <c r="CM110" i="5"/>
  <c r="CM46" i="5" s="1"/>
  <c r="CN46" i="5" s="1"/>
  <c r="CF110" i="5"/>
  <c r="CF46" i="5" s="1"/>
  <c r="CK110" i="5"/>
  <c r="CK46" i="5" s="1"/>
  <c r="CH110" i="5"/>
  <c r="CH46" i="5" s="1"/>
  <c r="CJ110" i="5"/>
  <c r="CJ46" i="5" s="1"/>
  <c r="CB110" i="5"/>
  <c r="CC110" i="5"/>
  <c r="CB107" i="5"/>
  <c r="CC107" i="5"/>
  <c r="I24" i="2"/>
  <c r="I22" i="2"/>
  <c r="CO107" i="5" s="1"/>
  <c r="I9" i="2"/>
  <c r="CO14" i="5" s="1"/>
  <c r="CO77" i="5" s="1"/>
  <c r="CB14" i="5"/>
  <c r="CB77" i="5" s="1"/>
  <c r="G10" i="2"/>
  <c r="H10" i="2"/>
  <c r="CH14" i="5"/>
  <c r="CH77" i="5" s="1"/>
  <c r="DN122" i="5"/>
  <c r="EA1" i="5"/>
  <c r="DN23" i="5"/>
  <c r="DN102" i="5"/>
  <c r="DN70" i="5"/>
  <c r="J79" i="5"/>
  <c r="AG57" i="5"/>
  <c r="AG63" i="5" s="1"/>
  <c r="AG64" i="5" s="1"/>
  <c r="DD1" i="5"/>
  <c r="CQ102" i="5"/>
  <c r="CQ70" i="5"/>
  <c r="CT2" i="5"/>
  <c r="CT5" i="5" s="1"/>
  <c r="CQ23" i="5"/>
  <c r="CQ122" i="5"/>
  <c r="CG8" i="5"/>
  <c r="CS23" i="5"/>
  <c r="CS102" i="5"/>
  <c r="DF1" i="5"/>
  <c r="DF53" i="5" s="1"/>
  <c r="CV2" i="5"/>
  <c r="CV5" i="5" s="1"/>
  <c r="CS70" i="5"/>
  <c r="CS122" i="5"/>
  <c r="I40" i="5"/>
  <c r="H106" i="2"/>
  <c r="AJ54" i="5"/>
  <c r="AI80" i="5"/>
  <c r="I53" i="5"/>
  <c r="I84" i="5" s="1"/>
  <c r="I90" i="5" s="1"/>
  <c r="H56" i="5"/>
  <c r="H57" i="5" s="1"/>
  <c r="H63" i="5" s="1"/>
  <c r="H64" i="5" s="1"/>
  <c r="T64" i="5"/>
  <c r="AI111" i="5"/>
  <c r="AJ47" i="5"/>
  <c r="H90" i="2"/>
  <c r="CQ106" i="5"/>
  <c r="I54" i="5"/>
  <c r="H80" i="5"/>
  <c r="AJ30" i="5"/>
  <c r="AI106" i="5"/>
  <c r="CZ23" i="5"/>
  <c r="DD2" i="5"/>
  <c r="DD5" i="5" s="1"/>
  <c r="CZ70" i="5"/>
  <c r="DM1" i="5"/>
  <c r="CZ122" i="5"/>
  <c r="CZ102" i="5"/>
  <c r="AG115" i="5"/>
  <c r="AG76" i="5" s="1"/>
  <c r="AG78" i="5" s="1"/>
  <c r="AG82" i="5" s="1"/>
  <c r="AG92" i="5" s="1"/>
  <c r="AG94" i="5" s="1"/>
  <c r="W80" i="5"/>
  <c r="X54" i="5"/>
  <c r="W56" i="5"/>
  <c r="X52" i="5"/>
  <c r="AL29" i="5"/>
  <c r="V44" i="5"/>
  <c r="U84" i="5"/>
  <c r="U90" i="5" s="1"/>
  <c r="U92" i="5" s="1"/>
  <c r="U94" i="5" s="1"/>
  <c r="U50" i="5"/>
  <c r="U57" i="5" s="1"/>
  <c r="U63" i="5" s="1"/>
  <c r="AJ31" i="5"/>
  <c r="AI107" i="5"/>
  <c r="AI33" i="5"/>
  <c r="J44" i="5"/>
  <c r="I50" i="5"/>
  <c r="AK46" i="5"/>
  <c r="AJ110" i="5"/>
  <c r="W36" i="5"/>
  <c r="V39" i="5"/>
  <c r="M29" i="5"/>
  <c r="AK109" i="5"/>
  <c r="AL45" i="5"/>
  <c r="AJ53" i="5"/>
  <c r="AI56" i="5"/>
  <c r="AI48" i="5"/>
  <c r="AH112" i="5"/>
  <c r="AH114" i="5" s="1"/>
  <c r="AH50" i="5"/>
  <c r="AA94" i="5"/>
  <c r="B138" i="2"/>
  <c r="U33" i="5"/>
  <c r="V29" i="5"/>
  <c r="N52" i="5"/>
  <c r="K30" i="5"/>
  <c r="J33" i="5"/>
  <c r="AF76" i="5"/>
  <c r="J39" i="5"/>
  <c r="K35" i="5"/>
  <c r="AK113" i="5"/>
  <c r="AL49" i="5"/>
  <c r="AK44" i="5"/>
  <c r="E180" i="2"/>
  <c r="BB63" i="5"/>
  <c r="BB64" i="5" s="1"/>
  <c r="EJ122" i="5"/>
  <c r="EJ102" i="5"/>
  <c r="EJ70" i="5"/>
  <c r="EM2" i="5"/>
  <c r="EJ23" i="5"/>
  <c r="EB70" i="5"/>
  <c r="EB122" i="5"/>
  <c r="EB102" i="5"/>
  <c r="EE2" i="5"/>
  <c r="EB23" i="5"/>
  <c r="DY70" i="5"/>
  <c r="EL1" i="5"/>
  <c r="EL53" i="5" s="1"/>
  <c r="DY122" i="5"/>
  <c r="EC2" i="5"/>
  <c r="DY102" i="5"/>
  <c r="DY23" i="5"/>
  <c r="EG70" i="5"/>
  <c r="EG23" i="5"/>
  <c r="EG122" i="5"/>
  <c r="EJ2" i="5"/>
  <c r="EG102" i="5"/>
  <c r="DK70" i="5"/>
  <c r="DK102" i="5"/>
  <c r="DK122" i="5"/>
  <c r="DX1" i="5"/>
  <c r="DO2" i="5"/>
  <c r="DO5" i="5" s="1"/>
  <c r="DK23" i="5"/>
  <c r="EK2" i="5"/>
  <c r="EH102" i="5"/>
  <c r="EH70" i="5"/>
  <c r="EH23" i="5"/>
  <c r="EH122" i="5"/>
  <c r="DI70" i="5"/>
  <c r="DI122" i="5"/>
  <c r="DI102" i="5"/>
  <c r="DV1" i="5"/>
  <c r="DV53" i="5" s="1"/>
  <c r="DL2" i="5"/>
  <c r="DL5" i="5" s="1"/>
  <c r="DI23" i="5"/>
  <c r="DP23" i="5"/>
  <c r="DP102" i="5"/>
  <c r="DS2" i="5"/>
  <c r="DS5" i="5" s="1"/>
  <c r="DP70" i="5"/>
  <c r="DP122" i="5"/>
  <c r="EC1" i="5"/>
  <c r="EC53" i="5" s="1"/>
  <c r="AE55" i="1"/>
  <c r="AE90" i="1" s="1"/>
  <c r="AZ62" i="5"/>
  <c r="AZ88" i="5" s="1"/>
  <c r="AZ90" i="5" s="1"/>
  <c r="BA60" i="5"/>
  <c r="D106" i="2" s="1"/>
  <c r="AF58" i="1"/>
  <c r="BC61" i="5" s="1"/>
  <c r="BC62" i="5" s="1"/>
  <c r="DB52" i="4"/>
  <c r="EB38" i="5"/>
  <c r="CJ6" i="5"/>
  <c r="CJ108" i="5" s="1"/>
  <c r="CL6" i="5"/>
  <c r="CC6" i="5"/>
  <c r="CC108" i="5" s="1"/>
  <c r="CC10" i="5"/>
  <c r="CC14" i="5"/>
  <c r="CC77" i="5" s="1"/>
  <c r="CC8" i="5"/>
  <c r="CP10" i="5"/>
  <c r="CJ30" i="5"/>
  <c r="CJ14" i="5"/>
  <c r="CJ77" i="5" s="1"/>
  <c r="CE10" i="5"/>
  <c r="CE8" i="5"/>
  <c r="CE30" i="5"/>
  <c r="CM30" i="5"/>
  <c r="CN30" i="5" s="1"/>
  <c r="CM10" i="5"/>
  <c r="CD6" i="5"/>
  <c r="CB10" i="5"/>
  <c r="CL8" i="5"/>
  <c r="CB6" i="5"/>
  <c r="CB109" i="5" s="1"/>
  <c r="CL14" i="5"/>
  <c r="CL77" i="5" s="1"/>
  <c r="CF6" i="5"/>
  <c r="CF109" i="5" s="1"/>
  <c r="BN82" i="5"/>
  <c r="E128" i="2" s="1"/>
  <c r="CE6" i="5"/>
  <c r="CE108" i="5" s="1"/>
  <c r="BY54" i="5"/>
  <c r="BU36" i="5"/>
  <c r="BU79" i="5" s="1"/>
  <c r="CE14" i="5"/>
  <c r="CE77" i="5" s="1"/>
  <c r="CF14" i="5"/>
  <c r="CF77" i="5" s="1"/>
  <c r="CK10" i="5"/>
  <c r="CF10" i="5"/>
  <c r="CF30" i="5"/>
  <c r="CJ10" i="5"/>
  <c r="CD10" i="5"/>
  <c r="CD14" i="5"/>
  <c r="CD77" i="5" s="1"/>
  <c r="CD8" i="5"/>
  <c r="I25" i="2"/>
  <c r="CO110" i="5" s="1"/>
  <c r="CO46" i="5" s="1"/>
  <c r="CK6" i="5"/>
  <c r="CF8" i="5"/>
  <c r="CK30" i="5"/>
  <c r="CB8" i="5"/>
  <c r="CK14" i="5"/>
  <c r="CK77" i="5" s="1"/>
  <c r="CJ8" i="5"/>
  <c r="CM14" i="5"/>
  <c r="CM77" i="5" s="1"/>
  <c r="CM8" i="5"/>
  <c r="CS8" i="5"/>
  <c r="CH32" i="5"/>
  <c r="CH7" i="5"/>
  <c r="CS10" i="5"/>
  <c r="DV55" i="4"/>
  <c r="I131" i="2" l="1"/>
  <c r="AN108" i="5"/>
  <c r="C78" i="2"/>
  <c r="C23" i="2" s="1"/>
  <c r="C170" i="2" s="1"/>
  <c r="AK54" i="4"/>
  <c r="AJ55" i="4"/>
  <c r="J26" i="2"/>
  <c r="K26" i="2" s="1"/>
  <c r="DP111" i="5" s="1"/>
  <c r="CO111" i="5"/>
  <c r="CO47" i="5" s="1"/>
  <c r="CO31" i="5"/>
  <c r="H93" i="2"/>
  <c r="H92" i="2"/>
  <c r="H78" i="2"/>
  <c r="H77" i="2"/>
  <c r="H76" i="2"/>
  <c r="DS75" i="5"/>
  <c r="DS127" i="5" s="1"/>
  <c r="J6" i="2"/>
  <c r="DK6" i="5" s="1"/>
  <c r="DK108" i="5" s="1"/>
  <c r="I28" i="2"/>
  <c r="CM7" i="5"/>
  <c r="CM11" i="5" s="1"/>
  <c r="CM74" i="5" s="1"/>
  <c r="CZ111" i="5"/>
  <c r="CZ47" i="5" s="1"/>
  <c r="DA47" i="5" s="1"/>
  <c r="I93" i="2" s="1"/>
  <c r="CU111" i="5"/>
  <c r="CU47" i="5" s="1"/>
  <c r="CR111" i="5"/>
  <c r="CP111" i="5"/>
  <c r="CX111" i="5"/>
  <c r="CX47" i="5" s="1"/>
  <c r="CY111" i="5"/>
  <c r="CY47" i="5" s="1"/>
  <c r="CW111" i="5"/>
  <c r="CW47" i="5" s="1"/>
  <c r="CS111" i="5"/>
  <c r="CS6" i="5"/>
  <c r="CS108" i="5" s="1"/>
  <c r="CS32" i="5" s="1"/>
  <c r="U40" i="5"/>
  <c r="CM113" i="5"/>
  <c r="CM49" i="5" s="1"/>
  <c r="CN49" i="5" s="1"/>
  <c r="CY6" i="5"/>
  <c r="CY7" i="5" s="1"/>
  <c r="CQ6" i="5"/>
  <c r="CQ108" i="5" s="1"/>
  <c r="CQ32" i="5" s="1"/>
  <c r="I83" i="2"/>
  <c r="AV55" i="4"/>
  <c r="AW54" i="4"/>
  <c r="W127" i="5"/>
  <c r="W78" i="5"/>
  <c r="I84" i="2"/>
  <c r="BX55" i="4"/>
  <c r="X75" i="5" s="1"/>
  <c r="BY54" i="4"/>
  <c r="BI55" i="4"/>
  <c r="I75" i="5" s="1"/>
  <c r="BJ54" i="4"/>
  <c r="H127" i="5"/>
  <c r="H78" i="5"/>
  <c r="H81" i="5"/>
  <c r="CX55" i="4"/>
  <c r="AX75" i="5" s="1"/>
  <c r="CY54" i="4"/>
  <c r="DX53" i="5"/>
  <c r="DX12" i="5"/>
  <c r="DX86" i="5" s="1"/>
  <c r="DD53" i="5"/>
  <c r="DD12" i="5"/>
  <c r="DD86" i="5" s="1"/>
  <c r="K54" i="4"/>
  <c r="J55" i="4"/>
  <c r="DR53" i="5"/>
  <c r="DR12" i="5"/>
  <c r="DR86" i="5" s="1"/>
  <c r="DR102" i="5"/>
  <c r="DR23" i="5"/>
  <c r="EE1" i="5"/>
  <c r="DU2" i="5"/>
  <c r="DU5" i="5" s="1"/>
  <c r="DR70" i="5"/>
  <c r="DR122" i="5"/>
  <c r="AW127" i="5"/>
  <c r="AW129" i="5" s="1"/>
  <c r="AW81" i="5"/>
  <c r="AW78" i="5"/>
  <c r="X55" i="4"/>
  <c r="Y54" i="4"/>
  <c r="CK54" i="4"/>
  <c r="CJ55" i="4"/>
  <c r="AJ75" i="5" s="1"/>
  <c r="I90" i="2"/>
  <c r="V129" i="5"/>
  <c r="AI81" i="5"/>
  <c r="AJ126" i="5"/>
  <c r="AI128" i="5"/>
  <c r="AI129" i="5" s="1"/>
  <c r="AJ35" i="5"/>
  <c r="AI39" i="5"/>
  <c r="AI40" i="5" s="1"/>
  <c r="AJ79" i="5"/>
  <c r="G82" i="5"/>
  <c r="G92" i="5" s="1"/>
  <c r="G94" i="5" s="1"/>
  <c r="AM2" i="1"/>
  <c r="AL67" i="1"/>
  <c r="AL29" i="1"/>
  <c r="K79" i="5"/>
  <c r="L126" i="5"/>
  <c r="K128" i="5"/>
  <c r="DM53" i="5"/>
  <c r="DM12" i="5"/>
  <c r="DM86" i="5" s="1"/>
  <c r="CM109" i="5"/>
  <c r="CM45" i="5" s="1"/>
  <c r="CN45" i="5" s="1"/>
  <c r="V81" i="5"/>
  <c r="V82" i="5" s="1"/>
  <c r="W126" i="5"/>
  <c r="V128" i="5"/>
  <c r="W35" i="5"/>
  <c r="W81" i="5" s="1"/>
  <c r="DR106" i="5"/>
  <c r="DZ106" i="5"/>
  <c r="DW106" i="5"/>
  <c r="DP106" i="5"/>
  <c r="DF106" i="5"/>
  <c r="DH106" i="5"/>
  <c r="DH30" i="5" s="1"/>
  <c r="DE106" i="5"/>
  <c r="DC106" i="5"/>
  <c r="DC30" i="5" s="1"/>
  <c r="DM106" i="5"/>
  <c r="CT9" i="5"/>
  <c r="DK106" i="5"/>
  <c r="DK30" i="5" s="1"/>
  <c r="DJ106" i="5"/>
  <c r="CY9" i="5"/>
  <c r="CU9" i="5"/>
  <c r="CQ9" i="5"/>
  <c r="CR9" i="5"/>
  <c r="CX9" i="5"/>
  <c r="CV9" i="5"/>
  <c r="CP9" i="5"/>
  <c r="CZ9" i="5"/>
  <c r="CO9" i="5"/>
  <c r="CS9" i="5"/>
  <c r="DB106" i="5"/>
  <c r="DS106" i="5"/>
  <c r="DL106" i="5"/>
  <c r="DK8" i="5"/>
  <c r="DM111" i="5"/>
  <c r="I10" i="2"/>
  <c r="DO106" i="5"/>
  <c r="EM5" i="5"/>
  <c r="EE5" i="5"/>
  <c r="EK5" i="5"/>
  <c r="EC5" i="5"/>
  <c r="EJ5" i="5"/>
  <c r="CI14" i="5"/>
  <c r="CI77" i="5" s="1"/>
  <c r="CN9" i="5"/>
  <c r="H60" i="2" s="1"/>
  <c r="AE84" i="1"/>
  <c r="CH11" i="5"/>
  <c r="CH74" i="5" s="1"/>
  <c r="J8" i="2"/>
  <c r="CG6" i="5"/>
  <c r="CG113" i="5" s="1"/>
  <c r="CG49" i="5" s="1"/>
  <c r="CN5" i="5"/>
  <c r="CI8" i="5"/>
  <c r="CN8" i="5" s="1"/>
  <c r="H59" i="2" s="1"/>
  <c r="CG10" i="5"/>
  <c r="CI6" i="5"/>
  <c r="CI113" i="5" s="1"/>
  <c r="CI49" i="5" s="1"/>
  <c r="CI10" i="5"/>
  <c r="CS14" i="5"/>
  <c r="CS77" i="5" s="1"/>
  <c r="DG75" i="5"/>
  <c r="DG127" i="5" s="1"/>
  <c r="CF52" i="5"/>
  <c r="CE84" i="5"/>
  <c r="EE75" i="5"/>
  <c r="EE127" i="5" s="1"/>
  <c r="CQ111" i="5"/>
  <c r="EC38" i="5"/>
  <c r="J9" i="2"/>
  <c r="K9" i="2" s="1"/>
  <c r="L9" i="2" s="1"/>
  <c r="CJ113" i="5"/>
  <c r="CJ49" i="5" s="1"/>
  <c r="EF75" i="5"/>
  <c r="EF127" i="5" s="1"/>
  <c r="CL7" i="5"/>
  <c r="CL11" i="5" s="1"/>
  <c r="CL74" i="5" s="1"/>
  <c r="CL108" i="5"/>
  <c r="CL32" i="5" s="1"/>
  <c r="CI106" i="5"/>
  <c r="CI30" i="5" s="1"/>
  <c r="CI111" i="5"/>
  <c r="CI47" i="5" s="1"/>
  <c r="CI107" i="5"/>
  <c r="CI31" i="5" s="1"/>
  <c r="CK7" i="5"/>
  <c r="CK11" i="5" s="1"/>
  <c r="CK74" i="5" s="1"/>
  <c r="CK108" i="5"/>
  <c r="CK32" i="5" s="1"/>
  <c r="CD7" i="5"/>
  <c r="CD11" i="5" s="1"/>
  <c r="CD74" i="5" s="1"/>
  <c r="CD108" i="5"/>
  <c r="CG14" i="5"/>
  <c r="CG77" i="5" s="1"/>
  <c r="CG106" i="5"/>
  <c r="CG30" i="5" s="1"/>
  <c r="CG111" i="5"/>
  <c r="CG47" i="5" s="1"/>
  <c r="CC109" i="5"/>
  <c r="CG110" i="5"/>
  <c r="CG46" i="5" s="1"/>
  <c r="CG107" i="5"/>
  <c r="CG31" i="5" s="1"/>
  <c r="CL109" i="5"/>
  <c r="CL45" i="5" s="1"/>
  <c r="CD109" i="5"/>
  <c r="CE113" i="5"/>
  <c r="CE49" i="5" s="1"/>
  <c r="CB7" i="5"/>
  <c r="CB11" i="5" s="1"/>
  <c r="CB74" i="5" s="1"/>
  <c r="CB108" i="5"/>
  <c r="CK109" i="5"/>
  <c r="CK45" i="5" s="1"/>
  <c r="CL113" i="5"/>
  <c r="CL49" i="5" s="1"/>
  <c r="CF108" i="5"/>
  <c r="CF32" i="5" s="1"/>
  <c r="CJ109" i="5"/>
  <c r="CJ45" i="5" s="1"/>
  <c r="CD113" i="5"/>
  <c r="CF113" i="5"/>
  <c r="CF49" i="5" s="1"/>
  <c r="CC113" i="5"/>
  <c r="CB113" i="5"/>
  <c r="CI110" i="5"/>
  <c r="CI46" i="5" s="1"/>
  <c r="CE109" i="5"/>
  <c r="CE45" i="5" s="1"/>
  <c r="CK113" i="5"/>
  <c r="CK49" i="5" s="1"/>
  <c r="J22" i="2"/>
  <c r="CY107" i="5"/>
  <c r="CY31" i="5" s="1"/>
  <c r="CQ107" i="5"/>
  <c r="CX107" i="5"/>
  <c r="CX31" i="5" s="1"/>
  <c r="CP107" i="5"/>
  <c r="CP31" i="5" s="1"/>
  <c r="CW107" i="5"/>
  <c r="CW31" i="5" s="1"/>
  <c r="CS107" i="5"/>
  <c r="CR107" i="5"/>
  <c r="CR31" i="5" s="1"/>
  <c r="CU107" i="5"/>
  <c r="CZ107" i="5"/>
  <c r="CZ31" i="5" s="1"/>
  <c r="DA31" i="5" s="1"/>
  <c r="I77" i="2" s="1"/>
  <c r="J24" i="2"/>
  <c r="CU109" i="5"/>
  <c r="CU45" i="5" s="1"/>
  <c r="CU110" i="5"/>
  <c r="CU46" i="5" s="1"/>
  <c r="CS110" i="5"/>
  <c r="CS46" i="5" s="1"/>
  <c r="CW110" i="5"/>
  <c r="CW46" i="5" s="1"/>
  <c r="CZ110" i="5"/>
  <c r="CZ46" i="5" s="1"/>
  <c r="DA46" i="5" s="1"/>
  <c r="I92" i="2" s="1"/>
  <c r="CR110" i="5"/>
  <c r="CR46" i="5" s="1"/>
  <c r="CY110" i="5"/>
  <c r="CY46" i="5" s="1"/>
  <c r="CQ110" i="5"/>
  <c r="CQ46" i="5" s="1"/>
  <c r="CX110" i="5"/>
  <c r="CX46" i="5" s="1"/>
  <c r="CP110" i="5"/>
  <c r="CP46" i="5" s="1"/>
  <c r="CL31" i="5"/>
  <c r="CE31" i="5"/>
  <c r="CH31" i="5"/>
  <c r="EN1" i="5"/>
  <c r="EA23" i="5"/>
  <c r="EA70" i="5"/>
  <c r="EA102" i="5"/>
  <c r="EA122" i="5"/>
  <c r="DD70" i="5"/>
  <c r="J133" i="2" s="1"/>
  <c r="DG2" i="5"/>
  <c r="DG5" i="5" s="1"/>
  <c r="DD23" i="5"/>
  <c r="DQ1" i="5"/>
  <c r="DD122" i="5"/>
  <c r="DD102" i="5"/>
  <c r="DF102" i="5"/>
  <c r="DS1" i="5"/>
  <c r="DS53" i="5" s="1"/>
  <c r="DF122" i="5"/>
  <c r="DF23" i="5"/>
  <c r="DF70" i="5"/>
  <c r="DI2" i="5"/>
  <c r="DI5" i="5" s="1"/>
  <c r="CT8" i="5"/>
  <c r="I133" i="2"/>
  <c r="I56" i="5"/>
  <c r="I57" i="5" s="1"/>
  <c r="I63" i="5" s="1"/>
  <c r="I64" i="5" s="1"/>
  <c r="J53" i="5"/>
  <c r="J84" i="5" s="1"/>
  <c r="J90" i="5" s="1"/>
  <c r="I135" i="2"/>
  <c r="AH57" i="5"/>
  <c r="AH63" i="5" s="1"/>
  <c r="AH64" i="5" s="1"/>
  <c r="AK30" i="5"/>
  <c r="AJ106" i="5"/>
  <c r="AK54" i="5"/>
  <c r="AJ80" i="5"/>
  <c r="I80" i="5"/>
  <c r="J54" i="5"/>
  <c r="AJ111" i="5"/>
  <c r="AK47" i="5"/>
  <c r="DQ2" i="5"/>
  <c r="DQ5" i="5" s="1"/>
  <c r="DM122" i="5"/>
  <c r="DM23" i="5"/>
  <c r="DM102" i="5"/>
  <c r="DM70" i="5"/>
  <c r="DZ1" i="5"/>
  <c r="AH115" i="5"/>
  <c r="AI112" i="5"/>
  <c r="AI114" i="5" s="1"/>
  <c r="AJ48" i="5"/>
  <c r="AI50" i="5"/>
  <c r="Y52" i="5"/>
  <c r="X56" i="5"/>
  <c r="AL46" i="5"/>
  <c r="AK110" i="5"/>
  <c r="AF78" i="5"/>
  <c r="V33" i="5"/>
  <c r="V40" i="5" s="1"/>
  <c r="W29" i="5"/>
  <c r="AK53" i="5"/>
  <c r="AK84" i="5" s="1"/>
  <c r="AK90" i="5" s="1"/>
  <c r="AJ56" i="5"/>
  <c r="AK31" i="5"/>
  <c r="AJ107" i="5"/>
  <c r="AJ33" i="5"/>
  <c r="X80" i="5"/>
  <c r="Y54" i="5"/>
  <c r="AL44" i="5"/>
  <c r="AM29" i="5"/>
  <c r="AM45" i="5"/>
  <c r="AL109" i="5"/>
  <c r="J50" i="5"/>
  <c r="K44" i="5"/>
  <c r="U64" i="5"/>
  <c r="K39" i="5"/>
  <c r="L35" i="5"/>
  <c r="L30" i="5"/>
  <c r="K33" i="5"/>
  <c r="X36" i="5"/>
  <c r="AJ84" i="5"/>
  <c r="AJ90" i="5" s="1"/>
  <c r="N29" i="5"/>
  <c r="V50" i="5"/>
  <c r="V57" i="5" s="1"/>
  <c r="V63" i="5" s="1"/>
  <c r="W44" i="5"/>
  <c r="V84" i="5"/>
  <c r="V90" i="5" s="1"/>
  <c r="AM49" i="5"/>
  <c r="AL113" i="5"/>
  <c r="J40" i="5"/>
  <c r="AE59" i="1"/>
  <c r="AE85" i="1" s="1"/>
  <c r="BC63" i="5"/>
  <c r="BC64" i="5" s="1"/>
  <c r="AF55" i="1"/>
  <c r="AF90" i="1" s="1"/>
  <c r="BC88" i="5"/>
  <c r="BC90" i="5" s="1"/>
  <c r="BC92" i="5" s="1"/>
  <c r="BC94" i="5" s="1"/>
  <c r="BC95" i="5" s="1"/>
  <c r="AG58" i="1"/>
  <c r="AG55" i="1" s="1"/>
  <c r="EL70" i="5"/>
  <c r="EL122" i="5"/>
  <c r="EL23" i="5"/>
  <c r="EL102" i="5"/>
  <c r="DY2" i="5"/>
  <c r="DV23" i="5"/>
  <c r="DV122" i="5"/>
  <c r="DV70" i="5"/>
  <c r="EI1" i="5"/>
  <c r="EI53" i="5" s="1"/>
  <c r="DV102" i="5"/>
  <c r="EK1" i="5"/>
  <c r="EB2" i="5"/>
  <c r="EB5" i="5" s="1"/>
  <c r="DX23" i="5"/>
  <c r="DX122" i="5"/>
  <c r="DX70" i="5"/>
  <c r="DX102" i="5"/>
  <c r="EC23" i="5"/>
  <c r="EC122" i="5"/>
  <c r="EC70" i="5"/>
  <c r="EC102" i="5"/>
  <c r="EF2" i="5"/>
  <c r="EF5" i="5" s="1"/>
  <c r="BP64" i="5"/>
  <c r="BQ88" i="5"/>
  <c r="BQ90" i="5" s="1"/>
  <c r="BQ92" i="5" s="1"/>
  <c r="BQ94" i="5" s="1"/>
  <c r="BQ95" i="5" s="1"/>
  <c r="BO64" i="5"/>
  <c r="BP88" i="5"/>
  <c r="BA62" i="5"/>
  <c r="BB88" i="5" s="1"/>
  <c r="BB90" i="5" s="1"/>
  <c r="BB92" i="5" s="1"/>
  <c r="BB94" i="5" s="1"/>
  <c r="BB95" i="5" s="1"/>
  <c r="AZ63" i="5"/>
  <c r="DC52" i="4"/>
  <c r="DK10" i="5"/>
  <c r="CR6" i="5"/>
  <c r="CR14" i="5"/>
  <c r="CR77" i="5" s="1"/>
  <c r="CR10" i="5"/>
  <c r="CR8" i="5"/>
  <c r="CP30" i="5"/>
  <c r="CP8" i="5"/>
  <c r="CC7" i="5"/>
  <c r="CC11" i="5" s="1"/>
  <c r="CC74" i="5" s="1"/>
  <c r="CP6" i="5"/>
  <c r="CP14" i="5"/>
  <c r="CP77" i="5" s="1"/>
  <c r="CJ7" i="5"/>
  <c r="CJ11" i="5" s="1"/>
  <c r="CJ74" i="5" s="1"/>
  <c r="CJ32" i="5"/>
  <c r="CZ6" i="5"/>
  <c r="DM8" i="5"/>
  <c r="CE7" i="5"/>
  <c r="CE11" i="5" s="1"/>
  <c r="CE74" i="5" s="1"/>
  <c r="CE32" i="5"/>
  <c r="CW6" i="5"/>
  <c r="CW108" i="5" s="1"/>
  <c r="CF45" i="5"/>
  <c r="CX6" i="5"/>
  <c r="CX108" i="5" s="1"/>
  <c r="CH75" i="5"/>
  <c r="BV36" i="5"/>
  <c r="BV79" i="5" s="1"/>
  <c r="CU8" i="5"/>
  <c r="CU30" i="5"/>
  <c r="CU10" i="5"/>
  <c r="CU14" i="5"/>
  <c r="CU77" i="5" s="1"/>
  <c r="BZ54" i="5"/>
  <c r="CZ30" i="5"/>
  <c r="DA30" i="5" s="1"/>
  <c r="I76" i="2" s="1"/>
  <c r="CZ8" i="5"/>
  <c r="CZ10" i="5"/>
  <c r="CZ14" i="5"/>
  <c r="CZ77" i="5" s="1"/>
  <c r="CO6" i="5"/>
  <c r="CO10" i="5"/>
  <c r="CO8" i="5"/>
  <c r="CX10" i="5"/>
  <c r="CX30" i="5"/>
  <c r="CX8" i="5"/>
  <c r="CX14" i="5"/>
  <c r="CX77" i="5" s="1"/>
  <c r="CQ8" i="5"/>
  <c r="CQ14" i="5"/>
  <c r="CQ77" i="5" s="1"/>
  <c r="CQ30" i="5"/>
  <c r="CQ10" i="5"/>
  <c r="CW10" i="5"/>
  <c r="CW14" i="5"/>
  <c r="CW77" i="5" s="1"/>
  <c r="CW30" i="5"/>
  <c r="CW8" i="5"/>
  <c r="J25" i="2"/>
  <c r="CF7" i="5"/>
  <c r="CF11" i="5" s="1"/>
  <c r="CF74" i="5" s="1"/>
  <c r="CY10" i="5"/>
  <c r="CY8" i="5"/>
  <c r="CY30" i="5"/>
  <c r="CY14" i="5"/>
  <c r="CY77" i="5" s="1"/>
  <c r="CU7" i="5"/>
  <c r="CU32" i="5"/>
  <c r="CI75" i="5"/>
  <c r="DW55" i="4"/>
  <c r="J135" i="2" l="1"/>
  <c r="AK55" i="4"/>
  <c r="AL54" i="4"/>
  <c r="H82" i="5"/>
  <c r="H92" i="5" s="1"/>
  <c r="H94" i="5" s="1"/>
  <c r="V92" i="5"/>
  <c r="V94" i="5" s="1"/>
  <c r="J131" i="2"/>
  <c r="DB111" i="5"/>
  <c r="DE111" i="5"/>
  <c r="DX111" i="5"/>
  <c r="DX47" i="5" s="1"/>
  <c r="DC111" i="5"/>
  <c r="DR111" i="5"/>
  <c r="DH111" i="5"/>
  <c r="DH47" i="5" s="1"/>
  <c r="DZ111" i="5"/>
  <c r="DF111" i="5"/>
  <c r="L26" i="2"/>
  <c r="EB111" i="5" s="1"/>
  <c r="DK111" i="5"/>
  <c r="DK47" i="5" s="1"/>
  <c r="DL111" i="5"/>
  <c r="DS111" i="5"/>
  <c r="DO111" i="5"/>
  <c r="DW111" i="5"/>
  <c r="DJ111" i="5"/>
  <c r="DJ47" i="5" s="1"/>
  <c r="DE6" i="5"/>
  <c r="DE108" i="5" s="1"/>
  <c r="DE32" i="5" s="1"/>
  <c r="H56" i="2"/>
  <c r="CO108" i="5"/>
  <c r="CO32" i="5" s="1"/>
  <c r="CO109" i="5"/>
  <c r="CO45" i="5" s="1"/>
  <c r="J28" i="2"/>
  <c r="CO113" i="5"/>
  <c r="CO49" i="5" s="1"/>
  <c r="DF6" i="5"/>
  <c r="DF108" i="5" s="1"/>
  <c r="DF32" i="5" s="1"/>
  <c r="K6" i="2"/>
  <c r="L6" i="2" s="1"/>
  <c r="EK6" i="5" s="1"/>
  <c r="EK108" i="5" s="1"/>
  <c r="CS7" i="5"/>
  <c r="CS11" i="5" s="1"/>
  <c r="CS74" i="5" s="1"/>
  <c r="H95" i="2"/>
  <c r="H91" i="2"/>
  <c r="CZ113" i="5"/>
  <c r="CZ49" i="5" s="1"/>
  <c r="DA49" i="5" s="1"/>
  <c r="I95" i="2" s="1"/>
  <c r="CU113" i="5"/>
  <c r="CU49" i="5" s="1"/>
  <c r="CR113" i="5"/>
  <c r="CR49" i="5" s="1"/>
  <c r="CS113" i="5"/>
  <c r="CS49" i="5" s="1"/>
  <c r="CS109" i="5"/>
  <c r="CS45" i="5" s="1"/>
  <c r="DD52" i="4"/>
  <c r="AE82" i="1"/>
  <c r="AE83" i="1" s="1"/>
  <c r="AE60" i="1"/>
  <c r="CY113" i="5"/>
  <c r="CY49" i="5" s="1"/>
  <c r="CQ113" i="5"/>
  <c r="CQ49" i="5" s="1"/>
  <c r="CQ109" i="5"/>
  <c r="CQ45" i="5" s="1"/>
  <c r="CY108" i="5"/>
  <c r="CY32" i="5" s="1"/>
  <c r="CY109" i="5"/>
  <c r="CY45" i="5" s="1"/>
  <c r="CQ7" i="5"/>
  <c r="CQ11" i="5" s="1"/>
  <c r="CQ74" i="5" s="1"/>
  <c r="DG9" i="5"/>
  <c r="CK55" i="4"/>
  <c r="AK75" i="5" s="1"/>
  <c r="AK127" i="5" s="1"/>
  <c r="CL54" i="4"/>
  <c r="AX127" i="5"/>
  <c r="AX129" i="5" s="1"/>
  <c r="AX81" i="5"/>
  <c r="AX78" i="5"/>
  <c r="AX82" i="5" s="1"/>
  <c r="AX92" i="5" s="1"/>
  <c r="AX94" i="5" s="1"/>
  <c r="AX95" i="5" s="1"/>
  <c r="Y55" i="4"/>
  <c r="Z54" i="4"/>
  <c r="Z55" i="4" s="1"/>
  <c r="CY55" i="4"/>
  <c r="AY75" i="5" s="1"/>
  <c r="CZ54" i="4"/>
  <c r="CZ55" i="4" s="1"/>
  <c r="DZ53" i="5"/>
  <c r="DZ12" i="5"/>
  <c r="DZ86" i="5" s="1"/>
  <c r="AW82" i="5"/>
  <c r="AW92" i="5" s="1"/>
  <c r="AW94" i="5" s="1"/>
  <c r="AW95" i="5" s="1"/>
  <c r="H129" i="5"/>
  <c r="BJ55" i="4"/>
  <c r="J75" i="5" s="1"/>
  <c r="BK54" i="4"/>
  <c r="AN2" i="1"/>
  <c r="AM67" i="1"/>
  <c r="AM29" i="1"/>
  <c r="DQ53" i="5"/>
  <c r="DQ12" i="5"/>
  <c r="DQ86" i="5" s="1"/>
  <c r="EE53" i="5"/>
  <c r="EE12" i="5"/>
  <c r="EE86" i="5" s="1"/>
  <c r="EH2" i="5"/>
  <c r="EH5" i="5" s="1"/>
  <c r="EH106" i="5" s="1"/>
  <c r="EH30" i="5" s="1"/>
  <c r="EE102" i="5"/>
  <c r="EE122" i="5"/>
  <c r="EE70" i="5"/>
  <c r="EE23" i="5"/>
  <c r="X127" i="5"/>
  <c r="X78" i="5"/>
  <c r="DU111" i="5"/>
  <c r="AJ81" i="5"/>
  <c r="AJ128" i="5"/>
  <c r="AK126" i="5"/>
  <c r="AJ39" i="5"/>
  <c r="AJ40" i="5" s="1"/>
  <c r="AK35" i="5"/>
  <c r="I127" i="5"/>
  <c r="I129" i="5" s="1"/>
  <c r="I78" i="5"/>
  <c r="I81" i="5"/>
  <c r="DY5" i="5"/>
  <c r="DY106" i="5" s="1"/>
  <c r="DY30" i="5" s="1"/>
  <c r="W39" i="5"/>
  <c r="AX54" i="4"/>
  <c r="AW55" i="4"/>
  <c r="EK53" i="5"/>
  <c r="EK12" i="5"/>
  <c r="EK86" i="5" s="1"/>
  <c r="L54" i="4"/>
  <c r="K55" i="4"/>
  <c r="X126" i="5"/>
  <c r="W128" i="5"/>
  <c r="W129" i="5" s="1"/>
  <c r="X35" i="5"/>
  <c r="X79" i="5" s="1"/>
  <c r="W79" i="5"/>
  <c r="W82" i="5" s="1"/>
  <c r="DU106" i="5"/>
  <c r="BY55" i="4"/>
  <c r="Y75" i="5" s="1"/>
  <c r="BZ54" i="4"/>
  <c r="BZ55" i="4" s="1"/>
  <c r="Z75" i="5" s="1"/>
  <c r="L128" i="5"/>
  <c r="M126" i="5"/>
  <c r="AJ127" i="5"/>
  <c r="AJ129" i="5" s="1"/>
  <c r="EJ106" i="5"/>
  <c r="EM106" i="5"/>
  <c r="EC106" i="5"/>
  <c r="EC30" i="5" s="1"/>
  <c r="EE106" i="5"/>
  <c r="EE30" i="5" s="1"/>
  <c r="EK106" i="5"/>
  <c r="EK30" i="5" s="1"/>
  <c r="DB9" i="5"/>
  <c r="DH9" i="5"/>
  <c r="DI9" i="5"/>
  <c r="DM9" i="5"/>
  <c r="DD9" i="5"/>
  <c r="DJ9" i="5"/>
  <c r="DF9" i="5"/>
  <c r="DC9" i="5"/>
  <c r="DK9" i="5"/>
  <c r="DL9" i="5"/>
  <c r="DE9" i="5"/>
  <c r="DA9" i="5"/>
  <c r="CN77" i="5"/>
  <c r="H123" i="2" s="1"/>
  <c r="EB106" i="5"/>
  <c r="EF106" i="5"/>
  <c r="CV14" i="5"/>
  <c r="CV77" i="5" s="1"/>
  <c r="AH58" i="1"/>
  <c r="BE61" i="5" s="1"/>
  <c r="BE62" i="5" s="1"/>
  <c r="BE63" i="5" s="1"/>
  <c r="BE64" i="5" s="1"/>
  <c r="CN10" i="5"/>
  <c r="H61" i="2" s="1"/>
  <c r="K8" i="2"/>
  <c r="CG108" i="5"/>
  <c r="CG32" i="5" s="1"/>
  <c r="CG7" i="5"/>
  <c r="CG11" i="5" s="1"/>
  <c r="CG74" i="5" s="1"/>
  <c r="CG109" i="5"/>
  <c r="CG45" i="5" s="1"/>
  <c r="DC14" i="5"/>
  <c r="DC77" i="5" s="1"/>
  <c r="DJ14" i="5"/>
  <c r="DJ77" i="5" s="1"/>
  <c r="DK14" i="5"/>
  <c r="DK77" i="5" s="1"/>
  <c r="CI109" i="5"/>
  <c r="CI45" i="5" s="1"/>
  <c r="EM14" i="5"/>
  <c r="EM77" i="5" s="1"/>
  <c r="CN6" i="5"/>
  <c r="H57" i="2" s="1"/>
  <c r="J10" i="2"/>
  <c r="CI108" i="5"/>
  <c r="CI32" i="5" s="1"/>
  <c r="CN14" i="5"/>
  <c r="H65" i="2" s="1"/>
  <c r="CI7" i="5"/>
  <c r="CI11" i="5" s="1"/>
  <c r="CI74" i="5" s="1"/>
  <c r="CI127" i="5"/>
  <c r="CV75" i="5"/>
  <c r="CV127" i="5" s="1"/>
  <c r="CU75" i="5"/>
  <c r="CU127" i="5" s="1"/>
  <c r="CH127" i="5"/>
  <c r="CG52" i="5"/>
  <c r="CF84" i="5"/>
  <c r="DT75" i="5"/>
  <c r="DT127" i="5" s="1"/>
  <c r="ED38" i="5"/>
  <c r="CX113" i="5"/>
  <c r="CX49" i="5" s="1"/>
  <c r="CT6" i="5"/>
  <c r="CT106" i="5"/>
  <c r="CT30" i="5" s="1"/>
  <c r="CT111" i="5"/>
  <c r="CT47" i="5" s="1"/>
  <c r="CV106" i="5"/>
  <c r="CV30" i="5" s="1"/>
  <c r="CV111" i="5"/>
  <c r="CV47" i="5" s="1"/>
  <c r="CP108" i="5"/>
  <c r="CP32" i="5" s="1"/>
  <c r="CR108" i="5"/>
  <c r="CR32" i="5" s="1"/>
  <c r="CZ109" i="5"/>
  <c r="CZ45" i="5" s="1"/>
  <c r="DA45" i="5" s="1"/>
  <c r="I91" i="2" s="1"/>
  <c r="CV8" i="5"/>
  <c r="DA8" i="5" s="1"/>
  <c r="I59" i="2" s="1"/>
  <c r="CV110" i="5"/>
  <c r="CV46" i="5" s="1"/>
  <c r="DA5" i="5"/>
  <c r="DA131" i="5" s="1"/>
  <c r="CT10" i="5"/>
  <c r="CV6" i="5"/>
  <c r="CV7" i="5" s="1"/>
  <c r="CT110" i="5"/>
  <c r="CT46" i="5" s="1"/>
  <c r="CW109" i="5"/>
  <c r="CW45" i="5" s="1"/>
  <c r="CT107" i="5"/>
  <c r="CT31" i="5" s="1"/>
  <c r="CV10" i="5"/>
  <c r="DD106" i="5"/>
  <c r="DD30" i="5" s="1"/>
  <c r="DD111" i="5"/>
  <c r="CP109" i="5"/>
  <c r="CP45" i="5" s="1"/>
  <c r="CZ108" i="5"/>
  <c r="CZ32" i="5" s="1"/>
  <c r="DA32" i="5" s="1"/>
  <c r="I78" i="2" s="1"/>
  <c r="CX109" i="5"/>
  <c r="CX45" i="5" s="1"/>
  <c r="CV107" i="5"/>
  <c r="CV31" i="5" s="1"/>
  <c r="CW113" i="5"/>
  <c r="CW49" i="5" s="1"/>
  <c r="CT14" i="5"/>
  <c r="CT77" i="5" s="1"/>
  <c r="CR109" i="5"/>
  <c r="CR45" i="5" s="1"/>
  <c r="CP113" i="5"/>
  <c r="CP49" i="5" s="1"/>
  <c r="EJ111" i="5"/>
  <c r="EK111" i="5"/>
  <c r="EE111" i="5"/>
  <c r="DH110" i="5"/>
  <c r="DH46" i="5" s="1"/>
  <c r="DF110" i="5"/>
  <c r="DF46" i="5" s="1"/>
  <c r="DB110" i="5"/>
  <c r="DB46" i="5" s="1"/>
  <c r="DM110" i="5"/>
  <c r="DM46" i="5" s="1"/>
  <c r="DN46" i="5" s="1"/>
  <c r="J92" i="2" s="1"/>
  <c r="DE110" i="5"/>
  <c r="DE46" i="5" s="1"/>
  <c r="DL110" i="5"/>
  <c r="DL46" i="5" s="1"/>
  <c r="DD110" i="5"/>
  <c r="DD46" i="5" s="1"/>
  <c r="DK110" i="5"/>
  <c r="DK46" i="5" s="1"/>
  <c r="DC110" i="5"/>
  <c r="DC46" i="5" s="1"/>
  <c r="DJ110" i="5"/>
  <c r="DJ46" i="5" s="1"/>
  <c r="K22" i="2"/>
  <c r="DM107" i="5"/>
  <c r="DM31" i="5" s="1"/>
  <c r="DN31" i="5" s="1"/>
  <c r="J77" i="2" s="1"/>
  <c r="DE107" i="5"/>
  <c r="DE31" i="5" s="1"/>
  <c r="DL107" i="5"/>
  <c r="DL31" i="5" s="1"/>
  <c r="DD107" i="5"/>
  <c r="DD31" i="5" s="1"/>
  <c r="DK107" i="5"/>
  <c r="DC107" i="5"/>
  <c r="DC31" i="5" s="1"/>
  <c r="DJ107" i="5"/>
  <c r="DJ31" i="5" s="1"/>
  <c r="DB107" i="5"/>
  <c r="DB31" i="5" s="1"/>
  <c r="DF107" i="5"/>
  <c r="DF31" i="5" s="1"/>
  <c r="DH107" i="5"/>
  <c r="DH31" i="5" s="1"/>
  <c r="K24" i="2"/>
  <c r="DK109" i="5"/>
  <c r="DK45" i="5" s="1"/>
  <c r="CQ31" i="5"/>
  <c r="CU31" i="5"/>
  <c r="CS31" i="5"/>
  <c r="EN23" i="5"/>
  <c r="EN70" i="5"/>
  <c r="EN122" i="5"/>
  <c r="EN102" i="5"/>
  <c r="DS102" i="5"/>
  <c r="DS122" i="5"/>
  <c r="EF1" i="5"/>
  <c r="EF53" i="5" s="1"/>
  <c r="DV2" i="5"/>
  <c r="DV5" i="5" s="1"/>
  <c r="DS23" i="5"/>
  <c r="K84" i="2" s="1"/>
  <c r="DS70" i="5"/>
  <c r="K135" i="2" s="1"/>
  <c r="DQ70" i="5"/>
  <c r="DQ23" i="5"/>
  <c r="DT2" i="5"/>
  <c r="DT5" i="5" s="1"/>
  <c r="DQ102" i="5"/>
  <c r="DQ122" i="5"/>
  <c r="ED1" i="5"/>
  <c r="AI57" i="5"/>
  <c r="AI63" i="5" s="1"/>
  <c r="AI64" i="5" s="1"/>
  <c r="V64" i="5"/>
  <c r="DI107" i="5"/>
  <c r="DI31" i="5" s="1"/>
  <c r="DG107" i="5"/>
  <c r="DG31" i="5" s="1"/>
  <c r="AL54" i="5"/>
  <c r="AK80" i="5"/>
  <c r="J83" i="2"/>
  <c r="J84" i="2"/>
  <c r="AK111" i="5"/>
  <c r="AL47" i="5"/>
  <c r="AK106" i="5"/>
  <c r="AL30" i="5"/>
  <c r="J90" i="2"/>
  <c r="DZ23" i="5"/>
  <c r="DZ70" i="5"/>
  <c r="DZ122" i="5"/>
  <c r="ED2" i="5"/>
  <c r="ED5" i="5" s="1"/>
  <c r="DZ102" i="5"/>
  <c r="EM1" i="5"/>
  <c r="K54" i="5"/>
  <c r="J80" i="5"/>
  <c r="K53" i="5"/>
  <c r="K84" i="5" s="1"/>
  <c r="K90" i="5" s="1"/>
  <c r="J56" i="5"/>
  <c r="J57" i="5" s="1"/>
  <c r="J63" i="5" s="1"/>
  <c r="J64" i="5" s="1"/>
  <c r="AI115" i="5"/>
  <c r="AI76" i="5" s="1"/>
  <c r="AI78" i="5" s="1"/>
  <c r="AI82" i="5" s="1"/>
  <c r="AI92" i="5" s="1"/>
  <c r="AI94" i="5" s="1"/>
  <c r="K50" i="5"/>
  <c r="L44" i="5"/>
  <c r="AN29" i="5"/>
  <c r="C75" i="2" s="1"/>
  <c r="AM46" i="5"/>
  <c r="AL110" i="5"/>
  <c r="M30" i="5"/>
  <c r="L33" i="5"/>
  <c r="AL31" i="5"/>
  <c r="AK107" i="5"/>
  <c r="AK33" i="5"/>
  <c r="AF82" i="5"/>
  <c r="AF92" i="5" s="1"/>
  <c r="AF94" i="5" s="1"/>
  <c r="AK48" i="5"/>
  <c r="AJ112" i="5"/>
  <c r="AJ114" i="5" s="1"/>
  <c r="AJ50" i="5"/>
  <c r="M35" i="5"/>
  <c r="L39" i="5"/>
  <c r="AM44" i="5"/>
  <c r="AN49" i="5"/>
  <c r="AM113" i="5"/>
  <c r="K40" i="5"/>
  <c r="AH76" i="5"/>
  <c r="L79" i="5"/>
  <c r="AM109" i="5"/>
  <c r="AN45" i="5"/>
  <c r="AL53" i="5"/>
  <c r="AK56" i="5"/>
  <c r="W50" i="5"/>
  <c r="W57" i="5" s="1"/>
  <c r="W63" i="5" s="1"/>
  <c r="X44" i="5"/>
  <c r="W84" i="5"/>
  <c r="W90" i="5" s="1"/>
  <c r="Y80" i="5"/>
  <c r="Z54" i="5"/>
  <c r="X29" i="5"/>
  <c r="W33" i="5"/>
  <c r="Y36" i="5"/>
  <c r="Z52" i="5"/>
  <c r="Y56" i="5"/>
  <c r="AF84" i="1"/>
  <c r="AF59" i="1"/>
  <c r="AF85" i="1" s="1"/>
  <c r="BP90" i="5"/>
  <c r="BP92" i="5" s="1"/>
  <c r="BP94" i="5" s="1"/>
  <c r="BP95" i="5" s="1"/>
  <c r="BQ64" i="5"/>
  <c r="BD61" i="5"/>
  <c r="BD62" i="5" s="1"/>
  <c r="EK14" i="5"/>
  <c r="EK77" i="5" s="1"/>
  <c r="EK8" i="5"/>
  <c r="EE14" i="5"/>
  <c r="EE77" i="5" s="1"/>
  <c r="EM8" i="5"/>
  <c r="EE10" i="5"/>
  <c r="EM10" i="5"/>
  <c r="EJ10" i="5"/>
  <c r="EE8" i="5"/>
  <c r="EI23" i="5"/>
  <c r="EI70" i="5"/>
  <c r="EI102" i="5"/>
  <c r="EI122" i="5"/>
  <c r="EL2" i="5"/>
  <c r="EL5" i="5" s="1"/>
  <c r="K90" i="2"/>
  <c r="EC6" i="5"/>
  <c r="EC108" i="5" s="1"/>
  <c r="EC10" i="5"/>
  <c r="EJ8" i="5"/>
  <c r="EC8" i="5"/>
  <c r="EK10" i="5"/>
  <c r="EC14" i="5"/>
  <c r="EC77" i="5" s="1"/>
  <c r="EJ14" i="5"/>
  <c r="EJ77" i="5" s="1"/>
  <c r="EK70" i="5"/>
  <c r="EK122" i="5"/>
  <c r="EK102" i="5"/>
  <c r="EK23" i="5"/>
  <c r="BA63" i="5"/>
  <c r="AZ64" i="5"/>
  <c r="AG59" i="1"/>
  <c r="AG84" i="1"/>
  <c r="AG90" i="1"/>
  <c r="AH55" i="1"/>
  <c r="AI58" i="1"/>
  <c r="BF61" i="5" s="1"/>
  <c r="BF62" i="5" s="1"/>
  <c r="DE52" i="4"/>
  <c r="CR7" i="5"/>
  <c r="CR11" i="5" s="1"/>
  <c r="CR74" i="5" s="1"/>
  <c r="DB6" i="5"/>
  <c r="DB30" i="5"/>
  <c r="DB10" i="5"/>
  <c r="DB8" i="5"/>
  <c r="DC6" i="5"/>
  <c r="DB14" i="5"/>
  <c r="DB77" i="5" s="1"/>
  <c r="DD10" i="5"/>
  <c r="DD14" i="5"/>
  <c r="DD77" i="5" s="1"/>
  <c r="DD8" i="5"/>
  <c r="DD6" i="5"/>
  <c r="DD109" i="5" s="1"/>
  <c r="DC8" i="5"/>
  <c r="DC10" i="5"/>
  <c r="DG8" i="5"/>
  <c r="DG6" i="5"/>
  <c r="DG109" i="5" s="1"/>
  <c r="DH6" i="5"/>
  <c r="DG10" i="5"/>
  <c r="CP7" i="5"/>
  <c r="CP11" i="5" s="1"/>
  <c r="CP74" i="5" s="1"/>
  <c r="DG14" i="5"/>
  <c r="DG77" i="5" s="1"/>
  <c r="DM14" i="5"/>
  <c r="DM77" i="5" s="1"/>
  <c r="DL30" i="5"/>
  <c r="DP14" i="5"/>
  <c r="DP77" i="5" s="1"/>
  <c r="DZ14" i="5"/>
  <c r="DZ77" i="5" s="1"/>
  <c r="DW10" i="5"/>
  <c r="DM10" i="5"/>
  <c r="DU10" i="5"/>
  <c r="DM47" i="5"/>
  <c r="DN47" i="5" s="1"/>
  <c r="J93" i="2" s="1"/>
  <c r="DR30" i="5"/>
  <c r="DL14" i="5"/>
  <c r="DL77" i="5" s="1"/>
  <c r="DL8" i="5"/>
  <c r="DL6" i="5"/>
  <c r="DL108" i="5" s="1"/>
  <c r="DL10" i="5"/>
  <c r="DL47" i="5"/>
  <c r="DH14" i="5"/>
  <c r="DH77" i="5" s="1"/>
  <c r="DH10" i="5"/>
  <c r="DF10" i="5"/>
  <c r="DH8" i="5"/>
  <c r="DE8" i="5"/>
  <c r="DE14" i="5"/>
  <c r="DE77" i="5" s="1"/>
  <c r="DJ10" i="5"/>
  <c r="DJ30" i="5"/>
  <c r="DE10" i="5"/>
  <c r="DJ6" i="5"/>
  <c r="DJ109" i="5" s="1"/>
  <c r="CZ7" i="5"/>
  <c r="CZ11" i="5" s="1"/>
  <c r="CZ74" i="5" s="1"/>
  <c r="DE30" i="5"/>
  <c r="DJ8" i="5"/>
  <c r="DF14" i="5"/>
  <c r="DF77" i="5" s="1"/>
  <c r="DF30" i="5"/>
  <c r="DM6" i="5"/>
  <c r="DF8" i="5"/>
  <c r="DM30" i="5"/>
  <c r="DN30" i="5" s="1"/>
  <c r="J76" i="2" s="1"/>
  <c r="CW32" i="5"/>
  <c r="CW7" i="5"/>
  <c r="CW11" i="5" s="1"/>
  <c r="CW74" i="5" s="1"/>
  <c r="DK32" i="5"/>
  <c r="CX32" i="5"/>
  <c r="CX7" i="5"/>
  <c r="CX11" i="5" s="1"/>
  <c r="CX74" i="5" s="1"/>
  <c r="CY11" i="5"/>
  <c r="CY74" i="5" s="1"/>
  <c r="CA54" i="5"/>
  <c r="BW36" i="5"/>
  <c r="BW79" i="5" s="1"/>
  <c r="CO7" i="5"/>
  <c r="CO11" i="5" s="1"/>
  <c r="CU11" i="5"/>
  <c r="CU74" i="5" s="1"/>
  <c r="K25" i="2"/>
  <c r="DK7" i="5"/>
  <c r="DO10" i="5"/>
  <c r="DO14" i="5"/>
  <c r="DO8" i="5"/>
  <c r="DX55" i="4"/>
  <c r="I82" i="5" l="1"/>
  <c r="I92" i="5" s="1"/>
  <c r="I94" i="5" s="1"/>
  <c r="AL55" i="4"/>
  <c r="AM54" i="4"/>
  <c r="AM55" i="4" s="1"/>
  <c r="K83" i="2"/>
  <c r="AK81" i="5"/>
  <c r="DE113" i="5"/>
  <c r="DE49" i="5" s="1"/>
  <c r="EM111" i="5"/>
  <c r="EF111" i="5"/>
  <c r="DE7" i="5"/>
  <c r="DE11" i="5" s="1"/>
  <c r="DE74" i="5" s="1"/>
  <c r="DF109" i="5"/>
  <c r="DF45" i="5" s="1"/>
  <c r="DE109" i="5"/>
  <c r="DE45" i="5" s="1"/>
  <c r="K28" i="2"/>
  <c r="L28" i="2" s="1"/>
  <c r="EC111" i="5"/>
  <c r="EC47" i="5" s="1"/>
  <c r="DF113" i="5"/>
  <c r="DF49" i="5" s="1"/>
  <c r="DK113" i="5"/>
  <c r="DK49" i="5" s="1"/>
  <c r="DM113" i="5"/>
  <c r="DM49" i="5" s="1"/>
  <c r="DN49" i="5" s="1"/>
  <c r="J95" i="2" s="1"/>
  <c r="EJ6" i="5"/>
  <c r="EJ108" i="5" s="1"/>
  <c r="DF7" i="5"/>
  <c r="DF11" i="5" s="1"/>
  <c r="DF74" i="5" s="1"/>
  <c r="CO13" i="5"/>
  <c r="CO15" i="5" s="1"/>
  <c r="CO74" i="5"/>
  <c r="EM6" i="5"/>
  <c r="EM108" i="5" s="1"/>
  <c r="EM32" i="5" s="1"/>
  <c r="EN32" i="5" s="1"/>
  <c r="EE6" i="5"/>
  <c r="EE108" i="5" s="1"/>
  <c r="DO6" i="5"/>
  <c r="DO108" i="5" s="1"/>
  <c r="AF82" i="1"/>
  <c r="AF83" i="1" s="1"/>
  <c r="EH8" i="5"/>
  <c r="EH14" i="5"/>
  <c r="EH77" i="5" s="1"/>
  <c r="EH111" i="5"/>
  <c r="EH47" i="5" s="1"/>
  <c r="EH10" i="5"/>
  <c r="DY111" i="5"/>
  <c r="DY47" i="5" s="1"/>
  <c r="Z127" i="5"/>
  <c r="Z78" i="5"/>
  <c r="AA75" i="5"/>
  <c r="B121" i="2" s="1"/>
  <c r="B164" i="2" s="1"/>
  <c r="AF60" i="1"/>
  <c r="K131" i="2"/>
  <c r="Y127" i="5"/>
  <c r="Y78" i="5"/>
  <c r="AO2" i="1"/>
  <c r="AN67" i="1"/>
  <c r="AN29" i="1"/>
  <c r="EH6" i="5"/>
  <c r="EH108" i="5" s="1"/>
  <c r="BK55" i="4"/>
  <c r="K75" i="5" s="1"/>
  <c r="BL54" i="4"/>
  <c r="J127" i="5"/>
  <c r="J78" i="5"/>
  <c r="J81" i="5"/>
  <c r="J82" i="5" s="1"/>
  <c r="J92" i="5" s="1"/>
  <c r="J94" i="5" s="1"/>
  <c r="X81" i="5"/>
  <c r="X82" i="5" s="1"/>
  <c r="X128" i="5"/>
  <c r="X129" i="5" s="1"/>
  <c r="Y126" i="5"/>
  <c r="Y35" i="5"/>
  <c r="EM53" i="5"/>
  <c r="EM12" i="5"/>
  <c r="EM86" i="5" s="1"/>
  <c r="X39" i="5"/>
  <c r="L55" i="4"/>
  <c r="M54" i="4"/>
  <c r="M55" i="4" s="1"/>
  <c r="AZ75" i="5"/>
  <c r="DB55" i="4"/>
  <c r="DC55" i="4" s="1"/>
  <c r="DD55" i="4" s="1"/>
  <c r="DE55" i="4" s="1"/>
  <c r="DF55" i="4" s="1"/>
  <c r="DG55" i="4" s="1"/>
  <c r="DH55" i="4" s="1"/>
  <c r="DI55" i="4" s="1"/>
  <c r="DJ55" i="4" s="1"/>
  <c r="DK55" i="4" s="1"/>
  <c r="DL55" i="4" s="1"/>
  <c r="DM55" i="4" s="1"/>
  <c r="AY127" i="5"/>
  <c r="AY129" i="5" s="1"/>
  <c r="AY81" i="5"/>
  <c r="AY78" i="5"/>
  <c r="K133" i="2"/>
  <c r="W40" i="5"/>
  <c r="ED53" i="5"/>
  <c r="ED12" i="5"/>
  <c r="ED86" i="5" s="1"/>
  <c r="M79" i="5"/>
  <c r="M128" i="5"/>
  <c r="N128" i="5" s="1"/>
  <c r="AK79" i="5"/>
  <c r="AK128" i="5"/>
  <c r="AK129" i="5" s="1"/>
  <c r="AL126" i="5"/>
  <c r="AL35" i="5"/>
  <c r="AK39" i="5"/>
  <c r="AK40" i="5" s="1"/>
  <c r="AL79" i="5"/>
  <c r="W92" i="5"/>
  <c r="W94" i="5" s="1"/>
  <c r="AX55" i="4"/>
  <c r="AY54" i="4"/>
  <c r="CL55" i="4"/>
  <c r="AL75" i="5" s="1"/>
  <c r="AL127" i="5" s="1"/>
  <c r="CM54" i="4"/>
  <c r="CM55" i="4" s="1"/>
  <c r="AM75" i="5" s="1"/>
  <c r="K10" i="2"/>
  <c r="DT9" i="5"/>
  <c r="DZ9" i="5"/>
  <c r="DQ9" i="5"/>
  <c r="DY9" i="5"/>
  <c r="DO9" i="5"/>
  <c r="DU9" i="5"/>
  <c r="DW9" i="5"/>
  <c r="DR9" i="5"/>
  <c r="DP9" i="5"/>
  <c r="DV9" i="5"/>
  <c r="DX9" i="5"/>
  <c r="DS9" i="5"/>
  <c r="DA77" i="5"/>
  <c r="I123" i="2" s="1"/>
  <c r="DA14" i="5"/>
  <c r="I65" i="2" s="1"/>
  <c r="DK11" i="5"/>
  <c r="DK74" i="5" s="1"/>
  <c r="L8" i="2"/>
  <c r="CN74" i="5"/>
  <c r="H120" i="2" s="1"/>
  <c r="I60" i="2"/>
  <c r="CN7" i="5"/>
  <c r="H58" i="2" s="1"/>
  <c r="CN11" i="5"/>
  <c r="H62" i="2" s="1"/>
  <c r="DA10" i="5"/>
  <c r="I61" i="2" s="1"/>
  <c r="CH52" i="5"/>
  <c r="CG84" i="5"/>
  <c r="DN9" i="5"/>
  <c r="J60" i="2" s="1"/>
  <c r="EG75" i="5"/>
  <c r="EG127" i="5" s="1"/>
  <c r="DI6" i="5"/>
  <c r="DI109" i="5" s="1"/>
  <c r="DI45" i="5" s="1"/>
  <c r="DI10" i="5"/>
  <c r="DN10" i="5" s="1"/>
  <c r="J61" i="2" s="1"/>
  <c r="DI14" i="5"/>
  <c r="DI77" i="5" s="1"/>
  <c r="DN77" i="5" s="1"/>
  <c r="J123" i="2" s="1"/>
  <c r="DN5" i="5"/>
  <c r="J56" i="2" s="1"/>
  <c r="DI75" i="5"/>
  <c r="DI127" i="5" s="1"/>
  <c r="DA6" i="5"/>
  <c r="I57" i="2" s="1"/>
  <c r="DG110" i="5"/>
  <c r="DG46" i="5" s="1"/>
  <c r="EE38" i="5"/>
  <c r="CV11" i="5"/>
  <c r="CV74" i="5" s="1"/>
  <c r="DA106" i="5"/>
  <c r="EK47" i="5"/>
  <c r="DA110" i="5"/>
  <c r="EJ47" i="5"/>
  <c r="DA107" i="5"/>
  <c r="DB108" i="5"/>
  <c r="DB32" i="5" s="1"/>
  <c r="DH7" i="5"/>
  <c r="DH11" i="5" s="1"/>
  <c r="DH74" i="5" s="1"/>
  <c r="DH108" i="5"/>
  <c r="DH32" i="5" s="1"/>
  <c r="DC7" i="5"/>
  <c r="DC11" i="5" s="1"/>
  <c r="DC74" i="5" s="1"/>
  <c r="DC108" i="5"/>
  <c r="DC32" i="5" s="1"/>
  <c r="DQ106" i="5"/>
  <c r="DQ30" i="5" s="1"/>
  <c r="DQ111" i="5"/>
  <c r="DL109" i="5"/>
  <c r="DL45" i="5" s="1"/>
  <c r="DB113" i="5"/>
  <c r="DB49" i="5" s="1"/>
  <c r="DG7" i="5"/>
  <c r="DG11" i="5" s="1"/>
  <c r="DG74" i="5" s="1"/>
  <c r="DG108" i="5"/>
  <c r="DG32" i="5" s="1"/>
  <c r="DD7" i="5"/>
  <c r="DD11" i="5" s="1"/>
  <c r="DD74" i="5" s="1"/>
  <c r="DD108" i="5"/>
  <c r="DD32" i="5" s="1"/>
  <c r="DH109" i="5"/>
  <c r="DH45" i="5" s="1"/>
  <c r="DJ113" i="5"/>
  <c r="DJ49" i="5" s="1"/>
  <c r="DI110" i="5"/>
  <c r="DI46" i="5" s="1"/>
  <c r="DM7" i="5"/>
  <c r="DM11" i="5" s="1"/>
  <c r="DM74" i="5" s="1"/>
  <c r="DM108" i="5"/>
  <c r="DM32" i="5" s="1"/>
  <c r="DN32" i="5" s="1"/>
  <c r="J78" i="2" s="1"/>
  <c r="DM109" i="5"/>
  <c r="DM45" i="5" s="1"/>
  <c r="DN45" i="5" s="1"/>
  <c r="J91" i="2" s="1"/>
  <c r="DC113" i="5"/>
  <c r="DC49" i="5" s="1"/>
  <c r="DB109" i="5"/>
  <c r="DB45" i="5" s="1"/>
  <c r="DG106" i="5"/>
  <c r="DG30" i="5" s="1"/>
  <c r="DG111" i="5"/>
  <c r="DG47" i="5" s="1"/>
  <c r="DG113" i="5"/>
  <c r="DG49" i="5" s="1"/>
  <c r="DD113" i="5"/>
  <c r="DD49" i="5" s="1"/>
  <c r="CV108" i="5"/>
  <c r="CV32" i="5" s="1"/>
  <c r="CV113" i="5"/>
  <c r="CV49" i="5" s="1"/>
  <c r="CV109" i="5"/>
  <c r="CV45" i="5" s="1"/>
  <c r="DJ7" i="5"/>
  <c r="DJ11" i="5" s="1"/>
  <c r="DJ74" i="5" s="1"/>
  <c r="DJ108" i="5"/>
  <c r="DJ32" i="5" s="1"/>
  <c r="DI8" i="5"/>
  <c r="DN8" i="5" s="1"/>
  <c r="J59" i="2" s="1"/>
  <c r="DI106" i="5"/>
  <c r="DI30" i="5" s="1"/>
  <c r="DI111" i="5"/>
  <c r="DI47" i="5" s="1"/>
  <c r="DC109" i="5"/>
  <c r="DC45" i="5" s="1"/>
  <c r="DL113" i="5"/>
  <c r="DL49" i="5" s="1"/>
  <c r="DH113" i="5"/>
  <c r="DH49" i="5" s="1"/>
  <c r="I56" i="2"/>
  <c r="CT7" i="5"/>
  <c r="CT11" i="5" s="1"/>
  <c r="CT74" i="5" s="1"/>
  <c r="CT108" i="5"/>
  <c r="CT32" i="5" s="1"/>
  <c r="CT109" i="5"/>
  <c r="CT45" i="5" s="1"/>
  <c r="CT113" i="5"/>
  <c r="CT49" i="5" s="1"/>
  <c r="EE47" i="5"/>
  <c r="EM47" i="5"/>
  <c r="EN47" i="5" s="1"/>
  <c r="L24" i="2"/>
  <c r="L25" i="2"/>
  <c r="DX110" i="5"/>
  <c r="DX46" i="5" s="1"/>
  <c r="DW110" i="5"/>
  <c r="DW46" i="5" s="1"/>
  <c r="DU110" i="5"/>
  <c r="DU46" i="5" s="1"/>
  <c r="DO110" i="5"/>
  <c r="DO46" i="5" s="1"/>
  <c r="DS110" i="5"/>
  <c r="DS46" i="5" s="1"/>
  <c r="DZ110" i="5"/>
  <c r="DZ46" i="5" s="1"/>
  <c r="EA46" i="5" s="1"/>
  <c r="K92" i="2" s="1"/>
  <c r="DR110" i="5"/>
  <c r="DR46" i="5" s="1"/>
  <c r="DP110" i="5"/>
  <c r="DP46" i="5" s="1"/>
  <c r="DY110" i="5"/>
  <c r="DY46" i="5" s="1"/>
  <c r="DQ110" i="5"/>
  <c r="DQ46" i="5" s="1"/>
  <c r="L22" i="2"/>
  <c r="DZ107" i="5"/>
  <c r="DZ31" i="5" s="1"/>
  <c r="EA31" i="5" s="1"/>
  <c r="K77" i="2" s="1"/>
  <c r="DR107" i="5"/>
  <c r="DR31" i="5" s="1"/>
  <c r="DY107" i="5"/>
  <c r="DY31" i="5" s="1"/>
  <c r="DQ107" i="5"/>
  <c r="DQ31" i="5" s="1"/>
  <c r="DS107" i="5"/>
  <c r="DS31" i="5" s="1"/>
  <c r="DX107" i="5"/>
  <c r="DX31" i="5" s="1"/>
  <c r="DP107" i="5"/>
  <c r="DP31" i="5" s="1"/>
  <c r="DW107" i="5"/>
  <c r="DW31" i="5" s="1"/>
  <c r="DO107" i="5"/>
  <c r="DO31" i="5" s="1"/>
  <c r="DU107" i="5"/>
  <c r="DU31" i="5" s="1"/>
  <c r="DK31" i="5"/>
  <c r="EK7" i="5"/>
  <c r="EC7" i="5"/>
  <c r="EC32" i="5" s="1"/>
  <c r="AJ57" i="5"/>
  <c r="AJ63" i="5" s="1"/>
  <c r="AJ64" i="5" s="1"/>
  <c r="ED102" i="5"/>
  <c r="ED70" i="5"/>
  <c r="ED122" i="5"/>
  <c r="EG2" i="5"/>
  <c r="EG5" i="5" s="1"/>
  <c r="ED23" i="5"/>
  <c r="DV107" i="5"/>
  <c r="DV31" i="5" s="1"/>
  <c r="EF23" i="5"/>
  <c r="EI2" i="5"/>
  <c r="EI5" i="5" s="1"/>
  <c r="EF102" i="5"/>
  <c r="EF70" i="5"/>
  <c r="EF122" i="5"/>
  <c r="L40" i="5"/>
  <c r="DT14" i="5"/>
  <c r="DT77" i="5" s="1"/>
  <c r="ED10" i="5"/>
  <c r="AM30" i="5"/>
  <c r="AL106" i="5"/>
  <c r="AM47" i="5"/>
  <c r="AL111" i="5"/>
  <c r="K56" i="5"/>
  <c r="K57" i="5" s="1"/>
  <c r="K63" i="5" s="1"/>
  <c r="K64" i="5" s="1"/>
  <c r="L53" i="5"/>
  <c r="L84" i="5" s="1"/>
  <c r="L90" i="5" s="1"/>
  <c r="L54" i="5"/>
  <c r="K80" i="5"/>
  <c r="AM54" i="5"/>
  <c r="AL80" i="5"/>
  <c r="EM102" i="5"/>
  <c r="EM70" i="5"/>
  <c r="EM122" i="5"/>
  <c r="EM23" i="5"/>
  <c r="Z36" i="5"/>
  <c r="Y39" i="5"/>
  <c r="AN109" i="5"/>
  <c r="C91" i="2"/>
  <c r="C24" i="2" s="1"/>
  <c r="C171" i="2" s="1"/>
  <c r="AM53" i="5"/>
  <c r="AM84" i="5" s="1"/>
  <c r="AL56" i="5"/>
  <c r="X84" i="5"/>
  <c r="X90" i="5" s="1"/>
  <c r="X50" i="5"/>
  <c r="X57" i="5" s="1"/>
  <c r="X63" i="5" s="1"/>
  <c r="Y44" i="5"/>
  <c r="AL84" i="5"/>
  <c r="AL90" i="5" s="1"/>
  <c r="L50" i="5"/>
  <c r="M44" i="5"/>
  <c r="W64" i="5"/>
  <c r="AN44" i="5"/>
  <c r="AM31" i="5"/>
  <c r="AL107" i="5"/>
  <c r="AL33" i="5"/>
  <c r="Z56" i="5"/>
  <c r="AA52" i="5"/>
  <c r="B98" i="2" s="1"/>
  <c r="Y29" i="5"/>
  <c r="X33" i="5"/>
  <c r="X40" i="5" s="1"/>
  <c r="AN113" i="5"/>
  <c r="C95" i="2"/>
  <c r="C28" i="2" s="1"/>
  <c r="C175" i="2" s="1"/>
  <c r="N30" i="5"/>
  <c r="N106" i="5" s="1"/>
  <c r="M33" i="5"/>
  <c r="N33" i="5" s="1"/>
  <c r="AA54" i="5"/>
  <c r="Z80" i="5"/>
  <c r="AA80" i="5" s="1"/>
  <c r="B126" i="2" s="1"/>
  <c r="N35" i="5"/>
  <c r="M39" i="5"/>
  <c r="AL48" i="5"/>
  <c r="AK112" i="5"/>
  <c r="AK114" i="5" s="1"/>
  <c r="AK115" i="5" s="1"/>
  <c r="AK76" i="5" s="1"/>
  <c r="AK78" i="5" s="1"/>
  <c r="AK50" i="5"/>
  <c r="AJ115" i="5"/>
  <c r="Y79" i="5"/>
  <c r="AH78" i="5"/>
  <c r="AM110" i="5"/>
  <c r="AN46" i="5"/>
  <c r="BF63" i="5"/>
  <c r="BF64" i="5" s="1"/>
  <c r="BD63" i="5"/>
  <c r="BD64" i="5" s="1"/>
  <c r="BE88" i="5"/>
  <c r="BE90" i="5" s="1"/>
  <c r="BE92" i="5" s="1"/>
  <c r="BE94" i="5" s="1"/>
  <c r="BE95" i="5" s="1"/>
  <c r="BD88" i="5"/>
  <c r="BD90" i="5" s="1"/>
  <c r="BD92" i="5" s="1"/>
  <c r="BD94" i="5" s="1"/>
  <c r="BD95" i="5" s="1"/>
  <c r="BF88" i="5"/>
  <c r="BF90" i="5" s="1"/>
  <c r="BF92" i="5" s="1"/>
  <c r="BF94" i="5" s="1"/>
  <c r="BF95" i="5" s="1"/>
  <c r="EF8" i="5"/>
  <c r="EK32" i="5"/>
  <c r="D159" i="2"/>
  <c r="EF10" i="5"/>
  <c r="EF30" i="5"/>
  <c r="EM30" i="5"/>
  <c r="EN30" i="5" s="1"/>
  <c r="L76" i="2" s="1"/>
  <c r="EJ30" i="5"/>
  <c r="EF6" i="5"/>
  <c r="EF108" i="5" s="1"/>
  <c r="EB8" i="5"/>
  <c r="EB14" i="5"/>
  <c r="EB77" i="5" s="1"/>
  <c r="EB6" i="5"/>
  <c r="EB108" i="5" s="1"/>
  <c r="EB10" i="5"/>
  <c r="EF14" i="5"/>
  <c r="EF77" i="5" s="1"/>
  <c r="D109" i="2"/>
  <c r="D110" i="2" s="1"/>
  <c r="BA64" i="5"/>
  <c r="AI55" i="1"/>
  <c r="AJ58" i="1"/>
  <c r="BG61" i="5" s="1"/>
  <c r="BG62" i="5" s="1"/>
  <c r="DF52" i="4"/>
  <c r="AH59" i="1"/>
  <c r="AH84" i="1"/>
  <c r="AH90" i="1"/>
  <c r="AG60" i="1"/>
  <c r="AG85" i="1"/>
  <c r="AG82" i="1"/>
  <c r="AG83" i="1" s="1"/>
  <c r="BU55" i="5"/>
  <c r="DX14" i="5"/>
  <c r="DX77" i="5" s="1"/>
  <c r="DV6" i="5"/>
  <c r="DV108" i="5" s="1"/>
  <c r="DY8" i="5"/>
  <c r="DY14" i="5"/>
  <c r="DY77" i="5" s="1"/>
  <c r="DY6" i="5"/>
  <c r="DU6" i="5"/>
  <c r="DU108" i="5" s="1"/>
  <c r="DX6" i="5"/>
  <c r="DX8" i="5"/>
  <c r="DX30" i="5"/>
  <c r="DB7" i="5"/>
  <c r="DB11" i="5" s="1"/>
  <c r="DB74" i="5" s="1"/>
  <c r="DY10" i="5"/>
  <c r="DG45" i="5"/>
  <c r="DU30" i="5"/>
  <c r="DQ10" i="5"/>
  <c r="DQ6" i="5"/>
  <c r="DQ108" i="5" s="1"/>
  <c r="DQ14" i="5"/>
  <c r="DQ77" i="5" s="1"/>
  <c r="DQ8" i="5"/>
  <c r="DD45" i="5"/>
  <c r="DU8" i="5"/>
  <c r="DR6" i="5"/>
  <c r="DR10" i="5"/>
  <c r="DP6" i="5"/>
  <c r="DZ30" i="5"/>
  <c r="EA30" i="5" s="1"/>
  <c r="K76" i="2" s="1"/>
  <c r="DZ6" i="5"/>
  <c r="DS6" i="5"/>
  <c r="DS108" i="5" s="1"/>
  <c r="DZ47" i="5"/>
  <c r="EA47" i="5" s="1"/>
  <c r="K93" i="2" s="1"/>
  <c r="DS14" i="5"/>
  <c r="DS77" i="5" s="1"/>
  <c r="DZ10" i="5"/>
  <c r="DR8" i="5"/>
  <c r="DS8" i="5"/>
  <c r="DZ8" i="5"/>
  <c r="DR14" i="5"/>
  <c r="DR77" i="5" s="1"/>
  <c r="DP8" i="5"/>
  <c r="DW47" i="5"/>
  <c r="DP30" i="5"/>
  <c r="DW30" i="5"/>
  <c r="DP10" i="5"/>
  <c r="DW14" i="5"/>
  <c r="DW77" i="5" s="1"/>
  <c r="DW6" i="5"/>
  <c r="DW113" i="5" s="1"/>
  <c r="DW8" i="5"/>
  <c r="DV14" i="5"/>
  <c r="DV77" i="5" s="1"/>
  <c r="DX10" i="5"/>
  <c r="DS10" i="5"/>
  <c r="DU47" i="5"/>
  <c r="DS30" i="5"/>
  <c r="DU14" i="5"/>
  <c r="DU77" i="5" s="1"/>
  <c r="DL32" i="5"/>
  <c r="DL7" i="5"/>
  <c r="DL11" i="5" s="1"/>
  <c r="DL74" i="5" s="1"/>
  <c r="DN107" i="5"/>
  <c r="DJ45" i="5"/>
  <c r="DH75" i="5"/>
  <c r="DH127" i="5" s="1"/>
  <c r="CB54" i="5"/>
  <c r="G100" i="2"/>
  <c r="BX36" i="5"/>
  <c r="BX79" i="5" s="1"/>
  <c r="DO30" i="5"/>
  <c r="DO77" i="5"/>
  <c r="CJ75" i="5"/>
  <c r="DY55" i="4"/>
  <c r="EF47" i="5" l="1"/>
  <c r="AY82" i="5"/>
  <c r="AY92" i="5" s="1"/>
  <c r="AY94" i="5" s="1"/>
  <c r="AY95" i="5" s="1"/>
  <c r="AA78" i="5"/>
  <c r="B124" i="2" s="1"/>
  <c r="EJ7" i="5"/>
  <c r="DX113" i="5"/>
  <c r="DX49" i="5" s="1"/>
  <c r="DP113" i="5"/>
  <c r="DP49" i="5" s="1"/>
  <c r="DR113" i="5"/>
  <c r="DR49" i="5" s="1"/>
  <c r="DO109" i="5"/>
  <c r="DO45" i="5" s="1"/>
  <c r="EJ32" i="5"/>
  <c r="EE7" i="5"/>
  <c r="EM7" i="5"/>
  <c r="DO113" i="5"/>
  <c r="DO49" i="5" s="1"/>
  <c r="EE32" i="5"/>
  <c r="DO7" i="5"/>
  <c r="DO11" i="5" s="1"/>
  <c r="EH7" i="5"/>
  <c r="Z126" i="5"/>
  <c r="Y128" i="5"/>
  <c r="Y129" i="5" s="1"/>
  <c r="Z35" i="5"/>
  <c r="Y81" i="5"/>
  <c r="Y82" i="5" s="1"/>
  <c r="L78" i="2"/>
  <c r="AK82" i="5"/>
  <c r="AK92" i="5" s="1"/>
  <c r="AK94" i="5" s="1"/>
  <c r="O126" i="5"/>
  <c r="O129" i="5" s="1"/>
  <c r="AA126" i="5"/>
  <c r="G159" i="2"/>
  <c r="X92" i="5"/>
  <c r="X94" i="5" s="1"/>
  <c r="K127" i="5"/>
  <c r="K129" i="5" s="1"/>
  <c r="K78" i="5"/>
  <c r="K81" i="5"/>
  <c r="E159" i="2"/>
  <c r="F160" i="2" s="1"/>
  <c r="J129" i="5"/>
  <c r="BM54" i="4"/>
  <c r="BM55" i="4" s="1"/>
  <c r="M75" i="5" s="1"/>
  <c r="BL55" i="4"/>
  <c r="L75" i="5" s="1"/>
  <c r="AM127" i="5"/>
  <c r="AN127" i="5" s="1"/>
  <c r="AN75" i="5"/>
  <c r="C121" i="2" s="1"/>
  <c r="C164" i="2" s="1"/>
  <c r="L93" i="2"/>
  <c r="AY55" i="4"/>
  <c r="AZ54" i="4"/>
  <c r="AZ55" i="4" s="1"/>
  <c r="C159" i="2"/>
  <c r="D160" i="2" s="1"/>
  <c r="AP2" i="1"/>
  <c r="AO67" i="1"/>
  <c r="AO29" i="1"/>
  <c r="AZ127" i="5"/>
  <c r="AZ81" i="5"/>
  <c r="BA75" i="5"/>
  <c r="D121" i="2" s="1"/>
  <c r="AZ78" i="5"/>
  <c r="Z79" i="5"/>
  <c r="AA79" i="5" s="1"/>
  <c r="B125" i="2" s="1"/>
  <c r="B159" i="2"/>
  <c r="AL81" i="5"/>
  <c r="AL128" i="5"/>
  <c r="AL129" i="5" s="1"/>
  <c r="AM126" i="5"/>
  <c r="AM35" i="5"/>
  <c r="AL39" i="5"/>
  <c r="AL40" i="5" s="1"/>
  <c r="AM79" i="5"/>
  <c r="AA127" i="5"/>
  <c r="EL9" i="5"/>
  <c r="EM9" i="5"/>
  <c r="EG9" i="5"/>
  <c r="EI9" i="5"/>
  <c r="EH9" i="5"/>
  <c r="EH11" i="5" s="1"/>
  <c r="EH74" i="5" s="1"/>
  <c r="EC9" i="5"/>
  <c r="EC11" i="5" s="1"/>
  <c r="EC74" i="5" s="1"/>
  <c r="ED9" i="5"/>
  <c r="EB9" i="5"/>
  <c r="EF9" i="5"/>
  <c r="EE9" i="5"/>
  <c r="EE11" i="5" s="1"/>
  <c r="EE74" i="5" s="1"/>
  <c r="EJ9" i="5"/>
  <c r="EK9" i="5"/>
  <c r="EK11" i="5" s="1"/>
  <c r="EK74" i="5" s="1"/>
  <c r="DN14" i="5"/>
  <c r="J65" i="2" s="1"/>
  <c r="DV10" i="5"/>
  <c r="DN6" i="5"/>
  <c r="J57" i="2" s="1"/>
  <c r="DA74" i="5"/>
  <c r="I120" i="2" s="1"/>
  <c r="DI108" i="5"/>
  <c r="DI32" i="5" s="1"/>
  <c r="L10" i="2"/>
  <c r="DA7" i="5"/>
  <c r="I58" i="2" s="1"/>
  <c r="DT10" i="5"/>
  <c r="EA5" i="5"/>
  <c r="K56" i="2" s="1"/>
  <c r="DT8" i="5"/>
  <c r="CW75" i="5"/>
  <c r="CW127" i="5" s="1"/>
  <c r="CJ127" i="5"/>
  <c r="DI7" i="5"/>
  <c r="DI11" i="5" s="1"/>
  <c r="DI74" i="5" s="1"/>
  <c r="DN74" i="5" s="1"/>
  <c r="J120" i="2" s="1"/>
  <c r="DI113" i="5"/>
  <c r="DI49" i="5" s="1"/>
  <c r="DV75" i="5"/>
  <c r="DV127" i="5" s="1"/>
  <c r="CI52" i="5"/>
  <c r="CH84" i="5"/>
  <c r="DA11" i="5"/>
  <c r="I62" i="2" s="1"/>
  <c r="DV110" i="5"/>
  <c r="DV46" i="5" s="1"/>
  <c r="DN110" i="5"/>
  <c r="EF38" i="5"/>
  <c r="DA108" i="5"/>
  <c r="DN106" i="5"/>
  <c r="DA113" i="5"/>
  <c r="DA109" i="5"/>
  <c r="EL106" i="5"/>
  <c r="EL111" i="5"/>
  <c r="DW109" i="5"/>
  <c r="DW45" i="5" s="1"/>
  <c r="DP109" i="5"/>
  <c r="DP45" i="5" s="1"/>
  <c r="DZ108" i="5"/>
  <c r="DZ32" i="5" s="1"/>
  <c r="EA32" i="5" s="1"/>
  <c r="K78" i="2" s="1"/>
  <c r="DX109" i="5"/>
  <c r="DX45" i="5" s="1"/>
  <c r="ED106" i="5"/>
  <c r="ED30" i="5" s="1"/>
  <c r="ED111" i="5"/>
  <c r="ED47" i="5" s="1"/>
  <c r="DV8" i="5"/>
  <c r="DV106" i="5"/>
  <c r="DV30" i="5" s="1"/>
  <c r="DV111" i="5"/>
  <c r="DV47" i="5" s="1"/>
  <c r="DQ109" i="5"/>
  <c r="DQ45" i="5" s="1"/>
  <c r="DY7" i="5"/>
  <c r="DY11" i="5" s="1"/>
  <c r="DY74" i="5" s="1"/>
  <c r="DY108" i="5"/>
  <c r="DY32" i="5" s="1"/>
  <c r="DT6" i="5"/>
  <c r="EA6" i="5" s="1"/>
  <c r="K57" i="2" s="1"/>
  <c r="DT106" i="5"/>
  <c r="DT30" i="5" s="1"/>
  <c r="DT111" i="5"/>
  <c r="DT47" i="5" s="1"/>
  <c r="DU113" i="5"/>
  <c r="DU49" i="5" s="1"/>
  <c r="DQ113" i="5"/>
  <c r="DQ49" i="5" s="1"/>
  <c r="DU109" i="5"/>
  <c r="DU45" i="5" s="1"/>
  <c r="DY109" i="5"/>
  <c r="DY45" i="5" s="1"/>
  <c r="DS113" i="5"/>
  <c r="DS49" i="5" s="1"/>
  <c r="DY113" i="5"/>
  <c r="DY49" i="5" s="1"/>
  <c r="DT107" i="5"/>
  <c r="DT31" i="5" s="1"/>
  <c r="DT110" i="5"/>
  <c r="DT46" i="5" s="1"/>
  <c r="DS109" i="5"/>
  <c r="DS45" i="5" s="1"/>
  <c r="DR109" i="5"/>
  <c r="DR45" i="5" s="1"/>
  <c r="DP7" i="5"/>
  <c r="DP11" i="5" s="1"/>
  <c r="DP74" i="5" s="1"/>
  <c r="DP108" i="5"/>
  <c r="DP32" i="5" s="1"/>
  <c r="DX108" i="5"/>
  <c r="DX32" i="5" s="1"/>
  <c r="DW7" i="5"/>
  <c r="DW11" i="5" s="1"/>
  <c r="DW74" i="5" s="1"/>
  <c r="DW108" i="5"/>
  <c r="DW32" i="5" s="1"/>
  <c r="DV113" i="5"/>
  <c r="DV49" i="5" s="1"/>
  <c r="DV109" i="5"/>
  <c r="DV45" i="5" s="1"/>
  <c r="DZ109" i="5"/>
  <c r="DZ45" i="5" s="1"/>
  <c r="EA45" i="5" s="1"/>
  <c r="K91" i="2" s="1"/>
  <c r="DR7" i="5"/>
  <c r="DR11" i="5" s="1"/>
  <c r="DR74" i="5" s="1"/>
  <c r="DR108" i="5"/>
  <c r="DR32" i="5" s="1"/>
  <c r="DZ113" i="5"/>
  <c r="DZ49" i="5" s="1"/>
  <c r="EA49" i="5" s="1"/>
  <c r="K95" i="2" s="1"/>
  <c r="EF109" i="5"/>
  <c r="EH109" i="5"/>
  <c r="EH45" i="5" s="1"/>
  <c r="EM109" i="5"/>
  <c r="EM45" i="5" s="1"/>
  <c r="EN45" i="5" s="1"/>
  <c r="L91" i="2" s="1"/>
  <c r="EJ109" i="5"/>
  <c r="EJ45" i="5" s="1"/>
  <c r="EK109" i="5"/>
  <c r="EK45" i="5" s="1"/>
  <c r="EE109" i="5"/>
  <c r="EE45" i="5" s="1"/>
  <c r="EF113" i="5"/>
  <c r="EH113" i="5"/>
  <c r="EJ113" i="5"/>
  <c r="EK113" i="5"/>
  <c r="EM113" i="5"/>
  <c r="EE113" i="5"/>
  <c r="EJ107" i="5"/>
  <c r="EJ31" i="5" s="1"/>
  <c r="EK107" i="5"/>
  <c r="ED107" i="5"/>
  <c r="EL107" i="5"/>
  <c r="EE107" i="5"/>
  <c r="EM107" i="5"/>
  <c r="EF107" i="5"/>
  <c r="EF31" i="5" s="1"/>
  <c r="EH107" i="5"/>
  <c r="ED110" i="5"/>
  <c r="EL110" i="5"/>
  <c r="EK110" i="5"/>
  <c r="EK46" i="5" s="1"/>
  <c r="EE110" i="5"/>
  <c r="EE46" i="5" s="1"/>
  <c r="EM110" i="5"/>
  <c r="EM46" i="5" s="1"/>
  <c r="EN46" i="5" s="1"/>
  <c r="L92" i="2" s="1"/>
  <c r="EF110" i="5"/>
  <c r="EF46" i="5" s="1"/>
  <c r="EH110" i="5"/>
  <c r="EH46" i="5" s="1"/>
  <c r="EJ110" i="5"/>
  <c r="EJ46" i="5" s="1"/>
  <c r="EB113" i="5"/>
  <c r="EC113" i="5"/>
  <c r="EB110" i="5"/>
  <c r="EB46" i="5" s="1"/>
  <c r="EC110" i="5"/>
  <c r="EC46" i="5" s="1"/>
  <c r="EB109" i="5"/>
  <c r="EC109" i="5"/>
  <c r="EC45" i="5" s="1"/>
  <c r="EB107" i="5"/>
  <c r="EB31" i="5" s="1"/>
  <c r="EC107" i="5"/>
  <c r="EB7" i="5"/>
  <c r="EH32" i="5"/>
  <c r="EF7" i="5"/>
  <c r="EF32" i="5" s="1"/>
  <c r="ED14" i="5"/>
  <c r="ED77" i="5" s="1"/>
  <c r="ED8" i="5"/>
  <c r="ED6" i="5"/>
  <c r="ED108" i="5" s="1"/>
  <c r="EG107" i="5"/>
  <c r="AN47" i="5"/>
  <c r="AM111" i="5"/>
  <c r="AN54" i="5"/>
  <c r="AM80" i="5"/>
  <c r="AM106" i="5"/>
  <c r="AN30" i="5"/>
  <c r="M54" i="5"/>
  <c r="L80" i="5"/>
  <c r="M53" i="5"/>
  <c r="M84" i="5" s="1"/>
  <c r="M90" i="5" s="1"/>
  <c r="L56" i="5"/>
  <c r="L57" i="5" s="1"/>
  <c r="L63" i="5" s="1"/>
  <c r="L64" i="5" s="1"/>
  <c r="Z29" i="5"/>
  <c r="Y33" i="5"/>
  <c r="Y40" i="5" s="1"/>
  <c r="X64" i="5"/>
  <c r="AM90" i="5"/>
  <c r="M50" i="5"/>
  <c r="N50" i="5" s="1"/>
  <c r="N44" i="5"/>
  <c r="AJ76" i="5"/>
  <c r="AA56" i="5"/>
  <c r="B102" i="2" s="1"/>
  <c r="C90" i="2"/>
  <c r="B100" i="2"/>
  <c r="B35" i="2" s="1"/>
  <c r="AB80" i="5"/>
  <c r="AH82" i="5"/>
  <c r="AH92" i="5" s="1"/>
  <c r="AH94" i="5" s="1"/>
  <c r="AM48" i="5"/>
  <c r="AL112" i="5"/>
  <c r="AL114" i="5" s="1"/>
  <c r="AL115" i="5" s="1"/>
  <c r="AL76" i="5" s="1"/>
  <c r="AL78" i="5" s="1"/>
  <c r="AL82" i="5" s="1"/>
  <c r="AL92" i="5" s="1"/>
  <c r="AL94" i="5" s="1"/>
  <c r="AL50" i="5"/>
  <c r="AN53" i="5"/>
  <c r="C99" i="2" s="1"/>
  <c r="AM56" i="5"/>
  <c r="AA36" i="5"/>
  <c r="Z39" i="5"/>
  <c r="AK57" i="5"/>
  <c r="AK63" i="5" s="1"/>
  <c r="AK64" i="5" s="1"/>
  <c r="M40" i="5"/>
  <c r="N40" i="5" s="1"/>
  <c r="N39" i="5"/>
  <c r="AN110" i="5"/>
  <c r="C92" i="2"/>
  <c r="C25" i="2" s="1"/>
  <c r="C172" i="2" s="1"/>
  <c r="AN31" i="5"/>
  <c r="AM107" i="5"/>
  <c r="AM33" i="5"/>
  <c r="Z44" i="5"/>
  <c r="Y84" i="5"/>
  <c r="Y90" i="5" s="1"/>
  <c r="Y50" i="5"/>
  <c r="Y57" i="5" s="1"/>
  <c r="Y63" i="5" s="1"/>
  <c r="BG63" i="5"/>
  <c r="BG64" i="5" s="1"/>
  <c r="BG88" i="5"/>
  <c r="BG90" i="5" s="1"/>
  <c r="BG92" i="5" s="1"/>
  <c r="BG94" i="5" s="1"/>
  <c r="BG95" i="5" s="1"/>
  <c r="EL8" i="5"/>
  <c r="EL10" i="5"/>
  <c r="EB30" i="5"/>
  <c r="EB47" i="5"/>
  <c r="EL6" i="5"/>
  <c r="EL108" i="5" s="1"/>
  <c r="EL14" i="5"/>
  <c r="EL77" i="5" s="1"/>
  <c r="AH60" i="1"/>
  <c r="AH85" i="1"/>
  <c r="AH82" i="1"/>
  <c r="AH83" i="1" s="1"/>
  <c r="AJ55" i="1"/>
  <c r="AK58" i="1"/>
  <c r="BH61" i="5" s="1"/>
  <c r="BH62" i="5" s="1"/>
  <c r="DG52" i="4"/>
  <c r="AI59" i="1"/>
  <c r="AI84" i="1"/>
  <c r="AI90" i="1"/>
  <c r="BU80" i="5"/>
  <c r="BV55" i="5"/>
  <c r="DV32" i="5"/>
  <c r="DV7" i="5"/>
  <c r="DX7" i="5"/>
  <c r="DX11" i="5" s="1"/>
  <c r="DX74" i="5" s="1"/>
  <c r="DU7" i="5"/>
  <c r="DU11" i="5" s="1"/>
  <c r="DU74" i="5" s="1"/>
  <c r="DU32" i="5"/>
  <c r="DZ7" i="5"/>
  <c r="DZ11" i="5" s="1"/>
  <c r="DZ74" i="5" s="1"/>
  <c r="DQ32" i="5"/>
  <c r="DQ7" i="5"/>
  <c r="DQ11" i="5" s="1"/>
  <c r="DQ74" i="5" s="1"/>
  <c r="DW49" i="5"/>
  <c r="DS7" i="5"/>
  <c r="DS11" i="5" s="1"/>
  <c r="DS74" i="5" s="1"/>
  <c r="DS32" i="5"/>
  <c r="EA9" i="5"/>
  <c r="K60" i="2" s="1"/>
  <c r="EA14" i="5"/>
  <c r="K65" i="2" s="1"/>
  <c r="EA77" i="5"/>
  <c r="K123" i="2" s="1"/>
  <c r="DN109" i="5"/>
  <c r="DU75" i="5"/>
  <c r="DU127" i="5" s="1"/>
  <c r="CC54" i="5"/>
  <c r="BY36" i="5"/>
  <c r="BY79" i="5" s="1"/>
  <c r="DO32" i="5"/>
  <c r="CK75" i="5"/>
  <c r="DZ55" i="4"/>
  <c r="EJ11" i="5" l="1"/>
  <c r="EJ74" i="5" s="1"/>
  <c r="K82" i="5"/>
  <c r="K92" i="5" s="1"/>
  <c r="K94" i="5" s="1"/>
  <c r="C184" i="2"/>
  <c r="D164" i="2"/>
  <c r="D184" i="2"/>
  <c r="EM11" i="5"/>
  <c r="EM74" i="5" s="1"/>
  <c r="AZ82" i="5"/>
  <c r="AZ92" i="5" s="1"/>
  <c r="AZ94" i="5" s="1"/>
  <c r="AZ95" i="5" s="1"/>
  <c r="G160" i="2"/>
  <c r="E160" i="2"/>
  <c r="C160" i="2"/>
  <c r="M127" i="5"/>
  <c r="M78" i="5"/>
  <c r="M81" i="5"/>
  <c r="AM81" i="5"/>
  <c r="AM128" i="5"/>
  <c r="AN128" i="5" s="1"/>
  <c r="AM39" i="5"/>
  <c r="AN39" i="5" s="1"/>
  <c r="C85" i="2" s="1"/>
  <c r="AN35" i="5"/>
  <c r="N75" i="5"/>
  <c r="AZ129" i="5"/>
  <c r="BA127" i="5"/>
  <c r="Y92" i="5"/>
  <c r="Y94" i="5" s="1"/>
  <c r="AR2" i="1"/>
  <c r="AP67" i="1"/>
  <c r="AP29" i="1"/>
  <c r="L127" i="5"/>
  <c r="L129" i="5" s="1"/>
  <c r="L78" i="5"/>
  <c r="L81" i="5"/>
  <c r="Z81" i="5"/>
  <c r="Z82" i="5" s="1"/>
  <c r="Z128" i="5"/>
  <c r="AA128" i="5" s="1"/>
  <c r="AA129" i="5" s="1"/>
  <c r="AA35" i="5"/>
  <c r="EA10" i="5"/>
  <c r="K61" i="2" s="1"/>
  <c r="EA8" i="5"/>
  <c r="K59" i="2" s="1"/>
  <c r="DN108" i="5"/>
  <c r="DN11" i="5"/>
  <c r="J62" i="2" s="1"/>
  <c r="DN7" i="5"/>
  <c r="J58" i="2" s="1"/>
  <c r="DN113" i="5"/>
  <c r="CJ52" i="5"/>
  <c r="CI84" i="5"/>
  <c r="CK127" i="5"/>
  <c r="CX75" i="5"/>
  <c r="CX127" i="5" s="1"/>
  <c r="EI75" i="5"/>
  <c r="EI127" i="5" s="1"/>
  <c r="EG110" i="5"/>
  <c r="EG38" i="5"/>
  <c r="DV11" i="5"/>
  <c r="DV74" i="5" s="1"/>
  <c r="EA106" i="5"/>
  <c r="EA107" i="5"/>
  <c r="EL47" i="5"/>
  <c r="EA110" i="5"/>
  <c r="EH75" i="5"/>
  <c r="EH127" i="5" s="1"/>
  <c r="EI106" i="5"/>
  <c r="EI30" i="5" s="1"/>
  <c r="EI111" i="5"/>
  <c r="ED109" i="5"/>
  <c r="ED45" i="5" s="1"/>
  <c r="EI110" i="5"/>
  <c r="EI107" i="5"/>
  <c r="DT7" i="5"/>
  <c r="DT11" i="5" s="1"/>
  <c r="DT74" i="5" s="1"/>
  <c r="DT108" i="5"/>
  <c r="DT32" i="5" s="1"/>
  <c r="DT113" i="5"/>
  <c r="DT49" i="5" s="1"/>
  <c r="DT109" i="5"/>
  <c r="DT45" i="5" s="1"/>
  <c r="EI8" i="5"/>
  <c r="EL113" i="5"/>
  <c r="EG106" i="5"/>
  <c r="EG111" i="5"/>
  <c r="ED113" i="5"/>
  <c r="EL109" i="5"/>
  <c r="EL45" i="5" s="1"/>
  <c r="EL46" i="5"/>
  <c r="ED46" i="5"/>
  <c r="EH31" i="5"/>
  <c r="EM31" i="5"/>
  <c r="EN31" i="5" s="1"/>
  <c r="L77" i="2" s="1"/>
  <c r="EK31" i="5"/>
  <c r="EE31" i="5"/>
  <c r="EC31" i="5"/>
  <c r="EB11" i="5"/>
  <c r="EB74" i="5" s="1"/>
  <c r="ED7" i="5"/>
  <c r="ED11" i="5" s="1"/>
  <c r="ED74" i="5" s="1"/>
  <c r="EL7" i="5"/>
  <c r="EL11" i="5" s="1"/>
  <c r="EL74" i="5" s="1"/>
  <c r="EL31" i="5"/>
  <c r="EF11" i="5"/>
  <c r="EF74" i="5" s="1"/>
  <c r="ED32" i="5"/>
  <c r="EG8" i="5"/>
  <c r="EN5" i="5"/>
  <c r="EI10" i="5"/>
  <c r="EI14" i="5"/>
  <c r="EI77" i="5" s="1"/>
  <c r="EI6" i="5"/>
  <c r="EG14" i="5"/>
  <c r="EG77" i="5" s="1"/>
  <c r="EG10" i="5"/>
  <c r="EG6" i="5"/>
  <c r="AN80" i="5"/>
  <c r="C126" i="2" s="1"/>
  <c r="C100" i="2"/>
  <c r="C35" i="2" s="1"/>
  <c r="AO80" i="5"/>
  <c r="BA80" i="5" s="1"/>
  <c r="D126" i="2" s="1"/>
  <c r="Y64" i="5"/>
  <c r="N54" i="5"/>
  <c r="M80" i="5"/>
  <c r="M82" i="5" s="1"/>
  <c r="M92" i="5" s="1"/>
  <c r="M94" i="5" s="1"/>
  <c r="C93" i="2"/>
  <c r="C26" i="2" s="1"/>
  <c r="C173" i="2" s="1"/>
  <c r="AN111" i="5"/>
  <c r="C76" i="2"/>
  <c r="C21" i="2" s="1"/>
  <c r="C168" i="2" s="1"/>
  <c r="AN106" i="5"/>
  <c r="N53" i="5"/>
  <c r="M56" i="5"/>
  <c r="AL57" i="5"/>
  <c r="AL63" i="5" s="1"/>
  <c r="AL64" i="5" s="1"/>
  <c r="AN56" i="5"/>
  <c r="C102" i="2" s="1"/>
  <c r="AN48" i="5"/>
  <c r="AM112" i="5"/>
  <c r="AM114" i="5" s="1"/>
  <c r="AM115" i="5" s="1"/>
  <c r="AM50" i="5"/>
  <c r="AA44" i="5"/>
  <c r="Z84" i="5"/>
  <c r="Z90" i="5" s="1"/>
  <c r="Z50" i="5"/>
  <c r="AJ78" i="5"/>
  <c r="AN33" i="5"/>
  <c r="C79" i="2" s="1"/>
  <c r="AM40" i="5"/>
  <c r="AN40" i="5" s="1"/>
  <c r="C86" i="2" s="1"/>
  <c r="C162" i="2" s="1"/>
  <c r="AN107" i="5"/>
  <c r="C77" i="2"/>
  <c r="C22" i="2" s="1"/>
  <c r="C169" i="2" s="1"/>
  <c r="C182" i="2"/>
  <c r="AA29" i="5"/>
  <c r="B75" i="2" s="1"/>
  <c r="Z33" i="5"/>
  <c r="AA33" i="5" s="1"/>
  <c r="B79" i="2" s="1"/>
  <c r="AA39" i="5"/>
  <c r="B85" i="2" s="1"/>
  <c r="AO84" i="5"/>
  <c r="BA84" i="5" s="1"/>
  <c r="D130" i="2" s="1"/>
  <c r="AB79" i="5"/>
  <c r="B82" i="2"/>
  <c r="B32" i="2" s="1"/>
  <c r="BH63" i="5"/>
  <c r="BH64" i="5" s="1"/>
  <c r="BH88" i="5"/>
  <c r="BH90" i="5" s="1"/>
  <c r="BH92" i="5" s="1"/>
  <c r="BH94" i="5" s="1"/>
  <c r="BH95" i="5" s="1"/>
  <c r="EB32" i="5"/>
  <c r="EB45" i="5"/>
  <c r="EL32" i="5"/>
  <c r="EL30" i="5"/>
  <c r="EF45" i="5"/>
  <c r="AI60" i="1"/>
  <c r="AI85" i="1"/>
  <c r="AI82" i="1"/>
  <c r="AI83" i="1" s="1"/>
  <c r="AK55" i="1"/>
  <c r="AL58" i="1"/>
  <c r="BI61" i="5" s="1"/>
  <c r="BI62" i="5" s="1"/>
  <c r="DH52" i="4"/>
  <c r="AJ59" i="1"/>
  <c r="AJ84" i="1"/>
  <c r="AJ90" i="1"/>
  <c r="BW55" i="5"/>
  <c r="BV80" i="5"/>
  <c r="CA75" i="5"/>
  <c r="G121" i="2" s="1"/>
  <c r="G164" i="2" s="1"/>
  <c r="CD54" i="5"/>
  <c r="BZ36" i="5"/>
  <c r="CA36" i="5" s="1"/>
  <c r="DO74" i="5"/>
  <c r="DJ75" i="5"/>
  <c r="DJ127" i="5" s="1"/>
  <c r="CL75" i="5"/>
  <c r="CM75" i="5"/>
  <c r="CM127" i="5" s="1"/>
  <c r="Z129" i="5" l="1"/>
  <c r="L82" i="5"/>
  <c r="L92" i="5" s="1"/>
  <c r="L94" i="5" s="1"/>
  <c r="Z92" i="5"/>
  <c r="Z94" i="5" s="1"/>
  <c r="AS2" i="1"/>
  <c r="AR67" i="1"/>
  <c r="AR29" i="1"/>
  <c r="AM129" i="5"/>
  <c r="AO126" i="5"/>
  <c r="AO129" i="5" s="1"/>
  <c r="BA126" i="5"/>
  <c r="BA129" i="5" s="1"/>
  <c r="AO81" i="5"/>
  <c r="BA81" i="5" s="1"/>
  <c r="D127" i="2" s="1"/>
  <c r="C81" i="2"/>
  <c r="C31" i="2" s="1"/>
  <c r="AN126" i="5"/>
  <c r="AN129" i="5" s="1"/>
  <c r="AB126" i="5"/>
  <c r="AB129" i="5" s="1"/>
  <c r="AB81" i="5"/>
  <c r="AN81" i="5" s="1"/>
  <c r="C127" i="2" s="1"/>
  <c r="B81" i="2"/>
  <c r="B31" i="2" s="1"/>
  <c r="N78" i="5"/>
  <c r="M129" i="5"/>
  <c r="N127" i="5"/>
  <c r="N129" i="5" s="1"/>
  <c r="EG46" i="5"/>
  <c r="CL127" i="5"/>
  <c r="CY75" i="5"/>
  <c r="CY127" i="5" s="1"/>
  <c r="CZ75" i="5"/>
  <c r="CZ127" i="5" s="1"/>
  <c r="DA127" i="5" s="1"/>
  <c r="CK52" i="5"/>
  <c r="CJ84" i="5"/>
  <c r="EH38" i="5"/>
  <c r="EN77" i="5"/>
  <c r="L123" i="2" s="1"/>
  <c r="EN106" i="5"/>
  <c r="EA7" i="5"/>
  <c r="K58" i="2" s="1"/>
  <c r="EA11" i="5"/>
  <c r="K62" i="2" s="1"/>
  <c r="EA74" i="5"/>
  <c r="K120" i="2" s="1"/>
  <c r="EI47" i="5"/>
  <c r="EA113" i="5"/>
  <c r="EA109" i="5"/>
  <c r="EA108" i="5"/>
  <c r="EG108" i="5"/>
  <c r="EG109" i="5"/>
  <c r="EG113" i="5"/>
  <c r="L56" i="2"/>
  <c r="EG30" i="5"/>
  <c r="EI46" i="5"/>
  <c r="EI31" i="5"/>
  <c r="EI108" i="5"/>
  <c r="EI109" i="5"/>
  <c r="EI113" i="5"/>
  <c r="EN111" i="5"/>
  <c r="EN8" i="5"/>
  <c r="L59" i="2" s="1"/>
  <c r="EN6" i="5"/>
  <c r="L57" i="2" s="1"/>
  <c r="EG31" i="5"/>
  <c r="EG47" i="5"/>
  <c r="EN110" i="5"/>
  <c r="ED31" i="5"/>
  <c r="EN9" i="5"/>
  <c r="L60" i="2" s="1"/>
  <c r="EN10" i="5"/>
  <c r="L61" i="2" s="1"/>
  <c r="EN14" i="5"/>
  <c r="L65" i="2" s="1"/>
  <c r="EG7" i="5"/>
  <c r="EI7" i="5"/>
  <c r="N56" i="5"/>
  <c r="M57" i="5"/>
  <c r="AM76" i="5"/>
  <c r="AN115" i="5"/>
  <c r="AJ82" i="5"/>
  <c r="AJ92" i="5" s="1"/>
  <c r="AJ94" i="5" s="1"/>
  <c r="AN50" i="5"/>
  <c r="Z40" i="5"/>
  <c r="AA40" i="5" s="1"/>
  <c r="B86" i="2" s="1"/>
  <c r="AO115" i="5"/>
  <c r="AN114" i="5"/>
  <c r="AA50" i="5"/>
  <c r="Z57" i="5"/>
  <c r="AN112" i="5"/>
  <c r="C94" i="2"/>
  <c r="C27" i="2" s="1"/>
  <c r="B90" i="2"/>
  <c r="B182" i="2" s="1"/>
  <c r="AB84" i="5"/>
  <c r="AM57" i="5"/>
  <c r="AN79" i="5"/>
  <c r="C125" i="2" s="1"/>
  <c r="AB82" i="5"/>
  <c r="BI63" i="5"/>
  <c r="BI64" i="5" s="1"/>
  <c r="BI88" i="5"/>
  <c r="BI90" i="5" s="1"/>
  <c r="BI92" i="5" s="1"/>
  <c r="BI94" i="5" s="1"/>
  <c r="BI95" i="5" s="1"/>
  <c r="AJ60" i="1"/>
  <c r="AJ85" i="1"/>
  <c r="AJ82" i="1"/>
  <c r="AJ83" i="1" s="1"/>
  <c r="AL55" i="1"/>
  <c r="AM58" i="1"/>
  <c r="BJ61" i="5" s="1"/>
  <c r="BJ62" i="5" s="1"/>
  <c r="BJ88" i="5" s="1"/>
  <c r="BJ90" i="5" s="1"/>
  <c r="BJ92" i="5" s="1"/>
  <c r="BJ94" i="5" s="1"/>
  <c r="BJ95" i="5" s="1"/>
  <c r="DI52" i="4"/>
  <c r="AK84" i="1"/>
  <c r="AK59" i="1"/>
  <c r="AK90" i="1"/>
  <c r="BZ79" i="5"/>
  <c r="CA79" i="5" s="1"/>
  <c r="G125" i="2" s="1"/>
  <c r="BX55" i="5"/>
  <c r="BW80" i="5"/>
  <c r="CN75" i="5"/>
  <c r="H121" i="2" s="1"/>
  <c r="CB36" i="5"/>
  <c r="CB79" i="5" s="1"/>
  <c r="G82" i="2"/>
  <c r="CE54" i="5"/>
  <c r="DW75" i="5"/>
  <c r="DW127" i="5" s="1"/>
  <c r="DK75" i="5"/>
  <c r="DK127" i="5" s="1"/>
  <c r="CN127" i="5" l="1"/>
  <c r="AT2" i="1"/>
  <c r="AS67" i="1"/>
  <c r="AS29" i="1"/>
  <c r="CL52" i="5"/>
  <c r="CK84" i="5"/>
  <c r="EI38" i="5"/>
  <c r="EN109" i="5"/>
  <c r="EJ75" i="5"/>
  <c r="EJ127" i="5" s="1"/>
  <c r="EG32" i="5"/>
  <c r="EN107" i="5"/>
  <c r="EI11" i="5"/>
  <c r="EI74" i="5" s="1"/>
  <c r="EI32" i="5"/>
  <c r="EG11" i="5"/>
  <c r="EN7" i="5"/>
  <c r="L58" i="2" s="1"/>
  <c r="EI45" i="5"/>
  <c r="EG45" i="5"/>
  <c r="N57" i="5"/>
  <c r="N63" i="5" s="1"/>
  <c r="N64" i="5" s="1"/>
  <c r="M63" i="5"/>
  <c r="M64" i="5" s="1"/>
  <c r="C174" i="2"/>
  <c r="C96" i="2"/>
  <c r="AA57" i="5"/>
  <c r="B103" i="2" s="1"/>
  <c r="B183" i="2" s="1"/>
  <c r="Z63" i="5"/>
  <c r="B96" i="2"/>
  <c r="AM63" i="5"/>
  <c r="AM64" i="5" s="1"/>
  <c r="AN57" i="5"/>
  <c r="AB90" i="5"/>
  <c r="AN90" i="5" s="1"/>
  <c r="C136" i="2" s="1"/>
  <c r="AN84" i="5"/>
  <c r="C130" i="2" s="1"/>
  <c r="AO76" i="5"/>
  <c r="BA115" i="5"/>
  <c r="AM78" i="5"/>
  <c r="AN76" i="5"/>
  <c r="BJ63" i="5"/>
  <c r="BJ64" i="5" s="1"/>
  <c r="AK60" i="1"/>
  <c r="AK85" i="1"/>
  <c r="AK82" i="1"/>
  <c r="AK83" i="1" s="1"/>
  <c r="AM55" i="1"/>
  <c r="AN58" i="1"/>
  <c r="BK61" i="5" s="1"/>
  <c r="BK62" i="5" s="1"/>
  <c r="DJ52" i="4"/>
  <c r="AL59" i="1"/>
  <c r="AL84" i="1"/>
  <c r="AL90" i="1"/>
  <c r="BY55" i="5"/>
  <c r="BX80" i="5"/>
  <c r="DA75" i="5"/>
  <c r="I121" i="2" s="1"/>
  <c r="CF54" i="5"/>
  <c r="CC36" i="5"/>
  <c r="CC79" i="5" s="1"/>
  <c r="DX75" i="5"/>
  <c r="DX127" i="5" s="1"/>
  <c r="DM75" i="5"/>
  <c r="DM127" i="5" s="1"/>
  <c r="DL75" i="5"/>
  <c r="DL127" i="5" s="1"/>
  <c r="DN127" i="5" l="1"/>
  <c r="CN129" i="5"/>
  <c r="CM129" i="5" s="1"/>
  <c r="CL129" i="5" s="1"/>
  <c r="CK129" i="5" s="1"/>
  <c r="CJ129" i="5" s="1"/>
  <c r="CI129" i="5" s="1"/>
  <c r="CH129" i="5" s="1"/>
  <c r="CG129" i="5" s="1"/>
  <c r="CF129" i="5" s="1"/>
  <c r="CE129" i="5" s="1"/>
  <c r="CD129" i="5" s="1"/>
  <c r="CN128" i="5"/>
  <c r="DA126" i="5" s="1"/>
  <c r="CN131" i="5"/>
  <c r="CC129" i="5"/>
  <c r="CB129" i="5" s="1"/>
  <c r="AU2" i="1"/>
  <c r="AT29" i="1"/>
  <c r="AT67" i="1"/>
  <c r="CM52" i="5"/>
  <c r="CL84" i="5"/>
  <c r="EJ38" i="5"/>
  <c r="EK75" i="5"/>
  <c r="EK127" i="5" s="1"/>
  <c r="EN11" i="5"/>
  <c r="L62" i="2" s="1"/>
  <c r="EG74" i="5"/>
  <c r="EN74" i="5" s="1"/>
  <c r="L120" i="2" s="1"/>
  <c r="EN108" i="5"/>
  <c r="AB92" i="5"/>
  <c r="AN63" i="5"/>
  <c r="C103" i="2"/>
  <c r="C183" i="2" s="1"/>
  <c r="C179" i="2"/>
  <c r="C178" i="2"/>
  <c r="C177" i="2"/>
  <c r="AM82" i="5"/>
  <c r="AN78" i="5"/>
  <c r="C124" i="2" s="1"/>
  <c r="B177" i="2"/>
  <c r="B178" i="2"/>
  <c r="B179" i="2"/>
  <c r="C180" i="2"/>
  <c r="C122" i="2"/>
  <c r="AO78" i="5"/>
  <c r="BA76" i="5"/>
  <c r="Z64" i="5"/>
  <c r="AA63" i="5"/>
  <c r="G27" i="2"/>
  <c r="E174" i="2"/>
  <c r="BK63" i="5"/>
  <c r="BK64" i="5" s="1"/>
  <c r="BK88" i="5"/>
  <c r="BK90" i="5" s="1"/>
  <c r="BK92" i="5" s="1"/>
  <c r="BK94" i="5" s="1"/>
  <c r="BK95" i="5" s="1"/>
  <c r="AL60" i="1"/>
  <c r="AL82" i="1"/>
  <c r="AL83" i="1" s="1"/>
  <c r="AL85" i="1"/>
  <c r="AN55" i="1"/>
  <c r="AO58" i="1"/>
  <c r="BL61" i="5" s="1"/>
  <c r="BL62" i="5" s="1"/>
  <c r="BL63" i="5" s="1"/>
  <c r="BL64" i="5" s="1"/>
  <c r="DK52" i="4"/>
  <c r="AM84" i="1"/>
  <c r="AM59" i="1"/>
  <c r="AM90" i="1"/>
  <c r="BY80" i="5"/>
  <c r="BZ55" i="5"/>
  <c r="DN75" i="5"/>
  <c r="J121" i="2" s="1"/>
  <c r="CG54" i="5"/>
  <c r="CD36" i="5"/>
  <c r="CD79" i="5" s="1"/>
  <c r="DY75" i="5"/>
  <c r="DY127" i="5" s="1"/>
  <c r="DZ75" i="5"/>
  <c r="DZ127" i="5" s="1"/>
  <c r="EA127" i="5" l="1"/>
  <c r="DA129" i="5"/>
  <c r="DA128" i="5" s="1"/>
  <c r="DN126" i="5" s="1"/>
  <c r="CN35" i="5"/>
  <c r="AV2" i="1"/>
  <c r="AU29" i="1"/>
  <c r="AU67" i="1"/>
  <c r="CN52" i="5"/>
  <c r="CO52" i="5" s="1"/>
  <c r="CM84" i="5"/>
  <c r="EK38" i="5"/>
  <c r="EL75" i="5"/>
  <c r="EL127" i="5" s="1"/>
  <c r="EM75" i="5"/>
  <c r="EM127" i="5" s="1"/>
  <c r="BZ112" i="5"/>
  <c r="BZ114" i="5" s="1"/>
  <c r="BU112" i="5"/>
  <c r="BU114" i="5" s="1"/>
  <c r="BV112" i="5"/>
  <c r="BV114" i="5" s="1"/>
  <c r="BW112" i="5"/>
  <c r="BW114" i="5" s="1"/>
  <c r="BX112" i="5"/>
  <c r="BX114" i="5" s="1"/>
  <c r="BY112" i="5"/>
  <c r="BY114" i="5" s="1"/>
  <c r="AN64" i="5"/>
  <c r="C109" i="2"/>
  <c r="C110" i="2" s="1"/>
  <c r="AB94" i="5"/>
  <c r="D180" i="2"/>
  <c r="D122" i="2"/>
  <c r="AO82" i="5"/>
  <c r="BA82" i="5" s="1"/>
  <c r="D128" i="2" s="1"/>
  <c r="BA78" i="5"/>
  <c r="D124" i="2" s="1"/>
  <c r="AM92" i="5"/>
  <c r="AM94" i="5" s="1"/>
  <c r="AN82" i="5"/>
  <c r="C128" i="2" s="1"/>
  <c r="H27" i="2"/>
  <c r="G174" i="2"/>
  <c r="AA64" i="5"/>
  <c r="B109" i="2"/>
  <c r="B110" i="2" s="1"/>
  <c r="BL88" i="5"/>
  <c r="BL90" i="5" s="1"/>
  <c r="BL92" i="5" s="1"/>
  <c r="BL94" i="5" s="1"/>
  <c r="BL95" i="5" s="1"/>
  <c r="AM60" i="1"/>
  <c r="AM82" i="1"/>
  <c r="AM83" i="1" s="1"/>
  <c r="AM85" i="1"/>
  <c r="AO55" i="1"/>
  <c r="AP58" i="1"/>
  <c r="DL52" i="4"/>
  <c r="AN59" i="1"/>
  <c r="AN84" i="1"/>
  <c r="AN90" i="1"/>
  <c r="CA55" i="5"/>
  <c r="BZ80" i="5"/>
  <c r="EA75" i="5"/>
  <c r="K121" i="2" s="1"/>
  <c r="CE36" i="5"/>
  <c r="CE79" i="5" s="1"/>
  <c r="CH54" i="5"/>
  <c r="DA132" i="5" l="1"/>
  <c r="EN127" i="5"/>
  <c r="DN129" i="5"/>
  <c r="DM129" i="5" s="1"/>
  <c r="DL129" i="5" s="1"/>
  <c r="DK129" i="5" s="1"/>
  <c r="DJ129" i="5" s="1"/>
  <c r="DI129" i="5" s="1"/>
  <c r="DH129" i="5" s="1"/>
  <c r="DG129" i="5" s="1"/>
  <c r="DF129" i="5" s="1"/>
  <c r="DE129" i="5" s="1"/>
  <c r="DD129" i="5" s="1"/>
  <c r="DC129" i="5" s="1"/>
  <c r="DB129" i="5" s="1"/>
  <c r="CO126" i="5"/>
  <c r="CZ129" i="5"/>
  <c r="CY129" i="5" s="1"/>
  <c r="CX129" i="5" s="1"/>
  <c r="CW129" i="5" s="1"/>
  <c r="CV129" i="5" s="1"/>
  <c r="CU129" i="5" s="1"/>
  <c r="CT129" i="5" s="1"/>
  <c r="CS129" i="5" s="1"/>
  <c r="CR129" i="5" s="1"/>
  <c r="CQ129" i="5" s="1"/>
  <c r="CP129" i="5" s="1"/>
  <c r="CO129" i="5" s="1"/>
  <c r="AW2" i="1"/>
  <c r="AV67" i="1"/>
  <c r="AV29" i="1"/>
  <c r="AN92" i="5"/>
  <c r="H98" i="2"/>
  <c r="EL38" i="5"/>
  <c r="EN75" i="5"/>
  <c r="L121" i="2" s="1"/>
  <c r="CH112" i="5"/>
  <c r="CH114" i="5" s="1"/>
  <c r="CI112" i="5"/>
  <c r="CI114" i="5" s="1"/>
  <c r="CJ112" i="5"/>
  <c r="CJ114" i="5" s="1"/>
  <c r="CK112" i="5"/>
  <c r="CK114" i="5" s="1"/>
  <c r="CD112" i="5"/>
  <c r="CD114" i="5" s="1"/>
  <c r="CL112" i="5"/>
  <c r="CL114" i="5" s="1"/>
  <c r="CE112" i="5"/>
  <c r="CE114" i="5" s="1"/>
  <c r="CM112" i="5"/>
  <c r="CM114" i="5" s="1"/>
  <c r="CF112" i="5"/>
  <c r="CF114" i="5" s="1"/>
  <c r="CG112" i="5"/>
  <c r="CG114" i="5" s="1"/>
  <c r="CB112" i="5"/>
  <c r="CB114" i="5" s="1"/>
  <c r="CB115" i="5" s="1"/>
  <c r="CB76" i="5" s="1"/>
  <c r="CC112" i="5"/>
  <c r="CC114" i="5" s="1"/>
  <c r="BR76" i="5"/>
  <c r="BY115" i="5"/>
  <c r="BX115" i="5"/>
  <c r="BZ115" i="5"/>
  <c r="BW115" i="5"/>
  <c r="BV115" i="5"/>
  <c r="BU115" i="5"/>
  <c r="CE47" i="5"/>
  <c r="CF47" i="5"/>
  <c r="I27" i="2"/>
  <c r="CO112" i="5" s="1"/>
  <c r="C138" i="2"/>
  <c r="C142" i="2" s="1"/>
  <c r="AN94" i="5"/>
  <c r="AQ58" i="1"/>
  <c r="BM61" i="5"/>
  <c r="BM62" i="5" s="1"/>
  <c r="BM63" i="5" s="1"/>
  <c r="AO59" i="1"/>
  <c r="AO84" i="1"/>
  <c r="AO90" i="1"/>
  <c r="AP55" i="1"/>
  <c r="AQ55" i="1" s="1"/>
  <c r="DM52" i="4"/>
  <c r="AN60" i="1"/>
  <c r="AN85" i="1"/>
  <c r="AN82" i="1"/>
  <c r="AN83" i="1" s="1"/>
  <c r="CA80" i="5"/>
  <c r="G126" i="2" s="1"/>
  <c r="G101" i="2"/>
  <c r="CB55" i="5"/>
  <c r="CI54" i="5"/>
  <c r="CF36" i="5"/>
  <c r="CF79" i="5" s="1"/>
  <c r="AX2" i="1" l="1"/>
  <c r="AY2" i="1" s="1"/>
  <c r="AZ2" i="1" s="1"/>
  <c r="BA2" i="1" s="1"/>
  <c r="BB2" i="1" s="1"/>
  <c r="BC2" i="1" s="1"/>
  <c r="AW67" i="1"/>
  <c r="DN128" i="5"/>
  <c r="EA126" i="5" s="1"/>
  <c r="EA129" i="5" s="1"/>
  <c r="DZ129" i="5" s="1"/>
  <c r="DY129" i="5" s="1"/>
  <c r="DX129" i="5" s="1"/>
  <c r="DW129" i="5" s="1"/>
  <c r="DV129" i="5" s="1"/>
  <c r="DU129" i="5" s="1"/>
  <c r="DT129" i="5" s="1"/>
  <c r="DS129" i="5" s="1"/>
  <c r="DR129" i="5" s="1"/>
  <c r="DQ129" i="5" s="1"/>
  <c r="DP129" i="5" s="1"/>
  <c r="DO129" i="5" s="1"/>
  <c r="CO48" i="5"/>
  <c r="CO50" i="5" s="1"/>
  <c r="CO114" i="5"/>
  <c r="CO128" i="5"/>
  <c r="CO35" i="5" s="1"/>
  <c r="CO131" i="5"/>
  <c r="BR78" i="5"/>
  <c r="CP52" i="5"/>
  <c r="C140" i="2"/>
  <c r="CH115" i="5"/>
  <c r="EM38" i="5"/>
  <c r="EN38" i="5" s="1"/>
  <c r="L84" i="2" s="1"/>
  <c r="CF115" i="5"/>
  <c r="CJ115" i="5"/>
  <c r="CD115" i="5"/>
  <c r="CU112" i="5"/>
  <c r="CU114" i="5" s="1"/>
  <c r="CT112" i="5"/>
  <c r="CT114" i="5" s="1"/>
  <c r="CW112" i="5"/>
  <c r="CW114" i="5" s="1"/>
  <c r="CV112" i="5"/>
  <c r="CV114" i="5" s="1"/>
  <c r="CS112" i="5"/>
  <c r="CS114" i="5" s="1"/>
  <c r="CZ112" i="5"/>
  <c r="CZ114" i="5" s="1"/>
  <c r="CR112" i="5"/>
  <c r="CR114" i="5" s="1"/>
  <c r="CY112" i="5"/>
  <c r="CY114" i="5" s="1"/>
  <c r="CQ112" i="5"/>
  <c r="CQ114" i="5" s="1"/>
  <c r="CX112" i="5"/>
  <c r="CX114" i="5" s="1"/>
  <c r="CP112" i="5"/>
  <c r="CP114" i="5" s="1"/>
  <c r="CG115" i="5"/>
  <c r="CI115" i="5"/>
  <c r="CM115" i="5"/>
  <c r="CE115" i="5"/>
  <c r="CL115" i="5"/>
  <c r="CC115" i="5"/>
  <c r="CK115" i="5"/>
  <c r="BS76" i="5"/>
  <c r="BS78" i="5" s="1"/>
  <c r="BS82" i="5" s="1"/>
  <c r="BS92" i="5" s="1"/>
  <c r="BS94" i="5" s="1"/>
  <c r="CS47" i="5"/>
  <c r="CP47" i="5"/>
  <c r="CR47" i="5"/>
  <c r="CQ47" i="5"/>
  <c r="CG48" i="5"/>
  <c r="CG50" i="5" s="1"/>
  <c r="CI48" i="5"/>
  <c r="CI50" i="5" s="1"/>
  <c r="CE48" i="5"/>
  <c r="CE50" i="5" s="1"/>
  <c r="CF48" i="5"/>
  <c r="CF50" i="5" s="1"/>
  <c r="CL48" i="5"/>
  <c r="CL50" i="5" s="1"/>
  <c r="CJ48" i="5"/>
  <c r="CJ50" i="5" s="1"/>
  <c r="CK48" i="5"/>
  <c r="CK50" i="5" s="1"/>
  <c r="CH48" i="5"/>
  <c r="CH50" i="5" s="1"/>
  <c r="CM48" i="5"/>
  <c r="J27" i="2"/>
  <c r="AO60" i="1"/>
  <c r="AO85" i="1"/>
  <c r="AO82" i="1"/>
  <c r="AO83" i="1" s="1"/>
  <c r="BN61" i="5"/>
  <c r="E107" i="2" s="1"/>
  <c r="BM88" i="5"/>
  <c r="AP59" i="1"/>
  <c r="AQ59" i="1" s="1"/>
  <c r="AP90" i="1"/>
  <c r="AP84" i="1"/>
  <c r="CC55" i="5"/>
  <c r="CB80" i="5"/>
  <c r="CJ54" i="5"/>
  <c r="CG36" i="5"/>
  <c r="CG79" i="5" s="1"/>
  <c r="EA128" i="5" l="1"/>
  <c r="EN126" i="5" s="1"/>
  <c r="CP115" i="5"/>
  <c r="CO115" i="5"/>
  <c r="CO81" i="5"/>
  <c r="CP126" i="5"/>
  <c r="CP128" i="5" s="1"/>
  <c r="CO132" i="5"/>
  <c r="F124" i="2"/>
  <c r="F122" i="2"/>
  <c r="BR82" i="5"/>
  <c r="F128" i="2" s="1"/>
  <c r="CQ52" i="5"/>
  <c r="CP84" i="5"/>
  <c r="CR115" i="5"/>
  <c r="CT115" i="5"/>
  <c r="CQ115" i="5"/>
  <c r="CY115" i="5"/>
  <c r="CU115" i="5"/>
  <c r="CW115" i="5"/>
  <c r="DI112" i="5"/>
  <c r="DI114" i="5" s="1"/>
  <c r="DH112" i="5"/>
  <c r="DH114" i="5" s="1"/>
  <c r="DG112" i="5"/>
  <c r="DG114" i="5" s="1"/>
  <c r="DF112" i="5"/>
  <c r="DF114" i="5" s="1"/>
  <c r="DB112" i="5"/>
  <c r="DB114" i="5" s="1"/>
  <c r="DM112" i="5"/>
  <c r="DM114" i="5" s="1"/>
  <c r="DE112" i="5"/>
  <c r="DE114" i="5" s="1"/>
  <c r="DL112" i="5"/>
  <c r="DL114" i="5" s="1"/>
  <c r="DD112" i="5"/>
  <c r="DD114" i="5" s="1"/>
  <c r="DK112" i="5"/>
  <c r="DK114" i="5" s="1"/>
  <c r="DC112" i="5"/>
  <c r="DC114" i="5" s="1"/>
  <c r="DJ112" i="5"/>
  <c r="DJ114" i="5" s="1"/>
  <c r="CX115" i="5"/>
  <c r="CZ115" i="5"/>
  <c r="CV115" i="5"/>
  <c r="CS115" i="5"/>
  <c r="CK76" i="5"/>
  <c r="CK78" i="5" s="1"/>
  <c r="DA111" i="5"/>
  <c r="DC47" i="5"/>
  <c r="DD47" i="5"/>
  <c r="DF47" i="5"/>
  <c r="DE47" i="5"/>
  <c r="CM76" i="5"/>
  <c r="CM78" i="5" s="1"/>
  <c r="CG76" i="5"/>
  <c r="CG78" i="5" s="1"/>
  <c r="CJ76" i="5"/>
  <c r="CJ78" i="5" s="1"/>
  <c r="CX48" i="5"/>
  <c r="CX50" i="5" s="1"/>
  <c r="CU48" i="5"/>
  <c r="CU50" i="5" s="1"/>
  <c r="CW48" i="5"/>
  <c r="CW50" i="5" s="1"/>
  <c r="CV48" i="5"/>
  <c r="CV50" i="5" s="1"/>
  <c r="CI76" i="5"/>
  <c r="CI78" i="5" s="1"/>
  <c r="CH76" i="5"/>
  <c r="CH78" i="5" s="1"/>
  <c r="CS48" i="5"/>
  <c r="CS50" i="5" s="1"/>
  <c r="DA112" i="5"/>
  <c r="CT48" i="5"/>
  <c r="CT50" i="5" s="1"/>
  <c r="CY48" i="5"/>
  <c r="CY50" i="5" s="1"/>
  <c r="CL76" i="5"/>
  <c r="CL78" i="5" s="1"/>
  <c r="CF76" i="5"/>
  <c r="CF78" i="5" s="1"/>
  <c r="CR48" i="5"/>
  <c r="CR50" i="5" s="1"/>
  <c r="CZ48" i="5"/>
  <c r="K27" i="2"/>
  <c r="CQ48" i="5"/>
  <c r="CQ50" i="5" s="1"/>
  <c r="CP48" i="5"/>
  <c r="CP50" i="5" s="1"/>
  <c r="CN48" i="5"/>
  <c r="CM50" i="5"/>
  <c r="CN50" i="5" s="1"/>
  <c r="H96" i="2" s="1"/>
  <c r="AP60" i="1"/>
  <c r="AP85" i="1"/>
  <c r="AP82" i="1"/>
  <c r="AP83" i="1" s="1"/>
  <c r="BN62" i="5"/>
  <c r="CD55" i="5"/>
  <c r="CC80" i="5"/>
  <c r="CH36" i="5"/>
  <c r="CK54" i="5"/>
  <c r="EN129" i="5" l="1"/>
  <c r="EM129" i="5" s="1"/>
  <c r="EL129" i="5" s="1"/>
  <c r="EK129" i="5" s="1"/>
  <c r="EJ129" i="5" s="1"/>
  <c r="EI129" i="5" s="1"/>
  <c r="EH129" i="5" s="1"/>
  <c r="EG129" i="5" s="1"/>
  <c r="EF129" i="5" s="1"/>
  <c r="EE129" i="5" s="1"/>
  <c r="ED129" i="5" s="1"/>
  <c r="EC129" i="5" s="1"/>
  <c r="EB129" i="5" s="1"/>
  <c r="CP131" i="5"/>
  <c r="CP132" i="5" s="1"/>
  <c r="CP76" i="5"/>
  <c r="CP78" i="5" s="1"/>
  <c r="H94" i="2"/>
  <c r="BR92" i="5"/>
  <c r="CR52" i="5"/>
  <c r="CQ84" i="5"/>
  <c r="DK115" i="5"/>
  <c r="DG115" i="5"/>
  <c r="DH115" i="5"/>
  <c r="DC115" i="5"/>
  <c r="DF115" i="5"/>
  <c r="DD115" i="5"/>
  <c r="DI115" i="5"/>
  <c r="L27" i="2"/>
  <c r="DV112" i="5"/>
  <c r="DV114" i="5" s="1"/>
  <c r="DP112" i="5"/>
  <c r="DP114" i="5" s="1"/>
  <c r="DU112" i="5"/>
  <c r="DU114" i="5" s="1"/>
  <c r="DW112" i="5"/>
  <c r="DW114" i="5" s="1"/>
  <c r="DT112" i="5"/>
  <c r="DT114" i="5" s="1"/>
  <c r="DX112" i="5"/>
  <c r="DX114" i="5" s="1"/>
  <c r="DS112" i="5"/>
  <c r="DS114" i="5" s="1"/>
  <c r="DO112" i="5"/>
  <c r="DO114" i="5" s="1"/>
  <c r="DZ112" i="5"/>
  <c r="DZ114" i="5" s="1"/>
  <c r="DR112" i="5"/>
  <c r="DR114" i="5" s="1"/>
  <c r="DY112" i="5"/>
  <c r="DY114" i="5" s="1"/>
  <c r="DQ112" i="5"/>
  <c r="DQ114" i="5" s="1"/>
  <c r="DL115" i="5"/>
  <c r="DE115" i="5"/>
  <c r="DJ115" i="5"/>
  <c r="DM115" i="5"/>
  <c r="DB115" i="5"/>
  <c r="CQ76" i="5"/>
  <c r="CQ78" i="5" s="1"/>
  <c r="CR76" i="5"/>
  <c r="CR78" i="5" s="1"/>
  <c r="DQ47" i="5"/>
  <c r="DS47" i="5"/>
  <c r="DP47" i="5"/>
  <c r="DR47" i="5"/>
  <c r="DB47" i="5"/>
  <c r="DN111" i="5"/>
  <c r="CU76" i="5"/>
  <c r="CU78" i="5" s="1"/>
  <c r="CT76" i="5"/>
  <c r="CT78" i="5" s="1"/>
  <c r="CX76" i="5"/>
  <c r="CX78" i="5" s="1"/>
  <c r="DF48" i="5"/>
  <c r="DF50" i="5" s="1"/>
  <c r="DL48" i="5"/>
  <c r="DL50" i="5" s="1"/>
  <c r="DD48" i="5"/>
  <c r="DD50" i="5" s="1"/>
  <c r="DK48" i="5"/>
  <c r="DK50" i="5" s="1"/>
  <c r="DB48" i="5"/>
  <c r="DN112" i="5"/>
  <c r="DH48" i="5"/>
  <c r="DH50" i="5" s="1"/>
  <c r="CV76" i="5"/>
  <c r="CV78" i="5" s="1"/>
  <c r="CW76" i="5"/>
  <c r="CW78" i="5" s="1"/>
  <c r="DE48" i="5"/>
  <c r="DE50" i="5" s="1"/>
  <c r="DJ48" i="5"/>
  <c r="DJ50" i="5" s="1"/>
  <c r="CZ76" i="5"/>
  <c r="CZ78" i="5" s="1"/>
  <c r="DA114" i="5"/>
  <c r="DM48" i="5"/>
  <c r="DG48" i="5"/>
  <c r="DG50" i="5" s="1"/>
  <c r="DA48" i="5"/>
  <c r="I94" i="2" s="1"/>
  <c r="CZ50" i="5"/>
  <c r="DA50" i="5" s="1"/>
  <c r="I96" i="2" s="1"/>
  <c r="CY76" i="5"/>
  <c r="CY78" i="5" s="1"/>
  <c r="DC48" i="5"/>
  <c r="DC50" i="5" s="1"/>
  <c r="DI48" i="5"/>
  <c r="DI50" i="5" s="1"/>
  <c r="CS76" i="5"/>
  <c r="CS78" i="5" s="1"/>
  <c r="BO88" i="5"/>
  <c r="F134" i="2" s="1"/>
  <c r="E108" i="2"/>
  <c r="BN63" i="5"/>
  <c r="BM64" i="5"/>
  <c r="BM90" i="5"/>
  <c r="BN88" i="5"/>
  <c r="E134" i="2" s="1"/>
  <c r="CE55" i="5"/>
  <c r="CD80" i="5"/>
  <c r="CI36" i="5"/>
  <c r="CH79" i="5"/>
  <c r="CL54" i="5"/>
  <c r="EN128" i="5" l="1"/>
  <c r="E182" i="2"/>
  <c r="E161" i="2"/>
  <c r="CS52" i="5"/>
  <c r="CR84" i="5"/>
  <c r="EC112" i="5"/>
  <c r="EC114" i="5" s="1"/>
  <c r="EH112" i="5"/>
  <c r="EH114" i="5" s="1"/>
  <c r="EI112" i="5"/>
  <c r="EI114" i="5" s="1"/>
  <c r="EJ112" i="5"/>
  <c r="EJ114" i="5" s="1"/>
  <c r="EK112" i="5"/>
  <c r="EK114" i="5" s="1"/>
  <c r="ED112" i="5"/>
  <c r="ED114" i="5" s="1"/>
  <c r="EL112" i="5"/>
  <c r="EL114" i="5" s="1"/>
  <c r="EE112" i="5"/>
  <c r="EE114" i="5" s="1"/>
  <c r="EM112" i="5"/>
  <c r="EM114" i="5" s="1"/>
  <c r="EG112" i="5"/>
  <c r="EG114" i="5" s="1"/>
  <c r="EF112" i="5"/>
  <c r="EF114" i="5" s="1"/>
  <c r="EB112" i="5"/>
  <c r="EB114" i="5" s="1"/>
  <c r="DV115" i="5"/>
  <c r="DU115" i="5"/>
  <c r="DZ115" i="5"/>
  <c r="DY115" i="5"/>
  <c r="DR115" i="5"/>
  <c r="DS115" i="5"/>
  <c r="DX115" i="5"/>
  <c r="DQ115" i="5"/>
  <c r="DW115" i="5"/>
  <c r="DP115" i="5"/>
  <c r="DT115" i="5"/>
  <c r="DO115" i="5"/>
  <c r="DJ76" i="5"/>
  <c r="DJ78" i="5" s="1"/>
  <c r="DB50" i="5"/>
  <c r="DO47" i="5"/>
  <c r="EA111" i="5"/>
  <c r="DF76" i="5"/>
  <c r="DF78" i="5" s="1"/>
  <c r="DE76" i="5"/>
  <c r="DE78" i="5" s="1"/>
  <c r="DD76" i="5"/>
  <c r="DD78" i="5" s="1"/>
  <c r="DI76" i="5"/>
  <c r="DI78" i="5" s="1"/>
  <c r="DR48" i="5"/>
  <c r="DR50" i="5" s="1"/>
  <c r="DO48" i="5"/>
  <c r="EA112" i="5"/>
  <c r="DP48" i="5"/>
  <c r="DP50" i="5" s="1"/>
  <c r="DZ48" i="5"/>
  <c r="DY48" i="5"/>
  <c r="DY50" i="5" s="1"/>
  <c r="DN114" i="5"/>
  <c r="DC76" i="5"/>
  <c r="DC78" i="5" s="1"/>
  <c r="DN48" i="5"/>
  <c r="J94" i="2" s="1"/>
  <c r="DM50" i="5"/>
  <c r="DN50" i="5" s="1"/>
  <c r="J96" i="2" s="1"/>
  <c r="DT48" i="5"/>
  <c r="DT50" i="5" s="1"/>
  <c r="DL76" i="5"/>
  <c r="DL78" i="5" s="1"/>
  <c r="DM76" i="5"/>
  <c r="DM78" i="5" s="1"/>
  <c r="DG76" i="5"/>
  <c r="DG78" i="5" s="1"/>
  <c r="DH76" i="5"/>
  <c r="DH78" i="5" s="1"/>
  <c r="DK76" i="5"/>
  <c r="DK78" i="5" s="1"/>
  <c r="DU48" i="5"/>
  <c r="DU50" i="5" s="1"/>
  <c r="DV48" i="5"/>
  <c r="DV50" i="5" s="1"/>
  <c r="DW48" i="5"/>
  <c r="DW50" i="5" s="1"/>
  <c r="DX48" i="5"/>
  <c r="DX50" i="5" s="1"/>
  <c r="DQ48" i="5"/>
  <c r="DQ50" i="5" s="1"/>
  <c r="DS48" i="5"/>
  <c r="DS50" i="5" s="1"/>
  <c r="BO90" i="5"/>
  <c r="F136" i="2" s="1"/>
  <c r="E183" i="2"/>
  <c r="BM92" i="5"/>
  <c r="BN90" i="5"/>
  <c r="E136" i="2" s="1"/>
  <c r="BN64" i="5"/>
  <c r="E109" i="2"/>
  <c r="E110" i="2" s="1"/>
  <c r="CF55" i="5"/>
  <c r="CE80" i="5"/>
  <c r="CJ36" i="5"/>
  <c r="CJ79" i="5" s="1"/>
  <c r="CM54" i="5"/>
  <c r="CI79" i="5"/>
  <c r="BO92" i="5" l="1"/>
  <c r="F138" i="2" s="1"/>
  <c r="CT52" i="5"/>
  <c r="CS84" i="5"/>
  <c r="EB48" i="5"/>
  <c r="EH115" i="5"/>
  <c r="EH76" i="5" s="1"/>
  <c r="EH78" i="5" s="1"/>
  <c r="EM48" i="5"/>
  <c r="EN48" i="5" s="1"/>
  <c r="L94" i="2" s="1"/>
  <c r="EC48" i="5"/>
  <c r="EB115" i="5"/>
  <c r="EB76" i="5" s="1"/>
  <c r="EC115" i="5"/>
  <c r="EC76" i="5" s="1"/>
  <c r="EC78" i="5" s="1"/>
  <c r="EI48" i="5"/>
  <c r="EF48" i="5"/>
  <c r="EH48" i="5"/>
  <c r="EM115" i="5"/>
  <c r="EM76" i="5" s="1"/>
  <c r="EM78" i="5" s="1"/>
  <c r="EJ48" i="5"/>
  <c r="EG48" i="5"/>
  <c r="EF115" i="5"/>
  <c r="EF76" i="5" s="1"/>
  <c r="EF78" i="5" s="1"/>
  <c r="ED48" i="5"/>
  <c r="EN112" i="5"/>
  <c r="EK48" i="5"/>
  <c r="EE115" i="5"/>
  <c r="EE76" i="5" s="1"/>
  <c r="EE78" i="5" s="1"/>
  <c r="ED115" i="5"/>
  <c r="ED76" i="5" s="1"/>
  <c r="ED78" i="5" s="1"/>
  <c r="EL115" i="5"/>
  <c r="EL76" i="5" s="1"/>
  <c r="EL78" i="5" s="1"/>
  <c r="EK115" i="5"/>
  <c r="EK76" i="5" s="1"/>
  <c r="EK78" i="5" s="1"/>
  <c r="EL48" i="5"/>
  <c r="EJ115" i="5"/>
  <c r="EJ76" i="5" s="1"/>
  <c r="EJ78" i="5" s="1"/>
  <c r="EG115" i="5"/>
  <c r="EG76" i="5" s="1"/>
  <c r="EG78" i="5" s="1"/>
  <c r="EI115" i="5"/>
  <c r="EI76" i="5" s="1"/>
  <c r="EI78" i="5" s="1"/>
  <c r="EE48" i="5"/>
  <c r="DO50" i="5"/>
  <c r="DR76" i="5"/>
  <c r="DR78" i="5" s="1"/>
  <c r="DY76" i="5"/>
  <c r="DY78" i="5" s="1"/>
  <c r="DZ76" i="5"/>
  <c r="DZ78" i="5" s="1"/>
  <c r="DU76" i="5"/>
  <c r="DU78" i="5" s="1"/>
  <c r="DV76" i="5"/>
  <c r="DV78" i="5" s="1"/>
  <c r="DP76" i="5"/>
  <c r="DP78" i="5" s="1"/>
  <c r="DQ76" i="5"/>
  <c r="DQ78" i="5" s="1"/>
  <c r="DB76" i="5"/>
  <c r="DN115" i="5"/>
  <c r="EA114" i="5"/>
  <c r="DT76" i="5"/>
  <c r="DT78" i="5" s="1"/>
  <c r="DX76" i="5"/>
  <c r="DX78" i="5" s="1"/>
  <c r="DS76" i="5"/>
  <c r="DS78" i="5" s="1"/>
  <c r="DW76" i="5"/>
  <c r="DW78" i="5" s="1"/>
  <c r="EA48" i="5"/>
  <c r="K94" i="2" s="1"/>
  <c r="DZ50" i="5"/>
  <c r="EA50" i="5" s="1"/>
  <c r="K96" i="2" s="1"/>
  <c r="BM94" i="5"/>
  <c r="BM95" i="5" s="1"/>
  <c r="BN92" i="5"/>
  <c r="CF80" i="5"/>
  <c r="CG55" i="5"/>
  <c r="CK36" i="5"/>
  <c r="CN54" i="5"/>
  <c r="CO54" i="5" s="1"/>
  <c r="BO94" i="5" l="1"/>
  <c r="BO95" i="5" s="1"/>
  <c r="F142" i="2"/>
  <c r="CU52" i="5"/>
  <c r="CT84" i="5"/>
  <c r="EN76" i="5"/>
  <c r="EB78" i="5"/>
  <c r="DB78" i="5"/>
  <c r="DN78" i="5" s="1"/>
  <c r="J124" i="2" s="1"/>
  <c r="DN76" i="5"/>
  <c r="J122" i="2" s="1"/>
  <c r="DO76" i="5"/>
  <c r="EA115" i="5"/>
  <c r="E138" i="2"/>
  <c r="E142" i="2" s="1"/>
  <c r="BN94" i="5"/>
  <c r="BN95" i="5" s="1"/>
  <c r="CG80" i="5"/>
  <c r="CH55" i="5"/>
  <c r="CL36" i="5"/>
  <c r="H100" i="2"/>
  <c r="CK79" i="5"/>
  <c r="CU84" i="5" l="1"/>
  <c r="CV52" i="5"/>
  <c r="E140" i="2"/>
  <c r="F140" i="2" s="1"/>
  <c r="EN78" i="5"/>
  <c r="DO78" i="5"/>
  <c r="EA78" i="5" s="1"/>
  <c r="K124" i="2" s="1"/>
  <c r="EA76" i="5"/>
  <c r="K122" i="2" s="1"/>
  <c r="CI55" i="5"/>
  <c r="CH80" i="5"/>
  <c r="CP54" i="5"/>
  <c r="CM36" i="5"/>
  <c r="CL79" i="5"/>
  <c r="CN36" i="5" l="1"/>
  <c r="CW52" i="5"/>
  <c r="CV84" i="5"/>
  <c r="CM79" i="5"/>
  <c r="CN79" i="5" s="1"/>
  <c r="H125" i="2" s="1"/>
  <c r="CJ55" i="5"/>
  <c r="CI80" i="5"/>
  <c r="H82" i="2"/>
  <c r="CQ54" i="5"/>
  <c r="CO36" i="5" l="1"/>
  <c r="CO39" i="5" s="1"/>
  <c r="CW84" i="5"/>
  <c r="CX52" i="5"/>
  <c r="CK55" i="5"/>
  <c r="CJ80" i="5"/>
  <c r="CG13" i="5"/>
  <c r="CG15" i="5" s="1"/>
  <c r="CR54" i="5"/>
  <c r="CP36" i="5"/>
  <c r="CP79" i="5" s="1"/>
  <c r="CO79" i="5" l="1"/>
  <c r="CY52" i="5"/>
  <c r="CX84" i="5"/>
  <c r="CL55" i="5"/>
  <c r="CK80" i="5"/>
  <c r="CJ13" i="5"/>
  <c r="CJ15" i="5" s="1"/>
  <c r="CH13" i="5"/>
  <c r="CH15" i="5" s="1"/>
  <c r="CB13" i="5"/>
  <c r="CB15" i="5" s="1"/>
  <c r="CK13" i="5"/>
  <c r="CK15" i="5" s="1"/>
  <c r="CE13" i="5"/>
  <c r="CE15" i="5" s="1"/>
  <c r="CD13" i="5"/>
  <c r="CD15" i="5" s="1"/>
  <c r="CQ36" i="5"/>
  <c r="CQ79" i="5" s="1"/>
  <c r="CS54" i="5"/>
  <c r="CZ52" i="5" l="1"/>
  <c r="CY84" i="5"/>
  <c r="CL80" i="5"/>
  <c r="CM55" i="5"/>
  <c r="CM13" i="5"/>
  <c r="CT54" i="5"/>
  <c r="CR36" i="5"/>
  <c r="CR79" i="5" s="1"/>
  <c r="DA52" i="5" l="1"/>
  <c r="CZ84" i="5"/>
  <c r="CM80" i="5"/>
  <c r="CN55" i="5"/>
  <c r="CO55" i="5" s="1"/>
  <c r="CM15" i="5"/>
  <c r="CS36" i="5"/>
  <c r="CS79" i="5" s="1"/>
  <c r="CU54" i="5"/>
  <c r="CO80" i="5" l="1"/>
  <c r="CO56" i="5"/>
  <c r="CO57" i="5" s="1"/>
  <c r="DB52" i="5"/>
  <c r="DC52" i="5" s="1"/>
  <c r="I98" i="2"/>
  <c r="H101" i="2"/>
  <c r="CN80" i="5"/>
  <c r="H126" i="2" s="1"/>
  <c r="CV54" i="5"/>
  <c r="CT36" i="5"/>
  <c r="CT79" i="5" s="1"/>
  <c r="DC84" i="5" l="1"/>
  <c r="DD52" i="5"/>
  <c r="CP55" i="5"/>
  <c r="CU36" i="5"/>
  <c r="CU79" i="5" s="1"/>
  <c r="CW54" i="5"/>
  <c r="DE52" i="5" l="1"/>
  <c r="DD84" i="5"/>
  <c r="CP80" i="5"/>
  <c r="CQ55" i="5"/>
  <c r="CX54" i="5"/>
  <c r="CV36" i="5"/>
  <c r="CV79" i="5" s="1"/>
  <c r="DF52" i="5" l="1"/>
  <c r="DE84" i="5"/>
  <c r="CQ80" i="5"/>
  <c r="CR55" i="5"/>
  <c r="CW36" i="5"/>
  <c r="CW79" i="5" s="1"/>
  <c r="CY54" i="5"/>
  <c r="DG52" i="5" l="1"/>
  <c r="DF84" i="5"/>
  <c r="CS55" i="5"/>
  <c r="CR80" i="5"/>
  <c r="CX36" i="5"/>
  <c r="CZ54" i="5"/>
  <c r="DH52" i="5" l="1"/>
  <c r="DG84" i="5"/>
  <c r="CT55" i="5"/>
  <c r="CS80" i="5"/>
  <c r="DA54" i="5"/>
  <c r="CY36" i="5"/>
  <c r="CY79" i="5" s="1"/>
  <c r="CX79" i="5"/>
  <c r="DI52" i="5" l="1"/>
  <c r="DH84" i="5"/>
  <c r="CT80" i="5"/>
  <c r="CU55" i="5"/>
  <c r="DB54" i="5"/>
  <c r="I100" i="2"/>
  <c r="CZ36" i="5"/>
  <c r="DJ52" i="5" l="1"/>
  <c r="DI84" i="5"/>
  <c r="CU80" i="5"/>
  <c r="CV55" i="5"/>
  <c r="DA36" i="5"/>
  <c r="DA79" i="5" s="1"/>
  <c r="I125" i="2" s="1"/>
  <c r="CZ79" i="5"/>
  <c r="DC54" i="5"/>
  <c r="DK52" i="5" l="1"/>
  <c r="DJ84" i="5"/>
  <c r="CV80" i="5"/>
  <c r="CW55" i="5"/>
  <c r="DB36" i="5"/>
  <c r="DB79" i="5" s="1"/>
  <c r="I82" i="2"/>
  <c r="DD54" i="5"/>
  <c r="DL52" i="5" l="1"/>
  <c r="DK84" i="5"/>
  <c r="CW80" i="5"/>
  <c r="CX55" i="5"/>
  <c r="DE54" i="5"/>
  <c r="DC36" i="5"/>
  <c r="DC79" i="5" s="1"/>
  <c r="DM52" i="5" l="1"/>
  <c r="DL84" i="5"/>
  <c r="CY55" i="5"/>
  <c r="CX80" i="5"/>
  <c r="DD36" i="5"/>
  <c r="DD79" i="5" s="1"/>
  <c r="DF54" i="5"/>
  <c r="DN52" i="5" l="1"/>
  <c r="DM84" i="5"/>
  <c r="CZ55" i="5"/>
  <c r="CY80" i="5"/>
  <c r="DG54" i="5"/>
  <c r="DE36" i="5"/>
  <c r="DO52" i="5" l="1"/>
  <c r="J98" i="2"/>
  <c r="DA55" i="5"/>
  <c r="CZ80" i="5"/>
  <c r="DF36" i="5"/>
  <c r="DF79" i="5" s="1"/>
  <c r="DE79" i="5"/>
  <c r="DH54" i="5"/>
  <c r="DP52" i="5" l="1"/>
  <c r="DA80" i="5"/>
  <c r="I126" i="2" s="1"/>
  <c r="I101" i="2"/>
  <c r="DB55" i="5"/>
  <c r="DG36" i="5"/>
  <c r="DG79" i="5" s="1"/>
  <c r="DI54" i="5"/>
  <c r="DP84" i="5" l="1"/>
  <c r="DQ52" i="5"/>
  <c r="DC55" i="5"/>
  <c r="DB80" i="5"/>
  <c r="DJ54" i="5"/>
  <c r="DH36" i="5"/>
  <c r="DH79" i="5" s="1"/>
  <c r="DR52" i="5" l="1"/>
  <c r="DQ84" i="5"/>
  <c r="DD55" i="5"/>
  <c r="DC80" i="5"/>
  <c r="DI36" i="5"/>
  <c r="DI79" i="5" s="1"/>
  <c r="DK54" i="5"/>
  <c r="DS52" i="5" l="1"/>
  <c r="DR84" i="5"/>
  <c r="DE55" i="5"/>
  <c r="DD80" i="5"/>
  <c r="DL54" i="5"/>
  <c r="DJ36" i="5"/>
  <c r="DJ79" i="5" s="1"/>
  <c r="DT52" i="5" l="1"/>
  <c r="DS84" i="5"/>
  <c r="DF55" i="5"/>
  <c r="DE80" i="5"/>
  <c r="DK36" i="5"/>
  <c r="DK79" i="5" s="1"/>
  <c r="DM54" i="5"/>
  <c r="DU52" i="5" l="1"/>
  <c r="DT84" i="5"/>
  <c r="DF80" i="5"/>
  <c r="DG55" i="5"/>
  <c r="DN54" i="5"/>
  <c r="DL36" i="5"/>
  <c r="DL79" i="5" s="1"/>
  <c r="DV52" i="5" l="1"/>
  <c r="DU84" i="5"/>
  <c r="DH55" i="5"/>
  <c r="DG80" i="5"/>
  <c r="DM36" i="5"/>
  <c r="DN36" i="5" s="1"/>
  <c r="DO54" i="5"/>
  <c r="J100" i="2"/>
  <c r="DW52" i="5" l="1"/>
  <c r="DV84" i="5"/>
  <c r="DM79" i="5"/>
  <c r="DN79" i="5" s="1"/>
  <c r="J125" i="2" s="1"/>
  <c r="DH80" i="5"/>
  <c r="DI55" i="5"/>
  <c r="DP54" i="5"/>
  <c r="DO36" i="5"/>
  <c r="DO79" i="5" s="1"/>
  <c r="J82" i="2"/>
  <c r="DX52" i="5" l="1"/>
  <c r="DW84" i="5"/>
  <c r="DJ55" i="5"/>
  <c r="DI80" i="5"/>
  <c r="DP36" i="5"/>
  <c r="DQ54" i="5"/>
  <c r="DY52" i="5" l="1"/>
  <c r="DX84" i="5"/>
  <c r="DK55" i="5"/>
  <c r="DJ80" i="5"/>
  <c r="DQ36" i="5"/>
  <c r="DQ79" i="5" s="1"/>
  <c r="DR54" i="5"/>
  <c r="DP79" i="5"/>
  <c r="DZ52" i="5" l="1"/>
  <c r="DY84" i="5"/>
  <c r="DK80" i="5"/>
  <c r="DL55" i="5"/>
  <c r="DS54" i="5"/>
  <c r="DR36" i="5"/>
  <c r="DR79" i="5" s="1"/>
  <c r="EA52" i="5" l="1"/>
  <c r="DZ84" i="5"/>
  <c r="DM55" i="5"/>
  <c r="DL80" i="5"/>
  <c r="DS36" i="5"/>
  <c r="DS79" i="5" s="1"/>
  <c r="DT54" i="5"/>
  <c r="EB52" i="5" l="1"/>
  <c r="K98" i="2"/>
  <c r="DN55" i="5"/>
  <c r="DM80" i="5"/>
  <c r="DU54" i="5"/>
  <c r="DT36" i="5"/>
  <c r="DT79" i="5" s="1"/>
  <c r="EC52" i="5" l="1"/>
  <c r="DN80" i="5"/>
  <c r="J126" i="2" s="1"/>
  <c r="J101" i="2"/>
  <c r="DO55" i="5"/>
  <c r="DU36" i="5"/>
  <c r="DU79" i="5" s="1"/>
  <c r="DV54" i="5"/>
  <c r="EC84" i="5" l="1"/>
  <c r="ED52" i="5"/>
  <c r="DP55" i="5"/>
  <c r="DO80" i="5"/>
  <c r="DW54" i="5"/>
  <c r="DV36" i="5"/>
  <c r="ED84" i="5" l="1"/>
  <c r="EE52" i="5"/>
  <c r="DQ55" i="5"/>
  <c r="DP80" i="5"/>
  <c r="DW36" i="5"/>
  <c r="DW79" i="5" s="1"/>
  <c r="DV79" i="5"/>
  <c r="DX54" i="5"/>
  <c r="EE84" i="5" l="1"/>
  <c r="EF52" i="5"/>
  <c r="DQ80" i="5"/>
  <c r="DR55" i="5"/>
  <c r="DY54" i="5"/>
  <c r="DX36" i="5"/>
  <c r="DX79" i="5"/>
  <c r="EF84" i="5" l="1"/>
  <c r="EG52" i="5"/>
  <c r="DR80" i="5"/>
  <c r="DS55" i="5"/>
  <c r="DZ54" i="5"/>
  <c r="DY36" i="5"/>
  <c r="EH52" i="5" l="1"/>
  <c r="EG84" i="5"/>
  <c r="DT55" i="5"/>
  <c r="DS80" i="5"/>
  <c r="DZ36" i="5"/>
  <c r="EA36" i="5" s="1"/>
  <c r="DY79" i="5"/>
  <c r="EA54" i="5"/>
  <c r="EI52" i="5" l="1"/>
  <c r="EH84" i="5"/>
  <c r="DZ79" i="5"/>
  <c r="DU55" i="5"/>
  <c r="DT80" i="5"/>
  <c r="EB54" i="5"/>
  <c r="K100" i="2"/>
  <c r="EA79" i="5"/>
  <c r="K125" i="2" s="1"/>
  <c r="EB36" i="5"/>
  <c r="K82" i="2"/>
  <c r="EJ52" i="5" l="1"/>
  <c r="EI84" i="5"/>
  <c r="EB79" i="5"/>
  <c r="DV55" i="5"/>
  <c r="DU80" i="5"/>
  <c r="EC36" i="5"/>
  <c r="EC54" i="5"/>
  <c r="EJ84" i="5" l="1"/>
  <c r="EK52" i="5"/>
  <c r="EC79" i="5"/>
  <c r="DW55" i="5"/>
  <c r="DV80" i="5"/>
  <c r="ED54" i="5"/>
  <c r="ED36" i="5"/>
  <c r="EK84" i="5" l="1"/>
  <c r="EL52" i="5"/>
  <c r="ED79" i="5"/>
  <c r="DX55" i="5"/>
  <c r="DW80" i="5"/>
  <c r="EE36" i="5"/>
  <c r="EE54" i="5"/>
  <c r="EM52" i="5" l="1"/>
  <c r="EL84" i="5"/>
  <c r="EE79" i="5"/>
  <c r="DY55" i="5"/>
  <c r="DX80" i="5"/>
  <c r="EF54" i="5"/>
  <c r="EF36" i="5"/>
  <c r="EN52" i="5" l="1"/>
  <c r="L98" i="2" s="1"/>
  <c r="EM84" i="5"/>
  <c r="EF79" i="5"/>
  <c r="DZ55" i="5"/>
  <c r="DY80" i="5"/>
  <c r="EG36" i="5"/>
  <c r="EG54" i="5"/>
  <c r="EG79" i="5" l="1"/>
  <c r="DZ80" i="5"/>
  <c r="EA55" i="5"/>
  <c r="EH36" i="5"/>
  <c r="EH54" i="5"/>
  <c r="EH79" i="5" l="1"/>
  <c r="EB55" i="5"/>
  <c r="EB80" i="5" s="1"/>
  <c r="K101" i="2"/>
  <c r="EA80" i="5"/>
  <c r="K126" i="2" s="1"/>
  <c r="EI54" i="5"/>
  <c r="EI36" i="5"/>
  <c r="EI79" i="5" l="1"/>
  <c r="EC55" i="5"/>
  <c r="EC80" i="5" s="1"/>
  <c r="EJ36" i="5"/>
  <c r="EJ54" i="5"/>
  <c r="EJ79" i="5" l="1"/>
  <c r="ED55" i="5"/>
  <c r="ED80" i="5" s="1"/>
  <c r="EK54" i="5"/>
  <c r="EK36" i="5"/>
  <c r="EK79" i="5" l="1"/>
  <c r="EE55" i="5"/>
  <c r="EE80" i="5" s="1"/>
  <c r="EL36" i="5"/>
  <c r="EL54" i="5"/>
  <c r="EL79" i="5" l="1"/>
  <c r="EF55" i="5"/>
  <c r="EF80" i="5" s="1"/>
  <c r="EM54" i="5"/>
  <c r="EM36" i="5"/>
  <c r="EN36" i="5" s="1"/>
  <c r="L82" i="2" s="1"/>
  <c r="EM79" i="5" l="1"/>
  <c r="EN79" i="5" s="1"/>
  <c r="L125" i="2" s="1"/>
  <c r="EG55" i="5"/>
  <c r="EG80" i="5" s="1"/>
  <c r="EN54" i="5"/>
  <c r="L100" i="2" s="1"/>
  <c r="EH55" i="5" l="1"/>
  <c r="EH80" i="5" s="1"/>
  <c r="EI55" i="5" l="1"/>
  <c r="EI80" i="5" s="1"/>
  <c r="EJ55" i="5" l="1"/>
  <c r="EJ80" i="5" s="1"/>
  <c r="EK55" i="5" l="1"/>
  <c r="EK80" i="5" s="1"/>
  <c r="EL55" i="5" l="1"/>
  <c r="EL80" i="5" s="1"/>
  <c r="EM55" i="5" l="1"/>
  <c r="EM80" i="5" s="1"/>
  <c r="EN80" i="5" s="1"/>
  <c r="L126" i="2" s="1"/>
  <c r="EN55" i="5" l="1"/>
  <c r="L101" i="2" s="1"/>
  <c r="EK13" i="5" l="1"/>
  <c r="EK15" i="5" s="1"/>
  <c r="EH13" i="5"/>
  <c r="EH15" i="5" s="1"/>
  <c r="EG13" i="5"/>
  <c r="EG15" i="5" s="1"/>
  <c r="EM13" i="5"/>
  <c r="EM15" i="5" s="1"/>
  <c r="EJ13" i="5"/>
  <c r="EJ15" i="5" s="1"/>
  <c r="EB13" i="5"/>
  <c r="ED13" i="5"/>
  <c r="ED15" i="5" s="1"/>
  <c r="EE13" i="5"/>
  <c r="EE15" i="5" s="1"/>
  <c r="DX13" i="5"/>
  <c r="DX15" i="5" s="1"/>
  <c r="DJ13" i="5"/>
  <c r="DJ15" i="5" s="1"/>
  <c r="DM13" i="5"/>
  <c r="DM15" i="5" s="1"/>
  <c r="DO13" i="5"/>
  <c r="DD13" i="5"/>
  <c r="DD15" i="5" s="1"/>
  <c r="DZ13" i="5"/>
  <c r="DZ15" i="5" s="1"/>
  <c r="DG13" i="5"/>
  <c r="DG15" i="5" s="1"/>
  <c r="CU13" i="5"/>
  <c r="CU15" i="5" s="1"/>
  <c r="CQ13" i="5"/>
  <c r="CQ15" i="5" s="1"/>
  <c r="DH13" i="5"/>
  <c r="DH15" i="5" s="1"/>
  <c r="DW13" i="5"/>
  <c r="DW15" i="5" s="1"/>
  <c r="CX13" i="5"/>
  <c r="CX15" i="5" s="1"/>
  <c r="CT13" i="5"/>
  <c r="CT15" i="5" s="1"/>
  <c r="DE13" i="5"/>
  <c r="DE15" i="5" s="1"/>
  <c r="CZ13" i="5"/>
  <c r="CZ15" i="5" s="1"/>
  <c r="CW13" i="5"/>
  <c r="CW15" i="5" s="1"/>
  <c r="DQ13" i="5"/>
  <c r="DQ15" i="5" s="1"/>
  <c r="DB13" i="5"/>
  <c r="DU13" i="5"/>
  <c r="DU15" i="5" s="1"/>
  <c r="DK13" i="5"/>
  <c r="DK15" i="5" s="1"/>
  <c r="CR13" i="5"/>
  <c r="CR15" i="5" s="1"/>
  <c r="DR13" i="5"/>
  <c r="DR15" i="5" s="1"/>
  <c r="DT13" i="5"/>
  <c r="DT15" i="5" s="1"/>
  <c r="EE49" i="5" l="1"/>
  <c r="EE50" i="5" s="1"/>
  <c r="EJ49" i="5"/>
  <c r="EJ50" i="5" s="1"/>
  <c r="EL49" i="5"/>
  <c r="EL50" i="5" s="1"/>
  <c r="EH49" i="5"/>
  <c r="EH50" i="5" s="1"/>
  <c r="ED49" i="5"/>
  <c r="ED50" i="5" s="1"/>
  <c r="EC49" i="5"/>
  <c r="EC50" i="5" s="1"/>
  <c r="EG49" i="5"/>
  <c r="EG50" i="5" s="1"/>
  <c r="EM49" i="5"/>
  <c r="EI49" i="5"/>
  <c r="EI50" i="5" s="1"/>
  <c r="EB15" i="5"/>
  <c r="EK49" i="5"/>
  <c r="EK50" i="5" s="1"/>
  <c r="EB49" i="5"/>
  <c r="EB50" i="5" s="1"/>
  <c r="EN113" i="5"/>
  <c r="EF49" i="5"/>
  <c r="EF50" i="5" s="1"/>
  <c r="DO15" i="5"/>
  <c r="DB15" i="5"/>
  <c r="EN49" i="5" l="1"/>
  <c r="L95" i="2" s="1"/>
  <c r="EM50" i="5"/>
  <c r="EN50" i="5" s="1"/>
  <c r="L96" i="2" s="1"/>
  <c r="EN114" i="5"/>
  <c r="EN115" i="5" l="1"/>
  <c r="L122" i="2" l="1"/>
  <c r="L124" i="2" l="1"/>
  <c r="BU84" i="5" l="1"/>
  <c r="BU56" i="5"/>
  <c r="BV84" i="5" l="1"/>
  <c r="BV56" i="5"/>
  <c r="BW56" i="5" l="1"/>
  <c r="BW84" i="5"/>
  <c r="BX84" i="5" l="1"/>
  <c r="BX56" i="5"/>
  <c r="BY56" i="5" l="1"/>
  <c r="BY84" i="5"/>
  <c r="BZ84" i="5" l="1"/>
  <c r="CA84" i="5" s="1"/>
  <c r="CA53" i="5"/>
  <c r="BZ56" i="5"/>
  <c r="G99" i="2" l="1"/>
  <c r="CB84" i="5"/>
  <c r="CB56" i="5"/>
  <c r="CA56" i="5"/>
  <c r="G102" i="2" s="1"/>
  <c r="G130" i="2"/>
  <c r="CN84" i="5" l="1"/>
  <c r="H130" i="2" s="1"/>
  <c r="CC56" i="5"/>
  <c r="CD56" i="5" l="1"/>
  <c r="CE56" i="5" l="1"/>
  <c r="CE57" i="5" s="1"/>
  <c r="CF56" i="5" l="1"/>
  <c r="CF57" i="5" s="1"/>
  <c r="CG56" i="5" l="1"/>
  <c r="CG57" i="5" s="1"/>
  <c r="CH56" i="5" l="1"/>
  <c r="CH57" i="5" s="1"/>
  <c r="CI56" i="5" l="1"/>
  <c r="CI57" i="5" s="1"/>
  <c r="CJ56" i="5" l="1"/>
  <c r="CJ57" i="5" s="1"/>
  <c r="CK56" i="5" l="1"/>
  <c r="CK57" i="5" s="1"/>
  <c r="CL56" i="5" l="1"/>
  <c r="CL57" i="5" s="1"/>
  <c r="CN53" i="5" l="1"/>
  <c r="CO84" i="5" s="1"/>
  <c r="CM56" i="5"/>
  <c r="H99" i="2" l="1"/>
  <c r="CN56" i="5"/>
  <c r="H102" i="2" s="1"/>
  <c r="CM57" i="5"/>
  <c r="DA84" i="5" l="1"/>
  <c r="CN57" i="5"/>
  <c r="H103" i="2" s="1"/>
  <c r="CP56" i="5"/>
  <c r="CP57" i="5" s="1"/>
  <c r="DW56" i="5" l="1"/>
  <c r="DW57" i="5" s="1"/>
  <c r="EH56" i="5"/>
  <c r="EH57" i="5" s="1"/>
  <c r="EK56" i="5"/>
  <c r="EK57" i="5" s="1"/>
  <c r="CX56" i="5"/>
  <c r="CX57" i="5" s="1"/>
  <c r="CR56" i="5"/>
  <c r="CR57" i="5" s="1"/>
  <c r="DY56" i="5"/>
  <c r="DY57" i="5" s="1"/>
  <c r="DL56" i="5"/>
  <c r="DL57" i="5" s="1"/>
  <c r="CY56" i="5"/>
  <c r="CY57" i="5" s="1"/>
  <c r="DK56" i="5"/>
  <c r="DK57" i="5" s="1"/>
  <c r="EI56" i="5"/>
  <c r="EI57" i="5" s="1"/>
  <c r="DV56" i="5"/>
  <c r="DV57" i="5" s="1"/>
  <c r="EF56" i="5"/>
  <c r="EF57" i="5" s="1"/>
  <c r="DT56" i="5"/>
  <c r="DT57" i="5" s="1"/>
  <c r="EJ56" i="5"/>
  <c r="EJ57" i="5" s="1"/>
  <c r="ED56" i="5"/>
  <c r="ED57" i="5" s="1"/>
  <c r="CW56" i="5"/>
  <c r="CW57" i="5" s="1"/>
  <c r="EG56" i="5"/>
  <c r="EG57" i="5" s="1"/>
  <c r="DH56" i="5"/>
  <c r="DH57" i="5" s="1"/>
  <c r="DC56" i="5"/>
  <c r="DC57" i="5" s="1"/>
  <c r="CT56" i="5"/>
  <c r="CT57" i="5" s="1"/>
  <c r="DD56" i="5"/>
  <c r="DD57" i="5" s="1"/>
  <c r="DZ56" i="5"/>
  <c r="EA53" i="5"/>
  <c r="CQ56" i="5"/>
  <c r="CQ57" i="5" s="1"/>
  <c r="DQ56" i="5"/>
  <c r="DQ57" i="5" s="1"/>
  <c r="EC56" i="5"/>
  <c r="EC57" i="5" s="1"/>
  <c r="CV56" i="5"/>
  <c r="CV57" i="5" s="1"/>
  <c r="DU56" i="5"/>
  <c r="DU57" i="5" s="1"/>
  <c r="DI56" i="5"/>
  <c r="DI57" i="5" s="1"/>
  <c r="EB56" i="5"/>
  <c r="EB57" i="5" s="1"/>
  <c r="DB56" i="5"/>
  <c r="DB57" i="5" s="1"/>
  <c r="DG56" i="5"/>
  <c r="DG57" i="5" s="1"/>
  <c r="EE56" i="5"/>
  <c r="EE57" i="5" s="1"/>
  <c r="DA53" i="5"/>
  <c r="CZ56" i="5"/>
  <c r="DF56" i="5"/>
  <c r="DF57" i="5" s="1"/>
  <c r="CU56" i="5"/>
  <c r="CU57" i="5" s="1"/>
  <c r="DE56" i="5"/>
  <c r="DE57" i="5" s="1"/>
  <c r="EL56" i="5"/>
  <c r="EL57" i="5" s="1"/>
  <c r="DJ56" i="5"/>
  <c r="DJ57" i="5" s="1"/>
  <c r="DR56" i="5"/>
  <c r="DR57" i="5" s="1"/>
  <c r="DN53" i="5"/>
  <c r="DM56" i="5"/>
  <c r="CS56" i="5"/>
  <c r="CS57" i="5" s="1"/>
  <c r="DS56" i="5"/>
  <c r="DS57" i="5" s="1"/>
  <c r="DO56" i="5"/>
  <c r="DO57" i="5" s="1"/>
  <c r="EN53" i="5"/>
  <c r="L99" i="2" s="1"/>
  <c r="EM56" i="5"/>
  <c r="DX56" i="5"/>
  <c r="DX57" i="5" s="1"/>
  <c r="DP56" i="5"/>
  <c r="DP57" i="5" s="1"/>
  <c r="J99" i="2" l="1"/>
  <c r="DO84" i="5"/>
  <c r="EA84" i="5" s="1"/>
  <c r="K99" i="2"/>
  <c r="EB84" i="5"/>
  <c r="EN84" i="5" s="1"/>
  <c r="L130" i="2" s="1"/>
  <c r="I99" i="2"/>
  <c r="DB84" i="5"/>
  <c r="I130" i="2"/>
  <c r="EN56" i="5"/>
  <c r="L102" i="2" s="1"/>
  <c r="EM57" i="5"/>
  <c r="EN57" i="5" s="1"/>
  <c r="L103" i="2" s="1"/>
  <c r="DN56" i="5"/>
  <c r="J102" i="2" s="1"/>
  <c r="DM57" i="5"/>
  <c r="DA56" i="5"/>
  <c r="I102" i="2" s="1"/>
  <c r="CZ57" i="5"/>
  <c r="EA56" i="5"/>
  <c r="K102" i="2" s="1"/>
  <c r="DZ57" i="5"/>
  <c r="EA57" i="5" s="1"/>
  <c r="K103" i="2" s="1"/>
  <c r="DN84" i="5" l="1"/>
  <c r="J130" i="2" s="1"/>
  <c r="K130" i="2"/>
  <c r="DA57" i="5"/>
  <c r="I103" i="2" s="1"/>
  <c r="DN57" i="5"/>
  <c r="J103" i="2" s="1"/>
  <c r="G135" i="2" l="1"/>
  <c r="G90" i="2" l="1"/>
  <c r="G184" i="2" s="1"/>
  <c r="R56" i="1" l="1"/>
  <c r="AO60" i="5" l="1"/>
  <c r="AO62" i="5" s="1"/>
  <c r="R60" i="1"/>
  <c r="AP88" i="5" l="1"/>
  <c r="AP90" i="5" s="1"/>
  <c r="AP92" i="5" s="1"/>
  <c r="AP94" i="5" s="1"/>
  <c r="AP95" i="5" s="1"/>
  <c r="AO88" i="5"/>
  <c r="AO63" i="5"/>
  <c r="AO64" i="5" s="1"/>
  <c r="BA88" i="5" l="1"/>
  <c r="D134" i="2" s="1"/>
  <c r="AO90" i="5"/>
  <c r="BA90" i="5" l="1"/>
  <c r="D136" i="2" s="1"/>
  <c r="AO92" i="5"/>
  <c r="AO94" i="5" l="1"/>
  <c r="AO95" i="5" s="1"/>
  <c r="BA92" i="5"/>
  <c r="BA94" i="5" l="1"/>
  <c r="BA95" i="5" s="1"/>
  <c r="D138" i="2"/>
  <c r="D142" i="2" s="1"/>
  <c r="D140" i="2" l="1"/>
  <c r="BY45" i="5" l="1"/>
  <c r="BZ76" i="5"/>
  <c r="BZ78" i="5" s="1"/>
  <c r="BY30" i="5"/>
  <c r="BX45" i="5"/>
  <c r="BY76" i="5"/>
  <c r="BY78" i="5" s="1"/>
  <c r="BX30" i="5"/>
  <c r="BW45" i="5"/>
  <c r="BX76" i="5"/>
  <c r="BX78" i="5" s="1"/>
  <c r="BW30" i="5"/>
  <c r="BV45" i="5"/>
  <c r="BW76" i="5"/>
  <c r="BW78" i="5" s="1"/>
  <c r="BV30" i="5"/>
  <c r="BU45" i="5"/>
  <c r="BV76" i="5"/>
  <c r="BV78" i="5" s="1"/>
  <c r="BU30" i="5"/>
  <c r="BU76" i="5"/>
  <c r="BU78" i="5" s="1"/>
  <c r="CA115" i="5"/>
  <c r="BX48" i="5"/>
  <c r="BW48" i="5"/>
  <c r="CA111" i="5"/>
  <c r="BV48" i="5"/>
  <c r="CA112" i="5"/>
  <c r="BY48" i="5"/>
  <c r="BU48" i="5"/>
  <c r="CA107" i="5"/>
  <c r="BY46" i="5"/>
  <c r="BX31" i="5"/>
  <c r="BZ30" i="5"/>
  <c r="CA30" i="5" s="1"/>
  <c r="G76" i="2" s="1"/>
  <c r="BW31" i="5"/>
  <c r="BZ47" i="5"/>
  <c r="CA47" i="5" s="1"/>
  <c r="G93" i="2" s="1"/>
  <c r="BV46" i="5"/>
  <c r="BU46" i="5"/>
  <c r="BV31" i="5"/>
  <c r="BZ32" i="5"/>
  <c r="CA32" i="5" s="1"/>
  <c r="G78" i="2" s="1"/>
  <c r="BX49" i="5"/>
  <c r="BV32" i="5"/>
  <c r="BW46" i="5"/>
  <c r="CA113" i="5"/>
  <c r="BW49" i="5"/>
  <c r="CA110" i="5"/>
  <c r="CA108" i="5"/>
  <c r="BY49" i="5"/>
  <c r="CA109" i="5"/>
  <c r="BU31" i="5"/>
  <c r="BX46" i="5"/>
  <c r="BY31" i="5"/>
  <c r="BU49" i="5"/>
  <c r="BV49" i="5"/>
  <c r="BY32" i="5"/>
  <c r="BX47" i="5"/>
  <c r="BV47" i="5"/>
  <c r="BY47" i="5"/>
  <c r="BU47" i="5"/>
  <c r="BW47" i="5"/>
  <c r="BW32" i="5"/>
  <c r="BX32" i="5"/>
  <c r="BU32" i="5"/>
  <c r="BZ49" i="5"/>
  <c r="CA49" i="5" s="1"/>
  <c r="G95" i="2" s="1"/>
  <c r="BZ48" i="5"/>
  <c r="CA48" i="5" s="1"/>
  <c r="G94" i="2" s="1"/>
  <c r="BZ46" i="5"/>
  <c r="CA46" i="5" s="1"/>
  <c r="G92" i="2" s="1"/>
  <c r="BZ45" i="5"/>
  <c r="CA45" i="5" s="1"/>
  <c r="G91" i="2" s="1"/>
  <c r="CA114" i="5"/>
  <c r="BZ31" i="5"/>
  <c r="CA31" i="5" s="1"/>
  <c r="G77" i="2" s="1"/>
  <c r="CA106" i="5"/>
  <c r="BX50" i="5" l="1"/>
  <c r="BX57" i="5" s="1"/>
  <c r="BU50" i="5"/>
  <c r="BU57" i="5" s="1"/>
  <c r="BV50" i="5"/>
  <c r="BV57" i="5" s="1"/>
  <c r="BY50" i="5"/>
  <c r="BY57" i="5" s="1"/>
  <c r="BW50" i="5"/>
  <c r="BW57" i="5" s="1"/>
  <c r="CA78" i="5"/>
  <c r="G124" i="2" s="1"/>
  <c r="BZ50" i="5"/>
  <c r="CA76" i="5"/>
  <c r="G122" i="2" l="1"/>
  <c r="G180" i="2"/>
  <c r="CA50" i="5"/>
  <c r="G96" i="2" s="1"/>
  <c r="BZ57" i="5"/>
  <c r="BR94" i="5" l="1"/>
  <c r="CA57" i="5"/>
  <c r="G103" i="2" s="1"/>
  <c r="BR95" i="5" l="1"/>
  <c r="BR64" i="5"/>
  <c r="H81" i="2" l="1"/>
  <c r="DA35" i="5" l="1"/>
  <c r="DB126" i="5" l="1"/>
  <c r="DB128" i="5" s="1"/>
  <c r="DB35" i="5" s="1"/>
  <c r="DC126" i="5" s="1"/>
  <c r="DC128" i="5" s="1"/>
  <c r="DA39" i="5"/>
  <c r="I81" i="2"/>
  <c r="CP35" i="5" l="1"/>
  <c r="CQ126" i="5" l="1"/>
  <c r="CQ128" i="5" s="1"/>
  <c r="CP81" i="5"/>
  <c r="CP82" i="5" s="1"/>
  <c r="CP39" i="5"/>
  <c r="CQ35" i="5" l="1"/>
  <c r="CR126" i="5" s="1"/>
  <c r="CR128" i="5" s="1"/>
  <c r="CQ131" i="5"/>
  <c r="CQ132" i="5" s="1"/>
  <c r="CQ39" i="5" l="1"/>
  <c r="CQ81" i="5"/>
  <c r="CQ82" i="5" s="1"/>
  <c r="CR35" i="5"/>
  <c r="CR131" i="5"/>
  <c r="CR132" i="5" s="1"/>
  <c r="CS126" i="5"/>
  <c r="CS128" i="5" s="1"/>
  <c r="CR81" i="5"/>
  <c r="CR82" i="5" s="1"/>
  <c r="CR39" i="5"/>
  <c r="CS35" i="5" l="1"/>
  <c r="CT126" i="5" s="1"/>
  <c r="CT128" i="5" s="1"/>
  <c r="CS131" i="5"/>
  <c r="CS132" i="5" l="1"/>
  <c r="CS81" i="5"/>
  <c r="CS82" i="5" s="1"/>
  <c r="CS39" i="5"/>
  <c r="CT35" i="5"/>
  <c r="CU126" i="5" s="1"/>
  <c r="CU128" i="5" s="1"/>
  <c r="CT131" i="5"/>
  <c r="CT132" i="5" s="1"/>
  <c r="CT81" i="5"/>
  <c r="CT82" i="5" s="1"/>
  <c r="CT39" i="5"/>
  <c r="CU35" i="5" l="1"/>
  <c r="CV126" i="5" s="1"/>
  <c r="CV128" i="5" s="1"/>
  <c r="CU131" i="5"/>
  <c r="CU132" i="5" l="1"/>
  <c r="CU81" i="5"/>
  <c r="CU82" i="5" s="1"/>
  <c r="CU39" i="5"/>
  <c r="CV35" i="5"/>
  <c r="CV131" i="5"/>
  <c r="CV132" i="5" l="1"/>
  <c r="CW126" i="5"/>
  <c r="CW128" i="5" s="1"/>
  <c r="CV81" i="5"/>
  <c r="CV82" i="5" s="1"/>
  <c r="CV39" i="5"/>
  <c r="CW35" i="5" l="1"/>
  <c r="CW131" i="5"/>
  <c r="CW132" i="5" l="1"/>
  <c r="CX126" i="5"/>
  <c r="CX128" i="5" s="1"/>
  <c r="CW39" i="5"/>
  <c r="CW81" i="5"/>
  <c r="CW82" i="5" s="1"/>
  <c r="CX35" i="5" l="1"/>
  <c r="CX131" i="5"/>
  <c r="I85" i="2"/>
  <c r="CX132" i="5" l="1"/>
  <c r="CY126" i="5"/>
  <c r="CY128" i="5" s="1"/>
  <c r="CX39" i="5"/>
  <c r="CX81" i="5"/>
  <c r="DN35" i="5"/>
  <c r="CX82" i="5" l="1"/>
  <c r="CY35" i="5"/>
  <c r="CY131" i="5"/>
  <c r="CY132" i="5" s="1"/>
  <c r="DO126" i="5"/>
  <c r="DO128" i="5" s="1"/>
  <c r="DO35" i="5" s="1"/>
  <c r="DP126" i="5" s="1"/>
  <c r="DP128" i="5" s="1"/>
  <c r="DC35" i="5"/>
  <c r="DD126" i="5" s="1"/>
  <c r="DD128" i="5" s="1"/>
  <c r="DB81" i="5"/>
  <c r="DB82" i="5" s="1"/>
  <c r="J81" i="2"/>
  <c r="DB39" i="5"/>
  <c r="CZ126" i="5" l="1"/>
  <c r="CZ128" i="5" s="1"/>
  <c r="CY39" i="5"/>
  <c r="CY81" i="5"/>
  <c r="DD35" i="5"/>
  <c r="DE126" i="5" s="1"/>
  <c r="DE128" i="5" s="1"/>
  <c r="DC81" i="5"/>
  <c r="DC82" i="5" s="1"/>
  <c r="DC39" i="5"/>
  <c r="CY82" i="5" l="1"/>
  <c r="CZ35" i="5"/>
  <c r="CZ131" i="5"/>
  <c r="CZ132" i="5" s="1"/>
  <c r="DE35" i="5"/>
  <c r="DF126" i="5" s="1"/>
  <c r="DF128" i="5" s="1"/>
  <c r="DD39" i="5"/>
  <c r="DD81" i="5"/>
  <c r="DD82" i="5" s="1"/>
  <c r="CZ39" i="5" l="1"/>
  <c r="CZ81" i="5"/>
  <c r="DE81" i="5"/>
  <c r="DE82" i="5" s="1"/>
  <c r="DF35" i="5"/>
  <c r="DG126" i="5" s="1"/>
  <c r="DG128" i="5" s="1"/>
  <c r="DE39" i="5"/>
  <c r="CZ82" i="5" l="1"/>
  <c r="DA81" i="5"/>
  <c r="I127" i="2" s="1"/>
  <c r="DF81" i="5"/>
  <c r="DF82" i="5" s="1"/>
  <c r="DG35" i="5"/>
  <c r="DH126" i="5" s="1"/>
  <c r="DH128" i="5" s="1"/>
  <c r="DF39" i="5"/>
  <c r="DG81" i="5" l="1"/>
  <c r="DG82" i="5" s="1"/>
  <c r="DH35" i="5"/>
  <c r="DI126" i="5" s="1"/>
  <c r="DI128" i="5" s="1"/>
  <c r="DG39" i="5"/>
  <c r="DH81" i="5" l="1"/>
  <c r="DH82" i="5" s="1"/>
  <c r="DI35" i="5"/>
  <c r="DJ126" i="5" s="1"/>
  <c r="DJ128" i="5" s="1"/>
  <c r="DH39" i="5"/>
  <c r="DI81" i="5" l="1"/>
  <c r="DI82" i="5" s="1"/>
  <c r="DJ35" i="5"/>
  <c r="DK126" i="5" s="1"/>
  <c r="DK128" i="5" s="1"/>
  <c r="DI39" i="5"/>
  <c r="DJ81" i="5" l="1"/>
  <c r="DJ82" i="5" s="1"/>
  <c r="DK35" i="5"/>
  <c r="DL126" i="5" s="1"/>
  <c r="DL128" i="5" s="1"/>
  <c r="DJ39" i="5"/>
  <c r="DK81" i="5" l="1"/>
  <c r="DK82" i="5" s="1"/>
  <c r="DL35" i="5"/>
  <c r="DM126" i="5" s="1"/>
  <c r="DM128" i="5" s="1"/>
  <c r="DK39" i="5"/>
  <c r="DL81" i="5" l="1"/>
  <c r="DL39" i="5"/>
  <c r="DM35" i="5" l="1"/>
  <c r="DM81" i="5" s="1"/>
  <c r="DM82" i="5" s="1"/>
  <c r="DL82" i="5"/>
  <c r="DN81" i="5" l="1"/>
  <c r="J127" i="2" s="1"/>
  <c r="DM39" i="5"/>
  <c r="DN82" i="5"/>
  <c r="J128" i="2" s="1"/>
  <c r="J41" i="2" s="1"/>
  <c r="DN39" i="5" l="1"/>
  <c r="J85" i="2" s="1"/>
  <c r="EA35" i="5"/>
  <c r="EB126" i="5" s="1"/>
  <c r="EB128" i="5" s="1"/>
  <c r="EB35" i="5" l="1"/>
  <c r="K81" i="2"/>
  <c r="DP35" i="5"/>
  <c r="DQ126" i="5" s="1"/>
  <c r="DQ128" i="5" s="1"/>
  <c r="DO81" i="5"/>
  <c r="DO39" i="5"/>
  <c r="EB81" i="5" l="1"/>
  <c r="EB82" i="5" s="1"/>
  <c r="EC126" i="5"/>
  <c r="EC128" i="5" s="1"/>
  <c r="DQ35" i="5"/>
  <c r="DP81" i="5"/>
  <c r="DP82" i="5" s="1"/>
  <c r="DP39" i="5"/>
  <c r="DO82" i="5"/>
  <c r="DQ39" i="5" l="1"/>
  <c r="DR126" i="5"/>
  <c r="DR128" i="5" s="1"/>
  <c r="DQ81" i="5"/>
  <c r="DQ82" i="5" s="1"/>
  <c r="DR35" i="5" l="1"/>
  <c r="DS126" i="5" l="1"/>
  <c r="DS128" i="5" s="1"/>
  <c r="DS35" i="5" s="1"/>
  <c r="DR39" i="5"/>
  <c r="DR81" i="5"/>
  <c r="DR82" i="5" s="1"/>
  <c r="DT126" i="5" l="1"/>
  <c r="DT128" i="5" s="1"/>
  <c r="DT35" i="5" s="1"/>
  <c r="DU126" i="5" s="1"/>
  <c r="DU128" i="5" s="1"/>
  <c r="DS81" i="5"/>
  <c r="DS82" i="5" s="1"/>
  <c r="DS39" i="5"/>
  <c r="DT81" i="5" l="1"/>
  <c r="DT82" i="5" s="1"/>
  <c r="DT39" i="5"/>
  <c r="DU35" i="5"/>
  <c r="DV126" i="5" s="1"/>
  <c r="DV128" i="5" s="1"/>
  <c r="DV35" i="5" l="1"/>
  <c r="DU39" i="5"/>
  <c r="DU81" i="5"/>
  <c r="DU82" i="5" s="1"/>
  <c r="DV81" i="5" l="1"/>
  <c r="DV82" i="5" s="1"/>
  <c r="DW126" i="5"/>
  <c r="DW128" i="5" s="1"/>
  <c r="DW35" i="5" s="1"/>
  <c r="DX126" i="5" s="1"/>
  <c r="DX128" i="5" s="1"/>
  <c r="DV39" i="5"/>
  <c r="DW39" i="5" l="1"/>
  <c r="DW81" i="5"/>
  <c r="DW82" i="5" s="1"/>
  <c r="DX35" i="5"/>
  <c r="DY126" i="5" s="1"/>
  <c r="DY128" i="5" s="1"/>
  <c r="DY35" i="5" l="1"/>
  <c r="DX39" i="5"/>
  <c r="DX81" i="5"/>
  <c r="DX82" i="5" s="1"/>
  <c r="DY81" i="5" l="1"/>
  <c r="DY82" i="5" s="1"/>
  <c r="DZ126" i="5"/>
  <c r="DZ128" i="5" s="1"/>
  <c r="DZ35" i="5" s="1"/>
  <c r="DZ39" i="5" s="1"/>
  <c r="EA39" i="5" s="1"/>
  <c r="K85" i="2" s="1"/>
  <c r="DY39" i="5"/>
  <c r="DZ81" i="5" l="1"/>
  <c r="EA81" i="5" s="1"/>
  <c r="K127" i="2" s="1"/>
  <c r="DZ82" i="5" l="1"/>
  <c r="EA82" i="5" l="1"/>
  <c r="K128" i="2" s="1"/>
  <c r="K41" i="2" s="1"/>
  <c r="EN35" i="5" l="1"/>
  <c r="L81" i="2" s="1"/>
  <c r="EC35" i="5" l="1"/>
  <c r="ED126" i="5" s="1"/>
  <c r="ED128" i="5" s="1"/>
  <c r="EB39" i="5"/>
  <c r="EC81" i="5" l="1"/>
  <c r="EC39" i="5"/>
  <c r="EC82" i="5" l="1"/>
  <c r="ED35" i="5"/>
  <c r="EE126" i="5" s="1"/>
  <c r="EE128" i="5" s="1"/>
  <c r="ED81" i="5" l="1"/>
  <c r="ED39" i="5"/>
  <c r="EE35" i="5"/>
  <c r="EF126" i="5" s="1"/>
  <c r="EF128" i="5" s="1"/>
  <c r="ED82" i="5" l="1"/>
  <c r="EE81" i="5"/>
  <c r="EE82" i="5" s="1"/>
  <c r="EF35" i="5"/>
  <c r="EG126" i="5" s="1"/>
  <c r="EG128" i="5" s="1"/>
  <c r="EE39" i="5"/>
  <c r="EF81" i="5" l="1"/>
  <c r="EF82" i="5" s="1"/>
  <c r="EG35" i="5"/>
  <c r="EH126" i="5" s="1"/>
  <c r="EH128" i="5" s="1"/>
  <c r="EF39" i="5"/>
  <c r="EG81" i="5" l="1"/>
  <c r="EG82" i="5" s="1"/>
  <c r="EG39" i="5"/>
  <c r="EH35" i="5"/>
  <c r="EH81" i="5" l="1"/>
  <c r="EH82" i="5" s="1"/>
  <c r="EI126" i="5"/>
  <c r="EI128" i="5" s="1"/>
  <c r="EI35" i="5" s="1"/>
  <c r="EH39" i="5"/>
  <c r="EI81" i="5" l="1"/>
  <c r="EI82" i="5" s="1"/>
  <c r="EJ126" i="5"/>
  <c r="EJ128" i="5" s="1"/>
  <c r="EJ35" i="5" s="1"/>
  <c r="EK126" i="5" s="1"/>
  <c r="EK128" i="5" s="1"/>
  <c r="EI39" i="5"/>
  <c r="EJ81" i="5" l="1"/>
  <c r="EJ82" i="5" s="1"/>
  <c r="EK35" i="5"/>
  <c r="EL126" i="5" s="1"/>
  <c r="EL128" i="5" s="1"/>
  <c r="EJ39" i="5"/>
  <c r="EK81" i="5" l="1"/>
  <c r="EK82" i="5" s="1"/>
  <c r="EK39" i="5"/>
  <c r="EL35" i="5" l="1"/>
  <c r="EM126" i="5" s="1"/>
  <c r="EM128" i="5" s="1"/>
  <c r="EL81" i="5" l="1"/>
  <c r="EL82" i="5" s="1"/>
  <c r="EL39" i="5"/>
  <c r="EM35" i="5"/>
  <c r="EM39" i="5" s="1"/>
  <c r="EN39" i="5" s="1"/>
  <c r="L85" i="2" s="1"/>
  <c r="EM81" i="5" l="1"/>
  <c r="EM82" i="5" l="1"/>
  <c r="EN81" i="5"/>
  <c r="L127" i="2" s="1"/>
  <c r="EN82" i="5" l="1"/>
  <c r="L128" i="2" s="1"/>
  <c r="L41" i="2" s="1"/>
  <c r="CE76" i="5"/>
  <c r="CE78" i="5" s="1"/>
  <c r="CD30" i="5"/>
  <c r="CD45" i="5"/>
  <c r="CD76" i="5"/>
  <c r="CD78" i="5" s="1"/>
  <c r="CC30" i="5"/>
  <c r="CC45" i="5"/>
  <c r="CC76" i="5"/>
  <c r="CC78" i="5" s="1"/>
  <c r="CB78" i="5"/>
  <c r="CN115" i="5"/>
  <c r="CN114" i="5"/>
  <c r="CN112" i="5"/>
  <c r="CB48" i="5"/>
  <c r="CD48" i="5"/>
  <c r="CC48" i="5"/>
  <c r="CB47" i="5"/>
  <c r="CN111" i="5"/>
  <c r="CD47" i="5"/>
  <c r="CC47" i="5"/>
  <c r="CC49" i="5"/>
  <c r="CN113" i="5"/>
  <c r="CB49" i="5"/>
  <c r="CC32" i="5"/>
  <c r="CN108" i="5"/>
  <c r="CB32" i="5"/>
  <c r="CD32" i="5"/>
  <c r="CD49" i="5"/>
  <c r="CB45" i="5"/>
  <c r="CN109" i="5"/>
  <c r="CC31" i="5"/>
  <c r="CN107" i="5"/>
  <c r="CB31" i="5"/>
  <c r="CD31" i="5"/>
  <c r="CN110" i="5"/>
  <c r="CB46" i="5"/>
  <c r="CD46" i="5"/>
  <c r="CC46" i="5"/>
  <c r="CB30" i="5"/>
  <c r="CN106" i="5"/>
  <c r="CO76" i="5" l="1"/>
  <c r="CO78" i="5" s="1"/>
  <c r="CO82" i="5" s="1"/>
  <c r="CC50" i="5"/>
  <c r="CC57" i="5" s="1"/>
  <c r="CB50" i="5"/>
  <c r="CB57" i="5" s="1"/>
  <c r="CD50" i="5"/>
  <c r="CD57" i="5" s="1"/>
  <c r="DA115" i="5"/>
  <c r="CN78" i="5"/>
  <c r="H124" i="2" s="1"/>
  <c r="CN76" i="5"/>
  <c r="H122" i="2" s="1"/>
  <c r="DA76" i="5" l="1"/>
  <c r="I122" i="2" s="1"/>
  <c r="DA78" i="5" l="1"/>
  <c r="I124" i="2" s="1"/>
  <c r="DA82" i="5" l="1"/>
  <c r="I128" i="2" s="1"/>
  <c r="I41" i="2" s="1"/>
  <c r="BV12" i="5" l="1"/>
  <c r="BS19" i="5"/>
  <c r="BY12" i="5" l="1"/>
  <c r="BV13" i="5"/>
  <c r="BV15" i="5" s="1"/>
  <c r="BV86" i="5"/>
  <c r="CC12" i="5" l="1"/>
  <c r="BY86" i="5"/>
  <c r="BY13" i="5"/>
  <c r="CA12" i="5"/>
  <c r="G63" i="2" s="1"/>
  <c r="CF12" i="5" l="1"/>
  <c r="BY15" i="5"/>
  <c r="CA15" i="5" s="1"/>
  <c r="G66" i="2" s="1"/>
  <c r="CA13" i="5"/>
  <c r="G64" i="2" s="1"/>
  <c r="G165" i="2" s="1"/>
  <c r="CC13" i="5"/>
  <c r="CC86" i="5"/>
  <c r="CA86" i="5"/>
  <c r="G132" i="2" s="1"/>
  <c r="G166" i="2" l="1"/>
  <c r="BU61" i="5"/>
  <c r="CC15" i="5"/>
  <c r="CI12" i="5"/>
  <c r="CF86" i="5"/>
  <c r="CF13" i="5"/>
  <c r="CF15" i="5" s="1"/>
  <c r="CI86" i="5" l="1"/>
  <c r="CI13" i="5"/>
  <c r="CI15" i="5" s="1"/>
  <c r="CL12" i="5"/>
  <c r="CN12" i="5" s="1"/>
  <c r="H63" i="2" s="1"/>
  <c r="BV61" i="5"/>
  <c r="BU62" i="5"/>
  <c r="BV62" i="5" l="1"/>
  <c r="BV88" i="5" s="1"/>
  <c r="BV90" i="5" s="1"/>
  <c r="BW61" i="5"/>
  <c r="BU63" i="5"/>
  <c r="CP12" i="5"/>
  <c r="BU88" i="5"/>
  <c r="CL86" i="5"/>
  <c r="CL13" i="5"/>
  <c r="CL15" i="5" s="1"/>
  <c r="CN15" i="5" s="1"/>
  <c r="H66" i="2" s="1"/>
  <c r="CN13" i="5" l="1"/>
  <c r="H64" i="2" s="1"/>
  <c r="CN86" i="5"/>
  <c r="H132" i="2" s="1"/>
  <c r="BU90" i="5"/>
  <c r="BV63" i="5"/>
  <c r="BX61" i="5"/>
  <c r="BW62" i="5"/>
  <c r="BW88" i="5" s="1"/>
  <c r="BW90" i="5" s="1"/>
  <c r="CS12" i="5"/>
  <c r="CP86" i="5"/>
  <c r="CP13" i="5"/>
  <c r="CP15" i="5" l="1"/>
  <c r="BW63" i="5"/>
  <c r="BY61" i="5"/>
  <c r="BX62" i="5"/>
  <c r="CS86" i="5"/>
  <c r="CS13" i="5"/>
  <c r="CS15" i="5" s="1"/>
  <c r="CV12" i="5"/>
  <c r="BX63" i="5" l="1"/>
  <c r="CY12" i="5"/>
  <c r="DA12" i="5" s="1"/>
  <c r="I63" i="2" s="1"/>
  <c r="BY62" i="5"/>
  <c r="BZ61" i="5"/>
  <c r="CV13" i="5"/>
  <c r="CV15" i="5" s="1"/>
  <c r="CV86" i="5"/>
  <c r="BX88" i="5"/>
  <c r="BX90" i="5" l="1"/>
  <c r="DC12" i="5"/>
  <c r="BZ62" i="5"/>
  <c r="CB61" i="5"/>
  <c r="CA61" i="5"/>
  <c r="G107" i="2" s="1"/>
  <c r="BY63" i="5"/>
  <c r="BZ88" i="5"/>
  <c r="BZ90" i="5" s="1"/>
  <c r="BY88" i="5"/>
  <c r="BY90" i="5" s="1"/>
  <c r="CY86" i="5"/>
  <c r="DA86" i="5" s="1"/>
  <c r="I132" i="2" s="1"/>
  <c r="CY13" i="5"/>
  <c r="CY15" i="5" s="1"/>
  <c r="DA15" i="5" s="1"/>
  <c r="I66" i="2" s="1"/>
  <c r="DA13" i="5" l="1"/>
  <c r="I64" i="2" s="1"/>
  <c r="DC86" i="5"/>
  <c r="DC13" i="5"/>
  <c r="CB62" i="5"/>
  <c r="CC61" i="5"/>
  <c r="CA90" i="5"/>
  <c r="G136" i="2" s="1"/>
  <c r="CA88" i="5"/>
  <c r="G134" i="2" s="1"/>
  <c r="CA62" i="5"/>
  <c r="BZ63" i="5"/>
  <c r="DF12" i="5"/>
  <c r="DF86" i="5" l="1"/>
  <c r="DF13" i="5"/>
  <c r="DF15" i="5" s="1"/>
  <c r="CA63" i="5"/>
  <c r="G108" i="2"/>
  <c r="G161" i="2" s="1"/>
  <c r="CB88" i="5"/>
  <c r="CD61" i="5"/>
  <c r="CC62" i="5"/>
  <c r="CB63" i="5"/>
  <c r="DI12" i="5"/>
  <c r="DC15" i="5"/>
  <c r="DI86" i="5" l="1"/>
  <c r="DI13" i="5"/>
  <c r="CC63" i="5"/>
  <c r="G109" i="2"/>
  <c r="G182" i="2"/>
  <c r="G183" i="2"/>
  <c r="CC88" i="5"/>
  <c r="CC90" i="5" s="1"/>
  <c r="CB90" i="5"/>
  <c r="CD62" i="5"/>
  <c r="CD88" i="5" s="1"/>
  <c r="CD90" i="5" s="1"/>
  <c r="CE61" i="5"/>
  <c r="DL12" i="5"/>
  <c r="DN12" i="5" s="1"/>
  <c r="J63" i="2" s="1"/>
  <c r="CF61" i="5" l="1"/>
  <c r="CE62" i="5"/>
  <c r="CE88" i="5" s="1"/>
  <c r="CE90" i="5" s="1"/>
  <c r="CD63" i="5"/>
  <c r="DL86" i="5"/>
  <c r="DN86" i="5" s="1"/>
  <c r="J132" i="2" s="1"/>
  <c r="DL13" i="5"/>
  <c r="DL15" i="5" s="1"/>
  <c r="DI15" i="5"/>
  <c r="DP12" i="5"/>
  <c r="DN13" i="5" l="1"/>
  <c r="J64" i="2" s="1"/>
  <c r="DN15" i="5"/>
  <c r="J66" i="2" s="1"/>
  <c r="CF62" i="5"/>
  <c r="CF88" i="5" s="1"/>
  <c r="CG61" i="5"/>
  <c r="DS12" i="5"/>
  <c r="DP86" i="5"/>
  <c r="DP13" i="5"/>
  <c r="CE63" i="5"/>
  <c r="CF90" i="5" l="1"/>
  <c r="DP15" i="5"/>
  <c r="DS86" i="5"/>
  <c r="DS13" i="5"/>
  <c r="DS15" i="5" s="1"/>
  <c r="DV12" i="5"/>
  <c r="CG62" i="5"/>
  <c r="CG88" i="5" s="1"/>
  <c r="CG90" i="5" s="1"/>
  <c r="CH61" i="5"/>
  <c r="CF63" i="5"/>
  <c r="CI61" i="5" l="1"/>
  <c r="CH62" i="5"/>
  <c r="CH88" i="5" s="1"/>
  <c r="CH90" i="5" s="1"/>
  <c r="CG63" i="5"/>
  <c r="DV86" i="5"/>
  <c r="DV13" i="5"/>
  <c r="DV15" i="5" s="1"/>
  <c r="DY12" i="5"/>
  <c r="DY86" i="5" l="1"/>
  <c r="EA86" i="5" s="1"/>
  <c r="K132" i="2" s="1"/>
  <c r="DY13" i="5"/>
  <c r="EA12" i="5"/>
  <c r="K63" i="2" s="1"/>
  <c r="CH63" i="5"/>
  <c r="CI62" i="5"/>
  <c r="CI88" i="5" s="1"/>
  <c r="CI90" i="5" s="1"/>
  <c r="CJ61" i="5"/>
  <c r="EC12" i="5"/>
  <c r="DY15" i="5" l="1"/>
  <c r="EA15" i="5" s="1"/>
  <c r="K66" i="2" s="1"/>
  <c r="EA13" i="5"/>
  <c r="K64" i="2" s="1"/>
  <c r="EC13" i="5"/>
  <c r="EC86" i="5"/>
  <c r="CJ62" i="5"/>
  <c r="CK61" i="5"/>
  <c r="CI63" i="5"/>
  <c r="EF12" i="5"/>
  <c r="EC15" i="5" l="1"/>
  <c r="CJ63" i="5"/>
  <c r="EF86" i="5"/>
  <c r="EF13" i="5"/>
  <c r="EF15" i="5" s="1"/>
  <c r="CJ88" i="5"/>
  <c r="CJ90" i="5" s="1"/>
  <c r="EI12" i="5"/>
  <c r="CK62" i="5"/>
  <c r="CK88" i="5" s="1"/>
  <c r="CK90" i="5" s="1"/>
  <c r="CL61" i="5"/>
  <c r="CK63" i="5" l="1"/>
  <c r="CM61" i="5"/>
  <c r="CL62" i="5"/>
  <c r="CL88" i="5" s="1"/>
  <c r="CL90" i="5" s="1"/>
  <c r="EL12" i="5"/>
  <c r="EI86" i="5"/>
  <c r="EI13" i="5"/>
  <c r="EI15" i="5" l="1"/>
  <c r="CN61" i="5"/>
  <c r="CO61" i="5" s="1"/>
  <c r="CO62" i="5" s="1"/>
  <c r="CO63" i="5" s="1"/>
  <c r="CM62" i="5"/>
  <c r="CM88" i="5" s="1"/>
  <c r="EL86" i="5"/>
  <c r="EL13" i="5"/>
  <c r="EL15" i="5" s="1"/>
  <c r="CL63" i="5"/>
  <c r="EN12" i="5"/>
  <c r="L63" i="2" s="1"/>
  <c r="H107" i="2" l="1"/>
  <c r="EN13" i="5"/>
  <c r="L64" i="2" s="1"/>
  <c r="EN15" i="5"/>
  <c r="L66" i="2" s="1"/>
  <c r="CM90" i="5"/>
  <c r="CN88" i="5"/>
  <c r="H134" i="2" s="1"/>
  <c r="EN86" i="5"/>
  <c r="L132" i="2" s="1"/>
  <c r="CM63" i="5"/>
  <c r="CN62" i="5"/>
  <c r="CO88" i="5" s="1"/>
  <c r="CO90" i="5" s="1"/>
  <c r="CO92" i="5" s="1"/>
  <c r="CP61" i="5"/>
  <c r="CP60" i="5" l="1"/>
  <c r="CQ60" i="5" s="1"/>
  <c r="CR60" i="5" s="1"/>
  <c r="CS60" i="5" s="1"/>
  <c r="CT60" i="5" s="1"/>
  <c r="CU60" i="5" s="1"/>
  <c r="CV60" i="5" s="1"/>
  <c r="CW60" i="5" s="1"/>
  <c r="CX60" i="5" s="1"/>
  <c r="CY60" i="5" s="1"/>
  <c r="CZ60" i="5" s="1"/>
  <c r="DA60" i="5" s="1"/>
  <c r="CQ61" i="5"/>
  <c r="H108" i="2"/>
  <c r="CN90" i="5"/>
  <c r="H136" i="2" s="1"/>
  <c r="CN63" i="5"/>
  <c r="CP62" i="5" l="1"/>
  <c r="CP88" i="5" s="1"/>
  <c r="CP90" i="5" s="1"/>
  <c r="CP92" i="5" s="1"/>
  <c r="DB60" i="5"/>
  <c r="DC60" i="5" s="1"/>
  <c r="DD60" i="5" s="1"/>
  <c r="DE60" i="5" s="1"/>
  <c r="DF60" i="5" s="1"/>
  <c r="DG60" i="5" s="1"/>
  <c r="DH60" i="5" s="1"/>
  <c r="DI60" i="5" s="1"/>
  <c r="DJ60" i="5" s="1"/>
  <c r="DK60" i="5" s="1"/>
  <c r="DL60" i="5" s="1"/>
  <c r="DM60" i="5" s="1"/>
  <c r="DN60" i="5" s="1"/>
  <c r="I106" i="2"/>
  <c r="H109" i="2"/>
  <c r="CQ62" i="5"/>
  <c r="CR61" i="5"/>
  <c r="CP63" i="5" l="1"/>
  <c r="CQ88" i="5"/>
  <c r="CQ90" i="5" s="1"/>
  <c r="CQ92" i="5" s="1"/>
  <c r="DO60" i="5"/>
  <c r="DP60" i="5" s="1"/>
  <c r="DQ60" i="5" s="1"/>
  <c r="DR60" i="5" s="1"/>
  <c r="DS60" i="5" s="1"/>
  <c r="DT60" i="5" s="1"/>
  <c r="DU60" i="5" s="1"/>
  <c r="DV60" i="5" s="1"/>
  <c r="DW60" i="5" s="1"/>
  <c r="DX60" i="5" s="1"/>
  <c r="DY60" i="5" s="1"/>
  <c r="DZ60" i="5" s="1"/>
  <c r="EA60" i="5" s="1"/>
  <c r="J106" i="2"/>
  <c r="CS61" i="5"/>
  <c r="CR62" i="5"/>
  <c r="CR88" i="5" s="1"/>
  <c r="CR90" i="5" s="1"/>
  <c r="CR92" i="5" s="1"/>
  <c r="CQ63" i="5"/>
  <c r="EB60" i="5" l="1"/>
  <c r="EC60" i="5" s="1"/>
  <c r="ED60" i="5" s="1"/>
  <c r="EE60" i="5" s="1"/>
  <c r="EF60" i="5" s="1"/>
  <c r="EG60" i="5" s="1"/>
  <c r="EH60" i="5" s="1"/>
  <c r="EI60" i="5" s="1"/>
  <c r="EJ60" i="5" s="1"/>
  <c r="EK60" i="5" s="1"/>
  <c r="EL60" i="5" s="1"/>
  <c r="EM60" i="5" s="1"/>
  <c r="EN60" i="5" s="1"/>
  <c r="K106" i="2"/>
  <c r="CR63" i="5"/>
  <c r="CS62" i="5"/>
  <c r="CT61" i="5"/>
  <c r="CS63" i="5" l="1"/>
  <c r="CT62" i="5"/>
  <c r="CU61" i="5"/>
  <c r="CS88" i="5"/>
  <c r="CS90" i="5" l="1"/>
  <c r="CU62" i="5"/>
  <c r="CU88" i="5" s="1"/>
  <c r="CU90" i="5" s="1"/>
  <c r="CU92" i="5" s="1"/>
  <c r="CV61" i="5"/>
  <c r="CT63" i="5"/>
  <c r="CT88" i="5"/>
  <c r="CT90" i="5" s="1"/>
  <c r="CT92" i="5" s="1"/>
  <c r="CV62" i="5" l="1"/>
  <c r="CV88" i="5" s="1"/>
  <c r="CV90" i="5" s="1"/>
  <c r="CV92" i="5" s="1"/>
  <c r="CW61" i="5"/>
  <c r="CU63" i="5"/>
  <c r="CS92" i="5"/>
  <c r="CW62" i="5" l="1"/>
  <c r="CX61" i="5"/>
  <c r="CV63" i="5"/>
  <c r="CW63" i="5" l="1"/>
  <c r="CW88" i="5"/>
  <c r="CY61" i="5"/>
  <c r="CX62" i="5"/>
  <c r="CX88" i="5" s="1"/>
  <c r="CX90" i="5" s="1"/>
  <c r="CX92" i="5" s="1"/>
  <c r="CW90" i="5" l="1"/>
  <c r="CX63" i="5"/>
  <c r="CY62" i="5"/>
  <c r="CY88" i="5" s="1"/>
  <c r="CY90" i="5" s="1"/>
  <c r="CY92" i="5" s="1"/>
  <c r="CZ61" i="5"/>
  <c r="DB61" i="5" l="1"/>
  <c r="CZ62" i="5"/>
  <c r="CZ88" i="5" s="1"/>
  <c r="DA61" i="5"/>
  <c r="I107" i="2" s="1"/>
  <c r="CY63" i="5"/>
  <c r="CW92" i="5"/>
  <c r="CZ90" i="5" l="1"/>
  <c r="DA88" i="5"/>
  <c r="I134" i="2" s="1"/>
  <c r="CZ63" i="5"/>
  <c r="DA62" i="5"/>
  <c r="DB62" i="5"/>
  <c r="DC61" i="5"/>
  <c r="CZ92" i="5" l="1"/>
  <c r="DA90" i="5"/>
  <c r="I136" i="2" s="1"/>
  <c r="DC62" i="5"/>
  <c r="DC88" i="5" s="1"/>
  <c r="DC90" i="5" s="1"/>
  <c r="DC92" i="5" s="1"/>
  <c r="DD61" i="5"/>
  <c r="DB63" i="5"/>
  <c r="I108" i="2"/>
  <c r="DB88" i="5"/>
  <c r="DA63" i="5"/>
  <c r="DB90" i="5" l="1"/>
  <c r="DD62" i="5"/>
  <c r="DE61" i="5"/>
  <c r="DC63" i="5"/>
  <c r="I109" i="2"/>
  <c r="DA92" i="5"/>
  <c r="I138" i="2" s="1"/>
  <c r="DF61" i="5" l="1"/>
  <c r="DE62" i="5"/>
  <c r="DE88" i="5" s="1"/>
  <c r="DE90" i="5" s="1"/>
  <c r="DE92" i="5" s="1"/>
  <c r="DD63" i="5"/>
  <c r="DD88" i="5"/>
  <c r="DB92" i="5"/>
  <c r="DD90" i="5" l="1"/>
  <c r="DE63" i="5"/>
  <c r="DF62" i="5"/>
  <c r="DG61" i="5"/>
  <c r="DD92" i="5" l="1"/>
  <c r="DG62" i="5"/>
  <c r="DG88" i="5" s="1"/>
  <c r="DG90" i="5" s="1"/>
  <c r="DG92" i="5" s="1"/>
  <c r="DH61" i="5"/>
  <c r="DF63" i="5"/>
  <c r="DF88" i="5"/>
  <c r="DI61" i="5" l="1"/>
  <c r="DH62" i="5"/>
  <c r="DH88" i="5" s="1"/>
  <c r="DH90" i="5" s="1"/>
  <c r="DH92" i="5" s="1"/>
  <c r="DG63" i="5"/>
  <c r="DF90" i="5"/>
  <c r="DF92" i="5" l="1"/>
  <c r="DH63" i="5"/>
  <c r="DI62" i="5"/>
  <c r="DJ61" i="5"/>
  <c r="DJ62" i="5" l="1"/>
  <c r="DJ88" i="5" s="1"/>
  <c r="DJ90" i="5" s="1"/>
  <c r="DJ92" i="5" s="1"/>
  <c r="DK61" i="5"/>
  <c r="DI63" i="5"/>
  <c r="DI88" i="5"/>
  <c r="DI90" i="5" l="1"/>
  <c r="DK62" i="5"/>
  <c r="DK88" i="5" s="1"/>
  <c r="DK90" i="5" s="1"/>
  <c r="DK92" i="5" s="1"/>
  <c r="DL61" i="5"/>
  <c r="DJ63" i="5"/>
  <c r="DL62" i="5" l="1"/>
  <c r="DL88" i="5" s="1"/>
  <c r="DL90" i="5" s="1"/>
  <c r="DL92" i="5" s="1"/>
  <c r="DM61" i="5"/>
  <c r="DK63" i="5"/>
  <c r="DI92" i="5"/>
  <c r="DL63" i="5" l="1"/>
  <c r="DO61" i="5"/>
  <c r="DN61" i="5"/>
  <c r="J107" i="2" s="1"/>
  <c r="DM62" i="5"/>
  <c r="DM88" i="5" s="1"/>
  <c r="DO62" i="5" l="1"/>
  <c r="DP61" i="5"/>
  <c r="DM90" i="5"/>
  <c r="DN88" i="5"/>
  <c r="J134" i="2" s="1"/>
  <c r="DN62" i="5"/>
  <c r="DM63" i="5"/>
  <c r="DM92" i="5" l="1"/>
  <c r="DN90" i="5"/>
  <c r="J136" i="2" s="1"/>
  <c r="DN63" i="5"/>
  <c r="DP62" i="5"/>
  <c r="DQ61" i="5"/>
  <c r="J108" i="2"/>
  <c r="DO88" i="5"/>
  <c r="DO63" i="5"/>
  <c r="DO90" i="5" l="1"/>
  <c r="J109" i="2"/>
  <c r="DP63" i="5"/>
  <c r="DP88" i="5"/>
  <c r="DP90" i="5" s="1"/>
  <c r="DP92" i="5" s="1"/>
  <c r="DQ62" i="5"/>
  <c r="DR61" i="5"/>
  <c r="DN92" i="5"/>
  <c r="J138" i="2" l="1"/>
  <c r="DS61" i="5"/>
  <c r="DR62" i="5"/>
  <c r="DR88" i="5" s="1"/>
  <c r="DR90" i="5" s="1"/>
  <c r="DR92" i="5" s="1"/>
  <c r="DQ63" i="5"/>
  <c r="DQ88" i="5"/>
  <c r="DQ90" i="5" s="1"/>
  <c r="DQ92" i="5" s="1"/>
  <c r="DO92" i="5"/>
  <c r="DS62" i="5" l="1"/>
  <c r="DS88" i="5" s="1"/>
  <c r="DS90" i="5" s="1"/>
  <c r="DT61" i="5"/>
  <c r="DR63" i="5"/>
  <c r="DT62" i="5" l="1"/>
  <c r="DT88" i="5" s="1"/>
  <c r="DU61" i="5"/>
  <c r="DS63" i="5"/>
  <c r="DS92" i="5"/>
  <c r="DT90" i="5" l="1"/>
  <c r="DV61" i="5"/>
  <c r="DU62" i="5"/>
  <c r="DU88" i="5" s="1"/>
  <c r="DU90" i="5" s="1"/>
  <c r="DU92" i="5" s="1"/>
  <c r="DT63" i="5"/>
  <c r="DT92" i="5" l="1"/>
  <c r="DU63" i="5"/>
  <c r="DV62" i="5"/>
  <c r="DV88" i="5" s="1"/>
  <c r="DW61" i="5"/>
  <c r="DV90" i="5" l="1"/>
  <c r="DW62" i="5"/>
  <c r="DX61" i="5"/>
  <c r="DV63" i="5"/>
  <c r="DX62" i="5" l="1"/>
  <c r="DX88" i="5" s="1"/>
  <c r="DX90" i="5" s="1"/>
  <c r="DX92" i="5" s="1"/>
  <c r="DY61" i="5"/>
  <c r="DW63" i="5"/>
  <c r="DW88" i="5"/>
  <c r="DW90" i="5" s="1"/>
  <c r="DW92" i="5" s="1"/>
  <c r="DV92" i="5"/>
  <c r="DY62" i="5" l="1"/>
  <c r="DY88" i="5" s="1"/>
  <c r="DY90" i="5" s="1"/>
  <c r="DZ61" i="5"/>
  <c r="DX63" i="5"/>
  <c r="DY92" i="5" l="1"/>
  <c r="EB61" i="5"/>
  <c r="EA61" i="5"/>
  <c r="K107" i="2" s="1"/>
  <c r="DZ62" i="5"/>
  <c r="DZ88" i="5" s="1"/>
  <c r="DY63" i="5"/>
  <c r="DZ90" i="5" l="1"/>
  <c r="EA88" i="5"/>
  <c r="K134" i="2" s="1"/>
  <c r="EB62" i="5"/>
  <c r="EC61" i="5"/>
  <c r="DZ63" i="5"/>
  <c r="EA62" i="5"/>
  <c r="EB63" i="5" l="1"/>
  <c r="DZ92" i="5"/>
  <c r="EA90" i="5"/>
  <c r="K136" i="2" s="1"/>
  <c r="K108" i="2"/>
  <c r="EB88" i="5"/>
  <c r="EA63" i="5"/>
  <c r="EC62" i="5"/>
  <c r="ED61" i="5"/>
  <c r="EB90" i="5" l="1"/>
  <c r="ED62" i="5"/>
  <c r="EE61" i="5"/>
  <c r="EC63" i="5"/>
  <c r="EC88" i="5"/>
  <c r="EC90" i="5" s="1"/>
  <c r="EC92" i="5" s="1"/>
  <c r="K109" i="2"/>
  <c r="EA92" i="5"/>
  <c r="K138" i="2" l="1"/>
  <c r="EF61" i="5"/>
  <c r="EE62" i="5"/>
  <c r="EE88" i="5" s="1"/>
  <c r="EE90" i="5" s="1"/>
  <c r="EE92" i="5" s="1"/>
  <c r="ED63" i="5"/>
  <c r="EB92" i="5"/>
  <c r="ED88" i="5"/>
  <c r="ED90" i="5" l="1"/>
  <c r="EE63" i="5"/>
  <c r="EF62" i="5"/>
  <c r="EF88" i="5" s="1"/>
  <c r="EG61" i="5"/>
  <c r="EF90" i="5" l="1"/>
  <c r="EF92" i="5" s="1"/>
  <c r="EF63" i="5"/>
  <c r="ED92" i="5"/>
  <c r="EG62" i="5"/>
  <c r="EH61" i="5"/>
  <c r="EG63" i="5" l="1"/>
  <c r="EG88" i="5"/>
  <c r="EI61" i="5"/>
  <c r="EH62" i="5"/>
  <c r="EH88" i="5" s="1"/>
  <c r="EH90" i="5" s="1"/>
  <c r="EH92" i="5" s="1"/>
  <c r="EG90" i="5" l="1"/>
  <c r="EH63" i="5"/>
  <c r="EI62" i="5"/>
  <c r="EJ61" i="5"/>
  <c r="EI63" i="5" l="1"/>
  <c r="EI88" i="5"/>
  <c r="EJ62" i="5"/>
  <c r="EK61" i="5"/>
  <c r="EG92" i="5"/>
  <c r="EJ63" i="5" l="1"/>
  <c r="EK62" i="5"/>
  <c r="EL61" i="5"/>
  <c r="EI90" i="5"/>
  <c r="EJ88" i="5"/>
  <c r="EJ90" i="5" s="1"/>
  <c r="EJ92" i="5" s="1"/>
  <c r="EL62" i="5" l="1"/>
  <c r="EL88" i="5" s="1"/>
  <c r="EL90" i="5" s="1"/>
  <c r="EL92" i="5" s="1"/>
  <c r="EM61" i="5"/>
  <c r="EK63" i="5"/>
  <c r="EI92" i="5"/>
  <c r="EK88" i="5"/>
  <c r="EK90" i="5" s="1"/>
  <c r="EK92" i="5" s="1"/>
  <c r="EN61" i="5" l="1"/>
  <c r="L107" i="2" s="1"/>
  <c r="EM62" i="5"/>
  <c r="EM88" i="5" s="1"/>
  <c r="EL63" i="5"/>
  <c r="EM90" i="5" l="1"/>
  <c r="EN88" i="5"/>
  <c r="L134" i="2" s="1"/>
  <c r="EN62" i="5"/>
  <c r="L108" i="2" s="1"/>
  <c r="EM63" i="5"/>
  <c r="EM92" i="5" l="1"/>
  <c r="EN90" i="5"/>
  <c r="L136" i="2" s="1"/>
  <c r="EN63" i="5"/>
  <c r="L90" i="2" l="1"/>
  <c r="L83" i="2"/>
  <c r="L106" i="2"/>
  <c r="L109" i="2"/>
  <c r="EN92" i="5"/>
  <c r="L133" i="2" l="1"/>
  <c r="L135" i="2"/>
  <c r="L131" i="2"/>
  <c r="L138" i="2"/>
  <c r="BY129" i="5" l="1"/>
  <c r="BX129" i="5" s="1"/>
  <c r="BW129" i="5" s="1"/>
  <c r="BV129" i="5" s="1"/>
  <c r="BU129" i="5" s="1"/>
  <c r="BU126" i="5" l="1"/>
  <c r="BU128" i="5" s="1"/>
  <c r="BU35" i="5" s="1"/>
  <c r="BU81" i="5" s="1"/>
  <c r="BU82" i="5" s="1"/>
  <c r="BU92" i="5" s="1"/>
  <c r="BU131" i="5" l="1"/>
  <c r="BU39" i="5"/>
  <c r="BV126" i="5"/>
  <c r="BV128" i="5" l="1"/>
  <c r="BV35" i="5" s="1"/>
  <c r="BW126" i="5" s="1"/>
  <c r="BV131" i="5"/>
  <c r="BV81" i="5" l="1"/>
  <c r="BV82" i="5" s="1"/>
  <c r="BV39" i="5"/>
  <c r="BW128" i="5"/>
  <c r="BW35" i="5" s="1"/>
  <c r="BW39" i="5" s="1"/>
  <c r="BW131" i="5"/>
  <c r="BS95" i="5"/>
  <c r="BS64" i="5"/>
  <c r="BW81" i="5" l="1"/>
  <c r="BW82" i="5" s="1"/>
  <c r="BW92" i="5" s="1"/>
  <c r="BX126" i="5"/>
  <c r="BU29" i="5"/>
  <c r="BU94" i="5"/>
  <c r="BV92" i="5"/>
  <c r="BX128" i="5" l="1"/>
  <c r="BX35" i="5" s="1"/>
  <c r="BX131" i="5"/>
  <c r="BU95" i="5"/>
  <c r="BU33" i="5"/>
  <c r="BV29" i="5"/>
  <c r="BV94" i="5"/>
  <c r="BX81" i="5" l="1"/>
  <c r="BX82" i="5" s="1"/>
  <c r="BX92" i="5" s="1"/>
  <c r="BY126" i="5"/>
  <c r="BX39" i="5"/>
  <c r="BU40" i="5"/>
  <c r="BU64" i="5" s="1"/>
  <c r="BV95" i="5"/>
  <c r="BV33" i="5"/>
  <c r="BW29" i="5"/>
  <c r="BW94" i="5"/>
  <c r="BY128" i="5" l="1"/>
  <c r="BY35" i="5" s="1"/>
  <c r="BY131" i="5"/>
  <c r="BV40" i="5"/>
  <c r="BV64" i="5" s="1"/>
  <c r="BW95" i="5"/>
  <c r="BW33" i="5"/>
  <c r="BX29" i="5"/>
  <c r="BX94" i="5"/>
  <c r="BY81" i="5" l="1"/>
  <c r="BY39" i="5"/>
  <c r="BZ126" i="5"/>
  <c r="BW40" i="5"/>
  <c r="BW64" i="5" s="1"/>
  <c r="BX95" i="5"/>
  <c r="BX33" i="5"/>
  <c r="BZ128" i="5" l="1"/>
  <c r="CA132" i="5" s="1"/>
  <c r="BZ131" i="5"/>
  <c r="BY82" i="5"/>
  <c r="BX40" i="5"/>
  <c r="BX64" i="5" s="1"/>
  <c r="BY92" i="5" l="1"/>
  <c r="BZ35" i="5"/>
  <c r="CA35" i="5" l="1"/>
  <c r="BZ39" i="5"/>
  <c r="CA39" i="5" s="1"/>
  <c r="G85" i="2" s="1"/>
  <c r="BZ81" i="5"/>
  <c r="BY94" i="5"/>
  <c r="BY29" i="5"/>
  <c r="BY33" i="5" l="1"/>
  <c r="BY40" i="5" s="1"/>
  <c r="BY64" i="5" s="1"/>
  <c r="BY95" i="5"/>
  <c r="BZ82" i="5"/>
  <c r="CA81" i="5"/>
  <c r="G127" i="2" s="1"/>
  <c r="G81" i="2"/>
  <c r="CB126" i="5"/>
  <c r="CB128" i="5" s="1"/>
  <c r="CB35" i="5" s="1"/>
  <c r="CB81" i="5" s="1"/>
  <c r="CB82" i="5" s="1"/>
  <c r="CB92" i="5" s="1"/>
  <c r="CB39" i="5" l="1"/>
  <c r="CC126" i="5"/>
  <c r="CC128" i="5" s="1"/>
  <c r="CC35" i="5" s="1"/>
  <c r="CC81" i="5" s="1"/>
  <c r="CC82" i="5" s="1"/>
  <c r="CC92" i="5" s="1"/>
  <c r="BZ92" i="5"/>
  <c r="CA82" i="5"/>
  <c r="G128" i="2" s="1"/>
  <c r="G41" i="2" s="1"/>
  <c r="BZ94" i="5" l="1"/>
  <c r="CA92" i="5"/>
  <c r="BZ29" i="5"/>
  <c r="CD126" i="5"/>
  <c r="CD128" i="5" s="1"/>
  <c r="CD35" i="5" s="1"/>
  <c r="CC39" i="5"/>
  <c r="CD81" i="5" l="1"/>
  <c r="CD82" i="5" s="1"/>
  <c r="CD92" i="5" s="1"/>
  <c r="CD39" i="5"/>
  <c r="CE126" i="5"/>
  <c r="CE128" i="5" s="1"/>
  <c r="CE35" i="5" s="1"/>
  <c r="BZ33" i="5"/>
  <c r="CA29" i="5"/>
  <c r="CA94" i="5"/>
  <c r="G138" i="2"/>
  <c r="BZ95" i="5"/>
  <c r="CA95" i="5" s="1"/>
  <c r="G75" i="2" l="1"/>
  <c r="G179" i="2" s="1"/>
  <c r="CB29" i="5"/>
  <c r="CB94" i="5"/>
  <c r="BZ40" i="5"/>
  <c r="CA33" i="5"/>
  <c r="G79" i="2" s="1"/>
  <c r="CE81" i="5"/>
  <c r="CE82" i="5" s="1"/>
  <c r="CE92" i="5" s="1"/>
  <c r="CF126" i="5"/>
  <c r="CF128" i="5" s="1"/>
  <c r="CF35" i="5" s="1"/>
  <c r="CF81" i="5" s="1"/>
  <c r="CF82" i="5" s="1"/>
  <c r="CF92" i="5" s="1"/>
  <c r="CE39" i="5"/>
  <c r="G140" i="2"/>
  <c r="CB95" i="5" l="1"/>
  <c r="G142" i="2"/>
  <c r="G178" i="2"/>
  <c r="G177" i="2"/>
  <c r="BZ64" i="5"/>
  <c r="CA40" i="5"/>
  <c r="CB33" i="5"/>
  <c r="CB40" i="5" s="1"/>
  <c r="CB64" i="5" s="1"/>
  <c r="CC29" i="5"/>
  <c r="CC94" i="5"/>
  <c r="CF39" i="5"/>
  <c r="CG126" i="5"/>
  <c r="CG128" i="5" s="1"/>
  <c r="CG35" i="5" s="1"/>
  <c r="CG81" i="5" s="1"/>
  <c r="CG82" i="5" s="1"/>
  <c r="CG92" i="5" s="1"/>
  <c r="CC95" i="5" l="1"/>
  <c r="CA64" i="5"/>
  <c r="G86" i="2"/>
  <c r="CH126" i="5"/>
  <c r="CH128" i="5" s="1"/>
  <c r="CH35" i="5" s="1"/>
  <c r="CG39" i="5"/>
  <c r="CC33" i="5"/>
  <c r="CC40" i="5" s="1"/>
  <c r="CC64" i="5" s="1"/>
  <c r="CD29" i="5"/>
  <c r="CD94" i="5"/>
  <c r="G110" i="2" l="1"/>
  <c r="G162" i="2"/>
  <c r="CD95" i="5"/>
  <c r="CH81" i="5"/>
  <c r="CH82" i="5" s="1"/>
  <c r="CH92" i="5" s="1"/>
  <c r="CH39" i="5"/>
  <c r="CI126" i="5"/>
  <c r="CI128" i="5" s="1"/>
  <c r="CI35" i="5" s="1"/>
  <c r="CI81" i="5" s="1"/>
  <c r="CI82" i="5" s="1"/>
  <c r="CI92" i="5" s="1"/>
  <c r="CE94" i="5"/>
  <c r="CD33" i="5"/>
  <c r="CD40" i="5" s="1"/>
  <c r="CD64" i="5" s="1"/>
  <c r="CE29" i="5"/>
  <c r="CE33" i="5" l="1"/>
  <c r="CE40" i="5" s="1"/>
  <c r="CE64" i="5" s="1"/>
  <c r="CF29" i="5"/>
  <c r="CF94" i="5"/>
  <c r="CE95" i="5"/>
  <c r="CI39" i="5"/>
  <c r="CJ126" i="5"/>
  <c r="CJ128" i="5" s="1"/>
  <c r="CJ35" i="5" s="1"/>
  <c r="CJ81" i="5" s="1"/>
  <c r="CJ82" i="5" s="1"/>
  <c r="CJ92" i="5" s="1"/>
  <c r="CF95" i="5" l="1"/>
  <c r="CJ39" i="5"/>
  <c r="CK126" i="5"/>
  <c r="CK128" i="5" s="1"/>
  <c r="CK35" i="5" s="1"/>
  <c r="CF33" i="5"/>
  <c r="CF40" i="5" s="1"/>
  <c r="CF64" i="5" s="1"/>
  <c r="CG29" i="5"/>
  <c r="CG94" i="5"/>
  <c r="CG95" i="5" l="1"/>
  <c r="CH29" i="5"/>
  <c r="CG33" i="5"/>
  <c r="CG40" i="5" s="1"/>
  <c r="CG64" i="5" s="1"/>
  <c r="CH94" i="5"/>
  <c r="CK81" i="5"/>
  <c r="CK39" i="5"/>
  <c r="CL126" i="5"/>
  <c r="CL128" i="5" s="1"/>
  <c r="CL35" i="5" s="1"/>
  <c r="CL81" i="5" s="1"/>
  <c r="CL82" i="5" s="1"/>
  <c r="CL92" i="5" s="1"/>
  <c r="CI94" i="5" l="1"/>
  <c r="CI29" i="5"/>
  <c r="CH33" i="5"/>
  <c r="CH40" i="5" s="1"/>
  <c r="CH64" i="5" s="1"/>
  <c r="CL39" i="5"/>
  <c r="CM126" i="5"/>
  <c r="CM128" i="5" s="1"/>
  <c r="CM35" i="5" s="1"/>
  <c r="CM39" i="5" s="1"/>
  <c r="CN39" i="5" s="1"/>
  <c r="H85" i="2" s="1"/>
  <c r="CK82" i="5"/>
  <c r="CH95" i="5"/>
  <c r="CM81" i="5" l="1"/>
  <c r="CI95" i="5"/>
  <c r="CI33" i="5"/>
  <c r="CI40" i="5" s="1"/>
  <c r="CI64" i="5" s="1"/>
  <c r="CJ29" i="5"/>
  <c r="CJ94" i="5"/>
  <c r="CK92" i="5"/>
  <c r="CM82" i="5" l="1"/>
  <c r="CN81" i="5"/>
  <c r="H127" i="2" s="1"/>
  <c r="CJ95" i="5"/>
  <c r="CK94" i="5"/>
  <c r="CJ33" i="5"/>
  <c r="CJ40" i="5" s="1"/>
  <c r="CJ64" i="5" s="1"/>
  <c r="CK29" i="5"/>
  <c r="CM92" i="5" l="1"/>
  <c r="CN92" i="5" s="1"/>
  <c r="CN94" i="5" s="1"/>
  <c r="CN82" i="5"/>
  <c r="H128" i="2" s="1"/>
  <c r="H41" i="2" s="1"/>
  <c r="CK95" i="5"/>
  <c r="CK33" i="5"/>
  <c r="CK40" i="5" s="1"/>
  <c r="CK64" i="5" s="1"/>
  <c r="CL29" i="5"/>
  <c r="CL94" i="5"/>
  <c r="H138" i="2" l="1"/>
  <c r="H140" i="2" s="1"/>
  <c r="CL95" i="5"/>
  <c r="CL33" i="5"/>
  <c r="CL40" i="5" s="1"/>
  <c r="CL64" i="5" s="1"/>
  <c r="CM29" i="5"/>
  <c r="CM94" i="5"/>
  <c r="CM95" i="5" l="1"/>
  <c r="CN95" i="5" s="1"/>
  <c r="CM33" i="5"/>
  <c r="CN29" i="5"/>
  <c r="CO29" i="5" l="1"/>
  <c r="CO33" i="5" s="1"/>
  <c r="CO40" i="5" s="1"/>
  <c r="CO64" i="5" s="1"/>
  <c r="CO94" i="5"/>
  <c r="CM40" i="5"/>
  <c r="CM64" i="5" s="1"/>
  <c r="CN33" i="5"/>
  <c r="DA94" i="5"/>
  <c r="H75" i="2"/>
  <c r="CO95" i="5" l="1"/>
  <c r="I140" i="2"/>
  <c r="H142" i="2"/>
  <c r="CP29" i="5"/>
  <c r="CP94" i="5"/>
  <c r="CN40" i="5"/>
  <c r="H79" i="2"/>
  <c r="CP95" i="5" l="1"/>
  <c r="H86" i="2"/>
  <c r="H110" i="2" s="1"/>
  <c r="CN64" i="5"/>
  <c r="CQ29" i="5"/>
  <c r="CQ94" i="5"/>
  <c r="CP33" i="5"/>
  <c r="CP40" i="5" s="1"/>
  <c r="CP64" i="5" s="1"/>
  <c r="CQ95" i="5" l="1"/>
  <c r="CR94" i="5"/>
  <c r="CQ33" i="5"/>
  <c r="CQ40" i="5" s="1"/>
  <c r="CQ64" i="5" s="1"/>
  <c r="CR29" i="5"/>
  <c r="CR95" i="5" l="1"/>
  <c r="CR33" i="5"/>
  <c r="CR40" i="5" s="1"/>
  <c r="CR64" i="5" s="1"/>
  <c r="CS29" i="5"/>
  <c r="CS94" i="5"/>
  <c r="CS95" i="5" l="1"/>
  <c r="CT94" i="5"/>
  <c r="CS33" i="5"/>
  <c r="CS40" i="5" s="1"/>
  <c r="CS64" i="5" s="1"/>
  <c r="CT29" i="5"/>
  <c r="CT95" i="5" l="1"/>
  <c r="CU29" i="5"/>
  <c r="CT33" i="5"/>
  <c r="CT40" i="5" s="1"/>
  <c r="CT64" i="5" s="1"/>
  <c r="CU94" i="5"/>
  <c r="CU33" i="5" l="1"/>
  <c r="CU40" i="5" s="1"/>
  <c r="CU64" i="5" s="1"/>
  <c r="CV94" i="5"/>
  <c r="CV29" i="5"/>
  <c r="CU95" i="5"/>
  <c r="CV33" i="5" l="1"/>
  <c r="CV40" i="5" s="1"/>
  <c r="CV64" i="5" s="1"/>
  <c r="CW94" i="5"/>
  <c r="CW29" i="5"/>
  <c r="CV95" i="5"/>
  <c r="CX94" i="5" l="1"/>
  <c r="CX29" i="5"/>
  <c r="CW33" i="5"/>
  <c r="CW40" i="5" s="1"/>
  <c r="CW64" i="5" s="1"/>
  <c r="CW95" i="5"/>
  <c r="CX95" i="5" l="1"/>
  <c r="CY94" i="5"/>
  <c r="CY29" i="5"/>
  <c r="CX33" i="5"/>
  <c r="CX40" i="5" s="1"/>
  <c r="CX64" i="5" s="1"/>
  <c r="CY95" i="5" l="1"/>
  <c r="CZ94" i="5"/>
  <c r="CY33" i="5"/>
  <c r="CY40" i="5" s="1"/>
  <c r="CY64" i="5" s="1"/>
  <c r="CZ29" i="5"/>
  <c r="CZ33" i="5" l="1"/>
  <c r="DA29" i="5"/>
  <c r="CZ95" i="5"/>
  <c r="DA95" i="5" s="1"/>
  <c r="I75" i="2" l="1"/>
  <c r="DN94" i="5"/>
  <c r="DB94" i="5"/>
  <c r="DB29" i="5"/>
  <c r="CZ40" i="5"/>
  <c r="CZ64" i="5" s="1"/>
  <c r="DA33" i="5"/>
  <c r="I142" i="2" l="1"/>
  <c r="J140" i="2"/>
  <c r="I79" i="2"/>
  <c r="DA40" i="5"/>
  <c r="DC94" i="5"/>
  <c r="DB33" i="5"/>
  <c r="DB40" i="5" s="1"/>
  <c r="DB64" i="5" s="1"/>
  <c r="DC29" i="5"/>
  <c r="DB95" i="5"/>
  <c r="DD29" i="5" l="1"/>
  <c r="DD94" i="5"/>
  <c r="DC33" i="5"/>
  <c r="DC40" i="5" s="1"/>
  <c r="DC64" i="5" s="1"/>
  <c r="DC95" i="5"/>
  <c r="I86" i="2"/>
  <c r="I110" i="2" s="1"/>
  <c r="DA64" i="5"/>
  <c r="DE94" i="5" l="1"/>
  <c r="DE29" i="5"/>
  <c r="DD33" i="5"/>
  <c r="DD40" i="5" s="1"/>
  <c r="DD64" i="5" s="1"/>
  <c r="DD95" i="5"/>
  <c r="DE95" i="5" l="1"/>
  <c r="DF94" i="5"/>
  <c r="DF29" i="5"/>
  <c r="DE33" i="5"/>
  <c r="DE40" i="5" s="1"/>
  <c r="DE64" i="5" s="1"/>
  <c r="DF95" i="5" l="1"/>
  <c r="DG94" i="5"/>
  <c r="DF33" i="5"/>
  <c r="DF40" i="5" s="1"/>
  <c r="DF64" i="5" s="1"/>
  <c r="DG29" i="5"/>
  <c r="DG95" i="5" l="1"/>
  <c r="DH94" i="5"/>
  <c r="DG33" i="5"/>
  <c r="DG40" i="5" s="1"/>
  <c r="DG64" i="5" s="1"/>
  <c r="DH29" i="5"/>
  <c r="DH95" i="5" l="1"/>
  <c r="DH33" i="5"/>
  <c r="DH40" i="5" s="1"/>
  <c r="DH64" i="5" s="1"/>
  <c r="DI94" i="5"/>
  <c r="DI29" i="5"/>
  <c r="DI95" i="5" l="1"/>
  <c r="DJ94" i="5"/>
  <c r="DJ29" i="5"/>
  <c r="DI33" i="5"/>
  <c r="DI40" i="5" s="1"/>
  <c r="DI64" i="5" s="1"/>
  <c r="DJ33" i="5" l="1"/>
  <c r="DJ40" i="5" s="1"/>
  <c r="DJ64" i="5" s="1"/>
  <c r="DK94" i="5"/>
  <c r="DK29" i="5"/>
  <c r="DJ95" i="5"/>
  <c r="DL94" i="5" l="1"/>
  <c r="DK33" i="5"/>
  <c r="DK40" i="5" s="1"/>
  <c r="DK64" i="5" s="1"/>
  <c r="DL29" i="5"/>
  <c r="DK95" i="5"/>
  <c r="DL95" i="5" l="1"/>
  <c r="DL33" i="5"/>
  <c r="DL40" i="5" s="1"/>
  <c r="DL64" i="5" s="1"/>
  <c r="DM94" i="5"/>
  <c r="DM29" i="5"/>
  <c r="DM33" i="5" l="1"/>
  <c r="DN29" i="5"/>
  <c r="DM95" i="5"/>
  <c r="DN95" i="5" s="1"/>
  <c r="DM40" i="5" l="1"/>
  <c r="DN33" i="5"/>
  <c r="J79" i="2" s="1"/>
  <c r="EA94" i="5"/>
  <c r="J75" i="2"/>
  <c r="DO94" i="5"/>
  <c r="DO29" i="5"/>
  <c r="DN40" i="5" l="1"/>
  <c r="DM64" i="5"/>
  <c r="DO95" i="5"/>
  <c r="DO33" i="5"/>
  <c r="DO40" i="5" s="1"/>
  <c r="DO64" i="5" s="1"/>
  <c r="DP94" i="5"/>
  <c r="DP29" i="5"/>
  <c r="J142" i="2"/>
  <c r="K140" i="2"/>
  <c r="DN64" i="5" l="1"/>
  <c r="J86" i="2"/>
  <c r="J110" i="2" s="1"/>
  <c r="DP33" i="5"/>
  <c r="DP40" i="5" s="1"/>
  <c r="DP64" i="5" s="1"/>
  <c r="DQ94" i="5"/>
  <c r="DQ29" i="5"/>
  <c r="DP95" i="5"/>
  <c r="DR94" i="5" l="1"/>
  <c r="DQ33" i="5"/>
  <c r="DQ40" i="5" s="1"/>
  <c r="DQ64" i="5" s="1"/>
  <c r="DR29" i="5"/>
  <c r="DQ95" i="5"/>
  <c r="DR95" i="5" l="1"/>
  <c r="DR33" i="5"/>
  <c r="DR40" i="5" s="1"/>
  <c r="DR64" i="5" s="1"/>
  <c r="DS94" i="5"/>
  <c r="DS29" i="5"/>
  <c r="DT29" i="5" l="1"/>
  <c r="DT94" i="5"/>
  <c r="DS33" i="5"/>
  <c r="DS40" i="5" s="1"/>
  <c r="DS64" i="5" s="1"/>
  <c r="DS95" i="5"/>
  <c r="DT33" i="5" l="1"/>
  <c r="DT40" i="5" s="1"/>
  <c r="DT64" i="5" s="1"/>
  <c r="DU29" i="5"/>
  <c r="DU94" i="5"/>
  <c r="DT95" i="5"/>
  <c r="DU95" i="5" l="1"/>
  <c r="DV29" i="5"/>
  <c r="DU33" i="5"/>
  <c r="DU40" i="5" s="1"/>
  <c r="DU64" i="5" s="1"/>
  <c r="DV94" i="5"/>
  <c r="DV33" i="5" l="1"/>
  <c r="DV40" i="5" s="1"/>
  <c r="DV64" i="5" s="1"/>
  <c r="DW94" i="5"/>
  <c r="DW29" i="5"/>
  <c r="DV95" i="5"/>
  <c r="DW95" i="5" l="1"/>
  <c r="DX94" i="5"/>
  <c r="DW33" i="5"/>
  <c r="DW40" i="5" s="1"/>
  <c r="DW64" i="5" s="1"/>
  <c r="DX29" i="5"/>
  <c r="DX33" i="5" l="1"/>
  <c r="DX40" i="5" s="1"/>
  <c r="DX64" i="5" s="1"/>
  <c r="DY94" i="5"/>
  <c r="DY29" i="5"/>
  <c r="DX95" i="5"/>
  <c r="DY33" i="5" l="1"/>
  <c r="DY40" i="5" s="1"/>
  <c r="DY64" i="5" s="1"/>
  <c r="DZ94" i="5"/>
  <c r="DZ29" i="5"/>
  <c r="DY95" i="5"/>
  <c r="DZ33" i="5" l="1"/>
  <c r="EA29" i="5"/>
  <c r="DZ95" i="5"/>
  <c r="EA95" i="5" s="1"/>
  <c r="EB94" i="5" l="1"/>
  <c r="EN94" i="5"/>
  <c r="K75" i="2"/>
  <c r="EB29" i="5"/>
  <c r="EA33" i="5"/>
  <c r="K79" i="2" s="1"/>
  <c r="DZ40" i="5"/>
  <c r="DZ64" i="5" l="1"/>
  <c r="EA40" i="5"/>
  <c r="EC29" i="5"/>
  <c r="EB33" i="5"/>
  <c r="EB40" i="5" s="1"/>
  <c r="EB64" i="5" s="1"/>
  <c r="EC94" i="5"/>
  <c r="K142" i="2"/>
  <c r="L140" i="2"/>
  <c r="EB95" i="5"/>
  <c r="EC95" i="5" l="1"/>
  <c r="ED94" i="5"/>
  <c r="ED29" i="5"/>
  <c r="EC33" i="5"/>
  <c r="EC40" i="5" s="1"/>
  <c r="EC64" i="5" s="1"/>
  <c r="EA64" i="5"/>
  <c r="K86" i="2"/>
  <c r="K110" i="2" s="1"/>
  <c r="ED95" i="5" l="1"/>
  <c r="EE94" i="5"/>
  <c r="ED33" i="5"/>
  <c r="ED40" i="5" s="1"/>
  <c r="ED64" i="5" s="1"/>
  <c r="EE29" i="5"/>
  <c r="EF94" i="5" l="1"/>
  <c r="EF29" i="5"/>
  <c r="EE33" i="5"/>
  <c r="EE40" i="5" s="1"/>
  <c r="EE64" i="5" s="1"/>
  <c r="EE95" i="5"/>
  <c r="EG94" i="5" l="1"/>
  <c r="EF33" i="5"/>
  <c r="EF40" i="5" s="1"/>
  <c r="EF64" i="5" s="1"/>
  <c r="EG29" i="5"/>
  <c r="EF95" i="5"/>
  <c r="EG33" i="5" l="1"/>
  <c r="EG40" i="5" s="1"/>
  <c r="EG64" i="5" s="1"/>
  <c r="EH29" i="5"/>
  <c r="EH94" i="5"/>
  <c r="EG95" i="5"/>
  <c r="EH33" i="5" l="1"/>
  <c r="EH40" i="5" s="1"/>
  <c r="EH64" i="5" s="1"/>
  <c r="EI94" i="5"/>
  <c r="EI29" i="5"/>
  <c r="EH95" i="5"/>
  <c r="EI33" i="5" l="1"/>
  <c r="EI40" i="5" s="1"/>
  <c r="EI64" i="5" s="1"/>
  <c r="EJ94" i="5"/>
  <c r="EJ29" i="5"/>
  <c r="EI95" i="5"/>
  <c r="EJ33" i="5" l="1"/>
  <c r="EJ40" i="5" s="1"/>
  <c r="EJ64" i="5" s="1"/>
  <c r="EK29" i="5"/>
  <c r="EK94" i="5"/>
  <c r="EJ95" i="5"/>
  <c r="EK95" i="5" l="1"/>
  <c r="EL29" i="5"/>
  <c r="EK33" i="5"/>
  <c r="EK40" i="5" s="1"/>
  <c r="EK64" i="5" s="1"/>
  <c r="EL94" i="5"/>
  <c r="EL95" i="5" l="1"/>
  <c r="EL33" i="5"/>
  <c r="EL40" i="5" s="1"/>
  <c r="EL64" i="5" s="1"/>
  <c r="EM29" i="5"/>
  <c r="EM94" i="5"/>
  <c r="EM95" i="5" l="1"/>
  <c r="EN95" i="5" s="1"/>
  <c r="EM33" i="5"/>
  <c r="EN29" i="5"/>
  <c r="L75" i="2" s="1"/>
  <c r="L142" i="2" s="1"/>
  <c r="EM40" i="5" l="1"/>
  <c r="EN33" i="5"/>
  <c r="L79" i="2" s="1"/>
  <c r="EM64" i="5" l="1"/>
  <c r="EN40" i="5"/>
  <c r="L86" i="2" l="1"/>
  <c r="L110" i="2" s="1"/>
  <c r="EN6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5" authorId="0" shapeId="0" xr:uid="{CC31E3F1-456A-40E2-ACF4-F9E67EC3077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  <comment ref="FC35" authorId="0" shapeId="0" xr:uid="{E3A2ACD6-18E3-4B39-8658-AB842F72F45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  <comment ref="FL35" authorId="0" shapeId="0" xr:uid="{BA445A3B-80AC-420A-9563-00E0DE28EE1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  <comment ref="FU35" authorId="0" shapeId="0" xr:uid="{B503247C-9AE9-423C-BF47-469EB5287E8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valor residual
</t>
        </r>
      </text>
    </comment>
  </commentList>
</comments>
</file>

<file path=xl/sharedStrings.xml><?xml version="1.0" encoding="utf-8"?>
<sst xmlns="http://schemas.openxmlformats.org/spreadsheetml/2006/main" count="1460" uniqueCount="668">
  <si>
    <t>CODIGO</t>
  </si>
  <si>
    <t>NOMBRE DE LA CUENTA</t>
  </si>
  <si>
    <t>3.1.01.00</t>
  </si>
  <si>
    <t>INGRESOS OPERATIVOS</t>
  </si>
  <si>
    <t>3.1.01.01</t>
  </si>
  <si>
    <t>INGRESOS POR VENTA DE PRODUCTOS</t>
  </si>
  <si>
    <t>4.1.00.00</t>
  </si>
  <si>
    <t>COSTO DE VENTAS</t>
  </si>
  <si>
    <t>4.2.00.00</t>
  </si>
  <si>
    <t>GASTOS DE ADMINISTRACION</t>
  </si>
  <si>
    <t>4.3.00.00</t>
  </si>
  <si>
    <t>GASTOS DE COMERCIALIZACION</t>
  </si>
  <si>
    <t>4.4.00.00</t>
  </si>
  <si>
    <t>GASTOS FINANCIEROS</t>
  </si>
  <si>
    <t>4.5.00.00</t>
  </si>
  <si>
    <t>GASTOS TRIBUTARIOS</t>
  </si>
  <si>
    <t>4.6.00.00</t>
  </si>
  <si>
    <t>PERDIDAS Y GANANCIAS</t>
  </si>
  <si>
    <t>4.7.00.00</t>
  </si>
  <si>
    <t>CORRECCION MONETARIA POR INFLACION</t>
  </si>
  <si>
    <t>3.1.01.03</t>
  </si>
  <si>
    <t>INGRESOS POR EXPORTACIONES</t>
  </si>
  <si>
    <t>MARGEN OPERATIVO</t>
  </si>
  <si>
    <t>3.1.02.01</t>
  </si>
  <si>
    <t>INGRESOS POR VENTA DE MATERIALES Y DESEC</t>
  </si>
  <si>
    <t>3.1.02.03</t>
  </si>
  <si>
    <t>INGRESOS FINANCIEROS</t>
  </si>
  <si>
    <t>3.1.02.04</t>
  </si>
  <si>
    <t>OTROS INGRESOS</t>
  </si>
  <si>
    <t>EBIT</t>
  </si>
  <si>
    <t>EBT</t>
  </si>
  <si>
    <t>Resultado</t>
  </si>
  <si>
    <t>3.1.02.02</t>
  </si>
  <si>
    <t>INGRESOS POR VENTA DE ACTIVOS FIJOS</t>
  </si>
  <si>
    <t xml:space="preserve">Estado de Resultados </t>
  </si>
  <si>
    <t>(expresado en Bs)</t>
  </si>
  <si>
    <t>1.0.00.00</t>
  </si>
  <si>
    <t>ACTIVO</t>
  </si>
  <si>
    <t>1.1.00.00</t>
  </si>
  <si>
    <t>ACTIVO DISPONIBLE</t>
  </si>
  <si>
    <t>1.2.00.00</t>
  </si>
  <si>
    <t>ACTIVO EXIGIBLE</t>
  </si>
  <si>
    <t>1.3.00.00</t>
  </si>
  <si>
    <t>ACTIVO REALIZABLE</t>
  </si>
  <si>
    <t>1.4.00.00</t>
  </si>
  <si>
    <t>ACTIVO FIJO</t>
  </si>
  <si>
    <t>1.5.00.00</t>
  </si>
  <si>
    <t>INVERSIONES</t>
  </si>
  <si>
    <t>1.6.00.00</t>
  </si>
  <si>
    <t>OTROS ACTIVOS</t>
  </si>
  <si>
    <t>1.7.00.00</t>
  </si>
  <si>
    <t>ACTIVOS DIFERIDOS</t>
  </si>
  <si>
    <t>2.0.00.00</t>
  </si>
  <si>
    <t>PASIVO</t>
  </si>
  <si>
    <t>2.1.00.00</t>
  </si>
  <si>
    <t>PASIVO CORRIENTE</t>
  </si>
  <si>
    <t>2.1.01.00</t>
  </si>
  <si>
    <t>DEUDAS COMERCIALES</t>
  </si>
  <si>
    <t>2.1.02.00</t>
  </si>
  <si>
    <t>DOCUMENTOS POR PAGAR</t>
  </si>
  <si>
    <t>2.1.04.00</t>
  </si>
  <si>
    <t>OBLIGACIONES FINANCIERAS A CORTO PLAZO</t>
  </si>
  <si>
    <t>2.1.05.00</t>
  </si>
  <si>
    <t>IMPUESTOS POR PAGAR</t>
  </si>
  <si>
    <t>2.1.06.00</t>
  </si>
  <si>
    <t>OBLIGACIONES POR PAGAR</t>
  </si>
  <si>
    <t>2.1.07.00</t>
  </si>
  <si>
    <t>PROVISIONES</t>
  </si>
  <si>
    <t>2.1.08.00</t>
  </si>
  <si>
    <t>COBROS POR ADELANTADO</t>
  </si>
  <si>
    <t>2.2.00.00</t>
  </si>
  <si>
    <t>PASIVO NO CORRIENTE</t>
  </si>
  <si>
    <t>2.2.01.00</t>
  </si>
  <si>
    <t>OBLIGACIONES FINANCIERAS A LARGO PLAZO</t>
  </si>
  <si>
    <t>2.2.02.00</t>
  </si>
  <si>
    <t>PREVISIONES</t>
  </si>
  <si>
    <t>2.2.03.00</t>
  </si>
  <si>
    <t>OTROS PASIVOS NO CORRIENTES</t>
  </si>
  <si>
    <t>2.2.04.00</t>
  </si>
  <si>
    <t>CUENTAS CORRIENTES. UNIDADES.</t>
  </si>
  <si>
    <t>2.4.00.00</t>
  </si>
  <si>
    <t>PATRIMONIO</t>
  </si>
  <si>
    <t>2.4.01.00</t>
  </si>
  <si>
    <t>FONDO SOCIAL</t>
  </si>
  <si>
    <t>2.4.01.01</t>
  </si>
  <si>
    <t>FONDO SOCIAL UNIDADES</t>
  </si>
  <si>
    <t>Balance General</t>
  </si>
  <si>
    <t>UTILIDAD DEL PERIODO</t>
  </si>
  <si>
    <t>TOTAL PASIVO Y PATRIMONIO</t>
  </si>
  <si>
    <t>Check</t>
  </si>
  <si>
    <t>Costos y gastos operativos</t>
  </si>
  <si>
    <t>Suma costos y gastos operativos</t>
  </si>
  <si>
    <t>Capital de trabajo</t>
  </si>
  <si>
    <t>Costo de ventas</t>
  </si>
  <si>
    <t>Gastos de administración</t>
  </si>
  <si>
    <t>Gastos de comercialización</t>
  </si>
  <si>
    <t>Ingresos financieros</t>
  </si>
  <si>
    <t>Ítems no operativos</t>
  </si>
  <si>
    <t>Otros ingresos</t>
  </si>
  <si>
    <t>Deudas comerciales</t>
  </si>
  <si>
    <t>Obligaciones financieras a corto plazo</t>
  </si>
  <si>
    <t>Obligaciones financieras a largo plazo</t>
  </si>
  <si>
    <t>Crecimiento en ventas</t>
  </si>
  <si>
    <t>Debt</t>
  </si>
  <si>
    <t>Fecha</t>
  </si>
  <si>
    <t>Desembolsos</t>
  </si>
  <si>
    <t>Amortización</t>
  </si>
  <si>
    <t>Saldo adeudado</t>
  </si>
  <si>
    <t>Intereses corrientes</t>
  </si>
  <si>
    <t>Intereses diferidos</t>
  </si>
  <si>
    <t>Total Cuota</t>
  </si>
  <si>
    <t>Cod. Entidad</t>
  </si>
  <si>
    <t>Entidad</t>
  </si>
  <si>
    <t>Fideicomiso - Banco Unión</t>
  </si>
  <si>
    <t>Nro de la operación</t>
  </si>
  <si>
    <t>Moneda</t>
  </si>
  <si>
    <t>Bolivanos</t>
  </si>
  <si>
    <t>Tasa</t>
  </si>
  <si>
    <t>Periodicidad</t>
  </si>
  <si>
    <t>Trimestral</t>
  </si>
  <si>
    <t>Total de Saldo Adeudado</t>
  </si>
  <si>
    <t>Total de Intereses Diferidos</t>
  </si>
  <si>
    <t>Saldo Adeudado CEMENTO</t>
  </si>
  <si>
    <t>Intereses DIferidos CEMENTO</t>
  </si>
  <si>
    <t># Cuotas Intereses Diferidos</t>
  </si>
  <si>
    <t>Amortización Trimenstral 
1er Año</t>
  </si>
  <si>
    <t>Amort. Trim 1er año CEMENTO</t>
  </si>
  <si>
    <t>%  correspondiente a CEMENTO</t>
  </si>
  <si>
    <t>Amortización 5to trimestre</t>
  </si>
  <si>
    <t>N</t>
  </si>
  <si>
    <t>Fin mes</t>
  </si>
  <si>
    <t>Banco Unión</t>
  </si>
  <si>
    <t>Amortización Trimenstral</t>
  </si>
  <si>
    <t>BIS</t>
  </si>
  <si>
    <t>Banco Bisa</t>
  </si>
  <si>
    <t>BUN</t>
  </si>
  <si>
    <t>FID - BUN</t>
  </si>
  <si>
    <t>Intereses</t>
  </si>
  <si>
    <t>Amortización cap diferido</t>
  </si>
  <si>
    <t>Intereses prorroga gracia</t>
  </si>
  <si>
    <t>GAN</t>
  </si>
  <si>
    <t>Banco Ganadero</t>
  </si>
  <si>
    <t>BDP</t>
  </si>
  <si>
    <t>Banco de Desarrollo Productivo</t>
  </si>
  <si>
    <t>BNL</t>
  </si>
  <si>
    <t>BNB leasing</t>
  </si>
  <si>
    <t>abr-2016</t>
  </si>
  <si>
    <t>may-2016</t>
  </si>
  <si>
    <t>jun-2016</t>
  </si>
  <si>
    <t>jul-2016</t>
  </si>
  <si>
    <t>ago-2016</t>
  </si>
  <si>
    <t>sep-2016</t>
  </si>
  <si>
    <t>oct-2016</t>
  </si>
  <si>
    <t>nov-2016</t>
  </si>
  <si>
    <t>dic-2016</t>
  </si>
  <si>
    <t>ene-2017</t>
  </si>
  <si>
    <t>feb-2017</t>
  </si>
  <si>
    <t>mar-2017</t>
  </si>
  <si>
    <t>abr-2017</t>
  </si>
  <si>
    <t>may-2017</t>
  </si>
  <si>
    <t>jun-2017</t>
  </si>
  <si>
    <t>jul-2017</t>
  </si>
  <si>
    <t>ago-2017</t>
  </si>
  <si>
    <t>sep-2017</t>
  </si>
  <si>
    <t>oct-2017</t>
  </si>
  <si>
    <t>nov-2017</t>
  </si>
  <si>
    <t>dic-2017</t>
  </si>
  <si>
    <t>ene-2018</t>
  </si>
  <si>
    <t>feb-2018</t>
  </si>
  <si>
    <t>mar-2018</t>
  </si>
  <si>
    <t>abr-2018</t>
  </si>
  <si>
    <t>may-2018</t>
  </si>
  <si>
    <t>jun-2018</t>
  </si>
  <si>
    <t>jul-2018</t>
  </si>
  <si>
    <t>ago-2018</t>
  </si>
  <si>
    <t>sep-2018</t>
  </si>
  <si>
    <t>oct-2018</t>
  </si>
  <si>
    <t>nov-2018</t>
  </si>
  <si>
    <t>dic-2018</t>
  </si>
  <si>
    <t>ene-2019</t>
  </si>
  <si>
    <t>feb-2019</t>
  </si>
  <si>
    <t>mar-2019</t>
  </si>
  <si>
    <t>abr-2019</t>
  </si>
  <si>
    <t>may-2019</t>
  </si>
  <si>
    <t>jun-2019</t>
  </si>
  <si>
    <t>jul-2019</t>
  </si>
  <si>
    <t>ago-2019</t>
  </si>
  <si>
    <t>sep-2019</t>
  </si>
  <si>
    <t>oct-2019</t>
  </si>
  <si>
    <t>nov-2019</t>
  </si>
  <si>
    <t>dic-2019</t>
  </si>
  <si>
    <t>ene-2020</t>
  </si>
  <si>
    <t>feb-2020</t>
  </si>
  <si>
    <t>mar-2020</t>
  </si>
  <si>
    <t>abr-2020</t>
  </si>
  <si>
    <t>may-2020</t>
  </si>
  <si>
    <t>jun-2020</t>
  </si>
  <si>
    <t>jul-2020</t>
  </si>
  <si>
    <t>ago-2020</t>
  </si>
  <si>
    <t>sep-2020</t>
  </si>
  <si>
    <t>oct-2020</t>
  </si>
  <si>
    <t>nov-2020</t>
  </si>
  <si>
    <t>dic-2020</t>
  </si>
  <si>
    <t>ene-2021</t>
  </si>
  <si>
    <t>feb-2021</t>
  </si>
  <si>
    <t>mar-2021</t>
  </si>
  <si>
    <t>abr-2021</t>
  </si>
  <si>
    <t>may-2021</t>
  </si>
  <si>
    <t>jun-2021</t>
  </si>
  <si>
    <t>jul-2021</t>
  </si>
  <si>
    <t>ago-2021</t>
  </si>
  <si>
    <t>sep-2021</t>
  </si>
  <si>
    <t>oct-2021</t>
  </si>
  <si>
    <t>nov-2021</t>
  </si>
  <si>
    <t>dic-2021</t>
  </si>
  <si>
    <t>ene-2022</t>
  </si>
  <si>
    <t>feb-2022</t>
  </si>
  <si>
    <t>mar-2022</t>
  </si>
  <si>
    <t>abr-2022</t>
  </si>
  <si>
    <t>may-2022</t>
  </si>
  <si>
    <t>jun-2022</t>
  </si>
  <si>
    <t>jul-2022</t>
  </si>
  <si>
    <t>ago-2022</t>
  </si>
  <si>
    <t>sep-2022</t>
  </si>
  <si>
    <t>oct-2022</t>
  </si>
  <si>
    <t>nov-2022</t>
  </si>
  <si>
    <t>dic-2022</t>
  </si>
  <si>
    <t>ene-2023</t>
  </si>
  <si>
    <t>feb-2023</t>
  </si>
  <si>
    <t>mar-2023</t>
  </si>
  <si>
    <t>abr-2023</t>
  </si>
  <si>
    <t>may-2023</t>
  </si>
  <si>
    <t>jun-2023</t>
  </si>
  <si>
    <t>jul-2023</t>
  </si>
  <si>
    <t>ago-2023</t>
  </si>
  <si>
    <t>sep-2023</t>
  </si>
  <si>
    <t>oct-2023</t>
  </si>
  <si>
    <t>nov-2023</t>
  </si>
  <si>
    <t>dic-2023</t>
  </si>
  <si>
    <t>ene-2024</t>
  </si>
  <si>
    <t>feb-2024</t>
  </si>
  <si>
    <t>mar-2024</t>
  </si>
  <si>
    <t>INGRESOS</t>
  </si>
  <si>
    <t>Ventas de productos</t>
  </si>
  <si>
    <t>Ingresos por exportaciones</t>
  </si>
  <si>
    <t>GASTOS OPERATIVOS</t>
  </si>
  <si>
    <t>INGRESOS/EGRESOS NO OPERATIVOS</t>
  </si>
  <si>
    <t>Venta de activos, materiales y desechos</t>
  </si>
  <si>
    <t>Otros Egresos</t>
  </si>
  <si>
    <t>Ajuste por inflación y tenencia de bienes</t>
  </si>
  <si>
    <t>Diferencias de cambio</t>
  </si>
  <si>
    <t>Estado de Resultados</t>
  </si>
  <si>
    <t>OTROS GASTOS/INGRESOS</t>
  </si>
  <si>
    <t>Etiquetas de fila</t>
  </si>
  <si>
    <t>Activo Corriente</t>
  </si>
  <si>
    <t>Disponible</t>
  </si>
  <si>
    <t>Cuentas por cobrar</t>
  </si>
  <si>
    <t>Otras cuentas por cobrar</t>
  </si>
  <si>
    <t>Inventarios</t>
  </si>
  <si>
    <t>Activo No Corriente</t>
  </si>
  <si>
    <t>Activo fijo, neto</t>
  </si>
  <si>
    <t>BIENES DE USO</t>
  </si>
  <si>
    <t>DEPRECIACION ACUMULADA</t>
  </si>
  <si>
    <t>Cargos diferidos</t>
  </si>
  <si>
    <t>Inversiones permanentes</t>
  </si>
  <si>
    <t>Otros activos, neto</t>
  </si>
  <si>
    <t>PASIVO Y PATRIMONIO</t>
  </si>
  <si>
    <t>Pasivo Corriente</t>
  </si>
  <si>
    <t>Obligaciones bancarias CP</t>
  </si>
  <si>
    <t>Deudas Sociales</t>
  </si>
  <si>
    <t>Deudas Fiscales</t>
  </si>
  <si>
    <t>Otras deudas por pagar</t>
  </si>
  <si>
    <t>Pasivo No Corriente</t>
  </si>
  <si>
    <t>Créditos diferidos</t>
  </si>
  <si>
    <t>Obligaciones bancarias LP</t>
  </si>
  <si>
    <t>Otras cuentas por pagar (LP)</t>
  </si>
  <si>
    <t>Provision para indemnizaciones</t>
  </si>
  <si>
    <t>Patrimonio</t>
  </si>
  <si>
    <t>Depreciacion</t>
  </si>
  <si>
    <t>TOTAL ACTIVO</t>
  </si>
  <si>
    <t>TOTAL PASIVO</t>
  </si>
  <si>
    <t>Total pasivo no corriente</t>
  </si>
  <si>
    <t>Total pasivo corriente</t>
  </si>
  <si>
    <t>TOTAL PATRIMONIO</t>
  </si>
  <si>
    <t>Fondo social unidades</t>
  </si>
  <si>
    <t>Utilidad del periodo</t>
  </si>
  <si>
    <t>Total activo corriente</t>
  </si>
  <si>
    <t>Total activo no corriente</t>
  </si>
  <si>
    <t>Anticipo de clientes</t>
  </si>
  <si>
    <t>Anticipos de clientes</t>
  </si>
  <si>
    <t>Cuentas corrientes unidades</t>
  </si>
  <si>
    <t>Otros gastos/ingresos</t>
  </si>
  <si>
    <t>Impuestos</t>
  </si>
  <si>
    <t>Ratios proyectados Balance General</t>
  </si>
  <si>
    <t>Activos - Pasivos a Largo Plazo</t>
  </si>
  <si>
    <t>P  R  E  S  U  P  U  E  S  T  O      D  E  L      E  S  T  A  D  O      D  E      R  E  S  U  L  T  A  D  O  S</t>
  </si>
  <si>
    <t xml:space="preserve"> </t>
  </si>
  <si>
    <t>C O D I G O</t>
  </si>
  <si>
    <t xml:space="preserve">D E T A L L E   D E    C U E N T A </t>
  </si>
  <si>
    <t>TOTAL</t>
  </si>
  <si>
    <t>3 0 00 00</t>
  </si>
  <si>
    <t>I N G R E S O S</t>
  </si>
  <si>
    <t>3 1 00 00</t>
  </si>
  <si>
    <t>INGRESOS NETOS</t>
  </si>
  <si>
    <t>3 1 01 00</t>
  </si>
  <si>
    <t xml:space="preserve">  INGRESOS OPERATIVOS</t>
  </si>
  <si>
    <t>3 1 01 01</t>
  </si>
  <si>
    <t xml:space="preserve">    INGRESOS POR VTA. DE PRODUCTOS</t>
  </si>
  <si>
    <t>CEMENTO</t>
  </si>
  <si>
    <t>YESO</t>
  </si>
  <si>
    <t>MORTEROS SECOS</t>
  </si>
  <si>
    <t>PUZOLANA MOLIDA</t>
  </si>
  <si>
    <t>CLINKER</t>
  </si>
  <si>
    <t>SERVICIO FLETES Y ESTIBAJES</t>
  </si>
  <si>
    <t>3 1 02 00</t>
  </si>
  <si>
    <t xml:space="preserve">  INGRESOS NO OPERATIVOS</t>
  </si>
  <si>
    <t>3 1 02 01</t>
  </si>
  <si>
    <t>PULPERIAS Y MAT. ALMACEN</t>
  </si>
  <si>
    <t>3 1 02 02</t>
  </si>
  <si>
    <t>VENTA DE ACTIVOS</t>
  </si>
  <si>
    <t>3 1 02 03</t>
  </si>
  <si>
    <t xml:space="preserve">    INGRESOS FINANCIEROS</t>
  </si>
  <si>
    <t>3 1 02 04</t>
  </si>
  <si>
    <t xml:space="preserve">    OTROS INGRESOS Y RESIDUOS</t>
  </si>
  <si>
    <t>3 1 03 00</t>
  </si>
  <si>
    <t xml:space="preserve">  DESCUENTOS, DEVOLUCIONES, REBAJAS</t>
  </si>
  <si>
    <t>3 1 03 01</t>
  </si>
  <si>
    <t xml:space="preserve">     DESCUENTOS, DEVOLUCIONES, REBAJAS</t>
  </si>
  <si>
    <t>4 0 00 00</t>
  </si>
  <si>
    <t>G A S T O S</t>
  </si>
  <si>
    <t>4 1 00 00</t>
  </si>
  <si>
    <t>COSTO DE PRODUCCION DE LO VENDIDO</t>
  </si>
  <si>
    <t>4 1 01 00</t>
  </si>
  <si>
    <t>4 1 01 01</t>
  </si>
  <si>
    <t>4 1 0 2 00</t>
  </si>
  <si>
    <t>EGRESOS NO OPERATIVOS</t>
  </si>
  <si>
    <t>4 1 0 2 01</t>
  </si>
  <si>
    <t>FABRICACION Y MONTAJE</t>
  </si>
  <si>
    <t>PLANTA AGREGADOS</t>
  </si>
  <si>
    <t>REP.MANTTO. ACTIVOS</t>
  </si>
  <si>
    <t>4 2 00 00</t>
  </si>
  <si>
    <t>4 2 01 00</t>
  </si>
  <si>
    <t xml:space="preserve">  OBRA DE MANO</t>
  </si>
  <si>
    <t>4 2 01 01</t>
  </si>
  <si>
    <t xml:space="preserve">     SUELDOS Y SALARIOS</t>
  </si>
  <si>
    <t>4 2 01 02</t>
  </si>
  <si>
    <t xml:space="preserve">     APORTES PATRONALES</t>
  </si>
  <si>
    <t>4 2 01 03</t>
  </si>
  <si>
    <t xml:space="preserve">     BENEFICIOS SOCIALES</t>
  </si>
  <si>
    <t>4 2 02 00</t>
  </si>
  <si>
    <t xml:space="preserve">   MATERIALES  DE ALMACEN</t>
  </si>
  <si>
    <t>4 2 02 01</t>
  </si>
  <si>
    <t xml:space="preserve">     MATERIALES DE ALMACEN</t>
  </si>
  <si>
    <t>4 2 02 02</t>
  </si>
  <si>
    <t xml:space="preserve">    GASTOS DE SERVICIOS</t>
  </si>
  <si>
    <t>4 2 03 00</t>
  </si>
  <si>
    <t xml:space="preserve">   GASTOS GENERALES</t>
  </si>
  <si>
    <t>4 2 03 01</t>
  </si>
  <si>
    <t xml:space="preserve">     GASTOS GENERALES</t>
  </si>
  <si>
    <t>4 2 03 02</t>
  </si>
  <si>
    <t xml:space="preserve">     OTROS GASTOS </t>
  </si>
  <si>
    <t>4 2 03 03</t>
  </si>
  <si>
    <t xml:space="preserve">     AYUDA COMUNITARIA</t>
  </si>
  <si>
    <t>4 2 04 00</t>
  </si>
  <si>
    <t xml:space="preserve">  DEPRECIACION DEL ACTIVO FIJO</t>
  </si>
  <si>
    <t>4 2 04 01</t>
  </si>
  <si>
    <t xml:space="preserve">     DEPRECIACION DEL ACTIVO FIJO</t>
  </si>
  <si>
    <t>4 3 00 00</t>
  </si>
  <si>
    <t>4 3 01 00</t>
  </si>
  <si>
    <t>4 3 01 01</t>
  </si>
  <si>
    <t>4 3 01 02</t>
  </si>
  <si>
    <t>4 3 01 03</t>
  </si>
  <si>
    <t>4 3 02 00</t>
  </si>
  <si>
    <t>4 3 02 01</t>
  </si>
  <si>
    <t>4 3 02 02</t>
  </si>
  <si>
    <t>4 3 03 00</t>
  </si>
  <si>
    <t>4 3 03 01</t>
  </si>
  <si>
    <t>4 3 03 02</t>
  </si>
  <si>
    <t>4 3 03 03</t>
  </si>
  <si>
    <t>4 3 04 00</t>
  </si>
  <si>
    <t>4 3 04 01</t>
  </si>
  <si>
    <t>4 4 00 00</t>
  </si>
  <si>
    <t>4 4 01 00</t>
  </si>
  <si>
    <t xml:space="preserve">   GASTOS FINANCIEROS</t>
  </si>
  <si>
    <t>4 4 01 01</t>
  </si>
  <si>
    <t>INTERESES</t>
  </si>
  <si>
    <t>4 5 00 00</t>
  </si>
  <si>
    <t>4 5 01 00</t>
  </si>
  <si>
    <t xml:space="preserve">   GASTOS TRIBUTARIOS</t>
  </si>
  <si>
    <t>4 5 01 01</t>
  </si>
  <si>
    <t xml:space="preserve">     GASTOS TRIBUTARIOS</t>
  </si>
  <si>
    <t>4 5 01 05</t>
  </si>
  <si>
    <t>PATENTES MINERAS</t>
  </si>
  <si>
    <t>4 6 00 00</t>
  </si>
  <si>
    <t>4 6 01 00</t>
  </si>
  <si>
    <t xml:space="preserve">   PERDIDAS Y GANANCIAS</t>
  </si>
  <si>
    <t>4 6 01 01</t>
  </si>
  <si>
    <t xml:space="preserve">    INGRESOS POR VTA. BANCO COMUNIDAD</t>
  </si>
  <si>
    <t>4 700 00</t>
  </si>
  <si>
    <t>CORRECCION MONETARIA</t>
  </si>
  <si>
    <t>4 7 01 00</t>
  </si>
  <si>
    <t xml:space="preserve">   AJUSTES MONETARIOS P/INFLACION</t>
  </si>
  <si>
    <t>4 7 01 01</t>
  </si>
  <si>
    <t xml:space="preserve">     AJUSTE POR INF. Y TEN. DE BIENES</t>
  </si>
  <si>
    <t>T O T A L   U T I L I D A D (+) / P E R D I D A (-)</t>
  </si>
  <si>
    <t>Capital de Trabajo</t>
  </si>
  <si>
    <t>Variacion en el capital de trabajo</t>
  </si>
  <si>
    <t xml:space="preserve">FLUJO DE CAJA </t>
  </si>
  <si>
    <t>(Expresado en bolivianos)</t>
  </si>
  <si>
    <t>(+) Depreciaciones y Amortizaciones</t>
  </si>
  <si>
    <t>(+) Variacion en capital de trabajo</t>
  </si>
  <si>
    <t>(+) Impuestos</t>
  </si>
  <si>
    <t>Flujo operativo</t>
  </si>
  <si>
    <t>(+) Variacion otros activos</t>
  </si>
  <si>
    <t>(+) Variacion otros pasivos</t>
  </si>
  <si>
    <t>(+) CAPEX</t>
  </si>
  <si>
    <t>Flujo de caja libre</t>
  </si>
  <si>
    <t>Variacion Deudas bancarias</t>
  </si>
  <si>
    <t>Variacion Ingreso Diferido</t>
  </si>
  <si>
    <t>(-) Intereses</t>
  </si>
  <si>
    <t>(+) Escudo fiscal por intereses</t>
  </si>
  <si>
    <t>Flujo de financiamiento</t>
  </si>
  <si>
    <t>Flujo generado en el periodo</t>
  </si>
  <si>
    <t>Emision (recompra) cuotas</t>
  </si>
  <si>
    <t>Depreciacion acumulada</t>
  </si>
  <si>
    <t>tasa de crecimiento en ventas</t>
  </si>
  <si>
    <t>Ventas</t>
  </si>
  <si>
    <t>Ratios proyectados Estado de Resultados</t>
  </si>
  <si>
    <t>Bs</t>
  </si>
  <si>
    <t>Ventas netas</t>
  </si>
  <si>
    <t>Promedio ventas mensuales</t>
  </si>
  <si>
    <t>Margen bruto</t>
  </si>
  <si>
    <t>Margen EBITDA</t>
  </si>
  <si>
    <t>Margen EBIT</t>
  </si>
  <si>
    <t>Margen neto</t>
  </si>
  <si>
    <t>Dispersión ventas promedio</t>
  </si>
  <si>
    <t>Rentabilidad</t>
  </si>
  <si>
    <t>Actividad</t>
  </si>
  <si>
    <t>Liquidez</t>
  </si>
  <si>
    <t>Apalancamiento</t>
  </si>
  <si>
    <t>Apalancamiento financiero</t>
  </si>
  <si>
    <t>Deuda a Patrimonio</t>
  </si>
  <si>
    <t>Razon corriente</t>
  </si>
  <si>
    <t>Prueba acida</t>
  </si>
  <si>
    <t>Liquidez inmediata</t>
  </si>
  <si>
    <t>Capital de trabajo neto</t>
  </si>
  <si>
    <t>Resumen de magnitudes y KPI's</t>
  </si>
  <si>
    <t>BANCO PyME DE LA COMUNIDAD S.A.</t>
  </si>
  <si>
    <t>Nº</t>
  </si>
  <si>
    <t>NOMBRE O RAZON SOCIAL DEL ACCIONISTA</t>
  </si>
  <si>
    <t>Paquete accionario - Bs</t>
  </si>
  <si>
    <t>Cantidad de acciones (*)</t>
  </si>
  <si>
    <t>Participación accionaria</t>
  </si>
  <si>
    <t>Paquete accionario - USD.</t>
  </si>
  <si>
    <t>Cooperativa Multiactiva COBOCE R.L</t>
  </si>
  <si>
    <t>OIKOCREDIT, Ecumenical Development Cooperative Society U.A.</t>
  </si>
  <si>
    <t>Otros accionistas</t>
  </si>
  <si>
    <t>TOTALES</t>
  </si>
  <si>
    <t>(*)</t>
  </si>
  <si>
    <t>A valor nominal de Bs10 por acción</t>
  </si>
  <si>
    <t>DETERMINACIÓN DEL VALOR PATRIMONIAL PROPORCIONAL (VPP)</t>
  </si>
  <si>
    <t>DETALLE</t>
  </si>
  <si>
    <t>Valores</t>
  </si>
  <si>
    <r>
      <rPr>
        <b/>
        <sz val="8"/>
        <color rgb="FF9B1D20"/>
        <rFont val="Arial Narrow"/>
        <family val="2"/>
      </rPr>
      <t>VPP:</t>
    </r>
    <r>
      <rPr>
        <sz val="8"/>
        <color rgb="FF9B1D20"/>
        <rFont val="Arial Narrow"/>
        <family val="2"/>
      </rPr>
      <t xml:space="preserve"> Valor Patrimonial Proporcional</t>
    </r>
  </si>
  <si>
    <t>Capital Social Preferente (CSP) en Bs</t>
  </si>
  <si>
    <r>
      <rPr>
        <b/>
        <sz val="8"/>
        <color rgb="FF9B1D20"/>
        <rFont val="Arial Narrow"/>
        <family val="2"/>
      </rPr>
      <t>P:</t>
    </r>
    <r>
      <rPr>
        <sz val="8"/>
        <color rgb="FF9B1D20"/>
        <rFont val="Arial Narrow"/>
        <family val="2"/>
      </rPr>
      <t xml:space="preserve"> Patrimonio</t>
    </r>
  </si>
  <si>
    <t>Aportes Pendientes de Capitalización (APC) en Bs</t>
  </si>
  <si>
    <t>VPP =</t>
  </si>
  <si>
    <t>P - CSP - APC - DAAP</t>
  </si>
  <si>
    <r>
      <rPr>
        <b/>
        <sz val="8"/>
        <color rgb="FF9B1D20"/>
        <rFont val="Arial Narrow"/>
        <family val="2"/>
      </rPr>
      <t>CSP:</t>
    </r>
    <r>
      <rPr>
        <sz val="8"/>
        <color rgb="FF9B1D20"/>
        <rFont val="Arial Narrow"/>
        <family val="2"/>
      </rPr>
      <t xml:space="preserve"> Capital Social Preferente</t>
    </r>
  </si>
  <si>
    <t>Dividendos Acumulativos de las Acciones Preferentes (DAAP) en Bs</t>
  </si>
  <si>
    <t>NAOC</t>
  </si>
  <si>
    <r>
      <rPr>
        <b/>
        <sz val="8"/>
        <color rgb="FF9B1D20"/>
        <rFont val="Arial Narrow"/>
        <family val="2"/>
      </rPr>
      <t>APC:</t>
    </r>
    <r>
      <rPr>
        <sz val="8"/>
        <color rgb="FF9B1D20"/>
        <rFont val="Arial Narrow"/>
        <family val="2"/>
      </rPr>
      <t xml:space="preserve"> Aportes Pendientes de Capitalización</t>
    </r>
  </si>
  <si>
    <t>Número de Acciones Ordinarias en Circulación (NAOC)</t>
  </si>
  <si>
    <r>
      <rPr>
        <b/>
        <sz val="8"/>
        <color rgb="FF9B1D20"/>
        <rFont val="Arial Narrow"/>
        <family val="2"/>
      </rPr>
      <t>DAAP:</t>
    </r>
    <r>
      <rPr>
        <sz val="8"/>
        <color rgb="FF9B1D20"/>
        <rFont val="Arial Narrow"/>
        <family val="2"/>
      </rPr>
      <t xml:space="preserve"> Dividendos Acumulativos de las Acciones Preferentes</t>
    </r>
  </si>
  <si>
    <t>Valor patrimonial proporcional - VPP en Bs</t>
  </si>
  <si>
    <r>
      <rPr>
        <b/>
        <sz val="8"/>
        <color rgb="FF9B1D20"/>
        <rFont val="Arial Narrow"/>
        <family val="2"/>
      </rPr>
      <t>NAOC:</t>
    </r>
    <r>
      <rPr>
        <sz val="8"/>
        <color rgb="FF9B1D20"/>
        <rFont val="Arial Narrow"/>
        <family val="2"/>
      </rPr>
      <t xml:space="preserve"> Número de Acciones Ordinarias en Circulación</t>
    </r>
  </si>
  <si>
    <t>Valor nominal de las acciones - Bs</t>
  </si>
  <si>
    <t>Patirmonio contable - Bs</t>
  </si>
  <si>
    <t>VPP - Bs</t>
  </si>
  <si>
    <t>Paquete accionario al VPP - Bs</t>
  </si>
  <si>
    <t>Paquete accionario al VPP - USD.</t>
  </si>
  <si>
    <t>USD.</t>
  </si>
  <si>
    <t>OTRAS CUENTAS PATRIMONIALES</t>
  </si>
  <si>
    <t>Aporte inicial en efectivo</t>
  </si>
  <si>
    <t>APORTES NO CAPITALIZADOS</t>
  </si>
  <si>
    <t>Aportes adicionales en efectivo</t>
  </si>
  <si>
    <t>RESERVAS</t>
  </si>
  <si>
    <t>Reducción Voluntaria de Capital Pagado</t>
  </si>
  <si>
    <t>RESULTADOS ACUMULADOS</t>
  </si>
  <si>
    <t>Total aportes realizados en efectivo</t>
  </si>
  <si>
    <t>TOTAL OTRAS CUENTAS PATRIMONIALES</t>
  </si>
  <si>
    <t>Capitalización de utilidades</t>
  </si>
  <si>
    <t>CAPITAL PAGADO</t>
  </si>
  <si>
    <t>Paquete accionario (Capital Social)</t>
  </si>
  <si>
    <t>Paquete accionario al VVP</t>
  </si>
  <si>
    <t>Número de acciones de COBOCE</t>
  </si>
  <si>
    <t>Valor Patrimonial Proporcional de las acciones de COBOCE</t>
  </si>
  <si>
    <t>Depreciación del periodo</t>
  </si>
  <si>
    <t>Activo Fijo final</t>
  </si>
  <si>
    <t>(Expresado en millones de Bs)</t>
  </si>
  <si>
    <t>(expresado en millones de Bs)</t>
  </si>
  <si>
    <t>Dias de Otras cuentas por cobrar</t>
  </si>
  <si>
    <t>Dias de Inventarios</t>
  </si>
  <si>
    <t>Dias Anticipos de clientes</t>
  </si>
  <si>
    <t>Dias de pago Deudas Sociales</t>
  </si>
  <si>
    <t>Dias de pago Deudas Fiscales</t>
  </si>
  <si>
    <t>Dias de pago Otras deudas por pagar</t>
  </si>
  <si>
    <t>COBOCE CEMENTO</t>
  </si>
  <si>
    <t>COSTOS Y PRESUPUESTOS</t>
  </si>
  <si>
    <t>RESUMEN DE EGRESOS EN ESTADO DE RESULTADOS</t>
  </si>
  <si>
    <t>DE ABRIL/2020 A FEBRERO/2025</t>
  </si>
  <si>
    <t>NOTA.- Datos de la gestión 2024 son provisionales (proceso de cierre preliminar)</t>
  </si>
  <si>
    <t>GESTION 2020</t>
  </si>
  <si>
    <t>GESTION 2021</t>
  </si>
  <si>
    <t>Total</t>
  </si>
  <si>
    <t>C.Fijo</t>
  </si>
  <si>
    <t>C.Variable</t>
  </si>
  <si>
    <t>EGRESOS</t>
  </si>
  <si>
    <t>OPERATIVOS</t>
  </si>
  <si>
    <t>OBRA DE MANO</t>
  </si>
  <si>
    <t>APORTES PATRONALES</t>
  </si>
  <si>
    <t>BENEFICIOS SOCIALES</t>
  </si>
  <si>
    <t>ALMACEN MATERIALES</t>
  </si>
  <si>
    <t>COSTO DE SERVICIOS</t>
  </si>
  <si>
    <t>GASTOS GENERALES</t>
  </si>
  <si>
    <t>GASTOS DE OPERACIÓN</t>
  </si>
  <si>
    <t>DEPRECIACION</t>
  </si>
  <si>
    <t>SEGUROS</t>
  </si>
  <si>
    <t>NO OPERATIVOS</t>
  </si>
  <si>
    <t>GASTOS</t>
  </si>
  <si>
    <t>Administrativos</t>
  </si>
  <si>
    <t>Comerciales</t>
  </si>
  <si>
    <t>Financieros</t>
  </si>
  <si>
    <t>Tributarios</t>
  </si>
  <si>
    <t>Pérdidas y Ganancias</t>
  </si>
  <si>
    <t>Corrección monetaria p/inflación</t>
  </si>
  <si>
    <t>SOLO PARA FINES DE COMPARACION:</t>
  </si>
  <si>
    <t>COSTO TOTAL DESPACHADO</t>
  </si>
  <si>
    <t>Traspaso a Morteros</t>
  </si>
  <si>
    <t>Transferencias y donaciones</t>
  </si>
  <si>
    <t>Operativos S/EERR</t>
  </si>
  <si>
    <t>mar-25*</t>
  </si>
  <si>
    <t>Capital</t>
  </si>
  <si>
    <t>Toneladas</t>
  </si>
  <si>
    <t>Cemento IP25</t>
  </si>
  <si>
    <t>Bolsas</t>
  </si>
  <si>
    <t>A granel</t>
  </si>
  <si>
    <t>Cemento IP30</t>
  </si>
  <si>
    <t>Cemento IP40</t>
  </si>
  <si>
    <t>Yeso</t>
  </si>
  <si>
    <t>Cemento Cola</t>
  </si>
  <si>
    <t>Cemento cola 2</t>
  </si>
  <si>
    <t>Mortero de Revoque</t>
  </si>
  <si>
    <t>Mortero de Mampostería</t>
  </si>
  <si>
    <t>Puzolana Molida</t>
  </si>
  <si>
    <t>total mensual</t>
  </si>
  <si>
    <t xml:space="preserve">unidad </t>
  </si>
  <si>
    <t>total por producto</t>
  </si>
  <si>
    <t>producto</t>
  </si>
  <si>
    <t>costo de produccion de lo vendido</t>
  </si>
  <si>
    <t>ingresos netos</t>
  </si>
  <si>
    <t>MC (%)</t>
  </si>
  <si>
    <t>CV</t>
  </si>
  <si>
    <t>IT</t>
  </si>
  <si>
    <t>margen bruto</t>
  </si>
  <si>
    <t>BNB Leasing</t>
  </si>
  <si>
    <t>Monto</t>
  </si>
  <si>
    <t>Cantidad</t>
  </si>
  <si>
    <t>Precio de venta</t>
  </si>
  <si>
    <t>Precio de compra</t>
  </si>
  <si>
    <t>margen de utilidad</t>
  </si>
  <si>
    <t>margen unitario</t>
  </si>
  <si>
    <t>Dias de cobro - cuentas comerciales</t>
  </si>
  <si>
    <t>Dias de pago - proveedores</t>
  </si>
  <si>
    <t>Ratios financieros</t>
  </si>
  <si>
    <t>Liquidez general</t>
  </si>
  <si>
    <t>liquidez corriente</t>
  </si>
  <si>
    <t>prueba ácida</t>
  </si>
  <si>
    <t>prueba defensiva</t>
  </si>
  <si>
    <t>capital de trabajo neto</t>
  </si>
  <si>
    <t>Ratios de liquidez</t>
  </si>
  <si>
    <t>Ratios de actividad</t>
  </si>
  <si>
    <t>rotacion capital de trabajo</t>
  </si>
  <si>
    <t>rotacion activos</t>
  </si>
  <si>
    <t>rotacion activos fijos</t>
  </si>
  <si>
    <t>margen operativo</t>
  </si>
  <si>
    <t>ACTIVO CORRIENTE</t>
  </si>
  <si>
    <t>ACTIVO NO CORRIENTE</t>
  </si>
  <si>
    <t>MARGEN BRUTO</t>
  </si>
  <si>
    <t>Ratios de solvencia</t>
  </si>
  <si>
    <t>indice de endeudamiento</t>
  </si>
  <si>
    <t>grado de propiedad</t>
  </si>
  <si>
    <t>apalancamiento financiero</t>
  </si>
  <si>
    <t>indice de endeudamiento a largo plazo</t>
  </si>
  <si>
    <t>cobertura gastos financieros</t>
  </si>
  <si>
    <t>cobertura gastos financieros (acumulado)</t>
  </si>
  <si>
    <t>Ratios de rentabilidad</t>
  </si>
  <si>
    <t>ROE</t>
  </si>
  <si>
    <t>ROA</t>
  </si>
  <si>
    <t>margen neto</t>
  </si>
  <si>
    <t>fecha</t>
  </si>
  <si>
    <t>ventas</t>
  </si>
  <si>
    <t>gestión</t>
  </si>
  <si>
    <t>costo de ventas</t>
  </si>
  <si>
    <t>gastos administracion</t>
  </si>
  <si>
    <t>gastos comercializacion</t>
  </si>
  <si>
    <t>otros gastos/ingresos</t>
  </si>
  <si>
    <t>gastos financieros</t>
  </si>
  <si>
    <t>gastos tributarios</t>
  </si>
  <si>
    <t>(-) Dividendos/ Var fondo social</t>
  </si>
  <si>
    <t>(-) Dividendos/Var fondo social</t>
  </si>
  <si>
    <t>1.4.02.00</t>
  </si>
  <si>
    <t>DEPRECIACIÓN ACUMULADA</t>
  </si>
  <si>
    <t>Capital de Inversión</t>
  </si>
  <si>
    <t>Compra(venta) de Activos Fijos</t>
  </si>
  <si>
    <t>vencimiento</t>
  </si>
  <si>
    <t>semana</t>
  </si>
  <si>
    <t>Dia</t>
  </si>
  <si>
    <t>Por pagar</t>
  </si>
  <si>
    <t>Número de cuota</t>
  </si>
  <si>
    <t>pago a capital</t>
  </si>
  <si>
    <t>cuota pagada</t>
  </si>
  <si>
    <t>Ganadero</t>
  </si>
  <si>
    <t>Activo Fijo inicial</t>
  </si>
  <si>
    <t>9 años</t>
  </si>
  <si>
    <t>7 años</t>
  </si>
  <si>
    <t>8 años</t>
  </si>
  <si>
    <t>Gestion</t>
  </si>
  <si>
    <t>COMPOSICIÓN ACCIONARIA AL 31 de agosto de 2025</t>
  </si>
  <si>
    <t>Composición Accionaria al 31.08.2025</t>
  </si>
  <si>
    <t>Patrimonio (P) al 31.08.2025 en Bs</t>
  </si>
  <si>
    <t>COMPOSICIÓN ACCIONARIA AL VPP AL 31 de agosto de 2025</t>
  </si>
  <si>
    <t>Composición accionaria al VPP al 31.08.2025</t>
  </si>
  <si>
    <t>PAQUETE ACCIONARIO DE COBOCE AL VPP AL 31.08.2025</t>
  </si>
  <si>
    <t xml:space="preserve">Distribución de otras cuentas patrimoniales </t>
  </si>
  <si>
    <t>Plan Banco</t>
  </si>
  <si>
    <t>315101121500078f</t>
  </si>
  <si>
    <t>1.</t>
  </si>
  <si>
    <t>Visitar el lunes al banco, habilitando al doctor Murillo como representante</t>
  </si>
  <si>
    <t>tenemos un periodo de 30 dias para comenzar la demanda (coboce no presenta demanda Banco no presenta ejecucion)</t>
  </si>
  <si>
    <t>Dacion en pago (BANCO y PILAT)</t>
  </si>
  <si>
    <t>Alternativamente hacemos seguimiento a la demanda del bnaco antes que dicte la sentencia preliminar del banco para parar</t>
  </si>
  <si>
    <t>Mensual</t>
  </si>
  <si>
    <t xml:space="preserve">inicio </t>
  </si>
  <si>
    <t>plazo</t>
  </si>
  <si>
    <t>Saldo a capital inicial</t>
  </si>
  <si>
    <t xml:space="preserve">Saldo Adeudado </t>
  </si>
  <si>
    <t>Antes</t>
  </si>
  <si>
    <t>Transferencia a CERAMIL</t>
  </si>
  <si>
    <t>Monto desembolsado</t>
  </si>
  <si>
    <t>fecha de pago</t>
  </si>
  <si>
    <t>dias de mora</t>
  </si>
  <si>
    <t>intereses corrientes</t>
  </si>
  <si>
    <t>Interes prorroga y gracia</t>
  </si>
  <si>
    <t>BISA</t>
  </si>
  <si>
    <t>UNION</t>
  </si>
  <si>
    <t>GANADERO</t>
  </si>
  <si>
    <t>FIDEICOMISO</t>
  </si>
  <si>
    <t>Fideicomiso</t>
  </si>
  <si>
    <t>Union</t>
  </si>
  <si>
    <t xml:space="preserve">  </t>
  </si>
  <si>
    <t>Deuda financiera / EBITDA</t>
  </si>
  <si>
    <t>i</t>
  </si>
  <si>
    <t>Cantidades</t>
  </si>
  <si>
    <t>Cemento (eq. bolsas)</t>
  </si>
  <si>
    <t>precio de venta (IP-40)</t>
  </si>
  <si>
    <t>precio de venta (IP-30)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</si>
</sst>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-* #,##0.00_-;\-* #,##0.00_-;_-* &quot;-&quot;??_-;_-@_-"/>
    <numFmt numFmtId="164" formatCode="dd/mm/yyyy;@"/>
    <numFmt numFmtId="165" formatCode="_(* #,##0.00_);_(* \(#,##0.00\);_(* &quot;-&quot;??_);_(@_)"/>
    <numFmt numFmtId="166" formatCode="#,##0.0,,\ ;\(#,##0.0,,\);\-\ ;"/>
    <numFmt numFmtId="167" formatCode="0.0%"/>
    <numFmt numFmtId="168" formatCode="#,##0.00\ _$;\-#,##0.00\ _$"/>
    <numFmt numFmtId="169" formatCode="#,##0_ ;[Red]\-#,##0\ "/>
    <numFmt numFmtId="170" formatCode="#,##0.00_ ;[Red]\-#,##0.00\ "/>
    <numFmt numFmtId="171" formatCode="0.00_ ;[Red]\-0.00\ "/>
    <numFmt numFmtId="172" formatCode="#,##0_ ;\-#,##0\ "/>
    <numFmt numFmtId="173" formatCode="_-* #,##0_-;\-* #,##0_-;_-* &quot;-&quot;??_-;_-@_-"/>
    <numFmt numFmtId="174" formatCode="_-* #,##0.00\ _€_-;\-* #,##0.00\ _€_-;_-* &quot;-&quot;??\ _€_-;_-@_-"/>
    <numFmt numFmtId="175" formatCode="_ * #,##0.00_ ;_ * \-#,##0.00_ ;_ * &quot;-&quot;??_ ;_ @_ "/>
    <numFmt numFmtId="176" formatCode="_-[$Bs-400A]* #,##0.00_-;\-[$Bs-400A]* #,##0.00_-;_-[$Bs-400A]* &quot;-&quot;??_-;_-@_-"/>
    <numFmt numFmtId="177" formatCode="dd\-mm\-yy;@"/>
    <numFmt numFmtId="178" formatCode="0.0000%"/>
    <numFmt numFmtId="179" formatCode="_-* #,##0.0000_-;\-* #,##0.0000_-;_-* &quot;-&quot;??_-;_-@_-"/>
    <numFmt numFmtId="180" formatCode="0.0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0"/>
      <color rgb="FF002060"/>
      <name val="Arial Narrow"/>
      <family val="2"/>
    </font>
    <font>
      <b/>
      <sz val="8"/>
      <color rgb="FF002060"/>
      <name val="Arial Narrow"/>
      <family val="2"/>
    </font>
    <font>
      <b/>
      <sz val="9"/>
      <color rgb="FF002060"/>
      <name val="Arial Narrow"/>
      <family val="2"/>
    </font>
    <font>
      <sz val="8"/>
      <color rgb="FF002060"/>
      <name val="Arial Narrow"/>
      <family val="2"/>
    </font>
    <font>
      <sz val="8"/>
      <color theme="0"/>
      <name val="Arial Narrow"/>
      <family val="2"/>
    </font>
    <font>
      <b/>
      <sz val="8"/>
      <color theme="0" tint="-0.14999847407452621"/>
      <name val="Arial Narrow"/>
      <family val="2"/>
    </font>
    <font>
      <sz val="8"/>
      <color theme="0" tint="-0.14999847407452621"/>
      <name val="Arial Narrow"/>
      <family val="2"/>
    </font>
    <font>
      <b/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7.5"/>
      <color theme="0"/>
      <name val="Arial Narrow"/>
      <family val="2"/>
    </font>
    <font>
      <b/>
      <sz val="8"/>
      <color rgb="FF9B1D20"/>
      <name val="Arial Narrow"/>
      <family val="2"/>
    </font>
    <font>
      <sz val="8"/>
      <color rgb="FF9B1D20"/>
      <name val="Arial Narrow"/>
      <family val="2"/>
    </font>
    <font>
      <b/>
      <sz val="10"/>
      <color rgb="FF9B1D20"/>
      <name val="Arial Narrow"/>
      <family val="2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1"/>
      <color rgb="FF7030A0"/>
      <name val="Calibri Light"/>
      <family val="2"/>
      <scheme val="major"/>
    </font>
    <font>
      <b/>
      <sz val="11"/>
      <color theme="1"/>
      <name val="Microsoft Sans Serif"/>
      <family val="2"/>
    </font>
    <font>
      <sz val="11"/>
      <color theme="1"/>
      <name val="Microsoft Sans Serif"/>
      <family val="2"/>
    </font>
    <font>
      <b/>
      <sz val="14"/>
      <color theme="1"/>
      <name val="Microsoft Sans Serif"/>
      <family val="2"/>
    </font>
    <font>
      <b/>
      <u/>
      <sz val="11"/>
      <color theme="1"/>
      <name val="Microsoft Sans Serif"/>
      <family val="2"/>
    </font>
    <font>
      <b/>
      <sz val="16"/>
      <name val="Microsoft Sans Serif"/>
      <family val="2"/>
    </font>
    <font>
      <sz val="11"/>
      <name val="Microsoft Sans Serif"/>
      <family val="2"/>
    </font>
    <font>
      <b/>
      <sz val="11"/>
      <name val="Microsoft Sans Serif"/>
      <family val="2"/>
    </font>
    <font>
      <b/>
      <sz val="11"/>
      <color theme="0"/>
      <name val="Microsoft Sans Serif"/>
      <family val="2"/>
    </font>
    <font>
      <i/>
      <sz val="11"/>
      <name val="Microsoft Sans Serif"/>
      <family val="2"/>
    </font>
    <font>
      <sz val="11"/>
      <color rgb="FF000000"/>
      <name val="Microsoft Sans Serif"/>
      <family val="2"/>
    </font>
    <font>
      <b/>
      <sz val="11"/>
      <color rgb="FF000000"/>
      <name val="Microsoft Sans Serif"/>
      <family val="2"/>
    </font>
    <font>
      <b/>
      <sz val="11"/>
      <color theme="0" tint="-0.499984740745262"/>
      <name val="Microsoft Sans Serif"/>
      <family val="2"/>
    </font>
    <font>
      <sz val="11"/>
      <color theme="0" tint="-0.499984740745262"/>
      <name val="Microsoft Sans Serif"/>
      <family val="2"/>
    </font>
    <font>
      <b/>
      <sz val="11"/>
      <color rgb="FF0070C0"/>
      <name val="Microsoft Sans Serif"/>
      <family val="2"/>
    </font>
    <font>
      <sz val="11"/>
      <color rgb="FF0070C0"/>
      <name val="Microsoft Sans Serif"/>
      <family val="2"/>
    </font>
    <font>
      <b/>
      <sz val="14"/>
      <name val="Microsoft Sans Serif"/>
      <family val="2"/>
    </font>
    <font>
      <b/>
      <sz val="18"/>
      <name val="Microsoft Sans Serif"/>
      <family val="2"/>
    </font>
    <font>
      <b/>
      <sz val="18"/>
      <color theme="1"/>
      <name val="Microsoft Sans Serif"/>
      <family val="2"/>
    </font>
    <font>
      <b/>
      <i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color rgb="FF00206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Microsoft Sans Serif"/>
      <family val="2"/>
    </font>
    <font>
      <b/>
      <sz val="16"/>
      <color theme="1"/>
      <name val="Microsoft Sans Serif"/>
      <family val="2"/>
    </font>
    <font>
      <sz val="16"/>
      <color theme="1"/>
      <name val="Calibri Light"/>
      <family val="2"/>
      <scheme val="major"/>
    </font>
    <font>
      <sz val="11"/>
      <color rgb="FFFF0000"/>
      <name val="Microsoft Sans Serif"/>
      <family val="2"/>
    </font>
  </fonts>
  <fills count="5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1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592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9" tint="0.59999389629810485"/>
      </left>
      <right style="medium">
        <color theme="9" tint="0.59999389629810485"/>
      </right>
      <top/>
      <bottom/>
      <diagonal/>
    </border>
    <border>
      <left style="medium">
        <color theme="9" tint="0.59999389629810485"/>
      </left>
      <right style="medium">
        <color theme="9" tint="0.59999389629810485"/>
      </right>
      <top/>
      <bottom style="medium">
        <color theme="9" tint="0.59999389629810485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9B1D20"/>
      </left>
      <right style="thin">
        <color theme="0" tint="-0.34998626667073579"/>
      </right>
      <top style="medium">
        <color rgb="FF9B1D2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9B1D20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9B1D20"/>
      </right>
      <top style="medium">
        <color rgb="FF9B1D20"/>
      </top>
      <bottom style="thin">
        <color theme="0" tint="-0.34998626667073579"/>
      </bottom>
      <diagonal/>
    </border>
    <border>
      <left style="medium">
        <color rgb="FF9B1D2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9B1D20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9B1D20"/>
      </left>
      <right style="thin">
        <color theme="0" tint="-0.34998626667073579"/>
      </right>
      <top style="thin">
        <color theme="0" tint="-0.34998626667073579"/>
      </top>
      <bottom style="medium">
        <color rgb="FF9B1D2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9B1D20"/>
      </bottom>
      <diagonal/>
    </border>
    <border>
      <left style="thin">
        <color theme="0" tint="-0.34998626667073579"/>
      </left>
      <right style="medium">
        <color rgb="FF9B1D20"/>
      </right>
      <top style="thin">
        <color theme="0" tint="-0.34998626667073579"/>
      </top>
      <bottom style="medium">
        <color rgb="FF9B1D20"/>
      </bottom>
      <diagonal/>
    </border>
    <border>
      <left/>
      <right/>
      <top/>
      <bottom style="thin">
        <color rgb="FF002060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13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" fillId="0" borderId="0"/>
    <xf numFmtId="0" fontId="12" fillId="0" borderId="0"/>
    <xf numFmtId="0" fontId="16" fillId="0" borderId="0" applyNumberFormat="0" applyFill="0" applyBorder="0" applyAlignment="0" applyProtection="0"/>
    <xf numFmtId="0" fontId="17" fillId="0" borderId="22" applyNumberFormat="0" applyFill="0" applyAlignment="0" applyProtection="0"/>
    <xf numFmtId="0" fontId="18" fillId="0" borderId="23" applyNumberFormat="0" applyFill="0" applyAlignment="0" applyProtection="0"/>
    <xf numFmtId="0" fontId="19" fillId="0" borderId="24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25" applyNumberFormat="0" applyAlignment="0" applyProtection="0"/>
    <xf numFmtId="0" fontId="24" fillId="13" borderId="26" applyNumberFormat="0" applyAlignment="0" applyProtection="0"/>
    <xf numFmtId="0" fontId="25" fillId="13" borderId="25" applyNumberFormat="0" applyAlignment="0" applyProtection="0"/>
    <xf numFmtId="0" fontId="26" fillId="0" borderId="27" applyNumberFormat="0" applyFill="0" applyAlignment="0" applyProtection="0"/>
    <xf numFmtId="0" fontId="9" fillId="14" borderId="28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0" fillId="0" borderId="30" applyNumberFormat="0" applyFill="0" applyAlignment="0" applyProtection="0"/>
    <xf numFmtId="0" fontId="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1" fillId="0" borderId="0"/>
    <xf numFmtId="17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29" applyNumberFormat="0" applyFont="0" applyAlignment="0" applyProtection="0"/>
    <xf numFmtId="174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2" fillId="0" borderId="0"/>
    <xf numFmtId="174" fontId="12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17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2" fillId="0" borderId="0" applyFont="0" applyFill="0" applyBorder="0" applyAlignment="0" applyProtection="0"/>
    <xf numFmtId="0" fontId="12" fillId="0" borderId="0"/>
    <xf numFmtId="174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2" fillId="0" borderId="0"/>
    <xf numFmtId="174" fontId="12" fillId="0" borderId="0" applyFont="0" applyFill="0" applyBorder="0" applyAlignment="0" applyProtection="0"/>
    <xf numFmtId="0" fontId="12" fillId="0" borderId="0"/>
    <xf numFmtId="174" fontId="12" fillId="0" borderId="0" applyFont="0" applyFill="0" applyBorder="0" applyAlignment="0" applyProtection="0"/>
    <xf numFmtId="0" fontId="1" fillId="15" borderId="29" applyNumberFormat="0" applyFont="0" applyAlignment="0" applyProtection="0"/>
    <xf numFmtId="174" fontId="12" fillId="0" borderId="0" applyFont="0" applyFill="0" applyBorder="0" applyAlignment="0" applyProtection="0"/>
    <xf numFmtId="0" fontId="12" fillId="44" borderId="43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29" applyNumberFormat="0" applyFont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15" borderId="29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5" fontId="2" fillId="0" borderId="0" xfId="2" applyNumberFormat="1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3" fontId="2" fillId="0" borderId="0" xfId="0" applyNumberFormat="1" applyFont="1"/>
    <xf numFmtId="0" fontId="3" fillId="0" borderId="0" xfId="0" applyFont="1" applyAlignment="1">
      <alignment horizontal="left"/>
    </xf>
    <xf numFmtId="165" fontId="2" fillId="0" borderId="0" xfId="0" applyNumberFormat="1" applyFont="1"/>
    <xf numFmtId="16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5" fontId="2" fillId="0" borderId="1" xfId="2" applyNumberFormat="1" applyFont="1" applyFill="1" applyBorder="1"/>
    <xf numFmtId="0" fontId="2" fillId="0" borderId="2" xfId="0" applyFont="1" applyBorder="1"/>
    <xf numFmtId="164" fontId="4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165" fontId="2" fillId="0" borderId="2" xfId="2" applyNumberFormat="1" applyFont="1" applyFill="1" applyBorder="1"/>
    <xf numFmtId="3" fontId="2" fillId="0" borderId="0" xfId="0" applyNumberFormat="1" applyFont="1" applyAlignment="1">
      <alignment horizontal="center"/>
    </xf>
    <xf numFmtId="43" fontId="2" fillId="0" borderId="0" xfId="2" applyFont="1" applyFill="1" applyBorder="1" applyAlignment="1">
      <alignment horizontal="center"/>
    </xf>
    <xf numFmtId="10" fontId="2" fillId="0" borderId="0" xfId="1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65" fontId="2" fillId="0" borderId="0" xfId="2" applyNumberFormat="1" applyFont="1" applyFill="1" applyBorder="1" applyAlignment="1">
      <alignment horizontal="center"/>
    </xf>
    <xf numFmtId="4" fontId="2" fillId="0" borderId="0" xfId="0" applyNumberFormat="1" applyFont="1"/>
    <xf numFmtId="164" fontId="7" fillId="0" borderId="0" xfId="0" applyNumberFormat="1" applyFont="1" applyAlignment="1">
      <alignment horizontal="center"/>
    </xf>
    <xf numFmtId="43" fontId="2" fillId="0" borderId="0" xfId="2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indent="2"/>
    </xf>
    <xf numFmtId="3" fontId="0" fillId="0" borderId="0" xfId="0" applyNumberFormat="1"/>
    <xf numFmtId="0" fontId="8" fillId="2" borderId="0" xfId="0" applyFont="1" applyFill="1"/>
    <xf numFmtId="0" fontId="0" fillId="2" borderId="3" xfId="0" applyFill="1" applyBorder="1"/>
    <xf numFmtId="0" fontId="0" fillId="3" borderId="0" xfId="0" applyFill="1" applyAlignment="1">
      <alignment horizontal="left"/>
    </xf>
    <xf numFmtId="3" fontId="0" fillId="3" borderId="0" xfId="0" applyNumberFormat="1" applyFill="1"/>
    <xf numFmtId="3" fontId="0" fillId="3" borderId="3" xfId="0" applyNumberFormat="1" applyFill="1" applyBorder="1"/>
    <xf numFmtId="0" fontId="0" fillId="0" borderId="0" xfId="0" applyAlignment="1">
      <alignment horizontal="left" indent="1"/>
    </xf>
    <xf numFmtId="3" fontId="0" fillId="0" borderId="3" xfId="0" applyNumberFormat="1" applyBorder="1"/>
    <xf numFmtId="3" fontId="0" fillId="0" borderId="4" xfId="0" applyNumberFormat="1" applyBorder="1"/>
    <xf numFmtId="4" fontId="0" fillId="0" borderId="0" xfId="0" applyNumberFormat="1"/>
    <xf numFmtId="17" fontId="0" fillId="0" borderId="0" xfId="0" applyNumberFormat="1"/>
    <xf numFmtId="0" fontId="3" fillId="0" borderId="0" xfId="0" applyFont="1" applyAlignment="1">
      <alignment horizontal="center"/>
    </xf>
    <xf numFmtId="0" fontId="9" fillId="2" borderId="0" xfId="0" applyFont="1" applyFill="1"/>
    <xf numFmtId="0" fontId="10" fillId="2" borderId="3" xfId="0" applyFont="1" applyFill="1" applyBorder="1"/>
    <xf numFmtId="0" fontId="10" fillId="3" borderId="0" xfId="0" applyFont="1" applyFill="1" applyAlignment="1">
      <alignment horizontal="left"/>
    </xf>
    <xf numFmtId="3" fontId="10" fillId="3" borderId="0" xfId="0" applyNumberFormat="1" applyFont="1" applyFill="1"/>
    <xf numFmtId="3" fontId="10" fillId="3" borderId="3" xfId="0" applyNumberFormat="1" applyFont="1" applyFill="1" applyBorder="1"/>
    <xf numFmtId="0" fontId="10" fillId="0" borderId="0" xfId="0" applyFont="1" applyAlignment="1">
      <alignment horizontal="left" indent="1"/>
    </xf>
    <xf numFmtId="3" fontId="10" fillId="0" borderId="0" xfId="0" applyNumberFormat="1" applyFont="1"/>
    <xf numFmtId="3" fontId="10" fillId="0" borderId="3" xfId="0" applyNumberFormat="1" applyFont="1" applyBorder="1"/>
    <xf numFmtId="0" fontId="10" fillId="0" borderId="0" xfId="0" applyFont="1" applyAlignment="1">
      <alignment horizontal="left" indent="3"/>
    </xf>
    <xf numFmtId="3" fontId="10" fillId="0" borderId="4" xfId="0" applyNumberFormat="1" applyFont="1" applyBorder="1"/>
    <xf numFmtId="0" fontId="0" fillId="4" borderId="0" xfId="0" applyFill="1" applyAlignment="1">
      <alignment horizontal="left" indent="2"/>
    </xf>
    <xf numFmtId="3" fontId="0" fillId="4" borderId="0" xfId="0" applyNumberFormat="1" applyFill="1"/>
    <xf numFmtId="3" fontId="10" fillId="4" borderId="3" xfId="0" applyNumberFormat="1" applyFont="1" applyFill="1" applyBorder="1"/>
    <xf numFmtId="0" fontId="0" fillId="4" borderId="0" xfId="0" applyFill="1"/>
    <xf numFmtId="10" fontId="2" fillId="0" borderId="0" xfId="0" applyNumberFormat="1" applyFont="1"/>
    <xf numFmtId="3" fontId="12" fillId="0" borderId="0" xfId="0" applyNumberFormat="1" applyFont="1"/>
    <xf numFmtId="3" fontId="13" fillId="0" borderId="0" xfId="0" applyNumberFormat="1" applyFont="1"/>
    <xf numFmtId="17" fontId="13" fillId="7" borderId="7" xfId="0" applyNumberFormat="1" applyFont="1" applyFill="1" applyBorder="1" applyAlignment="1">
      <alignment horizontal="center"/>
    </xf>
    <xf numFmtId="17" fontId="13" fillId="7" borderId="8" xfId="0" applyNumberFormat="1" applyFont="1" applyFill="1" applyBorder="1" applyAlignment="1">
      <alignment horizontal="center"/>
    </xf>
    <xf numFmtId="3" fontId="13" fillId="7" borderId="9" xfId="0" applyNumberFormat="1" applyFont="1" applyFill="1" applyBorder="1" applyAlignment="1">
      <alignment horizontal="center"/>
    </xf>
    <xf numFmtId="3" fontId="13" fillId="7" borderId="10" xfId="0" applyNumberFormat="1" applyFont="1" applyFill="1" applyBorder="1" applyAlignment="1">
      <alignment horizontal="center"/>
    </xf>
    <xf numFmtId="3" fontId="13" fillId="7" borderId="11" xfId="0" applyNumberFormat="1" applyFont="1" applyFill="1" applyBorder="1" applyAlignment="1">
      <alignment horizontal="center"/>
    </xf>
    <xf numFmtId="3" fontId="13" fillId="7" borderId="12" xfId="0" applyNumberFormat="1" applyFont="1" applyFill="1" applyBorder="1" applyAlignment="1">
      <alignment horizontal="center"/>
    </xf>
    <xf numFmtId="3" fontId="12" fillId="0" borderId="13" xfId="0" applyNumberFormat="1" applyFont="1" applyBorder="1"/>
    <xf numFmtId="3" fontId="12" fillId="8" borderId="0" xfId="0" applyNumberFormat="1" applyFont="1" applyFill="1"/>
    <xf numFmtId="3" fontId="12" fillId="8" borderId="14" xfId="0" applyNumberFormat="1" applyFont="1" applyFill="1" applyBorder="1"/>
    <xf numFmtId="3" fontId="13" fillId="5" borderId="15" xfId="0" applyNumberFormat="1" applyFont="1" applyFill="1" applyBorder="1"/>
    <xf numFmtId="3" fontId="13" fillId="5" borderId="16" xfId="0" applyNumberFormat="1" applyFont="1" applyFill="1" applyBorder="1" applyAlignment="1">
      <alignment horizontal="center"/>
    </xf>
    <xf numFmtId="3" fontId="13" fillId="5" borderId="17" xfId="0" applyNumberFormat="1" applyFont="1" applyFill="1" applyBorder="1"/>
    <xf numFmtId="3" fontId="13" fillId="5" borderId="16" xfId="0" applyNumberFormat="1" applyFont="1" applyFill="1" applyBorder="1"/>
    <xf numFmtId="3" fontId="12" fillId="8" borderId="13" xfId="0" applyNumberFormat="1" applyFont="1" applyFill="1" applyBorder="1"/>
    <xf numFmtId="3" fontId="13" fillId="8" borderId="0" xfId="0" applyNumberFormat="1" applyFont="1" applyFill="1"/>
    <xf numFmtId="3" fontId="13" fillId="8" borderId="13" xfId="0" applyNumberFormat="1" applyFont="1" applyFill="1" applyBorder="1"/>
    <xf numFmtId="3" fontId="13" fillId="8" borderId="14" xfId="0" applyNumberFormat="1" applyFont="1" applyFill="1" applyBorder="1"/>
    <xf numFmtId="43" fontId="13" fillId="8" borderId="0" xfId="2" applyFont="1" applyFill="1"/>
    <xf numFmtId="43" fontId="12" fillId="8" borderId="0" xfId="2" applyFont="1" applyFill="1"/>
    <xf numFmtId="3" fontId="12" fillId="8" borderId="14" xfId="0" applyNumberFormat="1" applyFont="1" applyFill="1" applyBorder="1" applyAlignment="1">
      <alignment horizontal="left" indent="3"/>
    </xf>
    <xf numFmtId="3" fontId="12" fillId="4" borderId="13" xfId="0" applyNumberFormat="1" applyFont="1" applyFill="1" applyBorder="1"/>
    <xf numFmtId="3" fontId="12" fillId="4" borderId="14" xfId="0" applyNumberFormat="1" applyFont="1" applyFill="1" applyBorder="1" applyAlignment="1">
      <alignment horizontal="left" indent="1"/>
    </xf>
    <xf numFmtId="43" fontId="12" fillId="4" borderId="0" xfId="2" applyFont="1" applyFill="1"/>
    <xf numFmtId="3" fontId="12" fillId="4" borderId="14" xfId="0" applyNumberFormat="1" applyFont="1" applyFill="1" applyBorder="1"/>
    <xf numFmtId="3" fontId="12" fillId="8" borderId="14" xfId="0" applyNumberFormat="1" applyFont="1" applyFill="1" applyBorder="1" applyAlignment="1">
      <alignment horizontal="left" indent="1"/>
    </xf>
    <xf numFmtId="3" fontId="13" fillId="5" borderId="18" xfId="0" applyNumberFormat="1" applyFont="1" applyFill="1" applyBorder="1"/>
    <xf numFmtId="43" fontId="13" fillId="5" borderId="17" xfId="2" applyFont="1" applyFill="1" applyBorder="1"/>
    <xf numFmtId="3" fontId="13" fillId="8" borderId="14" xfId="0" applyNumberFormat="1" applyFont="1" applyFill="1" applyBorder="1" applyAlignment="1">
      <alignment horizontal="left" indent="1"/>
    </xf>
    <xf numFmtId="3" fontId="12" fillId="8" borderId="14" xfId="0" applyNumberFormat="1" applyFont="1" applyFill="1" applyBorder="1" applyAlignment="1">
      <alignment horizontal="left" indent="2"/>
    </xf>
    <xf numFmtId="3" fontId="13" fillId="6" borderId="18" xfId="0" applyNumberFormat="1" applyFont="1" applyFill="1" applyBorder="1"/>
    <xf numFmtId="3" fontId="13" fillId="6" borderId="16" xfId="0" applyNumberFormat="1" applyFont="1" applyFill="1" applyBorder="1"/>
    <xf numFmtId="43" fontId="13" fillId="6" borderId="17" xfId="2" applyFont="1" applyFill="1" applyBorder="1"/>
    <xf numFmtId="3" fontId="13" fillId="6" borderId="17" xfId="0" applyNumberFormat="1" applyFont="1" applyFill="1" applyBorder="1"/>
    <xf numFmtId="3" fontId="13" fillId="6" borderId="15" xfId="0" applyNumberFormat="1" applyFont="1" applyFill="1" applyBorder="1"/>
    <xf numFmtId="3" fontId="12" fillId="0" borderId="14" xfId="0" applyNumberFormat="1" applyFont="1" applyBorder="1"/>
    <xf numFmtId="3" fontId="12" fillId="5" borderId="18" xfId="0" applyNumberFormat="1" applyFont="1" applyFill="1" applyBorder="1"/>
    <xf numFmtId="3" fontId="13" fillId="5" borderId="20" xfId="0" applyNumberFormat="1" applyFont="1" applyFill="1" applyBorder="1" applyAlignment="1">
      <alignment horizontal="center" vertical="center" wrapText="1"/>
    </xf>
    <xf numFmtId="3" fontId="13" fillId="5" borderId="21" xfId="0" applyNumberFormat="1" applyFont="1" applyFill="1" applyBorder="1" applyAlignment="1">
      <alignment horizontal="center" vertical="center" wrapText="1"/>
    </xf>
    <xf numFmtId="3" fontId="13" fillId="5" borderId="18" xfId="0" applyNumberFormat="1" applyFont="1" applyFill="1" applyBorder="1" applyAlignment="1">
      <alignment horizontal="center" vertical="center" wrapText="1"/>
    </xf>
    <xf numFmtId="3" fontId="14" fillId="4" borderId="16" xfId="0" applyNumberFormat="1" applyFont="1" applyFill="1" applyBorder="1" applyAlignment="1">
      <alignment horizontal="center" vertical="center" wrapText="1"/>
    </xf>
    <xf numFmtId="43" fontId="0" fillId="0" borderId="0" xfId="2" applyFont="1"/>
    <xf numFmtId="1" fontId="2" fillId="0" borderId="0" xfId="0" applyNumberFormat="1" applyFont="1"/>
    <xf numFmtId="43" fontId="2" fillId="0" borderId="0" xfId="2" applyFont="1"/>
    <xf numFmtId="166" fontId="2" fillId="0" borderId="0" xfId="0" applyNumberFormat="1" applyFont="1" applyAlignment="1">
      <alignment horizontal="center"/>
    </xf>
    <xf numFmtId="166" fontId="2" fillId="0" borderId="0" xfId="0" applyNumberFormat="1" applyFont="1"/>
    <xf numFmtId="166" fontId="3" fillId="0" borderId="5" xfId="0" applyNumberFormat="1" applyFont="1" applyBorder="1" applyAlignment="1">
      <alignment horizontal="center"/>
    </xf>
    <xf numFmtId="4" fontId="44" fillId="0" borderId="0" xfId="0" applyNumberFormat="1" applyFont="1"/>
    <xf numFmtId="0" fontId="44" fillId="0" borderId="0" xfId="0" applyFont="1"/>
    <xf numFmtId="0" fontId="6" fillId="0" borderId="0" xfId="0" applyFont="1" applyAlignment="1">
      <alignment horizontal="center"/>
    </xf>
    <xf numFmtId="4" fontId="45" fillId="0" borderId="0" xfId="0" applyNumberFormat="1" applyFont="1" applyAlignment="1">
      <alignment horizontal="center"/>
    </xf>
    <xf numFmtId="4" fontId="44" fillId="45" borderId="50" xfId="0" applyNumberFormat="1" applyFont="1" applyFill="1" applyBorder="1"/>
    <xf numFmtId="4" fontId="44" fillId="45" borderId="0" xfId="0" applyNumberFormat="1" applyFont="1" applyFill="1"/>
    <xf numFmtId="4" fontId="44" fillId="45" borderId="51" xfId="0" applyNumberFormat="1" applyFont="1" applyFill="1" applyBorder="1"/>
    <xf numFmtId="0" fontId="2" fillId="46" borderId="0" xfId="0" applyFont="1" applyFill="1" applyAlignment="1">
      <alignment horizontal="left" indent="1"/>
    </xf>
    <xf numFmtId="0" fontId="2" fillId="46" borderId="14" xfId="0" applyFont="1" applyFill="1" applyBorder="1"/>
    <xf numFmtId="0" fontId="2" fillId="46" borderId="14" xfId="0" applyFont="1" applyFill="1" applyBorder="1" applyAlignment="1">
      <alignment horizontal="left" wrapText="1"/>
    </xf>
    <xf numFmtId="0" fontId="30" fillId="40" borderId="0" xfId="0" applyFont="1" applyFill="1"/>
    <xf numFmtId="0" fontId="6" fillId="0" borderId="14" xfId="0" applyFont="1" applyBorder="1" applyAlignment="1">
      <alignment horizontal="left" indent="1"/>
    </xf>
    <xf numFmtId="0" fontId="44" fillId="0" borderId="14" xfId="0" applyFont="1" applyBorder="1" applyAlignment="1">
      <alignment horizontal="left" indent="2"/>
    </xf>
    <xf numFmtId="0" fontId="2" fillId="0" borderId="14" xfId="0" applyFont="1" applyBorder="1" applyAlignment="1">
      <alignment horizontal="left" indent="3"/>
    </xf>
    <xf numFmtId="0" fontId="2" fillId="0" borderId="14" xfId="0" applyFont="1" applyBorder="1" applyAlignment="1">
      <alignment horizontal="left" indent="1"/>
    </xf>
    <xf numFmtId="0" fontId="2" fillId="0" borderId="52" xfId="0" applyFont="1" applyBorder="1" applyAlignment="1">
      <alignment horizontal="left" indent="1"/>
    </xf>
    <xf numFmtId="166" fontId="45" fillId="0" borderId="50" xfId="0" applyNumberFormat="1" applyFont="1" applyBorder="1"/>
    <xf numFmtId="166" fontId="45" fillId="0" borderId="0" xfId="0" applyNumberFormat="1" applyFont="1"/>
    <xf numFmtId="166" fontId="45" fillId="0" borderId="51" xfId="0" applyNumberFormat="1" applyFont="1" applyBorder="1"/>
    <xf numFmtId="166" fontId="44" fillId="0" borderId="50" xfId="0" applyNumberFormat="1" applyFont="1" applyBorder="1"/>
    <xf numFmtId="166" fontId="44" fillId="0" borderId="0" xfId="0" applyNumberFormat="1" applyFont="1"/>
    <xf numFmtId="166" fontId="44" fillId="0" borderId="51" xfId="0" applyNumberFormat="1" applyFont="1" applyBorder="1"/>
    <xf numFmtId="166" fontId="44" fillId="0" borderId="47" xfId="0" applyNumberFormat="1" applyFont="1" applyBorder="1"/>
    <xf numFmtId="166" fontId="44" fillId="0" borderId="48" xfId="0" applyNumberFormat="1" applyFont="1" applyBorder="1"/>
    <xf numFmtId="166" fontId="44" fillId="0" borderId="49" xfId="0" applyNumberFormat="1" applyFont="1" applyBorder="1"/>
    <xf numFmtId="4" fontId="46" fillId="47" borderId="50" xfId="0" applyNumberFormat="1" applyFont="1" applyFill="1" applyBorder="1"/>
    <xf numFmtId="4" fontId="46" fillId="47" borderId="0" xfId="0" applyNumberFormat="1" applyFont="1" applyFill="1"/>
    <xf numFmtId="4" fontId="46" fillId="47" borderId="51" xfId="0" applyNumberFormat="1" applyFont="1" applyFill="1" applyBorder="1"/>
    <xf numFmtId="0" fontId="6" fillId="0" borderId="53" xfId="0" applyFont="1" applyBorder="1"/>
    <xf numFmtId="166" fontId="45" fillId="0" borderId="54" xfId="0" applyNumberFormat="1" applyFont="1" applyBorder="1"/>
    <xf numFmtId="166" fontId="45" fillId="0" borderId="5" xfId="0" applyNumberFormat="1" applyFont="1" applyBorder="1"/>
    <xf numFmtId="166" fontId="45" fillId="0" borderId="55" xfId="0" applyNumberFormat="1" applyFont="1" applyBorder="1"/>
    <xf numFmtId="0" fontId="6" fillId="0" borderId="56" xfId="0" applyFont="1" applyBorder="1"/>
    <xf numFmtId="166" fontId="45" fillId="0" borderId="57" xfId="0" applyNumberFormat="1" applyFont="1" applyBorder="1"/>
    <xf numFmtId="166" fontId="45" fillId="0" borderId="58" xfId="0" applyNumberFormat="1" applyFont="1" applyBorder="1"/>
    <xf numFmtId="166" fontId="45" fillId="0" borderId="59" xfId="0" applyNumberFormat="1" applyFont="1" applyBorder="1"/>
    <xf numFmtId="0" fontId="6" fillId="0" borderId="60" xfId="0" applyFont="1" applyBorder="1" applyAlignment="1">
      <alignment horizontal="left"/>
    </xf>
    <xf numFmtId="166" fontId="45" fillId="0" borderId="61" xfId="0" applyNumberFormat="1" applyFont="1" applyBorder="1"/>
    <xf numFmtId="166" fontId="45" fillId="0" borderId="2" xfId="0" applyNumberFormat="1" applyFont="1" applyBorder="1"/>
    <xf numFmtId="166" fontId="45" fillId="0" borderId="62" xfId="0" applyNumberFormat="1" applyFont="1" applyBorder="1"/>
    <xf numFmtId="0" fontId="46" fillId="47" borderId="44" xfId="0" applyFont="1" applyFill="1" applyBorder="1" applyAlignment="1">
      <alignment horizontal="left"/>
    </xf>
    <xf numFmtId="0" fontId="46" fillId="47" borderId="45" xfId="0" applyFont="1" applyFill="1" applyBorder="1" applyAlignment="1">
      <alignment horizontal="left"/>
    </xf>
    <xf numFmtId="0" fontId="46" fillId="47" borderId="46" xfId="0" applyFont="1" applyFill="1" applyBorder="1" applyAlignment="1">
      <alignment horizontal="left"/>
    </xf>
    <xf numFmtId="17" fontId="46" fillId="47" borderId="45" xfId="0" applyNumberFormat="1" applyFont="1" applyFill="1" applyBorder="1" applyAlignment="1">
      <alignment horizontal="left"/>
    </xf>
    <xf numFmtId="17" fontId="46" fillId="47" borderId="45" xfId="0" quotePrefix="1" applyNumberFormat="1" applyFont="1" applyFill="1" applyBorder="1" applyAlignment="1">
      <alignment horizontal="left"/>
    </xf>
    <xf numFmtId="0" fontId="30" fillId="40" borderId="0" xfId="0" applyFont="1" applyFill="1" applyAlignment="1">
      <alignment vertical="center"/>
    </xf>
    <xf numFmtId="173" fontId="30" fillId="40" borderId="0" xfId="120" applyNumberFormat="1" applyFont="1" applyFill="1" applyBorder="1" applyAlignment="1">
      <alignment vertical="center"/>
    </xf>
    <xf numFmtId="17" fontId="30" fillId="40" borderId="0" xfId="120" applyNumberFormat="1" applyFont="1" applyFill="1" applyBorder="1" applyAlignment="1">
      <alignment horizontal="left" vertical="center"/>
    </xf>
    <xf numFmtId="173" fontId="2" fillId="0" borderId="0" xfId="12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9" fontId="3" fillId="0" borderId="5" xfId="1" applyFont="1" applyFill="1" applyBorder="1" applyAlignment="1">
      <alignment vertical="center"/>
    </xf>
    <xf numFmtId="166" fontId="3" fillId="0" borderId="63" xfId="0" applyNumberFormat="1" applyFont="1" applyBorder="1" applyAlignment="1">
      <alignment horizontal="center"/>
    </xf>
    <xf numFmtId="0" fontId="2" fillId="0" borderId="64" xfId="0" applyFont="1" applyBorder="1" applyAlignment="1">
      <alignment vertical="center"/>
    </xf>
    <xf numFmtId="173" fontId="2" fillId="0" borderId="64" xfId="120" applyNumberFormat="1" applyFont="1" applyFill="1" applyBorder="1" applyAlignment="1">
      <alignment vertical="center"/>
    </xf>
    <xf numFmtId="166" fontId="3" fillId="0" borderId="65" xfId="0" applyNumberFormat="1" applyFont="1" applyBorder="1" applyAlignment="1">
      <alignment horizontal="center"/>
    </xf>
    <xf numFmtId="166" fontId="2" fillId="0" borderId="64" xfId="0" applyNumberFormat="1" applyFont="1" applyBorder="1" applyAlignment="1">
      <alignment horizontal="center"/>
    </xf>
    <xf numFmtId="0" fontId="2" fillId="0" borderId="66" xfId="0" applyFont="1" applyBorder="1" applyAlignment="1">
      <alignment vertical="center"/>
    </xf>
    <xf numFmtId="173" fontId="2" fillId="0" borderId="67" xfId="120" applyNumberFormat="1" applyFont="1" applyFill="1" applyBorder="1" applyAlignment="1">
      <alignment vertical="center"/>
    </xf>
    <xf numFmtId="166" fontId="2" fillId="0" borderId="67" xfId="0" applyNumberFormat="1" applyFont="1" applyBorder="1" applyAlignment="1">
      <alignment horizontal="center"/>
    </xf>
    <xf numFmtId="0" fontId="2" fillId="0" borderId="69" xfId="0" applyFont="1" applyBorder="1"/>
    <xf numFmtId="0" fontId="2" fillId="0" borderId="67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29" fillId="40" borderId="9" xfId="0" applyFont="1" applyFill="1" applyBorder="1" applyAlignment="1">
      <alignment vertical="center" wrapText="1"/>
    </xf>
    <xf numFmtId="167" fontId="2" fillId="0" borderId="64" xfId="1" applyNumberFormat="1" applyFont="1" applyFill="1" applyBorder="1" applyAlignment="1">
      <alignment vertical="center"/>
    </xf>
    <xf numFmtId="173" fontId="30" fillId="40" borderId="0" xfId="120" applyNumberFormat="1" applyFont="1" applyFill="1" applyBorder="1" applyAlignment="1">
      <alignment horizontal="center" vertical="center"/>
    </xf>
    <xf numFmtId="17" fontId="30" fillId="40" borderId="0" xfId="120" applyNumberFormat="1" applyFont="1" applyFill="1" applyBorder="1" applyAlignment="1">
      <alignment horizontal="center" vertical="center"/>
    </xf>
    <xf numFmtId="167" fontId="3" fillId="0" borderId="5" xfId="1" applyNumberFormat="1" applyFont="1" applyFill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2" fillId="0" borderId="0" xfId="0" applyNumberFormat="1" applyFont="1"/>
    <xf numFmtId="0" fontId="47" fillId="0" borderId="0" xfId="0" applyFont="1"/>
    <xf numFmtId="165" fontId="47" fillId="0" borderId="0" xfId="2" applyNumberFormat="1" applyFont="1" applyFill="1" applyBorder="1"/>
    <xf numFmtId="165" fontId="47" fillId="0" borderId="1" xfId="2" applyNumberFormat="1" applyFont="1" applyFill="1" applyBorder="1"/>
    <xf numFmtId="0" fontId="48" fillId="0" borderId="0" xfId="0" applyFont="1" applyAlignment="1">
      <alignment horizontal="centerContinuous"/>
    </xf>
    <xf numFmtId="0" fontId="49" fillId="0" borderId="0" xfId="0" applyFont="1" applyAlignment="1">
      <alignment horizontal="center"/>
    </xf>
    <xf numFmtId="0" fontId="49" fillId="0" borderId="0" xfId="0" applyFont="1"/>
    <xf numFmtId="1" fontId="48" fillId="0" borderId="0" xfId="0" applyNumberFormat="1" applyFont="1" applyAlignment="1">
      <alignment horizontal="center"/>
    </xf>
    <xf numFmtId="4" fontId="49" fillId="0" borderId="0" xfId="0" applyNumberFormat="1" applyFont="1"/>
    <xf numFmtId="0" fontId="48" fillId="0" borderId="1" xfId="0" applyFont="1" applyBorder="1"/>
    <xf numFmtId="4" fontId="48" fillId="0" borderId="1" xfId="0" applyNumberFormat="1" applyFont="1" applyBorder="1"/>
    <xf numFmtId="0" fontId="48" fillId="0" borderId="0" xfId="0" applyFont="1"/>
    <xf numFmtId="3" fontId="48" fillId="0" borderId="0" xfId="1" applyNumberFormat="1" applyFont="1" applyFill="1"/>
    <xf numFmtId="3" fontId="49" fillId="0" borderId="0" xfId="1" applyNumberFormat="1" applyFont="1" applyFill="1"/>
    <xf numFmtId="3" fontId="48" fillId="0" borderId="0" xfId="0" applyNumberFormat="1" applyFont="1"/>
    <xf numFmtId="3" fontId="49" fillId="0" borderId="0" xfId="0" applyNumberFormat="1" applyFont="1"/>
    <xf numFmtId="0" fontId="48" fillId="0" borderId="0" xfId="0" applyFont="1" applyAlignment="1">
      <alignment horizontal="center"/>
    </xf>
    <xf numFmtId="17" fontId="48" fillId="0" borderId="0" xfId="0" applyNumberFormat="1" applyFont="1" applyAlignment="1">
      <alignment horizontal="center"/>
    </xf>
    <xf numFmtId="0" fontId="50" fillId="0" borderId="0" xfId="0" applyFont="1"/>
    <xf numFmtId="10" fontId="49" fillId="0" borderId="0" xfId="1" applyNumberFormat="1" applyFont="1"/>
    <xf numFmtId="2" fontId="49" fillId="0" borderId="0" xfId="1" applyNumberFormat="1" applyFont="1"/>
    <xf numFmtId="2" fontId="49" fillId="0" borderId="0" xfId="0" applyNumberFormat="1" applyFont="1"/>
    <xf numFmtId="0" fontId="51" fillId="0" borderId="0" xfId="0" applyFont="1"/>
    <xf numFmtId="43" fontId="49" fillId="0" borderId="0" xfId="2" applyFont="1"/>
    <xf numFmtId="2" fontId="49" fillId="0" borderId="0" xfId="2" applyNumberFormat="1" applyFont="1"/>
    <xf numFmtId="17" fontId="48" fillId="0" borderId="0" xfId="0" applyNumberFormat="1" applyFont="1"/>
    <xf numFmtId="4" fontId="49" fillId="0" borderId="0" xfId="0" applyNumberFormat="1" applyFont="1" applyAlignment="1">
      <alignment horizontal="center"/>
    </xf>
    <xf numFmtId="0" fontId="53" fillId="0" borderId="0" xfId="0" applyFont="1"/>
    <xf numFmtId="0" fontId="54" fillId="0" borderId="0" xfId="4" applyFont="1" applyAlignment="1">
      <alignment horizontal="left"/>
    </xf>
    <xf numFmtId="4" fontId="54" fillId="0" borderId="0" xfId="5" applyNumberFormat="1" applyFont="1" applyAlignment="1">
      <alignment horizontal="left"/>
    </xf>
    <xf numFmtId="4" fontId="53" fillId="0" borderId="0" xfId="5" applyNumberFormat="1" applyFont="1" applyAlignment="1">
      <alignment horizontal="left"/>
    </xf>
    <xf numFmtId="4" fontId="54" fillId="0" borderId="5" xfId="4" applyNumberFormat="1" applyFont="1" applyBorder="1" applyAlignment="1">
      <alignment horizontal="left"/>
    </xf>
    <xf numFmtId="4" fontId="53" fillId="0" borderId="0" xfId="4" applyNumberFormat="1" applyFont="1" applyAlignment="1">
      <alignment horizontal="left"/>
    </xf>
    <xf numFmtId="4" fontId="53" fillId="0" borderId="0" xfId="6" applyNumberFormat="1" applyFont="1" applyAlignment="1">
      <alignment horizontal="left"/>
    </xf>
    <xf numFmtId="4" fontId="53" fillId="0" borderId="1" xfId="4" applyNumberFormat="1" applyFont="1" applyBorder="1" applyAlignment="1">
      <alignment horizontal="left"/>
    </xf>
    <xf numFmtId="4" fontId="54" fillId="0" borderId="5" xfId="5" applyNumberFormat="1" applyFont="1" applyBorder="1" applyAlignment="1">
      <alignment horizontal="left"/>
    </xf>
    <xf numFmtId="4" fontId="53" fillId="0" borderId="1" xfId="2" applyNumberFormat="1" applyFont="1" applyFill="1" applyBorder="1" applyAlignment="1">
      <alignment horizontal="left"/>
    </xf>
    <xf numFmtId="17" fontId="48" fillId="48" borderId="0" xfId="0" applyNumberFormat="1" applyFont="1" applyFill="1" applyAlignment="1">
      <alignment horizontal="center"/>
    </xf>
    <xf numFmtId="0" fontId="55" fillId="40" borderId="0" xfId="0" applyFont="1" applyFill="1" applyAlignment="1">
      <alignment horizontal="center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4" fontId="53" fillId="0" borderId="1" xfId="5" applyNumberFormat="1" applyFont="1" applyBorder="1" applyAlignment="1">
      <alignment horizontal="left"/>
    </xf>
    <xf numFmtId="0" fontId="54" fillId="0" borderId="0" xfId="0" applyFont="1" applyAlignment="1">
      <alignment horizontal="center"/>
    </xf>
    <xf numFmtId="17" fontId="54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4" fontId="53" fillId="0" borderId="0" xfId="0" applyNumberFormat="1" applyFont="1" applyAlignment="1">
      <alignment horizontal="left"/>
    </xf>
    <xf numFmtId="4" fontId="53" fillId="0" borderId="0" xfId="0" applyNumberFormat="1" applyFont="1" applyAlignment="1">
      <alignment horizontal="center"/>
    </xf>
    <xf numFmtId="4" fontId="53" fillId="0" borderId="0" xfId="0" applyNumberFormat="1" applyFont="1"/>
    <xf numFmtId="4" fontId="54" fillId="0" borderId="1" xfId="0" applyNumberFormat="1" applyFont="1" applyBorder="1" applyAlignment="1">
      <alignment horizontal="left"/>
    </xf>
    <xf numFmtId="4" fontId="54" fillId="0" borderId="1" xfId="0" applyNumberFormat="1" applyFont="1" applyBorder="1" applyAlignment="1">
      <alignment horizontal="center"/>
    </xf>
    <xf numFmtId="3" fontId="54" fillId="0" borderId="0" xfId="0" applyNumberFormat="1" applyFont="1" applyAlignment="1">
      <alignment horizontal="center"/>
    </xf>
    <xf numFmtId="4" fontId="54" fillId="0" borderId="0" xfId="0" applyNumberFormat="1" applyFont="1" applyAlignment="1">
      <alignment horizontal="left"/>
    </xf>
    <xf numFmtId="4" fontId="54" fillId="0" borderId="0" xfId="0" applyNumberFormat="1" applyFont="1"/>
    <xf numFmtId="4" fontId="54" fillId="0" borderId="1" xfId="0" applyNumberFormat="1" applyFont="1" applyBorder="1"/>
    <xf numFmtId="4" fontId="54" fillId="0" borderId="6" xfId="0" applyNumberFormat="1" applyFont="1" applyBorder="1" applyAlignment="1">
      <alignment horizontal="left"/>
    </xf>
    <xf numFmtId="4" fontId="54" fillId="0" borderId="5" xfId="0" applyNumberFormat="1" applyFont="1" applyBorder="1" applyAlignment="1">
      <alignment horizontal="left"/>
    </xf>
    <xf numFmtId="4" fontId="54" fillId="0" borderId="5" xfId="0" applyNumberFormat="1" applyFont="1" applyBorder="1"/>
    <xf numFmtId="4" fontId="54" fillId="0" borderId="6" xfId="0" applyNumberFormat="1" applyFont="1" applyBorder="1"/>
    <xf numFmtId="4" fontId="54" fillId="0" borderId="0" xfId="0" applyNumberFormat="1" applyFont="1" applyAlignment="1">
      <alignment horizontal="center"/>
    </xf>
    <xf numFmtId="4" fontId="53" fillId="0" borderId="1" xfId="0" applyNumberFormat="1" applyFont="1" applyBorder="1" applyAlignment="1">
      <alignment horizontal="center"/>
    </xf>
    <xf numFmtId="4" fontId="54" fillId="0" borderId="5" xfId="0" applyNumberFormat="1" applyFont="1" applyBorder="1" applyAlignment="1">
      <alignment horizontal="center"/>
    </xf>
    <xf numFmtId="4" fontId="56" fillId="0" borderId="0" xfId="2" applyNumberFormat="1" applyFont="1" applyFill="1" applyAlignment="1">
      <alignment horizontal="left"/>
    </xf>
    <xf numFmtId="3" fontId="53" fillId="0" borderId="0" xfId="0" applyNumberFormat="1" applyFont="1" applyAlignment="1">
      <alignment horizontal="center"/>
    </xf>
    <xf numFmtId="3" fontId="53" fillId="0" borderId="0" xfId="0" applyNumberFormat="1" applyFont="1"/>
    <xf numFmtId="4" fontId="53" fillId="0" borderId="1" xfId="0" applyNumberFormat="1" applyFont="1" applyBorder="1" applyAlignment="1">
      <alignment horizontal="left"/>
    </xf>
    <xf numFmtId="0" fontId="49" fillId="0" borderId="1" xfId="0" applyFont="1" applyBorder="1"/>
    <xf numFmtId="0" fontId="48" fillId="0" borderId="2" xfId="0" applyFont="1" applyBorder="1" applyAlignment="1">
      <alignment horizontal="centerContinuous"/>
    </xf>
    <xf numFmtId="0" fontId="49" fillId="0" borderId="2" xfId="0" applyFont="1" applyBorder="1"/>
    <xf numFmtId="0" fontId="57" fillId="0" borderId="0" xfId="0" applyFont="1" applyAlignment="1">
      <alignment vertical="center"/>
    </xf>
    <xf numFmtId="10" fontId="49" fillId="0" borderId="0" xfId="1" applyNumberFormat="1" applyFont="1" applyAlignment="1">
      <alignment horizontal="center"/>
    </xf>
    <xf numFmtId="10" fontId="49" fillId="0" borderId="0" xfId="0" applyNumberFormat="1" applyFont="1" applyAlignment="1">
      <alignment horizontal="center"/>
    </xf>
    <xf numFmtId="0" fontId="58" fillId="0" borderId="0" xfId="0" applyFont="1" applyAlignment="1">
      <alignment vertical="center"/>
    </xf>
    <xf numFmtId="0" fontId="58" fillId="0" borderId="1" xfId="0" applyFont="1" applyBorder="1" applyAlignment="1">
      <alignment vertical="center"/>
    </xf>
    <xf numFmtId="10" fontId="48" fillId="0" borderId="1" xfId="1" applyNumberFormat="1" applyFont="1" applyBorder="1" applyAlignment="1">
      <alignment horizontal="center"/>
    </xf>
    <xf numFmtId="4" fontId="49" fillId="0" borderId="0" xfId="1" applyNumberFormat="1" applyFont="1" applyAlignment="1">
      <alignment horizontal="center"/>
    </xf>
    <xf numFmtId="1" fontId="48" fillId="0" borderId="0" xfId="1" applyNumberFormat="1" applyFont="1" applyAlignment="1">
      <alignment horizontal="center"/>
    </xf>
    <xf numFmtId="0" fontId="48" fillId="0" borderId="2" xfId="0" applyFont="1" applyBorder="1" applyAlignment="1">
      <alignment horizontal="left"/>
    </xf>
    <xf numFmtId="166" fontId="49" fillId="0" borderId="0" xfId="0" applyNumberFormat="1" applyFont="1" applyAlignment="1">
      <alignment horizontal="center"/>
    </xf>
    <xf numFmtId="166" fontId="48" fillId="0" borderId="1" xfId="0" applyNumberFormat="1" applyFont="1" applyBorder="1" applyAlignment="1">
      <alignment horizontal="center"/>
    </xf>
    <xf numFmtId="1" fontId="54" fillId="0" borderId="0" xfId="1" applyNumberFormat="1" applyFont="1" applyFill="1" applyAlignment="1">
      <alignment horizontal="center"/>
    </xf>
    <xf numFmtId="166" fontId="49" fillId="0" borderId="0" xfId="0" applyNumberFormat="1" applyFont="1"/>
    <xf numFmtId="166" fontId="48" fillId="0" borderId="1" xfId="0" applyNumberFormat="1" applyFont="1" applyBorder="1"/>
    <xf numFmtId="166" fontId="48" fillId="0" borderId="0" xfId="0" applyNumberFormat="1" applyFont="1"/>
    <xf numFmtId="0" fontId="48" fillId="0" borderId="6" xfId="0" applyFont="1" applyBorder="1"/>
    <xf numFmtId="0" fontId="48" fillId="0" borderId="5" xfId="0" applyFont="1" applyBorder="1"/>
    <xf numFmtId="166" fontId="48" fillId="0" borderId="5" xfId="0" applyNumberFormat="1" applyFont="1" applyBorder="1"/>
    <xf numFmtId="166" fontId="48" fillId="0" borderId="6" xfId="0" applyNumberFormat="1" applyFont="1" applyBorder="1"/>
    <xf numFmtId="1" fontId="54" fillId="0" borderId="0" xfId="0" applyNumberFormat="1" applyFont="1" applyAlignment="1">
      <alignment horizontal="center"/>
    </xf>
    <xf numFmtId="43" fontId="53" fillId="0" borderId="0" xfId="2" applyFont="1"/>
    <xf numFmtId="176" fontId="53" fillId="0" borderId="0" xfId="0" applyNumberFormat="1" applyFont="1"/>
    <xf numFmtId="166" fontId="48" fillId="0" borderId="0" xfId="0" applyNumberFormat="1" applyFont="1" applyAlignment="1">
      <alignment horizontal="center"/>
    </xf>
    <xf numFmtId="10" fontId="53" fillId="0" borderId="0" xfId="2" applyNumberFormat="1" applyFont="1"/>
    <xf numFmtId="166" fontId="48" fillId="0" borderId="5" xfId="0" applyNumberFormat="1" applyFont="1" applyBorder="1" applyAlignment="1">
      <alignment horizontal="center"/>
    </xf>
    <xf numFmtId="166" fontId="49" fillId="0" borderId="1" xfId="0" applyNumberFormat="1" applyFont="1" applyBorder="1" applyAlignment="1">
      <alignment horizontal="center"/>
    </xf>
    <xf numFmtId="0" fontId="55" fillId="40" borderId="1" xfId="0" applyFont="1" applyFill="1" applyBorder="1" applyAlignment="1">
      <alignment horizontal="center"/>
    </xf>
    <xf numFmtId="0" fontId="55" fillId="40" borderId="2" xfId="0" applyFont="1" applyFill="1" applyBorder="1" applyAlignment="1">
      <alignment horizontal="left"/>
    </xf>
    <xf numFmtId="17" fontId="54" fillId="49" borderId="0" xfId="0" applyNumberFormat="1" applyFont="1" applyFill="1" applyAlignment="1">
      <alignment horizontal="center"/>
    </xf>
    <xf numFmtId="1" fontId="59" fillId="0" borderId="0" xfId="0" applyNumberFormat="1" applyFont="1" applyAlignment="1">
      <alignment horizontal="center"/>
    </xf>
    <xf numFmtId="4" fontId="60" fillId="0" borderId="1" xfId="0" applyNumberFormat="1" applyFont="1" applyBorder="1"/>
    <xf numFmtId="0" fontId="60" fillId="0" borderId="2" xfId="0" applyFont="1" applyBorder="1"/>
    <xf numFmtId="4" fontId="60" fillId="0" borderId="0" xfId="0" applyNumberFormat="1" applyFont="1"/>
    <xf numFmtId="10" fontId="60" fillId="0" borderId="0" xfId="1" applyNumberFormat="1" applyFont="1" applyAlignment="1">
      <alignment horizontal="center"/>
    </xf>
    <xf numFmtId="10" fontId="59" fillId="0" borderId="1" xfId="1" applyNumberFormat="1" applyFont="1" applyBorder="1" applyAlignment="1">
      <alignment horizontal="center"/>
    </xf>
    <xf numFmtId="10" fontId="59" fillId="0" borderId="0" xfId="1" applyNumberFormat="1" applyFont="1" applyAlignment="1">
      <alignment horizontal="center"/>
    </xf>
    <xf numFmtId="3" fontId="59" fillId="0" borderId="0" xfId="1" applyNumberFormat="1" applyFont="1"/>
    <xf numFmtId="4" fontId="60" fillId="0" borderId="0" xfId="1" applyNumberFormat="1" applyFont="1" applyAlignment="1">
      <alignment horizontal="center"/>
    </xf>
    <xf numFmtId="3" fontId="59" fillId="0" borderId="0" xfId="1" applyNumberFormat="1" applyFont="1" applyAlignment="1">
      <alignment horizontal="center"/>
    </xf>
    <xf numFmtId="3" fontId="60" fillId="0" borderId="0" xfId="1" applyNumberFormat="1" applyFont="1" applyAlignment="1">
      <alignment horizontal="center"/>
    </xf>
    <xf numFmtId="3" fontId="60" fillId="0" borderId="0" xfId="1" applyNumberFormat="1" applyFont="1"/>
    <xf numFmtId="1" fontId="59" fillId="0" borderId="0" xfId="1" applyNumberFormat="1" applyFont="1" applyAlignment="1">
      <alignment horizontal="center"/>
    </xf>
    <xf numFmtId="3" fontId="60" fillId="0" borderId="1" xfId="1" applyNumberFormat="1" applyFont="1" applyBorder="1"/>
    <xf numFmtId="3" fontId="59" fillId="0" borderId="2" xfId="1" applyNumberFormat="1" applyFont="1" applyBorder="1"/>
    <xf numFmtId="166" fontId="60" fillId="0" borderId="0" xfId="0" applyNumberFormat="1" applyFont="1" applyAlignment="1">
      <alignment horizontal="center"/>
    </xf>
    <xf numFmtId="166" fontId="59" fillId="0" borderId="1" xfId="0" applyNumberFormat="1" applyFont="1" applyBorder="1" applyAlignment="1">
      <alignment horizontal="center"/>
    </xf>
    <xf numFmtId="0" fontId="60" fillId="0" borderId="0" xfId="0" applyFont="1"/>
    <xf numFmtId="1" fontId="59" fillId="0" borderId="0" xfId="1" applyNumberFormat="1" applyFont="1" applyFill="1" applyAlignment="1">
      <alignment horizontal="center"/>
    </xf>
    <xf numFmtId="166" fontId="60" fillId="0" borderId="0" xfId="0" applyNumberFormat="1" applyFont="1"/>
    <xf numFmtId="166" fontId="59" fillId="0" borderId="1" xfId="0" applyNumberFormat="1" applyFont="1" applyBorder="1"/>
    <xf numFmtId="166" fontId="59" fillId="0" borderId="0" xfId="0" applyNumberFormat="1" applyFont="1"/>
    <xf numFmtId="166" fontId="59" fillId="0" borderId="5" xfId="0" applyNumberFormat="1" applyFont="1" applyBorder="1"/>
    <xf numFmtId="166" fontId="59" fillId="0" borderId="6" xfId="0" applyNumberFormat="1" applyFont="1" applyBorder="1"/>
    <xf numFmtId="166" fontId="59" fillId="0" borderId="0" xfId="0" applyNumberFormat="1" applyFont="1" applyAlignment="1">
      <alignment horizontal="center"/>
    </xf>
    <xf numFmtId="166" fontId="59" fillId="0" borderId="5" xfId="0" applyNumberFormat="1" applyFont="1" applyBorder="1" applyAlignment="1">
      <alignment horizontal="center"/>
    </xf>
    <xf numFmtId="166" fontId="60" fillId="0" borderId="1" xfId="0" applyNumberFormat="1" applyFont="1" applyBorder="1" applyAlignment="1">
      <alignment horizontal="center"/>
    </xf>
    <xf numFmtId="4" fontId="60" fillId="0" borderId="0" xfId="0" applyNumberFormat="1" applyFont="1" applyAlignment="1">
      <alignment horizontal="center"/>
    </xf>
    <xf numFmtId="17" fontId="59" fillId="0" borderId="0" xfId="1" applyNumberFormat="1" applyFont="1" applyAlignment="1">
      <alignment horizontal="center"/>
    </xf>
    <xf numFmtId="17" fontId="59" fillId="40" borderId="1" xfId="1" applyNumberFormat="1" applyFont="1" applyFill="1" applyBorder="1" applyAlignment="1">
      <alignment horizontal="center"/>
    </xf>
    <xf numFmtId="3" fontId="59" fillId="40" borderId="2" xfId="1" applyNumberFormat="1" applyFont="1" applyFill="1" applyBorder="1"/>
    <xf numFmtId="0" fontId="60" fillId="0" borderId="1" xfId="0" applyFont="1" applyBorder="1"/>
    <xf numFmtId="10" fontId="60" fillId="0" borderId="0" xfId="1" applyNumberFormat="1" applyFont="1" applyBorder="1"/>
    <xf numFmtId="10" fontId="60" fillId="0" borderId="2" xfId="1" applyNumberFormat="1" applyFont="1" applyBorder="1"/>
    <xf numFmtId="2" fontId="60" fillId="0" borderId="0" xfId="0" applyNumberFormat="1" applyFont="1"/>
    <xf numFmtId="4" fontId="60" fillId="0" borderId="2" xfId="0" applyNumberFormat="1" applyFont="1" applyBorder="1"/>
    <xf numFmtId="166" fontId="60" fillId="0" borderId="2" xfId="0" applyNumberFormat="1" applyFont="1" applyBorder="1"/>
    <xf numFmtId="2" fontId="60" fillId="0" borderId="2" xfId="0" applyNumberFormat="1" applyFont="1" applyBorder="1"/>
    <xf numFmtId="17" fontId="61" fillId="0" borderId="0" xfId="0" applyNumberFormat="1" applyFont="1" applyAlignment="1">
      <alignment horizontal="center"/>
    </xf>
    <xf numFmtId="4" fontId="62" fillId="0" borderId="1" xfId="0" applyNumberFormat="1" applyFont="1" applyBorder="1"/>
    <xf numFmtId="0" fontId="62" fillId="0" borderId="2" xfId="0" applyFont="1" applyBorder="1"/>
    <xf numFmtId="10" fontId="62" fillId="0" borderId="0" xfId="1" applyNumberFormat="1" applyFont="1" applyAlignment="1">
      <alignment horizontal="center"/>
    </xf>
    <xf numFmtId="4" fontId="62" fillId="0" borderId="0" xfId="0" applyNumberFormat="1" applyFont="1"/>
    <xf numFmtId="10" fontId="61" fillId="0" borderId="1" xfId="1" applyNumberFormat="1" applyFont="1" applyBorder="1" applyAlignment="1">
      <alignment horizontal="center"/>
    </xf>
    <xf numFmtId="10" fontId="61" fillId="0" borderId="0" xfId="1" applyNumberFormat="1" applyFont="1" applyAlignment="1">
      <alignment horizontal="center"/>
    </xf>
    <xf numFmtId="3" fontId="61" fillId="0" borderId="0" xfId="1" applyNumberFormat="1" applyFont="1"/>
    <xf numFmtId="4" fontId="62" fillId="0" borderId="0" xfId="1" applyNumberFormat="1" applyFont="1" applyAlignment="1">
      <alignment horizontal="center"/>
    </xf>
    <xf numFmtId="3" fontId="61" fillId="0" borderId="0" xfId="1" applyNumberFormat="1" applyFont="1" applyAlignment="1">
      <alignment horizontal="center"/>
    </xf>
    <xf numFmtId="3" fontId="62" fillId="0" borderId="0" xfId="1" applyNumberFormat="1" applyFont="1" applyAlignment="1">
      <alignment horizontal="center"/>
    </xf>
    <xf numFmtId="3" fontId="62" fillId="0" borderId="0" xfId="1" applyNumberFormat="1" applyFont="1"/>
    <xf numFmtId="3" fontId="62" fillId="0" borderId="1" xfId="1" applyNumberFormat="1" applyFont="1" applyBorder="1"/>
    <xf numFmtId="3" fontId="61" fillId="0" borderId="2" xfId="1" applyNumberFormat="1" applyFont="1" applyBorder="1"/>
    <xf numFmtId="166" fontId="62" fillId="0" borderId="0" xfId="0" applyNumberFormat="1" applyFont="1" applyAlignment="1">
      <alignment horizontal="center"/>
    </xf>
    <xf numFmtId="166" fontId="61" fillId="0" borderId="1" xfId="0" applyNumberFormat="1" applyFont="1" applyBorder="1" applyAlignment="1">
      <alignment horizontal="center"/>
    </xf>
    <xf numFmtId="0" fontId="62" fillId="0" borderId="0" xfId="0" applyFont="1"/>
    <xf numFmtId="166" fontId="62" fillId="0" borderId="0" xfId="0" applyNumberFormat="1" applyFont="1"/>
    <xf numFmtId="166" fontId="61" fillId="0" borderId="5" xfId="0" applyNumberFormat="1" applyFont="1" applyBorder="1"/>
    <xf numFmtId="166" fontId="61" fillId="0" borderId="6" xfId="0" applyNumberFormat="1" applyFont="1" applyBorder="1"/>
    <xf numFmtId="166" fontId="61" fillId="0" borderId="0" xfId="0" applyNumberFormat="1" applyFont="1" applyAlignment="1">
      <alignment horizontal="center"/>
    </xf>
    <xf numFmtId="166" fontId="61" fillId="0" borderId="5" xfId="0" applyNumberFormat="1" applyFont="1" applyBorder="1" applyAlignment="1">
      <alignment horizontal="center"/>
    </xf>
    <xf numFmtId="14" fontId="49" fillId="0" borderId="0" xfId="0" applyNumberFormat="1" applyFont="1" applyAlignment="1">
      <alignment horizontal="center"/>
    </xf>
    <xf numFmtId="43" fontId="49" fillId="0" borderId="0" xfId="2" applyFont="1" applyAlignment="1">
      <alignment horizontal="center"/>
    </xf>
    <xf numFmtId="0" fontId="62" fillId="0" borderId="0" xfId="0" applyFont="1" applyAlignment="1">
      <alignment horizontal="center"/>
    </xf>
    <xf numFmtId="166" fontId="61" fillId="0" borderId="6" xfId="0" applyNumberFormat="1" applyFont="1" applyBorder="1" applyAlignment="1">
      <alignment horizontal="center"/>
    </xf>
    <xf numFmtId="0" fontId="63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177" fontId="3" fillId="0" borderId="0" xfId="0" applyNumberFormat="1" applyFont="1"/>
    <xf numFmtId="177" fontId="2" fillId="0" borderId="0" xfId="0" applyNumberFormat="1" applyFont="1"/>
    <xf numFmtId="0" fontId="7" fillId="0" borderId="0" xfId="0" applyFont="1"/>
    <xf numFmtId="0" fontId="10" fillId="0" borderId="0" xfId="0" applyFo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7" fillId="0" borderId="0" xfId="0" applyFont="1"/>
    <xf numFmtId="177" fontId="3" fillId="0" borderId="0" xfId="0" applyNumberFormat="1" applyFont="1" applyAlignment="1">
      <alignment horizontal="left"/>
    </xf>
    <xf numFmtId="4" fontId="66" fillId="0" borderId="0" xfId="0" applyNumberFormat="1" applyFont="1" applyAlignment="1">
      <alignment horizontal="center" vertical="center"/>
    </xf>
    <xf numFmtId="10" fontId="2" fillId="4" borderId="0" xfId="1" applyNumberFormat="1" applyFont="1" applyFill="1" applyBorder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 vertical="center"/>
    </xf>
    <xf numFmtId="9" fontId="2" fillId="0" borderId="0" xfId="2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77" fontId="0" fillId="0" borderId="0" xfId="0" applyNumberFormat="1"/>
    <xf numFmtId="177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/>
    </xf>
    <xf numFmtId="177" fontId="4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7" fillId="0" borderId="1" xfId="0" applyFont="1" applyBorder="1"/>
    <xf numFmtId="177" fontId="47" fillId="0" borderId="1" xfId="0" applyNumberFormat="1" applyFont="1" applyBorder="1" applyAlignment="1">
      <alignment horizontal="center"/>
    </xf>
    <xf numFmtId="165" fontId="47" fillId="0" borderId="1" xfId="0" applyNumberFormat="1" applyFont="1" applyBorder="1"/>
    <xf numFmtId="165" fontId="7" fillId="0" borderId="1" xfId="2" applyNumberFormat="1" applyFont="1" applyFill="1" applyBorder="1"/>
    <xf numFmtId="177" fontId="47" fillId="0" borderId="0" xfId="0" applyNumberFormat="1" applyFont="1" applyAlignment="1">
      <alignment horizontal="center"/>
    </xf>
    <xf numFmtId="165" fontId="47" fillId="0" borderId="0" xfId="0" applyNumberFormat="1" applyFont="1"/>
    <xf numFmtId="165" fontId="7" fillId="0" borderId="0" xfId="2" applyNumberFormat="1" applyFont="1" applyFill="1" applyBorder="1"/>
    <xf numFmtId="164" fontId="4" fillId="4" borderId="0" xfId="0" applyNumberFormat="1" applyFont="1" applyFill="1" applyAlignment="1">
      <alignment horizontal="center"/>
    </xf>
    <xf numFmtId="165" fontId="2" fillId="4" borderId="0" xfId="2" applyNumberFormat="1" applyFont="1" applyFill="1" applyBorder="1"/>
    <xf numFmtId="179" fontId="2" fillId="0" borderId="0" xfId="0" applyNumberFormat="1" applyFont="1"/>
    <xf numFmtId="177" fontId="4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177" fontId="4" fillId="0" borderId="2" xfId="0" applyNumberFormat="1" applyFont="1" applyBorder="1" applyAlignment="1">
      <alignment horizontal="center"/>
    </xf>
    <xf numFmtId="165" fontId="7" fillId="0" borderId="2" xfId="2" applyNumberFormat="1" applyFont="1" applyFill="1" applyBorder="1"/>
    <xf numFmtId="177" fontId="2" fillId="0" borderId="0" xfId="0" applyNumberFormat="1" applyFont="1" applyAlignment="1">
      <alignment horizontal="center"/>
    </xf>
    <xf numFmtId="0" fontId="49" fillId="0" borderId="5" xfId="0" applyFont="1" applyBorder="1"/>
    <xf numFmtId="0" fontId="60" fillId="0" borderId="5" xfId="0" applyFont="1" applyBorder="1"/>
    <xf numFmtId="10" fontId="53" fillId="0" borderId="0" xfId="1" applyNumberFormat="1" applyFont="1" applyAlignment="1">
      <alignment horizontal="center"/>
    </xf>
    <xf numFmtId="10" fontId="53" fillId="0" borderId="0" xfId="0" applyNumberFormat="1" applyFont="1" applyAlignment="1">
      <alignment horizontal="center"/>
    </xf>
    <xf numFmtId="166" fontId="53" fillId="0" borderId="0" xfId="0" applyNumberFormat="1" applyFont="1" applyAlignment="1">
      <alignment horizontal="center"/>
    </xf>
    <xf numFmtId="9" fontId="60" fillId="0" borderId="0" xfId="0" applyNumberFormat="1" applyFont="1"/>
    <xf numFmtId="43" fontId="60" fillId="0" borderId="0" xfId="2" applyFont="1"/>
    <xf numFmtId="180" fontId="49" fillId="0" borderId="0" xfId="0" applyNumberFormat="1" applyFont="1"/>
    <xf numFmtId="166" fontId="62" fillId="0" borderId="1" xfId="0" applyNumberFormat="1" applyFont="1" applyBorder="1" applyAlignment="1">
      <alignment horizontal="center"/>
    </xf>
    <xf numFmtId="4" fontId="62" fillId="0" borderId="0" xfId="0" applyNumberFormat="1" applyFont="1" applyAlignment="1">
      <alignment horizontal="center"/>
    </xf>
    <xf numFmtId="17" fontId="59" fillId="0" borderId="0" xfId="1" applyNumberFormat="1" applyFont="1" applyFill="1" applyAlignment="1">
      <alignment horizontal="center"/>
    </xf>
    <xf numFmtId="17" fontId="61" fillId="0" borderId="0" xfId="1" applyNumberFormat="1" applyFont="1" applyFill="1" applyAlignment="1">
      <alignment horizontal="center"/>
    </xf>
    <xf numFmtId="17" fontId="59" fillId="0" borderId="1" xfId="1" applyNumberFormat="1" applyFont="1" applyFill="1" applyBorder="1" applyAlignment="1">
      <alignment horizontal="center"/>
    </xf>
    <xf numFmtId="17" fontId="61" fillId="0" borderId="1" xfId="1" applyNumberFormat="1" applyFont="1" applyFill="1" applyBorder="1" applyAlignment="1">
      <alignment horizontal="center"/>
    </xf>
    <xf numFmtId="3" fontId="59" fillId="0" borderId="2" xfId="1" applyNumberFormat="1" applyFont="1" applyFill="1" applyBorder="1"/>
    <xf numFmtId="3" fontId="61" fillId="0" borderId="2" xfId="1" applyNumberFormat="1" applyFont="1" applyFill="1" applyBorder="1"/>
    <xf numFmtId="0" fontId="62" fillId="0" borderId="1" xfId="0" applyFont="1" applyBorder="1"/>
    <xf numFmtId="10" fontId="60" fillId="0" borderId="0" xfId="1" applyNumberFormat="1" applyFont="1" applyFill="1" applyBorder="1"/>
    <xf numFmtId="10" fontId="62" fillId="0" borderId="0" xfId="1" applyNumberFormat="1" applyFont="1" applyFill="1" applyBorder="1"/>
    <xf numFmtId="10" fontId="60" fillId="0" borderId="2" xfId="1" applyNumberFormat="1" applyFont="1" applyFill="1" applyBorder="1"/>
    <xf numFmtId="10" fontId="62" fillId="0" borderId="2" xfId="1" applyNumberFormat="1" applyFont="1" applyFill="1" applyBorder="1"/>
    <xf numFmtId="2" fontId="62" fillId="0" borderId="0" xfId="0" applyNumberFormat="1" applyFont="1"/>
    <xf numFmtId="166" fontId="62" fillId="0" borderId="2" xfId="0" applyNumberFormat="1" applyFont="1" applyBorder="1"/>
    <xf numFmtId="4" fontId="48" fillId="0" borderId="0" xfId="0" applyNumberFormat="1" applyFont="1"/>
    <xf numFmtId="0" fontId="71" fillId="0" borderId="0" xfId="0" applyFont="1" applyAlignment="1">
      <alignment horizontal="centerContinuous"/>
    </xf>
    <xf numFmtId="0" fontId="72" fillId="0" borderId="0" xfId="0" applyFont="1" applyAlignment="1">
      <alignment horizontal="centerContinuous"/>
    </xf>
    <xf numFmtId="0" fontId="65" fillId="0" borderId="0" xfId="0" applyFont="1"/>
    <xf numFmtId="43" fontId="49" fillId="0" borderId="0" xfId="0" applyNumberFormat="1" applyFont="1"/>
    <xf numFmtId="43" fontId="49" fillId="0" borderId="0" xfId="2" applyFont="1" applyFill="1"/>
    <xf numFmtId="10" fontId="54" fillId="0" borderId="0" xfId="1" applyNumberFormat="1" applyFont="1" applyAlignment="1">
      <alignment horizontal="center"/>
    </xf>
    <xf numFmtId="0" fontId="42" fillId="0" borderId="0" xfId="0" applyFont="1" applyAlignment="1">
      <alignment vertical="center"/>
    </xf>
    <xf numFmtId="0" fontId="38" fillId="42" borderId="31" xfId="0" applyFont="1" applyFill="1" applyBorder="1" applyAlignment="1">
      <alignment vertical="center"/>
    </xf>
    <xf numFmtId="10" fontId="49" fillId="0" borderId="0" xfId="1" applyNumberFormat="1" applyFont="1" applyAlignment="1">
      <alignment horizontal="left"/>
    </xf>
    <xf numFmtId="0" fontId="49" fillId="0" borderId="0" xfId="0" applyFont="1" applyAlignment="1">
      <alignment horizontal="left"/>
    </xf>
    <xf numFmtId="1" fontId="7" fillId="0" borderId="1" xfId="2" applyNumberFormat="1" applyFont="1" applyFill="1" applyBorder="1" applyAlignment="1">
      <alignment horizontal="center"/>
    </xf>
    <xf numFmtId="168" fontId="38" fillId="43" borderId="31" xfId="0" applyNumberFormat="1" applyFont="1" applyFill="1" applyBorder="1" applyAlignment="1">
      <alignment horizontal="center" vertical="center" wrapText="1"/>
    </xf>
    <xf numFmtId="3" fontId="7" fillId="0" borderId="0" xfId="2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50" borderId="1" xfId="0" applyFont="1" applyFill="1" applyBorder="1" applyAlignment="1">
      <alignment horizontal="center" vertical="center" wrapText="1"/>
    </xf>
    <xf numFmtId="43" fontId="4" fillId="0" borderId="0" xfId="2" applyFont="1" applyAlignment="1">
      <alignment horizontal="center"/>
    </xf>
    <xf numFmtId="0" fontId="4" fillId="50" borderId="2" xfId="0" applyFont="1" applyFill="1" applyBorder="1" applyAlignment="1">
      <alignment horizontal="center" vertical="center"/>
    </xf>
    <xf numFmtId="165" fontId="2" fillId="4" borderId="0" xfId="0" applyNumberFormat="1" applyFont="1" applyFill="1"/>
    <xf numFmtId="1" fontId="67" fillId="0" borderId="1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/>
    </xf>
    <xf numFmtId="165" fontId="7" fillId="4" borderId="0" xfId="2" applyNumberFormat="1" applyFont="1" applyFill="1" applyBorder="1"/>
    <xf numFmtId="1" fontId="7" fillId="0" borderId="2" xfId="2" applyNumberFormat="1" applyFont="1" applyFill="1" applyBorder="1" applyAlignment="1">
      <alignment horizontal="center"/>
    </xf>
    <xf numFmtId="10" fontId="2" fillId="0" borderId="0" xfId="1" applyNumberFormat="1" applyFont="1" applyFill="1"/>
    <xf numFmtId="43" fontId="68" fillId="0" borderId="0" xfId="2" applyFont="1"/>
    <xf numFmtId="10" fontId="2" fillId="0" borderId="0" xfId="1" applyNumberFormat="1" applyFont="1" applyFill="1" applyAlignment="1">
      <alignment horizontal="center"/>
    </xf>
    <xf numFmtId="43" fontId="7" fillId="0" borderId="0" xfId="2" applyFont="1" applyAlignment="1">
      <alignment horizontal="center"/>
    </xf>
    <xf numFmtId="0" fontId="67" fillId="0" borderId="1" xfId="0" applyFont="1" applyBorder="1" applyAlignment="1">
      <alignment horizontal="center" vertical="center"/>
    </xf>
    <xf numFmtId="164" fontId="7" fillId="0" borderId="0" xfId="0" applyNumberFormat="1" applyFont="1"/>
    <xf numFmtId="0" fontId="67" fillId="0" borderId="0" xfId="0" applyFont="1"/>
    <xf numFmtId="1" fontId="7" fillId="0" borderId="0" xfId="0" applyNumberFormat="1" applyFont="1" applyAlignment="1">
      <alignment horizontal="center"/>
    </xf>
    <xf numFmtId="165" fontId="2" fillId="50" borderId="0" xfId="2" applyNumberFormat="1" applyFont="1" applyFill="1" applyBorder="1"/>
    <xf numFmtId="0" fontId="0" fillId="0" borderId="0" xfId="0" applyAlignment="1">
      <alignment horizontal="left"/>
    </xf>
    <xf numFmtId="10" fontId="73" fillId="50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0" xfId="2" applyNumberFormat="1" applyFont="1" applyFill="1" applyBorder="1" applyAlignment="1">
      <alignment horizontal="center"/>
    </xf>
    <xf numFmtId="43" fontId="0" fillId="0" borderId="0" xfId="2" applyFont="1" applyFill="1"/>
    <xf numFmtId="0" fontId="7" fillId="0" borderId="0" xfId="2" applyNumberFormat="1" applyFont="1" applyFill="1" applyBorder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4" fillId="0" borderId="31" xfId="0" applyFont="1" applyBorder="1" applyAlignment="1">
      <alignment vertical="center" wrapText="1"/>
    </xf>
    <xf numFmtId="169" fontId="34" fillId="0" borderId="31" xfId="0" applyNumberFormat="1" applyFont="1" applyBorder="1" applyAlignment="1">
      <alignment vertical="center"/>
    </xf>
    <xf numFmtId="10" fontId="34" fillId="0" borderId="31" xfId="1" applyNumberFormat="1" applyFont="1" applyFill="1" applyBorder="1" applyAlignment="1">
      <alignment vertical="center"/>
    </xf>
    <xf numFmtId="0" fontId="34" fillId="41" borderId="31" xfId="0" applyFont="1" applyFill="1" applyBorder="1" applyAlignment="1">
      <alignment horizontal="center" vertical="center"/>
    </xf>
    <xf numFmtId="0" fontId="34" fillId="41" borderId="31" xfId="0" applyFont="1" applyFill="1" applyBorder="1" applyAlignment="1">
      <alignment vertical="center" wrapText="1"/>
    </xf>
    <xf numFmtId="169" fontId="34" fillId="41" borderId="31" xfId="0" applyNumberFormat="1" applyFont="1" applyFill="1" applyBorder="1" applyAlignment="1">
      <alignment vertical="center"/>
    </xf>
    <xf numFmtId="169" fontId="32" fillId="0" borderId="31" xfId="0" applyNumberFormat="1" applyFont="1" applyBorder="1" applyAlignment="1">
      <alignment vertical="center"/>
    </xf>
    <xf numFmtId="0" fontId="32" fillId="0" borderId="31" xfId="0" applyFont="1" applyBorder="1" applyAlignment="1">
      <alignment vertical="center"/>
    </xf>
    <xf numFmtId="170" fontId="34" fillId="0" borderId="31" xfId="0" applyNumberFormat="1" applyFont="1" applyBorder="1" applyAlignment="1">
      <alignment vertical="center"/>
    </xf>
    <xf numFmtId="3" fontId="34" fillId="0" borderId="31" xfId="0" applyNumberFormat="1" applyFont="1" applyBorder="1" applyAlignment="1">
      <alignment vertical="center"/>
    </xf>
    <xf numFmtId="0" fontId="34" fillId="0" borderId="31" xfId="0" applyFont="1" applyBorder="1" applyAlignment="1">
      <alignment vertical="center"/>
    </xf>
    <xf numFmtId="10" fontId="34" fillId="0" borderId="32" xfId="1" applyNumberFormat="1" applyFont="1" applyFill="1" applyBorder="1" applyAlignment="1">
      <alignment vertical="center"/>
    </xf>
    <xf numFmtId="169" fontId="34" fillId="0" borderId="36" xfId="0" applyNumberFormat="1" applyFont="1" applyBorder="1" applyAlignment="1">
      <alignment vertical="center"/>
    </xf>
    <xf numFmtId="3" fontId="34" fillId="0" borderId="37" xfId="0" applyNumberFormat="1" applyFont="1" applyBorder="1" applyAlignment="1">
      <alignment vertical="center"/>
    </xf>
    <xf numFmtId="169" fontId="38" fillId="42" borderId="31" xfId="0" applyNumberFormat="1" applyFont="1" applyFill="1" applyBorder="1" applyAlignment="1">
      <alignment vertical="center"/>
    </xf>
    <xf numFmtId="10" fontId="38" fillId="42" borderId="31" xfId="1" applyNumberFormat="1" applyFont="1" applyFill="1" applyBorder="1" applyAlignment="1">
      <alignment vertical="center"/>
    </xf>
    <xf numFmtId="170" fontId="38" fillId="42" borderId="31" xfId="0" applyNumberFormat="1" applyFont="1" applyFill="1" applyBorder="1" applyAlignment="1">
      <alignment vertical="center"/>
    </xf>
    <xf numFmtId="10" fontId="38" fillId="42" borderId="32" xfId="1" applyNumberFormat="1" applyFont="1" applyFill="1" applyBorder="1" applyAlignment="1">
      <alignment vertical="center"/>
    </xf>
    <xf numFmtId="0" fontId="35" fillId="42" borderId="38" xfId="0" applyFont="1" applyFill="1" applyBorder="1" applyAlignment="1">
      <alignment vertical="center"/>
    </xf>
    <xf numFmtId="0" fontId="35" fillId="42" borderId="39" xfId="0" applyFont="1" applyFill="1" applyBorder="1" applyAlignment="1">
      <alignment vertical="center"/>
    </xf>
    <xf numFmtId="3" fontId="38" fillId="42" borderId="39" xfId="0" applyNumberFormat="1" applyFont="1" applyFill="1" applyBorder="1" applyAlignment="1">
      <alignment vertical="center"/>
    </xf>
    <xf numFmtId="3" fontId="38" fillId="42" borderId="40" xfId="0" applyNumberFormat="1" applyFont="1" applyFill="1" applyBorder="1" applyAlignment="1">
      <alignment vertical="center"/>
    </xf>
    <xf numFmtId="168" fontId="40" fillId="43" borderId="31" xfId="0" applyNumberFormat="1" applyFont="1" applyFill="1" applyBorder="1" applyAlignment="1">
      <alignment horizontal="center" vertical="center" wrapText="1"/>
    </xf>
    <xf numFmtId="0" fontId="38" fillId="43" borderId="31" xfId="0" applyFont="1" applyFill="1" applyBorder="1" applyAlignment="1">
      <alignment horizontal="center" vertical="center"/>
    </xf>
    <xf numFmtId="168" fontId="38" fillId="43" borderId="32" xfId="0" applyNumberFormat="1" applyFont="1" applyFill="1" applyBorder="1" applyAlignment="1">
      <alignment horizontal="center" vertical="center" wrapText="1"/>
    </xf>
    <xf numFmtId="168" fontId="38" fillId="43" borderId="36" xfId="0" applyNumberFormat="1" applyFont="1" applyFill="1" applyBorder="1" applyAlignment="1">
      <alignment horizontal="center" vertical="center" wrapText="1"/>
    </xf>
    <xf numFmtId="168" fontId="38" fillId="43" borderId="37" xfId="0" applyNumberFormat="1" applyFont="1" applyFill="1" applyBorder="1" applyAlignment="1">
      <alignment horizontal="center" vertical="center" wrapText="1"/>
    </xf>
    <xf numFmtId="169" fontId="38" fillId="43" borderId="3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4" fontId="36" fillId="0" borderId="0" xfId="0" applyNumberFormat="1" applyFont="1" applyAlignment="1">
      <alignment vertical="center"/>
    </xf>
    <xf numFmtId="3" fontId="36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167" fontId="34" fillId="0" borderId="0" xfId="1" applyNumberFormat="1" applyFont="1" applyFill="1" applyAlignment="1">
      <alignment vertical="center"/>
    </xf>
    <xf numFmtId="3" fontId="34" fillId="0" borderId="0" xfId="0" applyNumberFormat="1" applyFont="1" applyAlignment="1">
      <alignment vertical="center"/>
    </xf>
    <xf numFmtId="4" fontId="37" fillId="0" borderId="0" xfId="0" applyNumberFormat="1" applyFont="1" applyAlignment="1">
      <alignment horizontal="right" vertical="center"/>
    </xf>
    <xf numFmtId="4" fontId="36" fillId="0" borderId="0" xfId="0" applyNumberFormat="1" applyFont="1" applyAlignment="1">
      <alignment horizontal="right" vertical="center"/>
    </xf>
    <xf numFmtId="169" fontId="32" fillId="0" borderId="0" xfId="0" applyNumberFormat="1" applyFont="1" applyAlignment="1">
      <alignment vertical="center"/>
    </xf>
    <xf numFmtId="169" fontId="37" fillId="0" borderId="0" xfId="0" applyNumberFormat="1" applyFont="1" applyAlignment="1">
      <alignment horizontal="right" vertical="center"/>
    </xf>
    <xf numFmtId="169" fontId="34" fillId="0" borderId="0" xfId="0" applyNumberFormat="1" applyFont="1" applyAlignment="1">
      <alignment vertical="center"/>
    </xf>
    <xf numFmtId="169" fontId="36" fillId="0" borderId="0" xfId="0" applyNumberFormat="1" applyFont="1" applyAlignment="1">
      <alignment horizontal="right" vertical="center"/>
    </xf>
    <xf numFmtId="169" fontId="37" fillId="0" borderId="0" xfId="0" applyNumberFormat="1" applyFont="1" applyAlignment="1">
      <alignment vertical="center"/>
    </xf>
    <xf numFmtId="169" fontId="41" fillId="0" borderId="0" xfId="0" applyNumberFormat="1" applyFont="1" applyAlignment="1">
      <alignment vertical="center"/>
    </xf>
    <xf numFmtId="0" fontId="41" fillId="0" borderId="0" xfId="0" applyFont="1" applyAlignment="1">
      <alignment horizontal="right" vertical="center"/>
    </xf>
    <xf numFmtId="170" fontId="41" fillId="0" borderId="0" xfId="0" applyNumberFormat="1" applyFont="1" applyAlignment="1">
      <alignment vertical="center"/>
    </xf>
    <xf numFmtId="10" fontId="34" fillId="41" borderId="31" xfId="1" applyNumberFormat="1" applyFont="1" applyFill="1" applyBorder="1" applyAlignment="1">
      <alignment vertical="center"/>
    </xf>
    <xf numFmtId="10" fontId="34" fillId="41" borderId="32" xfId="1" applyNumberFormat="1" applyFont="1" applyFill="1" applyBorder="1" applyAlignment="1">
      <alignment vertical="center"/>
    </xf>
    <xf numFmtId="169" fontId="34" fillId="41" borderId="36" xfId="0" applyNumberFormat="1" applyFont="1" applyFill="1" applyBorder="1" applyAlignment="1">
      <alignment vertical="center"/>
    </xf>
    <xf numFmtId="170" fontId="34" fillId="41" borderId="31" xfId="0" applyNumberFormat="1" applyFont="1" applyFill="1" applyBorder="1" applyAlignment="1">
      <alignment vertical="center"/>
    </xf>
    <xf numFmtId="3" fontId="34" fillId="41" borderId="31" xfId="0" applyNumberFormat="1" applyFont="1" applyFill="1" applyBorder="1" applyAlignment="1">
      <alignment vertical="center"/>
    </xf>
    <xf numFmtId="3" fontId="34" fillId="41" borderId="37" xfId="0" applyNumberFormat="1" applyFont="1" applyFill="1" applyBorder="1" applyAlignment="1">
      <alignment vertical="center"/>
    </xf>
    <xf numFmtId="172" fontId="37" fillId="0" borderId="0" xfId="0" applyNumberFormat="1" applyFont="1" applyAlignment="1">
      <alignment vertical="center"/>
    </xf>
    <xf numFmtId="173" fontId="34" fillId="0" borderId="0" xfId="121" applyNumberFormat="1" applyFont="1" applyFill="1" applyBorder="1" applyAlignment="1">
      <alignment vertical="center"/>
    </xf>
    <xf numFmtId="173" fontId="34" fillId="0" borderId="0" xfId="121" applyNumberFormat="1" applyFont="1" applyAlignment="1">
      <alignment vertical="center"/>
    </xf>
    <xf numFmtId="43" fontId="0" fillId="0" borderId="0" xfId="0" applyNumberFormat="1"/>
    <xf numFmtId="0" fontId="2" fillId="0" borderId="0" xfId="0" applyFont="1" applyAlignment="1">
      <alignment horizontal="center" wrapText="1"/>
    </xf>
    <xf numFmtId="2" fontId="4" fillId="0" borderId="0" xfId="2" applyNumberFormat="1" applyFont="1" applyAlignment="1">
      <alignment horizontal="center"/>
    </xf>
    <xf numFmtId="43" fontId="5" fillId="0" borderId="2" xfId="2" applyFont="1" applyBorder="1" applyAlignment="1">
      <alignment horizontal="center" vertical="center"/>
    </xf>
    <xf numFmtId="173" fontId="5" fillId="0" borderId="2" xfId="2" applyNumberFormat="1" applyFont="1" applyBorder="1" applyAlignment="1">
      <alignment horizontal="center" vertical="center"/>
    </xf>
    <xf numFmtId="9" fontId="60" fillId="0" borderId="0" xfId="1" applyFont="1" applyAlignment="1">
      <alignment horizontal="center"/>
    </xf>
    <xf numFmtId="17" fontId="54" fillId="0" borderId="0" xfId="1" applyNumberFormat="1" applyFont="1" applyFill="1" applyAlignment="1">
      <alignment horizontal="center"/>
    </xf>
    <xf numFmtId="17" fontId="54" fillId="0" borderId="1" xfId="1" applyNumberFormat="1" applyFont="1" applyFill="1" applyBorder="1" applyAlignment="1">
      <alignment horizontal="center"/>
    </xf>
    <xf numFmtId="3" fontId="54" fillId="0" borderId="2" xfId="1" applyNumberFormat="1" applyFont="1" applyFill="1" applyBorder="1"/>
    <xf numFmtId="0" fontId="53" fillId="0" borderId="1" xfId="0" applyFont="1" applyBorder="1"/>
    <xf numFmtId="166" fontId="53" fillId="0" borderId="0" xfId="0" applyNumberFormat="1" applyFont="1"/>
    <xf numFmtId="10" fontId="53" fillId="0" borderId="0" xfId="1" applyNumberFormat="1" applyFont="1" applyFill="1" applyBorder="1"/>
    <xf numFmtId="10" fontId="53" fillId="0" borderId="2" xfId="1" applyNumberFormat="1" applyFont="1" applyFill="1" applyBorder="1"/>
    <xf numFmtId="2" fontId="53" fillId="0" borderId="0" xfId="0" applyNumberFormat="1" applyFont="1"/>
    <xf numFmtId="166" fontId="53" fillId="0" borderId="2" xfId="0" applyNumberFormat="1" applyFont="1" applyBorder="1"/>
    <xf numFmtId="0" fontId="49" fillId="0" borderId="0" xfId="0" applyFont="1" applyAlignment="1">
      <alignment horizontal="center" vertical="center" wrapText="1"/>
    </xf>
    <xf numFmtId="0" fontId="54" fillId="0" borderId="0" xfId="0" applyFont="1"/>
    <xf numFmtId="0" fontId="54" fillId="0" borderId="1" xfId="0" applyFont="1" applyBorder="1"/>
    <xf numFmtId="4" fontId="54" fillId="0" borderId="1" xfId="5" applyNumberFormat="1" applyFont="1" applyBorder="1" applyAlignment="1">
      <alignment horizontal="left"/>
    </xf>
    <xf numFmtId="43" fontId="2" fillId="0" borderId="0" xfId="2" applyFont="1" applyAlignment="1">
      <alignment horizontal="center"/>
    </xf>
    <xf numFmtId="43" fontId="3" fillId="0" borderId="14" xfId="2" applyFont="1" applyBorder="1" applyAlignment="1">
      <alignment horizontal="center"/>
    </xf>
    <xf numFmtId="43" fontId="2" fillId="0" borderId="64" xfId="2" applyFont="1" applyBorder="1" applyAlignment="1">
      <alignment horizontal="center"/>
    </xf>
    <xf numFmtId="43" fontId="3" fillId="0" borderId="65" xfId="2" applyFont="1" applyBorder="1" applyAlignment="1">
      <alignment horizontal="center"/>
    </xf>
    <xf numFmtId="43" fontId="2" fillId="0" borderId="67" xfId="2" applyFont="1" applyBorder="1" applyAlignment="1">
      <alignment horizontal="center"/>
    </xf>
    <xf numFmtId="43" fontId="3" fillId="0" borderId="68" xfId="2" applyFont="1" applyBorder="1" applyAlignment="1">
      <alignment horizontal="center"/>
    </xf>
    <xf numFmtId="43" fontId="3" fillId="0" borderId="5" xfId="2" applyFont="1" applyBorder="1" applyAlignment="1">
      <alignment horizontal="center"/>
    </xf>
    <xf numFmtId="43" fontId="3" fillId="0" borderId="63" xfId="2" applyFont="1" applyBorder="1" applyAlignment="1">
      <alignment horizontal="center"/>
    </xf>
    <xf numFmtId="3" fontId="11" fillId="5" borderId="0" xfId="0" applyNumberFormat="1" applyFont="1" applyFill="1" applyAlignment="1">
      <alignment horizontal="center"/>
    </xf>
    <xf numFmtId="3" fontId="13" fillId="6" borderId="7" xfId="0" applyNumberFormat="1" applyFont="1" applyFill="1" applyBorder="1" applyAlignment="1">
      <alignment horizontal="center" vertical="center" wrapText="1"/>
    </xf>
    <xf numFmtId="3" fontId="13" fillId="6" borderId="10" xfId="0" applyNumberFormat="1" applyFont="1" applyFill="1" applyBorder="1" applyAlignment="1">
      <alignment horizontal="center" vertical="center" wrapText="1"/>
    </xf>
    <xf numFmtId="3" fontId="13" fillId="5" borderId="15" xfId="0" applyNumberFormat="1" applyFont="1" applyFill="1" applyBorder="1" applyAlignment="1">
      <alignment horizontal="center" vertical="center" wrapText="1"/>
    </xf>
    <xf numFmtId="3" fontId="13" fillId="5" borderId="19" xfId="0" applyNumberFormat="1" applyFont="1" applyFill="1" applyBorder="1" applyAlignment="1">
      <alignment horizontal="center" vertical="center" wrapText="1"/>
    </xf>
    <xf numFmtId="168" fontId="31" fillId="0" borderId="0" xfId="0" applyNumberFormat="1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38" fillId="43" borderId="31" xfId="0" applyNumberFormat="1" applyFont="1" applyFill="1" applyBorder="1" applyAlignment="1">
      <alignment horizontal="center" vertical="center" wrapText="1"/>
    </xf>
    <xf numFmtId="168" fontId="39" fillId="43" borderId="31" xfId="0" applyNumberFormat="1" applyFont="1" applyFill="1" applyBorder="1" applyAlignment="1">
      <alignment horizontal="center" vertical="center" wrapText="1"/>
    </xf>
    <xf numFmtId="0" fontId="38" fillId="43" borderId="31" xfId="0" applyFont="1" applyFill="1" applyBorder="1" applyAlignment="1">
      <alignment horizontal="center" vertical="center" wrapText="1"/>
    </xf>
    <xf numFmtId="169" fontId="38" fillId="42" borderId="31" xfId="0" applyNumberFormat="1" applyFont="1" applyFill="1" applyBorder="1" applyAlignment="1">
      <alignment horizontal="center" vertical="center"/>
    </xf>
    <xf numFmtId="171" fontId="38" fillId="42" borderId="31" xfId="0" applyNumberFormat="1" applyFont="1" applyFill="1" applyBorder="1" applyAlignment="1">
      <alignment horizontal="center" vertical="center"/>
    </xf>
    <xf numFmtId="0" fontId="38" fillId="42" borderId="31" xfId="0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8" fillId="43" borderId="32" xfId="0" applyFont="1" applyFill="1" applyBorder="1" applyAlignment="1">
      <alignment horizontal="center" vertical="center" wrapText="1"/>
    </xf>
    <xf numFmtId="0" fontId="38" fillId="43" borderId="33" xfId="0" applyFont="1" applyFill="1" applyBorder="1" applyAlignment="1">
      <alignment horizontal="center" vertical="center" wrapText="1"/>
    </xf>
    <xf numFmtId="0" fontId="38" fillId="43" borderId="34" xfId="0" applyFont="1" applyFill="1" applyBorder="1" applyAlignment="1">
      <alignment horizontal="center" vertical="center" wrapText="1"/>
    </xf>
    <xf numFmtId="0" fontId="38" fillId="43" borderId="35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right" vertical="center"/>
    </xf>
    <xf numFmtId="0" fontId="42" fillId="0" borderId="0" xfId="0" applyFont="1" applyAlignment="1">
      <alignment vertical="center"/>
    </xf>
    <xf numFmtId="4" fontId="36" fillId="0" borderId="0" xfId="0" applyNumberFormat="1" applyFont="1" applyAlignment="1">
      <alignment horizontal="center" vertical="center"/>
    </xf>
    <xf numFmtId="43" fontId="74" fillId="4" borderId="0" xfId="2" applyFont="1" applyFill="1"/>
  </cellXfs>
  <cellStyles count="130">
    <cellStyle name="20% - Énfasis1" xfId="24" builtinId="30" customBuiltin="1"/>
    <cellStyle name="20% - Énfasis1 2" xfId="85" xr:uid="{E586B7C2-63CF-4EAA-B905-56F06FEBF0AB}"/>
    <cellStyle name="20% - Énfasis2" xfId="28" builtinId="34" customBuiltin="1"/>
    <cellStyle name="20% - Énfasis2 2" xfId="88" xr:uid="{1EC0505F-6A74-468D-98BA-AA07F2D0EFF5}"/>
    <cellStyle name="20% - Énfasis3" xfId="32" builtinId="38" customBuiltin="1"/>
    <cellStyle name="20% - Énfasis3 2" xfId="91" xr:uid="{3AABDD75-F8CC-4151-8906-ED8AF3932B01}"/>
    <cellStyle name="20% - Énfasis4" xfId="36" builtinId="42" customBuiltin="1"/>
    <cellStyle name="20% - Énfasis4 2" xfId="94" xr:uid="{05DBFF07-C5E9-4A58-99FD-BDFAEEAC1056}"/>
    <cellStyle name="20% - Énfasis5" xfId="40" builtinId="46" customBuiltin="1"/>
    <cellStyle name="20% - Énfasis5 2" xfId="97" xr:uid="{C1BC49B8-867C-42D1-940B-538B24532F61}"/>
    <cellStyle name="20% - Énfasis6" xfId="44" builtinId="50" customBuiltin="1"/>
    <cellStyle name="20% - Énfasis6 2" xfId="100" xr:uid="{0DCF8DC7-8549-4794-B29E-9DCC6941E5A8}"/>
    <cellStyle name="40% - Énfasis1" xfId="25" builtinId="31" customBuiltin="1"/>
    <cellStyle name="40% - Énfasis1 2" xfId="86" xr:uid="{0306CF9D-5F84-40A5-925E-5EC44B85075A}"/>
    <cellStyle name="40% - Énfasis2" xfId="29" builtinId="35" customBuiltin="1"/>
    <cellStyle name="40% - Énfasis2 2" xfId="89" xr:uid="{BDF562C7-25F9-4FDB-9386-0FDEB2944D31}"/>
    <cellStyle name="40% - Énfasis3" xfId="33" builtinId="39" customBuiltin="1"/>
    <cellStyle name="40% - Énfasis3 2" xfId="92" xr:uid="{15676495-73EA-4365-8F76-8A55F1457F8C}"/>
    <cellStyle name="40% - Énfasis4" xfId="37" builtinId="43" customBuiltin="1"/>
    <cellStyle name="40% - Énfasis4 2" xfId="95" xr:uid="{D8C7413C-DD29-44A2-94DB-84376727A57F}"/>
    <cellStyle name="40% - Énfasis5" xfId="41" builtinId="47" customBuiltin="1"/>
    <cellStyle name="40% - Énfasis5 2" xfId="98" xr:uid="{DFBB378F-BABF-4740-9771-FAF1C49CC52D}"/>
    <cellStyle name="40% - Énfasis6" xfId="45" builtinId="51" customBuiltin="1"/>
    <cellStyle name="40% - Énfasis6 2" xfId="101" xr:uid="{4E2318EF-F9FE-49B3-B529-F360BF057903}"/>
    <cellStyle name="60% - Énfasis1" xfId="26" builtinId="32" customBuiltin="1"/>
    <cellStyle name="60% - Énfasis1 2" xfId="87" xr:uid="{DAEDD875-00B4-4C8E-9D47-D0F785777B99}"/>
    <cellStyle name="60% - Énfasis2" xfId="30" builtinId="36" customBuiltin="1"/>
    <cellStyle name="60% - Énfasis2 2" xfId="90" xr:uid="{5CC8E23D-DC8E-4B97-A167-174B172E0FAD}"/>
    <cellStyle name="60% - Énfasis3" xfId="34" builtinId="40" customBuiltin="1"/>
    <cellStyle name="60% - Énfasis3 2" xfId="93" xr:uid="{DE8FD9BE-D6CD-40E4-9F73-CA67579D236B}"/>
    <cellStyle name="60% - Énfasis4" xfId="38" builtinId="44" customBuiltin="1"/>
    <cellStyle name="60% - Énfasis4 2" xfId="96" xr:uid="{0BE3C1F5-1924-4F7B-A1DA-CB234227C3A8}"/>
    <cellStyle name="60% - Énfasis5" xfId="42" builtinId="48" customBuiltin="1"/>
    <cellStyle name="60% - Énfasis5 2" xfId="99" xr:uid="{732C7F7F-A213-4D34-81A9-DC79E1234D12}"/>
    <cellStyle name="60% - Énfasis6" xfId="46" builtinId="52" customBuiltin="1"/>
    <cellStyle name="60% - Énfasis6 2" xfId="102" xr:uid="{EA7122DB-8522-45E3-87C0-D32D154DD26A}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5" builtinId="20" customBuiltin="1"/>
    <cellStyle name="Incorrecto" xfId="13" builtinId="27" customBuiltin="1"/>
    <cellStyle name="Millares" xfId="2" builtinId="3"/>
    <cellStyle name="Millares 10" xfId="67" xr:uid="{3E8E6D10-1707-4BF6-A1E4-F1F014327D2D}"/>
    <cellStyle name="Millares 10 2" xfId="114" xr:uid="{7EDC0BE8-127F-4B8F-A990-12A344DF0220}"/>
    <cellStyle name="Millares 10 2 2" xfId="129" xr:uid="{2D472F9E-FE9E-41F7-B511-786EF5BDD0D2}"/>
    <cellStyle name="Millares 10 3" xfId="125" xr:uid="{1E97589B-7E3D-4B4A-BED8-1AC41EB986D5}"/>
    <cellStyle name="Millares 11" xfId="55" xr:uid="{AF2E2B60-46B7-40FF-AA67-AF95961BDF00}"/>
    <cellStyle name="Millares 11 2" xfId="108" xr:uid="{F1AA740A-FDAA-4C5E-BE7C-283045401D74}"/>
    <cellStyle name="Millares 11 2 2" xfId="127" xr:uid="{94EC410B-932C-4CB0-8F06-AFB01B89FC01}"/>
    <cellStyle name="Millares 11 3" xfId="123" xr:uid="{5F427B38-26F8-44D5-AA30-7F5BA8A0BB32}"/>
    <cellStyle name="Millares 12" xfId="104" xr:uid="{0C118764-549B-477A-9EEF-F06E2FEBFCB0}"/>
    <cellStyle name="Millares 12 2" xfId="126" xr:uid="{C77A8A45-2DB1-4F25-971D-1B679A50CB6A}"/>
    <cellStyle name="Millares 13" xfId="49" xr:uid="{B811F959-7F21-4FE1-B450-11D9587E836B}"/>
    <cellStyle name="Millares 13 2" xfId="122" xr:uid="{C43BB7A9-777F-4377-856B-1254B370FFEE}"/>
    <cellStyle name="Millares 14" xfId="47" xr:uid="{05676A8E-5958-48B4-92FE-183C813B11AC}"/>
    <cellStyle name="Millares 15" xfId="120" xr:uid="{21D57B90-F2A3-4B43-9CE8-AEF3D27E28FF}"/>
    <cellStyle name="Millares 16" xfId="121" xr:uid="{C689B45B-AC17-4BF5-AC82-20089D011AEA}"/>
    <cellStyle name="Millares 2" xfId="3" xr:uid="{00000000-0005-0000-0000-000001000000}"/>
    <cellStyle name="Millares 2 2" xfId="60" xr:uid="{7A2235E2-9B91-4275-AAF7-33592F21417A}"/>
    <cellStyle name="Millares 2 2 2" xfId="75" xr:uid="{88914A16-D02D-4A59-A514-370F5CD1D455}"/>
    <cellStyle name="Millares 2 3" xfId="73" xr:uid="{91035C2B-A0C7-45B0-9DE0-DA8B6CB5C845}"/>
    <cellStyle name="Millares 2 4" xfId="58" xr:uid="{7E2BC917-E937-4B76-A624-CDC6AB26046E}"/>
    <cellStyle name="Millares 2 5" xfId="53" xr:uid="{B231AE98-2352-4A34-BBDD-4E6EB5B5D149}"/>
    <cellStyle name="Millares 3" xfId="61" xr:uid="{73C5A463-B310-46FF-8622-A4413130191D}"/>
    <cellStyle name="Millares 3 2" xfId="76" xr:uid="{B63A7D48-1B6C-4A51-A44B-A81F76414074}"/>
    <cellStyle name="Millares 3 2 2" xfId="118" xr:uid="{2909CEC6-8E0D-4B7E-9004-84C942CDC253}"/>
    <cellStyle name="Millares 3 3" xfId="65" xr:uid="{F362CBB2-8EF7-4BA0-8D9E-76705DA04AC1}"/>
    <cellStyle name="Millares 3 3 2" xfId="113" xr:uid="{64263360-98E2-4C81-B287-E15A60D8C22A}"/>
    <cellStyle name="Millares 3 3 2 2" xfId="128" xr:uid="{7822D57B-EB62-418E-B1DA-14AFF6107E38}"/>
    <cellStyle name="Millares 3 3 3" xfId="124" xr:uid="{681980E7-08D4-4471-8D16-7547D0481C26}"/>
    <cellStyle name="Millares 3 4" xfId="112" xr:uid="{4D148071-2CC9-44DD-8951-40B94A16FB1B}"/>
    <cellStyle name="Millares 4" xfId="63" xr:uid="{32115838-1066-406F-9941-467756BFFB08}"/>
    <cellStyle name="Millares 4 2" xfId="78" xr:uid="{2B99FF2F-1B2D-4E43-8147-A4928A9327A5}"/>
    <cellStyle name="Millares 5" xfId="66" xr:uid="{B77A1665-E6A2-4F56-B23A-6942DFF36F05}"/>
    <cellStyle name="Millares 5 2" xfId="80" xr:uid="{BF9DE402-3301-476A-99F0-344F439559F5}"/>
    <cellStyle name="Millares 6" xfId="68" xr:uid="{ED20B7E4-1F60-405E-8F72-54372B4749C2}"/>
    <cellStyle name="Millares 6 2" xfId="82" xr:uid="{AD961128-4EBE-492F-917C-F47F12494779}"/>
    <cellStyle name="Millares 7" xfId="74" xr:uid="{51A99EFD-8B7C-41FF-A6E5-6D757C3CCA59}"/>
    <cellStyle name="Millares 7 2" xfId="117" xr:uid="{37C28701-5AE7-4759-88C6-2F14654685F9}"/>
    <cellStyle name="Millares 8" xfId="70" xr:uid="{0DCBFFC8-ADF0-43DB-B31A-7EC2A2B82126}"/>
    <cellStyle name="Millares 9" xfId="59" xr:uid="{1AEC915A-86FF-47AA-B455-BE4849EF1391}"/>
    <cellStyle name="Millares 9 2" xfId="111" xr:uid="{AE88A93F-0A39-4F63-ABF2-58A63D3D8B6B}"/>
    <cellStyle name="Neutral" xfId="14" builtinId="28" customBuiltin="1"/>
    <cellStyle name="Normal" xfId="0" builtinId="0"/>
    <cellStyle name="Normal 10" xfId="48" xr:uid="{EE645D35-9D0B-4975-977E-F32C6F186347}"/>
    <cellStyle name="Normal 14" xfId="52" xr:uid="{416627D2-4682-4C1C-B977-6FAE528F7CEE}"/>
    <cellStyle name="Normal 14 2" xfId="107" xr:uid="{B46D090B-4644-4905-9CC9-C36A90603D4E}"/>
    <cellStyle name="Normal 2" xfId="5" xr:uid="{C6AF93A5-2F51-48A8-9C9A-627FE93D66E2}"/>
    <cellStyle name="Normal 2 10" xfId="6" xr:uid="{C9B8FCA6-19BB-4A12-8A24-C9ED62C8AE7A}"/>
    <cellStyle name="Normal 3" xfId="62" xr:uid="{31FDAA0F-FF67-47CD-9352-647974A5E55B}"/>
    <cellStyle name="Normal 3 2" xfId="77" xr:uid="{275445A3-9760-4019-AF19-BCB94937690E}"/>
    <cellStyle name="Normal 4" xfId="64" xr:uid="{D7ED2E4F-90B9-49FD-B7D0-55176BEC5E20}"/>
    <cellStyle name="Normal 4 2" xfId="79" xr:uid="{35351D0F-D15E-4373-AABF-856B9C63DFCC}"/>
    <cellStyle name="Normal 5" xfId="71" xr:uid="{CA7B61EA-84E7-4A0B-9459-1BC6C6885642}"/>
    <cellStyle name="Normal 5 2" xfId="115" xr:uid="{FEB74748-CA9B-4912-945D-1E1E8E6A8A70}"/>
    <cellStyle name="Normal 6" xfId="69" xr:uid="{1C2266A7-FA30-4FDA-B76D-2590F4DDA653}"/>
    <cellStyle name="Normal 7" xfId="51" xr:uid="{2CD35E86-1F51-4D2C-8D3D-EF4252F7F246}"/>
    <cellStyle name="Normal 7 2" xfId="106" xr:uid="{55B5BA4F-FA61-49A5-B91D-A4BE8B2D4712}"/>
    <cellStyle name="Normal 8" xfId="103" xr:uid="{0E99CD8C-2555-40DB-8B37-A47FFD6F17DC}"/>
    <cellStyle name="Normal 9" xfId="84" xr:uid="{344BBA98-A127-464A-91F8-ACAB78C620DA}"/>
    <cellStyle name="Normal_EEFF FINAL -07 GE" xfId="4" xr:uid="{1242C0F0-325D-4048-BAA5-7AE50CFC04E6}"/>
    <cellStyle name="Notas 2" xfId="81" xr:uid="{84891D02-7502-4AE5-AF1E-6EBBCF2F4025}"/>
    <cellStyle name="Notas 2 2" xfId="119" xr:uid="{7B48F50F-3F81-4099-BE21-943E7538A76A}"/>
    <cellStyle name="Notas 2 3" xfId="83" xr:uid="{7DB674EA-07A0-4EEA-9DB9-9EECD5510A6E}"/>
    <cellStyle name="Notas 3" xfId="57" xr:uid="{A8616B41-D66D-4537-927D-4F983A6A30BF}"/>
    <cellStyle name="Notas 3 2" xfId="110" xr:uid="{0C4197EE-4DEA-4A31-A10D-8F790C60DCAC}"/>
    <cellStyle name="Porcentaje" xfId="1" builtinId="5"/>
    <cellStyle name="Porcentaje 2" xfId="54" xr:uid="{0BEDC6B9-49CE-48EF-B078-6F16C3275EC6}"/>
    <cellStyle name="Porcentaje 3" xfId="72" xr:uid="{8F6E31B1-F515-4F16-B8DE-5E65143589D2}"/>
    <cellStyle name="Porcentaje 3 2" xfId="116" xr:uid="{4357284D-C861-4714-94F0-D11212CBA961}"/>
    <cellStyle name="Porcentaje 4" xfId="56" xr:uid="{01B301BF-D44D-467E-ABF1-C3E7AFBFDD6D}"/>
    <cellStyle name="Porcentaje 4 2" xfId="109" xr:uid="{53D4B3EB-9CCC-4B8B-A5A9-5405F6BD802C}"/>
    <cellStyle name="Porcentaje 5" xfId="105" xr:uid="{55769695-CE63-4248-B3AF-EE8F6E48549F}"/>
    <cellStyle name="Porcentaje 6" xfId="50" xr:uid="{91A8CC57-80D0-4874-AEF7-7F8A2DAEFA9F}"/>
    <cellStyle name="Salida" xfId="16" builtinId="21" customBuiltin="1"/>
    <cellStyle name="Texto de advertencia" xfId="20" builtinId="11" customBuiltin="1"/>
    <cellStyle name="Texto explicativo" xfId="21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2" builtinId="25" customBuiltin="1"/>
  </cellStyles>
  <dxfs count="1">
    <dxf>
      <fill>
        <patternFill>
          <bgColor theme="0" tint="-0.14996795556505021"/>
        </patternFill>
      </fill>
    </dxf>
  </dxfs>
  <tableStyles count="2" defaultTableStyle="TableStyleMedium2" defaultPivotStyle="PivotStyleLight16">
    <tableStyle name="Estilo de tabla dinámica 1" table="0" count="1" xr9:uid="{7975F5D9-F8DF-40BE-BDA3-F089E8AE0C35}">
      <tableStyleElement type="headerRow" dxfId="0"/>
    </tableStyle>
    <tableStyle name="Invisible" pivot="0" table="0" count="0" xr9:uid="{4FEF2A2A-7D60-4A59-AF55-735A9F6237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52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AppData/Local/Temp/C.%20PRESUPUESTO%20CONSOLIDADO%20G.2025-26%20-%20SIN%20REF.xlsx" TargetMode="External"/><Relationship Id="rId2" Type="http://schemas.openxmlformats.org/officeDocument/2006/relationships/externalLinkPath" Target="file:///C:\Users\Ricardo\AppData\Local\Temp\C.%20PRESUPUESTO%20CONSOLIDADO%20G.2025-26%20-%20SIN%20REF.xlsx" TargetMode="External"/><Relationship Id="rId1" Type="http://schemas.openxmlformats.org/officeDocument/2006/relationships/externalLinkPath" Target="/Users/Ricardo/AppData/Local/Temp/C.%20PRESUPUESTO%20CONSOLIDADO%20G.2025-26%20-%20SIN%20REF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2.4%20Obligaciones%20financieras/OF%20a%20202508%20(al%20cierre).xlsx" TargetMode="External"/><Relationship Id="rId2" Type="http://schemas.openxmlformats.org/officeDocument/2006/relationships/externalLinkPath" Target="file:///C:\Users\Ricardo\Documents\Finanzas\2.4%20Obligaciones%20financieras\OF%20a%20202508%20(al%20cierre).xlsx" TargetMode="External"/><Relationship Id="rId1" Type="http://schemas.openxmlformats.org/officeDocument/2006/relationships/externalLinkPath" Target="/Users/Ricardo/Documents/Finanzas/2.4%20Obligaciones%20financieras/OF%20a%20202508%20(al%20cierre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wnloads/Dashboad%20Control%20de%20Deuda%20V.6%20-%20Unidades.xlsx" TargetMode="External"/><Relationship Id="rId2" Type="http://schemas.openxmlformats.org/officeDocument/2006/relationships/externalLinkPath" Target="file:///C:\Users\Ricardo\Downloads\Dashboad%20Control%20de%20Deuda%20V.6%20-%20Unidades.xlsx" TargetMode="External"/><Relationship Id="rId1" Type="http://schemas.openxmlformats.org/officeDocument/2006/relationships/externalLinkPath" Target="/Users/Ricardo/Downloads/Dashboad%20Control%20de%20Deuda%20V.6%20-%20Unidad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ER%20202406.xlsx" TargetMode="External"/><Relationship Id="rId1" Type="http://schemas.openxmlformats.org/officeDocument/2006/relationships/externalLinkPath" Target="/Users/Ricardo/Documents/GDAF%20AACO/EEFF/ER%2020240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ER%20202407.xlsx" TargetMode="External"/><Relationship Id="rId1" Type="http://schemas.openxmlformats.org/officeDocument/2006/relationships/externalLinkPath" Target="/Users/Ricardo/Documents/GDAF%20AACO/EEFF/ER%20202407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ER%20202408.xlsx" TargetMode="External"/><Relationship Id="rId1" Type="http://schemas.openxmlformats.org/officeDocument/2006/relationships/externalLinkPath" Target="/Users/Ricardo/Documents/GDAF%20AACO/EEFF/ER%2020240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ER%20202409.xlsx" TargetMode="External"/><Relationship Id="rId1" Type="http://schemas.openxmlformats.org/officeDocument/2006/relationships/externalLinkPath" Target="/Users/Ricardo/Documents/GDAF%20AACO/EEFF/ER%20202409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ER%20202410.xlsx" TargetMode="External"/><Relationship Id="rId2" Type="http://schemas.openxmlformats.org/officeDocument/2006/relationships/externalLinkPath" Target="file:///C:\Users\Ricardo\Documents\EEFF\2024\ER%20202410.xlsx" TargetMode="External"/><Relationship Id="rId1" Type="http://schemas.openxmlformats.org/officeDocument/2006/relationships/externalLinkPath" Target="/Users/Ricardo/Documents/EEFF/2024/ER%20202410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ER%20202411.xlsx" TargetMode="External"/><Relationship Id="rId2" Type="http://schemas.openxmlformats.org/officeDocument/2006/relationships/externalLinkPath" Target="file:///C:\Users\Ricardo\Documents\EEFF\2024\ER%20202411.xlsx" TargetMode="External"/><Relationship Id="rId1" Type="http://schemas.openxmlformats.org/officeDocument/2006/relationships/externalLinkPath" Target="/Users/Ricardo/Documents/EEFF/2024/ER%20202411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ER%20202412.xlsx" TargetMode="External"/><Relationship Id="rId2" Type="http://schemas.openxmlformats.org/officeDocument/2006/relationships/externalLinkPath" Target="file:///C:\Users\Ricardo\Documents\EEFF\2024\ER%20202412.xlsx" TargetMode="External"/><Relationship Id="rId1" Type="http://schemas.openxmlformats.org/officeDocument/2006/relationships/externalLinkPath" Target="/Users/Ricardo/Documents/EEFF/2024/ER%20202412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ER%20202501.xlsx" TargetMode="External"/><Relationship Id="rId2" Type="http://schemas.openxmlformats.org/officeDocument/2006/relationships/externalLinkPath" Target="file:///C:\Users\Ricardo\Documents\EEFF\2024\ER%20202501.xlsx" TargetMode="External"/><Relationship Id="rId1" Type="http://schemas.openxmlformats.org/officeDocument/2006/relationships/externalLinkPath" Target="/Users/Ricardo/Documents/EEFF/2024/ER%20202501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ER%20202502.xlsx" TargetMode="External"/><Relationship Id="rId2" Type="http://schemas.openxmlformats.org/officeDocument/2006/relationships/externalLinkPath" Target="file:///C:\Users\Ricardo\Documents\EEFF\2024\ER%20202502.xlsx" TargetMode="External"/><Relationship Id="rId1" Type="http://schemas.openxmlformats.org/officeDocument/2006/relationships/externalLinkPath" Target="/Users/Ricardo/Documents/EEFF/2024/ER%20202502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ER%20202503.xlsx" TargetMode="External"/><Relationship Id="rId2" Type="http://schemas.openxmlformats.org/officeDocument/2006/relationships/externalLinkPath" Target="file:///C:\Users\Ricardo\Documents\EEFF\2024\ER%20202503.xlsx" TargetMode="External"/><Relationship Id="rId1" Type="http://schemas.openxmlformats.org/officeDocument/2006/relationships/externalLinkPath" Target="/Users/Ricardo/Documents/EEFF/2024/ER%20202503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5/ER%20202504.xlsx" TargetMode="External"/><Relationship Id="rId2" Type="http://schemas.openxmlformats.org/officeDocument/2006/relationships/externalLinkPath" Target="file:///C:\Users\Ricardo\Documents\EEFF\2025\ER%20202504.xlsx" TargetMode="External"/><Relationship Id="rId1" Type="http://schemas.openxmlformats.org/officeDocument/2006/relationships/externalLinkPath" Target="/Users/Ricardo/Documents/EEFF/2025/ER%20202504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5/ER%20202505.xlsx" TargetMode="External"/><Relationship Id="rId2" Type="http://schemas.openxmlformats.org/officeDocument/2006/relationships/externalLinkPath" Target="file:///C:\Users\Ricardo\Documents\EEFF\2025\ER%20202505.xlsx" TargetMode="External"/><Relationship Id="rId1" Type="http://schemas.openxmlformats.org/officeDocument/2006/relationships/externalLinkPath" Target="/Users/Ricardo/Documents/EEFF/2025/ER%20202505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Quant_AC/Documents/Finanzas/Estados%20financieros/2025/ER%20202506.xlsx" TargetMode="External"/><Relationship Id="rId2" Type="http://schemas.openxmlformats.org/officeDocument/2006/relationships/externalLinkPath" Target="file:///C:\Users\Quant_AC\Documents\Finanzas\Estados%20financieros\2025\ER%20202506.xlsx" TargetMode="External"/><Relationship Id="rId1" Type="http://schemas.openxmlformats.org/officeDocument/2006/relationships/externalLinkPath" Target="/Users/Quant_AC/Documents/Finanzas/Estados%20financieros/2025/ER%2020250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Quant_AC/Documents/Finanzas/Estados%20financieros/2025/ER%20202507.xlsx" TargetMode="External"/><Relationship Id="rId2" Type="http://schemas.openxmlformats.org/officeDocument/2006/relationships/externalLinkPath" Target="file:///C:\Users\Quant_AC\Documents\Finanzas\Estados%20financieros\2025\ER%20202507.xlsx" TargetMode="External"/><Relationship Id="rId1" Type="http://schemas.openxmlformats.org/officeDocument/2006/relationships/externalLinkPath" Target="/Users/Quant_AC/Documents/Finanzas/Estados%20financieros/2025/ER%20202507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Quant_AC/Documents/Finanzas/Estados%20financieros/2025/ER%20202508.xlsx" TargetMode="External"/><Relationship Id="rId2" Type="http://schemas.openxmlformats.org/officeDocument/2006/relationships/externalLinkPath" Target="file:///C:\Users\Quant_AC\Documents\Finanzas\Estados%20financieros\2025\ER%20202508.xlsx" TargetMode="External"/><Relationship Id="rId1" Type="http://schemas.openxmlformats.org/officeDocument/2006/relationships/externalLinkPath" Target="/Users/Quant_AC/Documents/Finanzas/Estados%20financieros/2025/ER%20202508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Quant_AC/Documents/Finanzas/Estados%20financieros/2025/ER%20202509.xlsx" TargetMode="External"/><Relationship Id="rId2" Type="http://schemas.openxmlformats.org/officeDocument/2006/relationships/externalLinkPath" Target="file:///C:\Users\Quant_AC\Documents\Finanzas\Estados%20financieros\2025\ER%20202509.xlsx" TargetMode="External"/><Relationship Id="rId1" Type="http://schemas.openxmlformats.org/officeDocument/2006/relationships/externalLinkPath" Target="/Users/Quant_AC/Documents/Finanzas/Estados%20financieros/2025/ER%20202509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04.xlsx" TargetMode="External"/><Relationship Id="rId2" Type="http://schemas.openxmlformats.org/officeDocument/2006/relationships/externalLinkPath" Target="file:///C:\Users\Ricardo\Documents\Finanzas\EEFF\2023\ER%20202304.xlsx" TargetMode="External"/><Relationship Id="rId1" Type="http://schemas.openxmlformats.org/officeDocument/2006/relationships/externalLinkPath" Target="/Users/Ricardo/Documents/Finanzas/EEFF/2023/ER%20202304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05.xlsx" TargetMode="External"/><Relationship Id="rId2" Type="http://schemas.openxmlformats.org/officeDocument/2006/relationships/externalLinkPath" Target="file:///C:\Users\Ricardo\Documents\Finanzas\EEFF\2023\ER%20202305.xlsx" TargetMode="External"/><Relationship Id="rId1" Type="http://schemas.openxmlformats.org/officeDocument/2006/relationships/externalLinkPath" Target="/Users/Ricardo/Documents/Finanzas/EEFF/2023/ER%20202305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06.xlsx" TargetMode="External"/><Relationship Id="rId2" Type="http://schemas.openxmlformats.org/officeDocument/2006/relationships/externalLinkPath" Target="file:///C:\Users\Ricardo\Documents\Finanzas\EEFF\2023\ER%20202306.xlsx" TargetMode="External"/><Relationship Id="rId1" Type="http://schemas.openxmlformats.org/officeDocument/2006/relationships/externalLinkPath" Target="/Users/Ricardo/Documents/Finanzas/EEFF/2023/ER%20202306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07.xlsx" TargetMode="External"/><Relationship Id="rId2" Type="http://schemas.openxmlformats.org/officeDocument/2006/relationships/externalLinkPath" Target="file:///C:\Users\Ricardo\Documents\Finanzas\EEFF\2023\ER%20202307.xlsx" TargetMode="External"/><Relationship Id="rId1" Type="http://schemas.openxmlformats.org/officeDocument/2006/relationships/externalLinkPath" Target="/Users/Ricardo/Documents/Finanzas/EEFF/2023/ER%20202307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08.xlsx" TargetMode="External"/><Relationship Id="rId2" Type="http://schemas.openxmlformats.org/officeDocument/2006/relationships/externalLinkPath" Target="file:///C:\Users\Ricardo\Documents\Finanzas\EEFF\2023\ER%20202308.xlsx" TargetMode="External"/><Relationship Id="rId1" Type="http://schemas.openxmlformats.org/officeDocument/2006/relationships/externalLinkPath" Target="/Users/Ricardo/Documents/Finanzas/EEFF/2023/ER%20202308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09.xlsx" TargetMode="External"/><Relationship Id="rId2" Type="http://schemas.openxmlformats.org/officeDocument/2006/relationships/externalLinkPath" Target="file:///C:\Users\Ricardo\Documents\Finanzas\EEFF\2023\ER%20202309.xlsx" TargetMode="External"/><Relationship Id="rId1" Type="http://schemas.openxmlformats.org/officeDocument/2006/relationships/externalLinkPath" Target="/Users/Ricardo/Documents/Finanzas/EEFF/2023/ER%20202309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10.xlsx" TargetMode="External"/><Relationship Id="rId2" Type="http://schemas.openxmlformats.org/officeDocument/2006/relationships/externalLinkPath" Target="file:///C:\Users\Ricardo\Documents\Finanzas\EEFF\2023\ER%20202310.xlsx" TargetMode="External"/><Relationship Id="rId1" Type="http://schemas.openxmlformats.org/officeDocument/2006/relationships/externalLinkPath" Target="/Users/Ricardo/Documents/Finanzas/EEFF/2023/ER%20202310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11.xlsx" TargetMode="External"/><Relationship Id="rId2" Type="http://schemas.openxmlformats.org/officeDocument/2006/relationships/externalLinkPath" Target="file:///C:\Users\Ricardo\Documents\Finanzas\EEFF\2023\ER%20202311.xlsx" TargetMode="External"/><Relationship Id="rId1" Type="http://schemas.openxmlformats.org/officeDocument/2006/relationships/externalLinkPath" Target="/Users/Ricardo/Documents/Finanzas/EEFF/2023/ER%20202311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312.xlsx" TargetMode="External"/><Relationship Id="rId2" Type="http://schemas.openxmlformats.org/officeDocument/2006/relationships/externalLinkPath" Target="file:///C:\Users\Ricardo\Documents\Finanzas\EEFF\2023\ER%20202312.xlsx" TargetMode="External"/><Relationship Id="rId1" Type="http://schemas.openxmlformats.org/officeDocument/2006/relationships/externalLinkPath" Target="/Users/Ricardo/Documents/Finanzas/EEFF/2023/ER%20202312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401.xlsx" TargetMode="External"/><Relationship Id="rId2" Type="http://schemas.openxmlformats.org/officeDocument/2006/relationships/externalLinkPath" Target="file:///C:\Users\Ricardo\Documents\Finanzas\EEFF\2023\ER%20202401.xlsx" TargetMode="External"/><Relationship Id="rId1" Type="http://schemas.openxmlformats.org/officeDocument/2006/relationships/externalLinkPath" Target="/Users/Ricardo/Documents/Finanzas/EEFF/2023/ER%20202401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402.xlsx" TargetMode="External"/><Relationship Id="rId2" Type="http://schemas.openxmlformats.org/officeDocument/2006/relationships/externalLinkPath" Target="file:///C:\Users\Ricardo\Documents\Finanzas\EEFF\2023\ER%20202402.xlsx" TargetMode="External"/><Relationship Id="rId1" Type="http://schemas.openxmlformats.org/officeDocument/2006/relationships/externalLinkPath" Target="/Users/Ricardo/Documents/Finanzas/EEFF/2023/ER%20202402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3/ER%20202403.xlsx" TargetMode="External"/><Relationship Id="rId2" Type="http://schemas.openxmlformats.org/officeDocument/2006/relationships/externalLinkPath" Target="file:///C:\Users\Ricardo\Documents\Finanzas\EEFF\2023\ER%20202403.xlsx" TargetMode="External"/><Relationship Id="rId1" Type="http://schemas.openxmlformats.org/officeDocument/2006/relationships/externalLinkPath" Target="/Users/Ricardo/Documents/Finanzas/EEFF/2023/ER%20202403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ER%20202404.xlsx" TargetMode="External"/><Relationship Id="rId1" Type="http://schemas.openxmlformats.org/officeDocument/2006/relationships/externalLinkPath" Target="/Users/Ricardo/Documents/GDAF%20AACO/EEFF/ER%20202404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ER%20202405.xlsx" TargetMode="External"/><Relationship Id="rId1" Type="http://schemas.openxmlformats.org/officeDocument/2006/relationships/externalLinkPath" Target="/Users/Ricardo/Documents/GDAF%20AACO/EEFF/ER%2020240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BG%20202404.xlsx" TargetMode="External"/><Relationship Id="rId1" Type="http://schemas.openxmlformats.org/officeDocument/2006/relationships/externalLinkPath" Target="/Users/Ricardo/Documents/GDAF%20AACO/EEFF/BG%20202404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BG%20202405.xlsx" TargetMode="External"/><Relationship Id="rId1" Type="http://schemas.openxmlformats.org/officeDocument/2006/relationships/externalLinkPath" Target="/Users/Ricardo/Documents/GDAF%20AACO/EEFF/BG%2020240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BG%20202406.xlsx" TargetMode="External"/><Relationship Id="rId1" Type="http://schemas.openxmlformats.org/officeDocument/2006/relationships/externalLinkPath" Target="/Users/Ricardo/Documents/GDAF%20AACO/EEFF/BG%20202406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BG%20202407.xlsx" TargetMode="External"/><Relationship Id="rId1" Type="http://schemas.openxmlformats.org/officeDocument/2006/relationships/externalLinkPath" Target="/Users/Ricardo/Documents/GDAF%20AACO/EEFF/BG%20202407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BG%20202408.xlsx" TargetMode="External"/><Relationship Id="rId1" Type="http://schemas.openxmlformats.org/officeDocument/2006/relationships/externalLinkPath" Target="/Users/Ricardo/Documents/GDAF%20AACO/EEFF/BG%20202408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GDAF%20AACO/EEFF/BG%20202409.xlsx" TargetMode="External"/><Relationship Id="rId1" Type="http://schemas.openxmlformats.org/officeDocument/2006/relationships/externalLinkPath" Target="/Users/Ricardo/Documents/GDAF%20AACO/EEFF/BG%20202409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BG%20202410.xlsx" TargetMode="External"/><Relationship Id="rId2" Type="http://schemas.openxmlformats.org/officeDocument/2006/relationships/externalLinkPath" Target="file:///C:\Users\Ricardo\Documents\EEFF\2024\BG%20202410.xlsx" TargetMode="External"/><Relationship Id="rId1" Type="http://schemas.openxmlformats.org/officeDocument/2006/relationships/externalLinkPath" Target="/Users/Ricardo/Documents/EEFF/2024/BG%20202410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BG%20202411.xlsx" TargetMode="External"/><Relationship Id="rId2" Type="http://schemas.openxmlformats.org/officeDocument/2006/relationships/externalLinkPath" Target="file:///C:\Users\Ricardo\Documents\EEFF\2024\BG%20202411.xlsx" TargetMode="External"/><Relationship Id="rId1" Type="http://schemas.openxmlformats.org/officeDocument/2006/relationships/externalLinkPath" Target="/Users/Ricardo/Documents/EEFF/2024/BG%20202411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BG%20202412.xlsx" TargetMode="External"/><Relationship Id="rId2" Type="http://schemas.openxmlformats.org/officeDocument/2006/relationships/externalLinkPath" Target="file:///C:\Users\Ricardo\Documents\EEFF\2024\BG%20202412.xlsx" TargetMode="External"/><Relationship Id="rId1" Type="http://schemas.openxmlformats.org/officeDocument/2006/relationships/externalLinkPath" Target="/Users/Ricardo/Documents/EEFF/2024/BG%20202412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BG%20202501.xlsx" TargetMode="External"/><Relationship Id="rId2" Type="http://schemas.openxmlformats.org/officeDocument/2006/relationships/externalLinkPath" Target="file:///C:\Users\Ricardo\Documents\EEFF\2024\BG%20202501.xlsx" TargetMode="External"/><Relationship Id="rId1" Type="http://schemas.openxmlformats.org/officeDocument/2006/relationships/externalLinkPath" Target="/Users/Ricardo/Documents/EEFF/2024/BG%20202501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BG%20202502.xlsx" TargetMode="External"/><Relationship Id="rId2" Type="http://schemas.openxmlformats.org/officeDocument/2006/relationships/externalLinkPath" Target="file:///C:\Users\Ricardo\Documents\EEFF\2024\BG%20202502.xlsx" TargetMode="External"/><Relationship Id="rId1" Type="http://schemas.openxmlformats.org/officeDocument/2006/relationships/externalLinkPath" Target="/Users/Ricardo/Documents/EEFF/2024/BG%20202502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4/BG%20202503.xlsx" TargetMode="External"/><Relationship Id="rId2" Type="http://schemas.openxmlformats.org/officeDocument/2006/relationships/externalLinkPath" Target="file:///C:\Users\Ricardo\Documents\EEFF\2024\BG%20202503.xlsx" TargetMode="External"/><Relationship Id="rId1" Type="http://schemas.openxmlformats.org/officeDocument/2006/relationships/externalLinkPath" Target="/Users/Ricardo/Documents/EEFF/2024/BG%20202503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5/BG%20202504.xlsx" TargetMode="External"/><Relationship Id="rId2" Type="http://schemas.openxmlformats.org/officeDocument/2006/relationships/externalLinkPath" Target="file:///C:\Users\Ricardo\Documents\EEFF\2025\BG%20202504.xlsx" TargetMode="External"/><Relationship Id="rId1" Type="http://schemas.openxmlformats.org/officeDocument/2006/relationships/externalLinkPath" Target="/Users/Ricardo/Documents/EEFF/2025/BG%20202504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5/BG%20202505.xlsx" TargetMode="External"/><Relationship Id="rId2" Type="http://schemas.openxmlformats.org/officeDocument/2006/relationships/externalLinkPath" Target="file:///C:\Users\Ricardo\Documents\EEFF\2025\BG%20202505.xlsx" TargetMode="External"/><Relationship Id="rId1" Type="http://schemas.openxmlformats.org/officeDocument/2006/relationships/externalLinkPath" Target="/Users/Ricardo/Documents/EEFF/2025/BG%20202505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EEFF/2025/BG%20202506.xlsx" TargetMode="External"/><Relationship Id="rId2" Type="http://schemas.openxmlformats.org/officeDocument/2006/relationships/externalLinkPath" Target="file:///C:\Users\Ricardo\Documents\EEFF\2025\BG%20202506.xlsx" TargetMode="External"/><Relationship Id="rId1" Type="http://schemas.openxmlformats.org/officeDocument/2006/relationships/externalLinkPath" Target="/Users/Ricardo/Documents/EEFF/2025/BG%20202506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5/BG%20202507.xlsx" TargetMode="External"/><Relationship Id="rId2" Type="http://schemas.openxmlformats.org/officeDocument/2006/relationships/externalLinkPath" Target="file:///C:\Users\Ricardo\Documents\Finanzas\EEFF\2025\BG%20202507.xlsx" TargetMode="External"/><Relationship Id="rId1" Type="http://schemas.openxmlformats.org/officeDocument/2006/relationships/externalLinkPath" Target="/Users/Ricardo/Documents/Finanzas/EEFF/2025/BG%20202507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icardo/Documents/Finanzas/EEFF/2025/BG%20202508.xlsx" TargetMode="External"/><Relationship Id="rId2" Type="http://schemas.openxmlformats.org/officeDocument/2006/relationships/externalLinkPath" Target="file:///C:\Users\Ricardo\Documents\Finanzas\EEFF\2025\BG%20202508.xlsx" TargetMode="External"/><Relationship Id="rId1" Type="http://schemas.openxmlformats.org/officeDocument/2006/relationships/externalLinkPath" Target="/Users/Ricardo/Documents/Finanzas/EEFF/2025/BG%20202508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Quant_AC/Documents/Finanzas/Estados%20financieros/2025/BG%20202509.xlsx" TargetMode="External"/><Relationship Id="rId2" Type="http://schemas.openxmlformats.org/officeDocument/2006/relationships/externalLinkPath" Target="file:///C:\Users\Quant_AC\Documents\Finanzas\Estados%20financieros\2025\BG%20202509.xlsx" TargetMode="External"/><Relationship Id="rId1" Type="http://schemas.openxmlformats.org/officeDocument/2006/relationships/externalLinkPath" Target="/Users/Quant_AC/Documents/Finanzas/Estados%20financieros/2025/BG%20202509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icardo/Documents/EEFF/2025/BG%20202507.xlsx" TargetMode="External"/><Relationship Id="rId1" Type="http://schemas.openxmlformats.org/officeDocument/2006/relationships/externalLinkPath" Target="/Users/Ricardo/Documents/EEFF/2025/BG%20202507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MORIA%20PRESUPUESTO/MODELO%20FINAL%20+%20&#180;Presupuesto%202026/Modelo%20202601%20(POA%202026)%20vf%20+%20presupuesto.xlsx" TargetMode="External"/><Relationship Id="rId2" Type="http://schemas.openxmlformats.org/officeDocument/2006/relationships/externalLinkPath" Target="file:///G:\Mi%20unidad\COBOCE%20CEMENTO\MEMORIA%20PRESUPUESTO\MODELO%20FINAL%20+%20&#180;Presupuesto%202026\Modelo%20202601%20(POA%202026)%20vf%20+%20presupuesto.xlsx" TargetMode="External"/><Relationship Id="rId1" Type="http://schemas.openxmlformats.org/officeDocument/2006/relationships/externalLinkPath" Target="/Mi%20unidad/COBOCE%20CEMENTO/MEMORIA%20PRESUPUESTO/MODELO%20FINAL%20+%20&#180;Presupuesto%202026/Modelo%20202601%20(POA%202026)%20vf%20+%20presupue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Obj. Prod."/>
      <sheetName val="2.Req.Mat."/>
      <sheetName val="3.CostoDespachado"/>
      <sheetName val="4.Distr.CostosYGastos"/>
      <sheetName val="4a. Cemento"/>
      <sheetName val="4b.Yeso"/>
      <sheetName val="4c.Morteros"/>
      <sheetName val="4d.Adm"/>
      <sheetName val="4e.Comer."/>
      <sheetName val="4f.Resumen CCD"/>
      <sheetName val="5.INGRESOS"/>
      <sheetName val="5b.Ventas-Depacho"/>
      <sheetName val="6.EERR"/>
      <sheetName val="7.ERR COMP"/>
      <sheetName val="Hoja1"/>
    </sheetNames>
    <sheetDataSet>
      <sheetData sheetId="0"/>
      <sheetData sheetId="1"/>
      <sheetData sheetId="2"/>
      <sheetData sheetId="3">
        <row r="101">
          <cell r="M101"/>
        </row>
      </sheetData>
      <sheetData sheetId="4">
        <row r="101">
          <cell r="M101"/>
        </row>
        <row r="118">
          <cell r="B118">
            <v>1999344.5633229592</v>
          </cell>
          <cell r="C118">
            <v>1999344.5633229592</v>
          </cell>
          <cell r="D118">
            <v>1999344.5633229592</v>
          </cell>
          <cell r="E118">
            <v>1999344.5633229592</v>
          </cell>
          <cell r="F118">
            <v>1999344.5633229592</v>
          </cell>
          <cell r="G118">
            <v>1999344.5633229592</v>
          </cell>
          <cell r="H118">
            <v>1999344.5633229592</v>
          </cell>
          <cell r="I118">
            <v>1999344.5633229592</v>
          </cell>
          <cell r="J118">
            <v>1999344.5633229592</v>
          </cell>
          <cell r="K118">
            <v>1999344.5633229592</v>
          </cell>
          <cell r="L118">
            <v>1999344.5633229592</v>
          </cell>
          <cell r="M118">
            <v>1999344.5633229592</v>
          </cell>
        </row>
      </sheetData>
      <sheetData sheetId="5">
        <row r="101">
          <cell r="M101">
            <v>84.824066666666667</v>
          </cell>
        </row>
        <row r="114">
          <cell r="B114">
            <v>2519.1905921045186</v>
          </cell>
          <cell r="C114">
            <v>2519.1905921045186</v>
          </cell>
          <cell r="D114">
            <v>2519.1905921045186</v>
          </cell>
          <cell r="E114">
            <v>2519.1905921045186</v>
          </cell>
          <cell r="F114">
            <v>2519.1905921045186</v>
          </cell>
          <cell r="G114">
            <v>2519.1905921045186</v>
          </cell>
          <cell r="H114">
            <v>2519.1905921045186</v>
          </cell>
          <cell r="I114">
            <v>2519.1905921045186</v>
          </cell>
          <cell r="J114">
            <v>2519.1905921045186</v>
          </cell>
          <cell r="K114">
            <v>2519.1905921045186</v>
          </cell>
          <cell r="L114">
            <v>2519.1905921045186</v>
          </cell>
          <cell r="M114">
            <v>2519.1905921045186</v>
          </cell>
        </row>
      </sheetData>
      <sheetData sheetId="6">
        <row r="101">
          <cell r="M101">
            <v>0</v>
          </cell>
        </row>
        <row r="115">
          <cell r="B115">
            <v>5867.8415805852746</v>
          </cell>
          <cell r="C115">
            <v>5867.8415805852746</v>
          </cell>
          <cell r="D115">
            <v>5867.8415805852746</v>
          </cell>
          <cell r="E115">
            <v>5867.8415805852746</v>
          </cell>
          <cell r="F115">
            <v>5867.8415805852746</v>
          </cell>
          <cell r="G115">
            <v>5867.8415805852746</v>
          </cell>
          <cell r="H115">
            <v>5867.8415805852746</v>
          </cell>
          <cell r="I115">
            <v>5867.8415805852746</v>
          </cell>
          <cell r="J115">
            <v>5867.8415805852746</v>
          </cell>
          <cell r="K115">
            <v>5867.8415805852746</v>
          </cell>
          <cell r="L115">
            <v>5867.8415805852746</v>
          </cell>
          <cell r="M115">
            <v>5867.8415805852746</v>
          </cell>
        </row>
      </sheetData>
      <sheetData sheetId="7">
        <row r="101">
          <cell r="B101">
            <v>12274.438978666667</v>
          </cell>
          <cell r="C101">
            <v>12274.438978666667</v>
          </cell>
          <cell r="D101">
            <v>12274.438978666667</v>
          </cell>
          <cell r="E101">
            <v>12274.438978666667</v>
          </cell>
          <cell r="F101">
            <v>12274.438978666667</v>
          </cell>
          <cell r="G101">
            <v>12274.438978666667</v>
          </cell>
          <cell r="H101">
            <v>12274.438978666667</v>
          </cell>
          <cell r="I101">
            <v>12274.438978666667</v>
          </cell>
          <cell r="J101">
            <v>12274.438978666667</v>
          </cell>
          <cell r="K101">
            <v>12274.438978666667</v>
          </cell>
          <cell r="L101">
            <v>12274.438978666667</v>
          </cell>
          <cell r="M101">
            <v>12274.438978666667</v>
          </cell>
        </row>
      </sheetData>
      <sheetData sheetId="8">
        <row r="101">
          <cell r="M101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</sheetData>
      <sheetData sheetId="9"/>
      <sheetData sheetId="10">
        <row r="101">
          <cell r="M101">
            <v>33846092.731286876</v>
          </cell>
        </row>
      </sheetData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acteristicas"/>
      <sheetName val="Obligaciones financieras"/>
      <sheetName val="detalla a agosto"/>
      <sheetName val="Pagos a cuentas de unidades"/>
      <sheetName val="Garantias"/>
      <sheetName val="Detalle2"/>
    </sheetNames>
    <sheetDataSet>
      <sheetData sheetId="0">
        <row r="19">
          <cell r="I19">
            <v>45900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 General"/>
      <sheetName val="2. PP"/>
      <sheetName val="Saldos"/>
      <sheetName val="Consolidado1"/>
      <sheetName val="Auxi"/>
    </sheetNames>
    <sheetDataSet>
      <sheetData sheetId="0"/>
      <sheetData sheetId="1"/>
      <sheetData sheetId="2"/>
      <sheetData sheetId="3">
        <row r="241">
          <cell r="C241">
            <v>15996516.062482124</v>
          </cell>
        </row>
        <row r="242">
          <cell r="C242">
            <v>25657082.368837565</v>
          </cell>
        </row>
        <row r="243">
          <cell r="C243">
            <v>3310757.6821562708</v>
          </cell>
        </row>
        <row r="244">
          <cell r="C244">
            <v>6226369.0691175386</v>
          </cell>
        </row>
        <row r="245">
          <cell r="C245">
            <v>605442.35740650608</v>
          </cell>
        </row>
        <row r="315">
          <cell r="C315">
            <v>1109707.8726865982</v>
          </cell>
        </row>
        <row r="316">
          <cell r="C316">
            <v>1946824.49609955</v>
          </cell>
        </row>
        <row r="317">
          <cell r="C317">
            <v>2827295.4350634301</v>
          </cell>
        </row>
        <row r="318">
          <cell r="C318">
            <v>477315.69999999984</v>
          </cell>
        </row>
        <row r="319">
          <cell r="C319">
            <v>2106711.4732455392</v>
          </cell>
        </row>
        <row r="323">
          <cell r="C323">
            <v>26010060.698803104</v>
          </cell>
        </row>
        <row r="324">
          <cell r="C324">
            <v>3065469.2036547139</v>
          </cell>
        </row>
        <row r="325">
          <cell r="C325">
            <v>83830.490228503171</v>
          </cell>
        </row>
        <row r="326">
          <cell r="C326">
            <v>193131.84388081235</v>
          </cell>
        </row>
        <row r="327">
          <cell r="C327">
            <v>228313.3858758377</v>
          </cell>
        </row>
        <row r="328">
          <cell r="C328">
            <v>229194.37755703231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28969730.91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28969730.91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28752480.579999998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28752480.579999998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217250.33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172127.68</v>
          </cell>
        </row>
        <row r="12">
          <cell r="A12" t="str">
            <v>3.1.02.03</v>
          </cell>
          <cell r="B12" t="str">
            <v>INGRESOS FINANCIEROS</v>
          </cell>
          <cell r="C12" t="str">
            <v>Bs</v>
          </cell>
          <cell r="D12">
            <v>94.89</v>
          </cell>
        </row>
        <row r="13">
          <cell r="A13" t="str">
            <v>3.1.02.04</v>
          </cell>
          <cell r="B13" t="str">
            <v>OTROS INGRESOS</v>
          </cell>
          <cell r="C13" t="str">
            <v>Bs</v>
          </cell>
          <cell r="D13">
            <v>45027.76</v>
          </cell>
        </row>
        <row r="14">
          <cell r="A14" t="str">
            <v>4.0.00.00</v>
          </cell>
          <cell r="B14" t="str">
            <v>EGRESOS</v>
          </cell>
          <cell r="C14" t="str">
            <v>Bs</v>
          </cell>
          <cell r="D14">
            <v>-37871259.560000002</v>
          </cell>
        </row>
        <row r="16">
          <cell r="A16" t="str">
            <v>4.1.00.00</v>
          </cell>
          <cell r="B16" t="str">
            <v>COSTO DE VENTAS</v>
          </cell>
          <cell r="C16" t="str">
            <v>Bs</v>
          </cell>
          <cell r="D16">
            <v>-28825967.93</v>
          </cell>
        </row>
        <row r="17">
          <cell r="A17" t="str">
            <v>4.1.01.00</v>
          </cell>
          <cell r="B17" t="str">
            <v>COSTO DE PRODUCCION DE LO VENDIDO</v>
          </cell>
          <cell r="C17" t="str">
            <v>Bs</v>
          </cell>
          <cell r="D17">
            <v>-28654722.75</v>
          </cell>
        </row>
        <row r="18">
          <cell r="A18" t="str">
            <v>4.1.01.01</v>
          </cell>
          <cell r="B18" t="str">
            <v>COSTO DE PRODUCCION DE LO VENDIDO</v>
          </cell>
          <cell r="C18" t="str">
            <v>Bs</v>
          </cell>
          <cell r="D18">
            <v>-28654722.75</v>
          </cell>
        </row>
        <row r="19">
          <cell r="A19" t="str">
            <v>4.1.02.00</v>
          </cell>
          <cell r="B19" t="str">
            <v>EGRESOS NO OPERATIVOS</v>
          </cell>
          <cell r="C19" t="str">
            <v>Bs</v>
          </cell>
          <cell r="D19">
            <v>-171245.18</v>
          </cell>
        </row>
        <row r="20">
          <cell r="A20" t="str">
            <v>4.1.02.01</v>
          </cell>
          <cell r="B20" t="str">
            <v>EGRESOS NO OPERATIVOS</v>
          </cell>
          <cell r="C20" t="str">
            <v>Bs</v>
          </cell>
          <cell r="D20">
            <v>-171245.18</v>
          </cell>
        </row>
        <row r="21">
          <cell r="A21" t="str">
            <v>4.2.00.00</v>
          </cell>
          <cell r="B21" t="str">
            <v>GASTOS DE ADMINISTRACION</v>
          </cell>
          <cell r="C21" t="str">
            <v>Bs</v>
          </cell>
          <cell r="D21">
            <v>-1372664.15</v>
          </cell>
        </row>
        <row r="22">
          <cell r="A22" t="str">
            <v>4.2.01.00</v>
          </cell>
          <cell r="B22" t="str">
            <v>SERVICIOS PERSONALES</v>
          </cell>
          <cell r="C22" t="str">
            <v>Bs</v>
          </cell>
          <cell r="D22">
            <v>-503086.96</v>
          </cell>
        </row>
        <row r="23">
          <cell r="A23" t="str">
            <v>4.2.01.01</v>
          </cell>
          <cell r="B23" t="str">
            <v>SUELDOS Y SALARIOS</v>
          </cell>
          <cell r="C23" t="str">
            <v>Bs</v>
          </cell>
          <cell r="D23">
            <v>-374834.46</v>
          </cell>
        </row>
        <row r="24">
          <cell r="A24" t="str">
            <v>4.2.01.02</v>
          </cell>
          <cell r="B24" t="str">
            <v>APORTES PATRONALES</v>
          </cell>
          <cell r="C24" t="str">
            <v>Bs</v>
          </cell>
          <cell r="D24">
            <v>-62828.44</v>
          </cell>
        </row>
        <row r="25">
          <cell r="A25" t="str">
            <v>4.2.01.03</v>
          </cell>
          <cell r="B25" t="str">
            <v>BENEFICIOS SOCIALES</v>
          </cell>
          <cell r="C25" t="str">
            <v>Bs</v>
          </cell>
          <cell r="D25">
            <v>-65424.06</v>
          </cell>
        </row>
        <row r="26">
          <cell r="A26" t="str">
            <v>4.2.02.00</v>
          </cell>
          <cell r="B26" t="str">
            <v>MATERIALES Y SERVICIOS</v>
          </cell>
          <cell r="C26" t="str">
            <v>Bs</v>
          </cell>
          <cell r="D26">
            <v>-19036.900000000001</v>
          </cell>
        </row>
        <row r="27">
          <cell r="A27" t="str">
            <v>4.2.02.01</v>
          </cell>
          <cell r="B27" t="str">
            <v>MATERIALES DE ALMACEN</v>
          </cell>
          <cell r="C27" t="str">
            <v>Bs</v>
          </cell>
          <cell r="D27">
            <v>-19036.900000000001</v>
          </cell>
        </row>
        <row r="28">
          <cell r="A28" t="str">
            <v>4.2.03.00</v>
          </cell>
          <cell r="B28" t="str">
            <v>GASTOS GENERALES</v>
          </cell>
          <cell r="C28" t="str">
            <v>Bs</v>
          </cell>
          <cell r="D28">
            <v>-838744.37</v>
          </cell>
        </row>
        <row r="29">
          <cell r="A29" t="str">
            <v>4.2.03.01</v>
          </cell>
          <cell r="B29" t="str">
            <v>GASTOS GENERALES</v>
          </cell>
          <cell r="C29" t="str">
            <v>Bs</v>
          </cell>
          <cell r="D29">
            <v>-829884.39</v>
          </cell>
        </row>
        <row r="30">
          <cell r="A30" t="str">
            <v>4.2.03.02</v>
          </cell>
          <cell r="B30" t="str">
            <v>OTROS GASTOS</v>
          </cell>
          <cell r="C30" t="str">
            <v>Bs</v>
          </cell>
          <cell r="D30">
            <v>-491</v>
          </cell>
        </row>
        <row r="31">
          <cell r="A31" t="str">
            <v>4.2.03.03</v>
          </cell>
          <cell r="B31" t="str">
            <v>AYUDA COMUNITARIA</v>
          </cell>
          <cell r="C31" t="str">
            <v>Bs</v>
          </cell>
          <cell r="D31">
            <v>-8368.98</v>
          </cell>
        </row>
        <row r="32">
          <cell r="A32" t="str">
            <v>4.2.04.00</v>
          </cell>
          <cell r="B32" t="str">
            <v>DEPRECIACION ACTIVO FIJO</v>
          </cell>
          <cell r="C32" t="str">
            <v>Bs</v>
          </cell>
          <cell r="D32">
            <v>-11795.92</v>
          </cell>
        </row>
        <row r="33">
          <cell r="A33" t="str">
            <v>4.2.04.01</v>
          </cell>
          <cell r="B33" t="str">
            <v>DEPRECIACION ACTIVO FIJO</v>
          </cell>
          <cell r="C33" t="str">
            <v>Bs</v>
          </cell>
          <cell r="D33">
            <v>-11795.92</v>
          </cell>
        </row>
        <row r="34">
          <cell r="A34" t="str">
            <v>4.3.00.00</v>
          </cell>
          <cell r="B34" t="str">
            <v>GASTOS DE COMERCIALIZACION</v>
          </cell>
          <cell r="C34" t="str">
            <v>Bs</v>
          </cell>
          <cell r="D34">
            <v>-5292556.83</v>
          </cell>
        </row>
        <row r="35">
          <cell r="A35" t="str">
            <v>4.3.01.00</v>
          </cell>
          <cell r="B35" t="str">
            <v>SERVICIOS PERSONALES</v>
          </cell>
          <cell r="C35" t="str">
            <v>Bs</v>
          </cell>
          <cell r="D35">
            <v>-1019578.47</v>
          </cell>
        </row>
        <row r="36">
          <cell r="A36" t="str">
            <v>4.3.01.01</v>
          </cell>
          <cell r="B36" t="str">
            <v>SUELDOS Y SALARIOS</v>
          </cell>
          <cell r="C36" t="str">
            <v>Bs</v>
          </cell>
          <cell r="D36">
            <v>-760100.26</v>
          </cell>
        </row>
        <row r="37">
          <cell r="A37" t="str">
            <v>4.3.01.02</v>
          </cell>
          <cell r="B37" t="str">
            <v>APORTES PATRONALES</v>
          </cell>
          <cell r="C37" t="str">
            <v>Bs</v>
          </cell>
          <cell r="D37">
            <v>-127042.85</v>
          </cell>
        </row>
        <row r="38">
          <cell r="A38" t="str">
            <v>4.3.01.03</v>
          </cell>
          <cell r="B38" t="str">
            <v>BENEFICIOS SOCIALES</v>
          </cell>
          <cell r="C38" t="str">
            <v>Bs</v>
          </cell>
          <cell r="D38">
            <v>-132435.35999999999</v>
          </cell>
        </row>
        <row r="39">
          <cell r="A39" t="str">
            <v>4.3.02.00</v>
          </cell>
          <cell r="B39" t="str">
            <v>MATERIALES Y SERVICIOS</v>
          </cell>
          <cell r="C39" t="str">
            <v>Bs</v>
          </cell>
          <cell r="D39">
            <v>-55824.41</v>
          </cell>
        </row>
        <row r="40">
          <cell r="A40" t="str">
            <v>4.3.02.01</v>
          </cell>
          <cell r="B40" t="str">
            <v>MATERIALES ALMACEN - COMERCIALIZACION</v>
          </cell>
          <cell r="C40" t="str">
            <v>Bs</v>
          </cell>
          <cell r="D40">
            <v>-55824.41</v>
          </cell>
        </row>
        <row r="41">
          <cell r="A41" t="str">
            <v>4.3.03.00</v>
          </cell>
          <cell r="B41" t="str">
            <v>GASTOS GENERALES</v>
          </cell>
          <cell r="C41" t="str">
            <v>Bs</v>
          </cell>
          <cell r="D41">
            <v>-4112358.36</v>
          </cell>
        </row>
        <row r="42">
          <cell r="A42" t="str">
            <v>4.3.03.01</v>
          </cell>
          <cell r="B42" t="str">
            <v>GASTOS GENERALES - COMERCIALIZACION</v>
          </cell>
          <cell r="C42" t="str">
            <v>Bs</v>
          </cell>
          <cell r="D42">
            <v>-4112358.36</v>
          </cell>
        </row>
        <row r="43">
          <cell r="A43" t="str">
            <v>4.3.04.00</v>
          </cell>
          <cell r="B43" t="str">
            <v>DEPRECIACION ACTIVO FIJO</v>
          </cell>
          <cell r="C43" t="str">
            <v>Bs</v>
          </cell>
          <cell r="D43">
            <v>-104795.59</v>
          </cell>
        </row>
        <row r="44">
          <cell r="A44" t="str">
            <v>4.3.04.01</v>
          </cell>
          <cell r="B44" t="str">
            <v>DEPREC. ACTIVO FIJO - COMERCIALIZACION</v>
          </cell>
          <cell r="C44" t="str">
            <v>Bs</v>
          </cell>
          <cell r="D44">
            <v>-104795.59</v>
          </cell>
        </row>
        <row r="45">
          <cell r="A45" t="str">
            <v>4.4.00.00</v>
          </cell>
          <cell r="B45" t="str">
            <v>GASTOS FINANCIEROS</v>
          </cell>
          <cell r="C45" t="str">
            <v>Bs</v>
          </cell>
          <cell r="D45">
            <v>-1446720.36</v>
          </cell>
        </row>
        <row r="46">
          <cell r="A46" t="str">
            <v>4.4.01.00</v>
          </cell>
          <cell r="B46" t="str">
            <v>GASTOS FINANCIEROS</v>
          </cell>
          <cell r="C46" t="str">
            <v>Bs</v>
          </cell>
          <cell r="D46">
            <v>-1446720.36</v>
          </cell>
        </row>
        <row r="47">
          <cell r="A47" t="str">
            <v>4.4.01.01</v>
          </cell>
          <cell r="B47" t="str">
            <v>INTERESES</v>
          </cell>
          <cell r="C47" t="str">
            <v>Bs</v>
          </cell>
          <cell r="D47">
            <v>-1402230.55</v>
          </cell>
        </row>
        <row r="48">
          <cell r="A48" t="str">
            <v>4.4.01.02</v>
          </cell>
          <cell r="B48" t="str">
            <v>COMISIONES</v>
          </cell>
          <cell r="C48" t="str">
            <v>Bs</v>
          </cell>
          <cell r="D48">
            <v>-44489.81</v>
          </cell>
        </row>
        <row r="49">
          <cell r="A49" t="str">
            <v>4.5.00.00</v>
          </cell>
          <cell r="B49" t="str">
            <v>GASTOS TRIBUTARIOS</v>
          </cell>
          <cell r="C49" t="str">
            <v>Bs</v>
          </cell>
          <cell r="D49">
            <v>-1466793.75</v>
          </cell>
        </row>
        <row r="50">
          <cell r="A50" t="str">
            <v>4.5.01.00</v>
          </cell>
          <cell r="B50" t="str">
            <v>GASTOS TRIBUTARIOS</v>
          </cell>
          <cell r="C50" t="str">
            <v>Bs</v>
          </cell>
          <cell r="D50">
            <v>-1466793.75</v>
          </cell>
        </row>
        <row r="51">
          <cell r="A51" t="str">
            <v>4.5.01.01</v>
          </cell>
          <cell r="B51" t="str">
            <v>IMPUESTO A LAS TRANSACCIONES</v>
          </cell>
          <cell r="C51" t="str">
            <v>Bs</v>
          </cell>
          <cell r="D51">
            <v>-998601</v>
          </cell>
        </row>
        <row r="52">
          <cell r="A52" t="str">
            <v>4.5.01.02</v>
          </cell>
          <cell r="B52" t="str">
            <v>IMPUESTO A LA PROPIEDAD DE BIENES INMUEB</v>
          </cell>
          <cell r="C52" t="str">
            <v>Bs</v>
          </cell>
          <cell r="D52">
            <v>-8614.5</v>
          </cell>
        </row>
        <row r="53">
          <cell r="A53" t="str">
            <v>4.5.01.05</v>
          </cell>
          <cell r="B53" t="str">
            <v>PATENTES MINERAS</v>
          </cell>
          <cell r="C53" t="str">
            <v>Bs</v>
          </cell>
          <cell r="D53">
            <v>-209043</v>
          </cell>
        </row>
        <row r="54">
          <cell r="A54" t="str">
            <v>4.5.01.06</v>
          </cell>
          <cell r="B54" t="str">
            <v>IMPUESTO A LAS TRANSAC. FINANCIERAS</v>
          </cell>
          <cell r="C54" t="str">
            <v>Bs</v>
          </cell>
          <cell r="D54">
            <v>-5746.25</v>
          </cell>
        </row>
        <row r="55">
          <cell r="A55" t="str">
            <v>4.5.01.07</v>
          </cell>
          <cell r="B55" t="str">
            <v>MANTENIMIENTO DE VALOR - FACILIDADES DE PAGO</v>
          </cell>
          <cell r="C55" t="str">
            <v>Bs</v>
          </cell>
          <cell r="D55">
            <v>-73139</v>
          </cell>
        </row>
        <row r="56">
          <cell r="A56" t="str">
            <v>4.5.01.08</v>
          </cell>
          <cell r="B56" t="str">
            <v>INTERESES - FACILIDADES DE PAGO</v>
          </cell>
          <cell r="C56" t="str">
            <v>Bs</v>
          </cell>
          <cell r="D56">
            <v>-169726</v>
          </cell>
        </row>
        <row r="57">
          <cell r="A57" t="str">
            <v>4.5.01.09</v>
          </cell>
          <cell r="B57" t="str">
            <v>IMPUESTO AL JUEGO - PROMOCIONES EMPRESARIALES</v>
          </cell>
          <cell r="C57" t="str">
            <v>Bs</v>
          </cell>
          <cell r="D57">
            <v>-1924</v>
          </cell>
        </row>
        <row r="58">
          <cell r="A58" t="str">
            <v>4.6.00.00</v>
          </cell>
          <cell r="B58" t="str">
            <v>PERDIDAS Y GANANCIAS</v>
          </cell>
          <cell r="C58" t="str">
            <v>Bs</v>
          </cell>
          <cell r="D58">
            <v>546058.29</v>
          </cell>
        </row>
        <row r="59">
          <cell r="A59" t="str">
            <v>4.6.01.00</v>
          </cell>
          <cell r="B59" t="str">
            <v>PERDIDAS Y GANANCIAS</v>
          </cell>
          <cell r="C59" t="str">
            <v>Bs</v>
          </cell>
          <cell r="D59">
            <v>546058.29</v>
          </cell>
        </row>
        <row r="60">
          <cell r="A60" t="str">
            <v>4.6.01.01</v>
          </cell>
          <cell r="B60" t="str">
            <v>PERDIDAS Y GANANCIAS</v>
          </cell>
          <cell r="C60" t="str">
            <v>Bs</v>
          </cell>
          <cell r="D60">
            <v>546011.64</v>
          </cell>
        </row>
        <row r="61">
          <cell r="A61" t="str">
            <v>4.6.01.02</v>
          </cell>
          <cell r="B61" t="str">
            <v>AJUSTES GESTIONES ANTERIORES</v>
          </cell>
          <cell r="C61" t="str">
            <v>Bs</v>
          </cell>
          <cell r="D61">
            <v>46.65</v>
          </cell>
        </row>
        <row r="62">
          <cell r="A62" t="str">
            <v>4.7.00.00</v>
          </cell>
          <cell r="B62" t="str">
            <v>CORRECCION MONETARIA POR INFLACION</v>
          </cell>
          <cell r="C62" t="str">
            <v>Bs</v>
          </cell>
          <cell r="D62">
            <v>-12614.83</v>
          </cell>
        </row>
        <row r="63">
          <cell r="A63" t="str">
            <v>4.7.01.00</v>
          </cell>
          <cell r="B63" t="str">
            <v>AJUSTES MONETARIOS POR INFLACION</v>
          </cell>
          <cell r="C63" t="str">
            <v>Bs</v>
          </cell>
          <cell r="D63">
            <v>-12614.83</v>
          </cell>
        </row>
        <row r="64">
          <cell r="A64" t="str">
            <v>4.7.01.01</v>
          </cell>
          <cell r="B64" t="str">
            <v>AJUSTE POR INFLACION Y TENENCIA DE BIENE</v>
          </cell>
          <cell r="C64" t="str">
            <v>Bs</v>
          </cell>
          <cell r="D64">
            <v>344800.14</v>
          </cell>
        </row>
        <row r="65">
          <cell r="A65" t="str">
            <v>4.7.01.02</v>
          </cell>
          <cell r="B65" t="str">
            <v>DIFERENCIAS DE CAMBIO</v>
          </cell>
          <cell r="C65" t="str">
            <v>Bs</v>
          </cell>
          <cell r="D65">
            <v>-357414.97</v>
          </cell>
        </row>
        <row r="66">
          <cell r="A66" t="str">
            <v>***TOTAL UTILIDAD(+)/PERDIDA(-)***</v>
          </cell>
          <cell r="C66" t="str">
            <v>Bs</v>
          </cell>
          <cell r="D66">
            <v>-8901528.6500000004</v>
          </cell>
        </row>
        <row r="71">
          <cell r="B71" t="str">
            <v>LIC.DEISY MONTAÑO GUZMAN</v>
          </cell>
        </row>
        <row r="72">
          <cell r="B72" t="str">
            <v>JEFE DE CONTABILIDAD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27454635.25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27454635.25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27246878.329999998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27246878.329999998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207756.92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164642.03</v>
          </cell>
        </row>
        <row r="12">
          <cell r="A12" t="str">
            <v>3.1.02.03</v>
          </cell>
          <cell r="B12" t="str">
            <v>INGRESOS FINANCIEROS</v>
          </cell>
          <cell r="C12" t="str">
            <v>Bs</v>
          </cell>
          <cell r="D12">
            <v>708.41</v>
          </cell>
        </row>
        <row r="13">
          <cell r="A13" t="str">
            <v>3.1.02.04</v>
          </cell>
          <cell r="B13" t="str">
            <v>OTROS INGRESOS</v>
          </cell>
          <cell r="C13" t="str">
            <v>Bs</v>
          </cell>
          <cell r="D13">
            <v>42406.48</v>
          </cell>
        </row>
        <row r="14">
          <cell r="A14" t="str">
            <v>4.0.00.00</v>
          </cell>
          <cell r="B14" t="str">
            <v>EGRESOS</v>
          </cell>
          <cell r="C14" t="str">
            <v>Bs</v>
          </cell>
          <cell r="D14">
            <v>-46514195.229999997</v>
          </cell>
        </row>
        <row r="16">
          <cell r="A16" t="str">
            <v>4.1.00.00</v>
          </cell>
          <cell r="B16" t="str">
            <v>COSTO DE VENTAS</v>
          </cell>
          <cell r="C16" t="str">
            <v>Bs</v>
          </cell>
          <cell r="D16">
            <v>-30193661.010000002</v>
          </cell>
        </row>
        <row r="17">
          <cell r="A17" t="str">
            <v>4.1.01.00</v>
          </cell>
          <cell r="B17" t="str">
            <v>COSTO DE PRODUCCION DE LO VENDIDO</v>
          </cell>
          <cell r="C17" t="str">
            <v>Bs</v>
          </cell>
          <cell r="D17">
            <v>-30035494.41</v>
          </cell>
        </row>
        <row r="18">
          <cell r="A18" t="str">
            <v>4.1.01.01</v>
          </cell>
          <cell r="B18" t="str">
            <v>COSTO DE PRODUCCION DE LO VENDIDO</v>
          </cell>
          <cell r="C18" t="str">
            <v>Bs</v>
          </cell>
          <cell r="D18">
            <v>-30035494.41</v>
          </cell>
        </row>
        <row r="19">
          <cell r="A19" t="str">
            <v>4.1.02.00</v>
          </cell>
          <cell r="B19" t="str">
            <v>EGRESOS NO OPERATIVOS</v>
          </cell>
          <cell r="C19" t="str">
            <v>Bs</v>
          </cell>
          <cell r="D19">
            <v>-158166.6</v>
          </cell>
        </row>
        <row r="20">
          <cell r="A20" t="str">
            <v>4.1.02.01</v>
          </cell>
          <cell r="B20" t="str">
            <v>EGRESOS NO OPERATIVOS</v>
          </cell>
          <cell r="C20" t="str">
            <v>Bs</v>
          </cell>
          <cell r="D20">
            <v>-158166.6</v>
          </cell>
        </row>
        <row r="21">
          <cell r="A21" t="str">
            <v>4.2.00.00</v>
          </cell>
          <cell r="B21" t="str">
            <v>GASTOS DE ADMINISTRACION</v>
          </cell>
          <cell r="C21" t="str">
            <v>Bs</v>
          </cell>
          <cell r="D21">
            <v>-899199.17</v>
          </cell>
        </row>
        <row r="22">
          <cell r="A22" t="str">
            <v>4.2.01.00</v>
          </cell>
          <cell r="B22" t="str">
            <v>SERVICIOS PERSONALES</v>
          </cell>
          <cell r="C22" t="str">
            <v>Bs</v>
          </cell>
          <cell r="D22">
            <v>-540433.78</v>
          </cell>
        </row>
        <row r="23">
          <cell r="A23" t="str">
            <v>4.2.01.01</v>
          </cell>
          <cell r="B23" t="str">
            <v>SUELDOS Y SALARIOS</v>
          </cell>
          <cell r="C23" t="str">
            <v>Bs</v>
          </cell>
          <cell r="D23">
            <v>-423904.51</v>
          </cell>
        </row>
        <row r="24">
          <cell r="A24" t="str">
            <v>4.2.01.02</v>
          </cell>
          <cell r="B24" t="str">
            <v>APORTES PATRONALES</v>
          </cell>
          <cell r="C24" t="str">
            <v>Bs</v>
          </cell>
          <cell r="D24">
            <v>-58351.91</v>
          </cell>
        </row>
        <row r="25">
          <cell r="A25" t="str">
            <v>4.2.01.03</v>
          </cell>
          <cell r="B25" t="str">
            <v>BENEFICIOS SOCIALES</v>
          </cell>
          <cell r="C25" t="str">
            <v>Bs</v>
          </cell>
          <cell r="D25">
            <v>-58177.36</v>
          </cell>
        </row>
        <row r="26">
          <cell r="A26" t="str">
            <v>4.2.02.00</v>
          </cell>
          <cell r="B26" t="str">
            <v>MATERIALES Y SERVICIOS</v>
          </cell>
          <cell r="C26" t="str">
            <v>Bs</v>
          </cell>
          <cell r="D26">
            <v>-12095.56</v>
          </cell>
        </row>
        <row r="27">
          <cell r="A27" t="str">
            <v>4.2.02.01</v>
          </cell>
          <cell r="B27" t="str">
            <v>MATERIALES DE ALMACEN</v>
          </cell>
          <cell r="C27" t="str">
            <v>Bs</v>
          </cell>
          <cell r="D27">
            <v>-12095.56</v>
          </cell>
        </row>
        <row r="28">
          <cell r="A28" t="str">
            <v>4.2.03.00</v>
          </cell>
          <cell r="B28" t="str">
            <v>GASTOS GENERALES</v>
          </cell>
          <cell r="C28" t="str">
            <v>Bs</v>
          </cell>
          <cell r="D28">
            <v>-334873.90999999997</v>
          </cell>
        </row>
        <row r="29">
          <cell r="A29" t="str">
            <v>4.2.03.01</v>
          </cell>
          <cell r="B29" t="str">
            <v>GASTOS GENERALES</v>
          </cell>
          <cell r="C29" t="str">
            <v>Bs</v>
          </cell>
          <cell r="D29">
            <v>-327128.28000000003</v>
          </cell>
        </row>
        <row r="30">
          <cell r="A30" t="str">
            <v>4.2.03.02</v>
          </cell>
          <cell r="B30" t="str">
            <v>OTROS GASTOS</v>
          </cell>
          <cell r="C30" t="str">
            <v>Bs</v>
          </cell>
          <cell r="D30">
            <v>-208</v>
          </cell>
        </row>
        <row r="31">
          <cell r="A31" t="str">
            <v>4.2.03.03</v>
          </cell>
          <cell r="B31" t="str">
            <v>AYUDA COMUNITARIA</v>
          </cell>
          <cell r="C31" t="str">
            <v>Bs</v>
          </cell>
          <cell r="D31">
            <v>-7537.63</v>
          </cell>
        </row>
        <row r="32">
          <cell r="A32" t="str">
            <v>4.2.04.00</v>
          </cell>
          <cell r="B32" t="str">
            <v>DEPRECIACION ACTIVO FIJO</v>
          </cell>
          <cell r="C32" t="str">
            <v>Bs</v>
          </cell>
          <cell r="D32">
            <v>-11795.92</v>
          </cell>
        </row>
        <row r="33">
          <cell r="A33" t="str">
            <v>4.2.04.01</v>
          </cell>
          <cell r="B33" t="str">
            <v>DEPRECIACION ACTIVO FIJO</v>
          </cell>
          <cell r="C33" t="str">
            <v>Bs</v>
          </cell>
          <cell r="D33">
            <v>-11795.92</v>
          </cell>
        </row>
        <row r="34">
          <cell r="A34" t="str">
            <v>4.3.00.00</v>
          </cell>
          <cell r="B34" t="str">
            <v>GASTOS DE COMERCIALIZACION</v>
          </cell>
          <cell r="C34" t="str">
            <v>Bs</v>
          </cell>
          <cell r="D34">
            <v>-5662959.6200000001</v>
          </cell>
        </row>
        <row r="35">
          <cell r="A35" t="str">
            <v>4.3.01.00</v>
          </cell>
          <cell r="B35" t="str">
            <v>SERVICIOS PERSONALES</v>
          </cell>
          <cell r="C35" t="str">
            <v>Bs</v>
          </cell>
          <cell r="D35">
            <v>-1012267.39</v>
          </cell>
        </row>
        <row r="36">
          <cell r="A36" t="str">
            <v>4.3.01.01</v>
          </cell>
          <cell r="B36" t="str">
            <v>SUELDOS Y SALARIOS</v>
          </cell>
          <cell r="C36" t="str">
            <v>Bs</v>
          </cell>
          <cell r="D36">
            <v>-767013.83</v>
          </cell>
        </row>
        <row r="37">
          <cell r="A37" t="str">
            <v>4.3.01.02</v>
          </cell>
          <cell r="B37" t="str">
            <v>APORTES PATRONALES</v>
          </cell>
          <cell r="C37" t="str">
            <v>Bs</v>
          </cell>
          <cell r="D37">
            <v>-122810.58</v>
          </cell>
        </row>
        <row r="38">
          <cell r="A38" t="str">
            <v>4.3.01.03</v>
          </cell>
          <cell r="B38" t="str">
            <v>BENEFICIOS SOCIALES</v>
          </cell>
          <cell r="C38" t="str">
            <v>Bs</v>
          </cell>
          <cell r="D38">
            <v>-122442.98</v>
          </cell>
        </row>
        <row r="39">
          <cell r="A39" t="str">
            <v>4.3.02.00</v>
          </cell>
          <cell r="B39" t="str">
            <v>MATERIALES Y SERVICIOS</v>
          </cell>
          <cell r="C39" t="str">
            <v>Bs</v>
          </cell>
          <cell r="D39">
            <v>-77707.88</v>
          </cell>
        </row>
        <row r="40">
          <cell r="A40" t="str">
            <v>4.3.02.01</v>
          </cell>
          <cell r="B40" t="str">
            <v>MATERIALES ALMACEN - COMERCIALIZACION</v>
          </cell>
          <cell r="C40" t="str">
            <v>Bs</v>
          </cell>
          <cell r="D40">
            <v>-77707.88</v>
          </cell>
        </row>
        <row r="41">
          <cell r="A41" t="str">
            <v>4.3.03.00</v>
          </cell>
          <cell r="B41" t="str">
            <v>GASTOS GENERALES</v>
          </cell>
          <cell r="C41" t="str">
            <v>Bs</v>
          </cell>
          <cell r="D41">
            <v>-4468188.75</v>
          </cell>
        </row>
        <row r="42">
          <cell r="A42" t="str">
            <v>4.3.03.01</v>
          </cell>
          <cell r="B42" t="str">
            <v>GASTOS GENERALES - COMERCIALIZACION</v>
          </cell>
          <cell r="C42" t="str">
            <v>Bs</v>
          </cell>
          <cell r="D42">
            <v>-4468188.75</v>
          </cell>
        </row>
        <row r="43">
          <cell r="A43" t="str">
            <v>4.3.04.00</v>
          </cell>
          <cell r="B43" t="str">
            <v>DEPRECIACION ACTIVO FIJO</v>
          </cell>
          <cell r="C43" t="str">
            <v>Bs</v>
          </cell>
          <cell r="D43">
            <v>-104795.6</v>
          </cell>
        </row>
        <row r="44">
          <cell r="A44" t="str">
            <v>4.3.04.01</v>
          </cell>
          <cell r="B44" t="str">
            <v>DEPREC. ACTIVO FIJO - COMERCIALIZACION</v>
          </cell>
          <cell r="C44" t="str">
            <v>Bs</v>
          </cell>
          <cell r="D44">
            <v>-104795.6</v>
          </cell>
        </row>
        <row r="45">
          <cell r="A45" t="str">
            <v>4.4.00.00</v>
          </cell>
          <cell r="B45" t="str">
            <v>GASTOS FINANCIEROS</v>
          </cell>
          <cell r="C45" t="str">
            <v>Bs</v>
          </cell>
          <cell r="D45">
            <v>-1037954.43</v>
          </cell>
        </row>
        <row r="46">
          <cell r="A46" t="str">
            <v>4.4.01.00</v>
          </cell>
          <cell r="B46" t="str">
            <v>GASTOS FINANCIEROS</v>
          </cell>
          <cell r="C46" t="str">
            <v>Bs</v>
          </cell>
          <cell r="D46">
            <v>-1037954.43</v>
          </cell>
        </row>
        <row r="47">
          <cell r="A47" t="str">
            <v>4.4.01.01</v>
          </cell>
          <cell r="B47" t="str">
            <v>INTERESES</v>
          </cell>
          <cell r="C47" t="str">
            <v>Bs</v>
          </cell>
          <cell r="D47">
            <v>-1036834.24</v>
          </cell>
        </row>
        <row r="48">
          <cell r="A48" t="str">
            <v>4.4.01.02</v>
          </cell>
          <cell r="B48" t="str">
            <v>COMISIONES</v>
          </cell>
          <cell r="C48" t="str">
            <v>Bs</v>
          </cell>
          <cell r="D48">
            <v>-1120.19</v>
          </cell>
        </row>
        <row r="49">
          <cell r="A49" t="str">
            <v>4.5.00.00</v>
          </cell>
          <cell r="B49" t="str">
            <v>GASTOS TRIBUTARIOS</v>
          </cell>
          <cell r="C49" t="str">
            <v>Bs</v>
          </cell>
          <cell r="D49">
            <v>-1221670.54</v>
          </cell>
        </row>
        <row r="50">
          <cell r="A50" t="str">
            <v>4.5.01.00</v>
          </cell>
          <cell r="B50" t="str">
            <v>GASTOS TRIBUTARIOS</v>
          </cell>
          <cell r="C50" t="str">
            <v>Bs</v>
          </cell>
          <cell r="D50">
            <v>-1221670.54</v>
          </cell>
        </row>
        <row r="51">
          <cell r="A51" t="str">
            <v>4.5.01.01</v>
          </cell>
          <cell r="B51" t="str">
            <v>IMPUESTO A LAS TRANSACCIONES</v>
          </cell>
          <cell r="C51" t="str">
            <v>Bs</v>
          </cell>
          <cell r="D51">
            <v>-946687</v>
          </cell>
        </row>
        <row r="52">
          <cell r="A52" t="str">
            <v>4.5.01.02</v>
          </cell>
          <cell r="B52" t="str">
            <v>IMPUESTO A LA PROPIEDAD DE BIENES INMUEB</v>
          </cell>
          <cell r="C52" t="str">
            <v>Bs</v>
          </cell>
          <cell r="D52">
            <v>0</v>
          </cell>
        </row>
        <row r="53">
          <cell r="A53" t="str">
            <v>4.5.01.04</v>
          </cell>
          <cell r="B53" t="str">
            <v>TASAS Y PATENTES</v>
          </cell>
          <cell r="C53" t="str">
            <v>Bs</v>
          </cell>
          <cell r="D53">
            <v>-4166.67</v>
          </cell>
        </row>
        <row r="54">
          <cell r="A54" t="str">
            <v>4.5.01.05</v>
          </cell>
          <cell r="B54" t="str">
            <v>PATENTES MINERAS</v>
          </cell>
          <cell r="C54" t="str">
            <v>Bs</v>
          </cell>
          <cell r="D54">
            <v>-153701</v>
          </cell>
        </row>
        <row r="55">
          <cell r="A55" t="str">
            <v>4.5.01.06</v>
          </cell>
          <cell r="B55" t="str">
            <v>IMPUESTO A LAS TRANSAC. FINANCIERAS</v>
          </cell>
          <cell r="C55" t="str">
            <v>Bs</v>
          </cell>
          <cell r="D55">
            <v>-6325.87</v>
          </cell>
        </row>
        <row r="56">
          <cell r="A56" t="str">
            <v>4.5.01.07</v>
          </cell>
          <cell r="B56" t="str">
            <v>MANTENIMIENTO DE VALOR - FACILIDADES DE PAGO</v>
          </cell>
          <cell r="C56" t="str">
            <v>Bs</v>
          </cell>
          <cell r="D56">
            <v>-30770</v>
          </cell>
        </row>
        <row r="57">
          <cell r="A57" t="str">
            <v>4.5.01.08</v>
          </cell>
          <cell r="B57" t="str">
            <v>INTERESES - FACILIDADES DE PAGO</v>
          </cell>
          <cell r="C57" t="str">
            <v>Bs</v>
          </cell>
          <cell r="D57">
            <v>-76292</v>
          </cell>
        </row>
        <row r="58">
          <cell r="A58" t="str">
            <v>4.5.01.09</v>
          </cell>
          <cell r="B58" t="str">
            <v>IMPUESTO AL JUEGO - PROMOCIONES EMPRESARIALES</v>
          </cell>
          <cell r="C58" t="str">
            <v>Bs</v>
          </cell>
          <cell r="D58">
            <v>-3728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-7342795.04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-7342795.04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-7143689.2999999998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-199105.74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-155955.42000000001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-155955.42000000001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350432.7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-506388.12</v>
          </cell>
        </row>
        <row r="67">
          <cell r="A67" t="str">
            <v>***TOTAL UTILIDAD(+)/PERDIDA(-)***</v>
          </cell>
          <cell r="C67" t="str">
            <v>Bs</v>
          </cell>
          <cell r="D67">
            <v>-19059559.98</v>
          </cell>
        </row>
        <row r="72">
          <cell r="B72" t="str">
            <v>LIC.DEISY MONTAÑO GUZMAN</v>
          </cell>
        </row>
        <row r="73">
          <cell r="B73" t="str">
            <v>JEFE DE CONTABILIDAD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32701627.379999999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32701627.379999999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32330703.41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32330703.41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370923.97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129621.78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168771.3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2048.98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70481.91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-37578577.020000003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-27845660.010000002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-27692511.460000001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-27692511.460000001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-153148.54999999999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-153148.54999999999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-744969.87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-514352.61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-403697.57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-55410.44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-55244.6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-6393.71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-6393.71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-212427.63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-204238.99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-377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-7811.64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-11795.92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-11795.92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-4586425.58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-989843.92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-744137.86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-123037.14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-122668.92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-48667.43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-48667.43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-3443198.1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-3443198.1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-104716.13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-104716.13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-2577036.27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-2577036.27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-2572594.4300000002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-4441.84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-1274221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-1274221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-1127168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0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-147053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0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0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0</v>
          </cell>
        </row>
        <row r="59">
          <cell r="A59" t="str">
            <v>4.5.01.09</v>
          </cell>
          <cell r="B59" t="str">
            <v>IMPUESTO AL JUEGO - PROMOCIONES EMPRESARIALES</v>
          </cell>
          <cell r="C59" t="str">
            <v>Bs</v>
          </cell>
          <cell r="D59">
            <v>0</v>
          </cell>
        </row>
        <row r="60">
          <cell r="A60" t="str">
            <v>4.6.00.00</v>
          </cell>
          <cell r="B60" t="str">
            <v>PERDIDAS Y GANANCIAS</v>
          </cell>
          <cell r="C60" t="str">
            <v>Bs</v>
          </cell>
          <cell r="D60">
            <v>-852429.9</v>
          </cell>
        </row>
        <row r="61">
          <cell r="A61" t="str">
            <v>4.6.01.00</v>
          </cell>
          <cell r="B61" t="str">
            <v>PERDIDAS Y GANANCIAS</v>
          </cell>
          <cell r="C61" t="str">
            <v>Bs</v>
          </cell>
          <cell r="D61">
            <v>-852429.9</v>
          </cell>
        </row>
        <row r="62">
          <cell r="A62" t="str">
            <v>4.6.01.01</v>
          </cell>
          <cell r="B62" t="str">
            <v>PERDIDAS Y GANANCIAS</v>
          </cell>
          <cell r="C62" t="str">
            <v>Bs</v>
          </cell>
          <cell r="D62">
            <v>-852429.9</v>
          </cell>
        </row>
        <row r="63">
          <cell r="A63" t="str">
            <v>4.6.01.02</v>
          </cell>
          <cell r="B63" t="str">
            <v>AJUSTES GESTIONES ANTERIORES</v>
          </cell>
          <cell r="C63" t="str">
            <v>Bs</v>
          </cell>
          <cell r="D63">
            <v>0</v>
          </cell>
        </row>
        <row r="64">
          <cell r="A64" t="str">
            <v>4.7.00.00</v>
          </cell>
          <cell r="B64" t="str">
            <v>CORRECCION MONETARIA POR INFLACION</v>
          </cell>
          <cell r="C64" t="str">
            <v>Bs</v>
          </cell>
          <cell r="D64">
            <v>302165.61</v>
          </cell>
        </row>
        <row r="65">
          <cell r="A65" t="str">
            <v>4.7.01.00</v>
          </cell>
          <cell r="B65" t="str">
            <v>AJUSTES MONETARIOS POR INFLACION</v>
          </cell>
          <cell r="C65" t="str">
            <v>Bs</v>
          </cell>
          <cell r="D65">
            <v>302165.61</v>
          </cell>
        </row>
        <row r="66">
          <cell r="A66" t="str">
            <v>4.7.01.01</v>
          </cell>
          <cell r="B66" t="str">
            <v>AJUSTE POR INFLACION Y TENENCIA DE BIENE</v>
          </cell>
          <cell r="C66" t="str">
            <v>Bs</v>
          </cell>
          <cell r="D66">
            <v>355747.85</v>
          </cell>
        </row>
        <row r="67">
          <cell r="A67" t="str">
            <v>4.7.01.02</v>
          </cell>
          <cell r="B67" t="str">
            <v>DIFERENCIAS DE CAMBIO</v>
          </cell>
          <cell r="C67" t="str">
            <v>Bs</v>
          </cell>
          <cell r="D67">
            <v>-53582.239999999998</v>
          </cell>
        </row>
        <row r="68">
          <cell r="A68" t="str">
            <v>***TOTAL UTILIDAD(+)/PERDIDA(-)***</v>
          </cell>
          <cell r="C68" t="str">
            <v>Bs</v>
          </cell>
          <cell r="D68">
            <v>-4876949.6399999997</v>
          </cell>
        </row>
        <row r="73">
          <cell r="B73" t="str">
            <v>LIC.DEISY MONTAÑO GUZMAN</v>
          </cell>
        </row>
        <row r="74">
          <cell r="B74" t="str">
            <v>JEFE DE CONTABILIDAD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29165290.649999999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29165290.649999999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28854165.98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28854165.98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311124.67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92235.03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0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5131.42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213758.22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-28171298.77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-16075418.42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-15960221.33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-15960221.33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-115197.09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-115197.09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-821586.58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-466363.95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-347063.57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-60310.17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-58990.21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-7027.69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-7027.69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-336399.02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-309891.83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-17083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-9424.19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-11795.92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-11795.92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-4122134.53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-744252.08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-705080.48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-115740.58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76568.98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-137200.79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-137200.79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-3135860.38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-3135860.38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-104821.28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-104821.28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-1764992.39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-1764992.39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-1422703.12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-342289.27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-1503925.92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-1503925.92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-1005523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-86221.5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-390135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-22046.42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0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0</v>
          </cell>
        </row>
        <row r="59">
          <cell r="A59" t="str">
            <v>4.5.01.09</v>
          </cell>
          <cell r="B59" t="str">
            <v>IMPUESTO AL JUEGO - PROMOCIONES EMPRESARIALES</v>
          </cell>
          <cell r="C59" t="str">
            <v>Bs</v>
          </cell>
          <cell r="D59">
            <v>0</v>
          </cell>
        </row>
        <row r="60">
          <cell r="A60" t="str">
            <v>4.6.00.00</v>
          </cell>
          <cell r="B60" t="str">
            <v>PERDIDAS Y GANANCIAS</v>
          </cell>
          <cell r="C60" t="str">
            <v>Bs</v>
          </cell>
          <cell r="D60">
            <v>-2532600.83</v>
          </cell>
        </row>
        <row r="61">
          <cell r="A61" t="str">
            <v>4.6.01.00</v>
          </cell>
          <cell r="B61" t="str">
            <v>PERDIDAS Y GANANCIAS</v>
          </cell>
          <cell r="C61" t="str">
            <v>Bs</v>
          </cell>
          <cell r="D61">
            <v>-2532600.83</v>
          </cell>
        </row>
        <row r="62">
          <cell r="A62" t="str">
            <v>4.6.01.01</v>
          </cell>
          <cell r="B62" t="str">
            <v>PERDIDAS Y GANANCIAS</v>
          </cell>
          <cell r="C62" t="str">
            <v>Bs</v>
          </cell>
          <cell r="D62">
            <v>-2532600.83</v>
          </cell>
        </row>
        <row r="63">
          <cell r="A63" t="str">
            <v>4.6.01.02</v>
          </cell>
          <cell r="B63" t="str">
            <v>AJUSTES GESTIONES ANTERIORES</v>
          </cell>
          <cell r="C63" t="str">
            <v>Bs</v>
          </cell>
          <cell r="D63">
            <v>0</v>
          </cell>
        </row>
        <row r="64">
          <cell r="A64" t="str">
            <v>4.7.00.00</v>
          </cell>
          <cell r="B64" t="str">
            <v>CORRECCION MONETARIA POR INFLACION</v>
          </cell>
          <cell r="C64" t="str">
            <v>Bs</v>
          </cell>
          <cell r="D64">
            <v>-1350640.1</v>
          </cell>
        </row>
        <row r="65">
          <cell r="A65" t="str">
            <v>4.7.01.00</v>
          </cell>
          <cell r="B65" t="str">
            <v>AJUSTES MONETARIOS POR INFLACION</v>
          </cell>
          <cell r="C65" t="str">
            <v>Bs</v>
          </cell>
          <cell r="D65">
            <v>-1350640.1</v>
          </cell>
        </row>
        <row r="66">
          <cell r="A66" t="str">
            <v>4.7.01.01</v>
          </cell>
          <cell r="B66" t="str">
            <v>AJUSTE POR INFLACION Y TENENCIA DE BIENE</v>
          </cell>
          <cell r="C66" t="str">
            <v>Bs</v>
          </cell>
          <cell r="D66">
            <v>436420.11</v>
          </cell>
        </row>
        <row r="67">
          <cell r="A67" t="str">
            <v>4.7.01.02</v>
          </cell>
          <cell r="B67" t="str">
            <v>DIFERENCIAS DE CAMBIO</v>
          </cell>
          <cell r="C67" t="str">
            <v>Bs</v>
          </cell>
          <cell r="D67">
            <v>-1787060.21</v>
          </cell>
        </row>
        <row r="68">
          <cell r="A68" t="str">
            <v>***TOTAL UTILIDAD(+)/PERDIDA(-)***</v>
          </cell>
          <cell r="C68" t="str">
            <v>Bs</v>
          </cell>
          <cell r="D68">
            <v>993991.88</v>
          </cell>
        </row>
        <row r="73">
          <cell r="B73" t="str">
            <v>LIC.DEISY MONTAÑO GUZMAN</v>
          </cell>
        </row>
        <row r="74">
          <cell r="B74" t="str">
            <v>JEFE DE CONTABILIDAD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27490331.870000001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27490331.870000001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27306657.91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27281613.050000001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25044.86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183673.96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146241.28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10725.22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26707.46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-25051504.190000001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-18501311.039999999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-18372256.670000002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-18372256.670000002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-129054.37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-129054.37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-782527.88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-456694.9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-338290.96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-60163.3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-58240.639999999999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-7050.36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-7050.36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-306986.7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-296779.58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0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-10207.120000000001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-11795.92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-11795.92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-3533010.88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-766304.45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-571255.56999999995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-99108.14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-95940.74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-97030.32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-97030.32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-2563908.0699999998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-2563908.0699999998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-105768.04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-105768.04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-2235816.35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-2235816.35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-1658146.86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-84767.37</v>
          </cell>
        </row>
        <row r="51">
          <cell r="A51" t="str">
            <v>4.4.01.03</v>
          </cell>
          <cell r="B51" t="str">
            <v>OTROS GASTOS FINANCIEROS</v>
          </cell>
          <cell r="C51" t="str">
            <v>Bs</v>
          </cell>
          <cell r="D51">
            <v>-492902.12</v>
          </cell>
        </row>
        <row r="52">
          <cell r="A52" t="str">
            <v>4.5.00.00</v>
          </cell>
          <cell r="B52" t="str">
            <v>GASTOS TRIBUTARIOS</v>
          </cell>
          <cell r="C52" t="str">
            <v>Bs</v>
          </cell>
          <cell r="D52">
            <v>-1327577.01</v>
          </cell>
        </row>
        <row r="53">
          <cell r="A53" t="str">
            <v>4.5.01.00</v>
          </cell>
          <cell r="B53" t="str">
            <v>GASTOS TRIBUTARIOS</v>
          </cell>
          <cell r="C53" t="str">
            <v>Bs</v>
          </cell>
          <cell r="D53">
            <v>-1327577.01</v>
          </cell>
        </row>
        <row r="54">
          <cell r="A54" t="str">
            <v>4.5.01.01</v>
          </cell>
          <cell r="B54" t="str">
            <v>IMPUESTO A LAS TRANSACCIONES</v>
          </cell>
          <cell r="C54" t="str">
            <v>Bs</v>
          </cell>
          <cell r="D54">
            <v>-946709</v>
          </cell>
        </row>
        <row r="55">
          <cell r="A55" t="str">
            <v>4.5.01.02</v>
          </cell>
          <cell r="B55" t="str">
            <v>IMPUESTO A LA PROPIEDAD DE BIENES INMUEB</v>
          </cell>
          <cell r="C55" t="str">
            <v>Bs</v>
          </cell>
          <cell r="D55">
            <v>0</v>
          </cell>
        </row>
        <row r="56">
          <cell r="A56" t="str">
            <v>4.5.01.04</v>
          </cell>
          <cell r="B56" t="str">
            <v>TASAS Y PATENTES</v>
          </cell>
          <cell r="C56" t="str">
            <v>Bs</v>
          </cell>
          <cell r="D56">
            <v>0</v>
          </cell>
        </row>
        <row r="57">
          <cell r="A57" t="str">
            <v>4.5.01.05</v>
          </cell>
          <cell r="B57" t="str">
            <v>PATENTES MINERAS</v>
          </cell>
          <cell r="C57" t="str">
            <v>Bs</v>
          </cell>
          <cell r="D57">
            <v>-172994</v>
          </cell>
        </row>
        <row r="58">
          <cell r="A58" t="str">
            <v>4.5.01.06</v>
          </cell>
          <cell r="B58" t="str">
            <v>IMPUESTO A LAS TRANSAC. FINANCIERAS</v>
          </cell>
          <cell r="C58" t="str">
            <v>Bs</v>
          </cell>
          <cell r="D58">
            <v>-91269.01</v>
          </cell>
        </row>
        <row r="59">
          <cell r="A59" t="str">
            <v>4.5.01.07</v>
          </cell>
          <cell r="B59" t="str">
            <v>MANTENIMIENTO DE VALOR - FACILIDADES DE PAGO</v>
          </cell>
          <cell r="C59" t="str">
            <v>Bs</v>
          </cell>
          <cell r="D59">
            <v>-34611</v>
          </cell>
        </row>
        <row r="60">
          <cell r="A60" t="str">
            <v>4.5.01.08</v>
          </cell>
          <cell r="B60" t="str">
            <v>INTERESES - FACILIDADES DE PAGO</v>
          </cell>
          <cell r="C60" t="str">
            <v>Bs</v>
          </cell>
          <cell r="D60">
            <v>-81994</v>
          </cell>
        </row>
        <row r="61">
          <cell r="A61" t="str">
            <v>4.5.01.09</v>
          </cell>
          <cell r="B61" t="str">
            <v>IMPUESTO AL JUEGO - PROMOCIONES EMPRESARIALES</v>
          </cell>
          <cell r="C61" t="str">
            <v>Bs</v>
          </cell>
          <cell r="D61">
            <v>0</v>
          </cell>
        </row>
        <row r="62">
          <cell r="A62" t="str">
            <v>4.6.00.00</v>
          </cell>
          <cell r="B62" t="str">
            <v>PERDIDAS Y GANANCIAS</v>
          </cell>
          <cell r="C62" t="str">
            <v>Bs</v>
          </cell>
          <cell r="D62">
            <v>1130959.99</v>
          </cell>
        </row>
        <row r="63">
          <cell r="A63" t="str">
            <v>4.6.01.00</v>
          </cell>
          <cell r="B63" t="str">
            <v>PERDIDAS Y GANANCIAS</v>
          </cell>
          <cell r="C63" t="str">
            <v>Bs</v>
          </cell>
          <cell r="D63">
            <v>1130959.99</v>
          </cell>
        </row>
        <row r="64">
          <cell r="A64" t="str">
            <v>4.6.01.01</v>
          </cell>
          <cell r="B64" t="str">
            <v>PERDIDAS Y GANANCIAS</v>
          </cell>
          <cell r="C64" t="str">
            <v>Bs</v>
          </cell>
          <cell r="D64">
            <v>554540.25</v>
          </cell>
        </row>
        <row r="65">
          <cell r="A65" t="str">
            <v>4.6.01.02</v>
          </cell>
          <cell r="B65" t="str">
            <v>AJUSTES GESTIONES ANTERIORES</v>
          </cell>
          <cell r="C65" t="str">
            <v>Bs</v>
          </cell>
          <cell r="D65">
            <v>-102217.88</v>
          </cell>
        </row>
        <row r="66">
          <cell r="A66" t="str">
            <v>4.6.01.03</v>
          </cell>
          <cell r="B66" t="str">
            <v>TRANSFERENCIAS ENTRE UNIDADES (CREDITOS)</v>
          </cell>
          <cell r="C66" t="str">
            <v>Bs</v>
          </cell>
          <cell r="D66">
            <v>678637.62</v>
          </cell>
        </row>
        <row r="67">
          <cell r="A67" t="str">
            <v>4.7.00.00</v>
          </cell>
          <cell r="B67" t="str">
            <v>CORRECCION MONETARIA POR INFLACION</v>
          </cell>
          <cell r="C67" t="str">
            <v>Bs</v>
          </cell>
          <cell r="D67">
            <v>197778.98</v>
          </cell>
        </row>
        <row r="68">
          <cell r="A68" t="str">
            <v>4.7.01.00</v>
          </cell>
          <cell r="B68" t="str">
            <v>AJUSTES MONETARIOS POR INFLACION</v>
          </cell>
          <cell r="C68" t="str">
            <v>Bs</v>
          </cell>
          <cell r="D68">
            <v>197778.98</v>
          </cell>
        </row>
        <row r="69">
          <cell r="A69" t="str">
            <v>4.7.01.01</v>
          </cell>
          <cell r="B69" t="str">
            <v>AJUSTE POR INFLACION Y TENENCIA DE BIENE</v>
          </cell>
          <cell r="C69" t="str">
            <v>Bs</v>
          </cell>
          <cell r="D69">
            <v>612461.18999999994</v>
          </cell>
        </row>
        <row r="70">
          <cell r="A70" t="str">
            <v>4.7.01.02</v>
          </cell>
          <cell r="B70" t="str">
            <v>DIFERENCIAS DE CAMBIO</v>
          </cell>
          <cell r="C70" t="str">
            <v>Bs</v>
          </cell>
          <cell r="D70">
            <v>-414682.21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46233231.329999998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46233231.329999998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45750390.670000002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45750390.670000002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482840.66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179949.73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203588.7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12255.14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87047.09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-36161567.240000002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-27622010.460000001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-27501093.440000001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-27501093.440000001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-120917.02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-120917.02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-1080400.23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-480262.87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-361648.56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-60270.23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-58344.08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-19040.98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-19040.98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-569300.46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-559761.46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-383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-9156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-11795.92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-11795.92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-3000055.49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-746946.82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-558404.47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-95801.99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-92740.36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-47667.34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-47667.34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-2099673.2200000002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-2099673.2200000002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-105768.11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-105768.11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-1498697.25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-1498697.25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-1404228.64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-94468.61</v>
          </cell>
        </row>
        <row r="51">
          <cell r="A51" t="str">
            <v>4.4.01.03</v>
          </cell>
          <cell r="B51" t="str">
            <v>OTROS GASTOS FINANCIEROS</v>
          </cell>
          <cell r="C51" t="str">
            <v>Bs</v>
          </cell>
          <cell r="D51">
            <v>0</v>
          </cell>
        </row>
        <row r="52">
          <cell r="A52" t="str">
            <v>4.5.00.00</v>
          </cell>
          <cell r="B52" t="str">
            <v>GASTOS TRIBUTARIOS</v>
          </cell>
          <cell r="C52" t="str">
            <v>Bs</v>
          </cell>
          <cell r="D52">
            <v>-1826703.19</v>
          </cell>
        </row>
        <row r="53">
          <cell r="A53" t="str">
            <v>4.5.01.00</v>
          </cell>
          <cell r="B53" t="str">
            <v>GASTOS TRIBUTARIOS</v>
          </cell>
          <cell r="C53" t="str">
            <v>Bs</v>
          </cell>
          <cell r="D53">
            <v>-1826703.19</v>
          </cell>
        </row>
        <row r="54">
          <cell r="A54" t="str">
            <v>4.5.01.01</v>
          </cell>
          <cell r="B54" t="str">
            <v>IMPUESTO A LAS TRANSACCIONES</v>
          </cell>
          <cell r="C54" t="str">
            <v>Bs</v>
          </cell>
          <cell r="D54">
            <v>-1592241</v>
          </cell>
        </row>
        <row r="55">
          <cell r="A55" t="str">
            <v>4.5.01.02</v>
          </cell>
          <cell r="B55" t="str">
            <v>IMPUESTO A LA PROPIEDAD DE BIENES INMUEB</v>
          </cell>
          <cell r="C55" t="str">
            <v>Bs</v>
          </cell>
          <cell r="D55">
            <v>-28963</v>
          </cell>
        </row>
        <row r="56">
          <cell r="A56" t="str">
            <v>4.5.01.04</v>
          </cell>
          <cell r="B56" t="str">
            <v>TASAS Y PATENTES</v>
          </cell>
          <cell r="C56" t="str">
            <v>Bs</v>
          </cell>
          <cell r="D56">
            <v>0</v>
          </cell>
        </row>
        <row r="57">
          <cell r="A57" t="str">
            <v>4.5.01.05</v>
          </cell>
          <cell r="B57" t="str">
            <v>PATENTES MINERAS</v>
          </cell>
          <cell r="C57" t="str">
            <v>Bs</v>
          </cell>
          <cell r="D57">
            <v>-154104</v>
          </cell>
        </row>
        <row r="58">
          <cell r="A58" t="str">
            <v>4.5.01.06</v>
          </cell>
          <cell r="B58" t="str">
            <v>IMPUESTO A LAS TRANSAC. FINANCIERAS</v>
          </cell>
          <cell r="C58" t="str">
            <v>Bs</v>
          </cell>
          <cell r="D58">
            <v>-45419.19</v>
          </cell>
        </row>
        <row r="59">
          <cell r="A59" t="str">
            <v>4.5.01.07</v>
          </cell>
          <cell r="B59" t="str">
            <v>MANTENIMIENTO DE VALOR - FACILIDADES DE PAGO</v>
          </cell>
          <cell r="C59" t="str">
            <v>Bs</v>
          </cell>
          <cell r="D59">
            <v>-3074</v>
          </cell>
        </row>
        <row r="60">
          <cell r="A60" t="str">
            <v>4.5.01.08</v>
          </cell>
          <cell r="B60" t="str">
            <v>INTERESES - FACILIDADES DE PAGO</v>
          </cell>
          <cell r="C60" t="str">
            <v>Bs</v>
          </cell>
          <cell r="D60">
            <v>-2902</v>
          </cell>
        </row>
        <row r="61">
          <cell r="A61" t="str">
            <v>4.5.01.09</v>
          </cell>
          <cell r="B61" t="str">
            <v>IMPUESTO AL JUEGO - PROMOCIONES EMPRESARIALES</v>
          </cell>
          <cell r="C61" t="str">
            <v>Bs</v>
          </cell>
          <cell r="D61">
            <v>0</v>
          </cell>
        </row>
        <row r="62">
          <cell r="A62" t="str">
            <v>4.6.00.00</v>
          </cell>
          <cell r="B62" t="str">
            <v>PERDIDAS Y GANANCIAS</v>
          </cell>
          <cell r="C62" t="str">
            <v>Bs</v>
          </cell>
          <cell r="D62">
            <v>-362376.9</v>
          </cell>
        </row>
        <row r="63">
          <cell r="A63" t="str">
            <v>4.6.01.00</v>
          </cell>
          <cell r="B63" t="str">
            <v>PERDIDAS Y GANANCIAS</v>
          </cell>
          <cell r="C63" t="str">
            <v>Bs</v>
          </cell>
          <cell r="D63">
            <v>-362376.9</v>
          </cell>
        </row>
        <row r="64">
          <cell r="A64" t="str">
            <v>4.6.01.01</v>
          </cell>
          <cell r="B64" t="str">
            <v>PERDIDAS Y GANANCIAS</v>
          </cell>
          <cell r="C64" t="str">
            <v>Bs</v>
          </cell>
          <cell r="D64">
            <v>195825.29</v>
          </cell>
        </row>
        <row r="65">
          <cell r="A65" t="str">
            <v>4.6.01.02</v>
          </cell>
          <cell r="B65" t="str">
            <v>AJUSTES GESTIONES ANTERIORES</v>
          </cell>
          <cell r="C65" t="str">
            <v>Bs</v>
          </cell>
          <cell r="D65">
            <v>-558202.18999999994</v>
          </cell>
        </row>
        <row r="66">
          <cell r="A66" t="str">
            <v>4.6.01.03</v>
          </cell>
          <cell r="B66" t="str">
            <v>TRANSFERENCIAS ENTRE UNIDADES (CREDITOS)</v>
          </cell>
          <cell r="C66" t="str">
            <v>Bs</v>
          </cell>
          <cell r="D66">
            <v>0</v>
          </cell>
        </row>
        <row r="67">
          <cell r="A67" t="str">
            <v>4.7.00.00</v>
          </cell>
          <cell r="B67" t="str">
            <v>CORRECCION MONETARIA POR INFLACION</v>
          </cell>
          <cell r="C67" t="str">
            <v>Bs</v>
          </cell>
          <cell r="D67">
            <v>-771323.72</v>
          </cell>
        </row>
        <row r="68">
          <cell r="A68" t="str">
            <v>4.7.01.00</v>
          </cell>
          <cell r="B68" t="str">
            <v>AJUSTES MONETARIOS POR INFLACION</v>
          </cell>
          <cell r="C68" t="str">
            <v>Bs</v>
          </cell>
          <cell r="D68">
            <v>-771323.72</v>
          </cell>
        </row>
        <row r="69">
          <cell r="A69" t="str">
            <v>4.7.01.01</v>
          </cell>
          <cell r="B69" t="str">
            <v>AJUSTE POR INFLACION Y TENENCIA DE BIENE</v>
          </cell>
          <cell r="C69" t="str">
            <v>Bs</v>
          </cell>
          <cell r="D69">
            <v>749432.92</v>
          </cell>
        </row>
        <row r="70">
          <cell r="A70" t="str">
            <v>4.7.01.02</v>
          </cell>
          <cell r="B70" t="str">
            <v>DIFERENCIAS DE CAMBIO</v>
          </cell>
          <cell r="C70" t="str">
            <v>Bs</v>
          </cell>
          <cell r="D70">
            <v>-1520756.64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33061450.43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33061450.43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32770688.190000001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32770688.190000001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290762.23999999999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191874.45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6836.05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92051.74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-35013982.68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-28637596.780000001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-28502905.809999999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-28502905.809999999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-134690.97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-134690.97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-950464.02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-476435.39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-354506.82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-59520.35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-62408.22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-13009.92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-13009.92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-449222.78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-425939.38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0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-23283.4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-11795.93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-11795.93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-3143658.66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-974999.57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-570282.89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-97846.28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-306870.40000000002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-54054.36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-54054.36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-2008836.69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-2008836.69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-105768.04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-105768.04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-1269811.45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-1269811.45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-1263256.5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-6554.95</v>
          </cell>
        </row>
        <row r="51">
          <cell r="A51" t="str">
            <v>4.4.01.03</v>
          </cell>
          <cell r="B51" t="str">
            <v>OTROS GASTOS FINANCIEROS</v>
          </cell>
          <cell r="C51" t="str">
            <v>Bs</v>
          </cell>
          <cell r="D51">
            <v>0</v>
          </cell>
        </row>
        <row r="52">
          <cell r="A52" t="str">
            <v>4.5.00.00</v>
          </cell>
          <cell r="B52" t="str">
            <v>GASTOS TRIBUTARIOS</v>
          </cell>
          <cell r="C52" t="str">
            <v>Bs</v>
          </cell>
          <cell r="D52">
            <v>-1861510.74</v>
          </cell>
        </row>
        <row r="53">
          <cell r="A53" t="str">
            <v>4.5.01.00</v>
          </cell>
          <cell r="B53" t="str">
            <v>GASTOS TRIBUTARIOS</v>
          </cell>
          <cell r="C53" t="str">
            <v>Bs</v>
          </cell>
          <cell r="D53">
            <v>-1861510.74</v>
          </cell>
        </row>
        <row r="54">
          <cell r="A54" t="str">
            <v>4.5.01.01</v>
          </cell>
          <cell r="B54" t="str">
            <v>IMPUESTO A LAS TRANSACCIONES</v>
          </cell>
          <cell r="C54" t="str">
            <v>Bs</v>
          </cell>
          <cell r="D54">
            <v>-1139704</v>
          </cell>
        </row>
        <row r="55">
          <cell r="A55" t="str">
            <v>4.5.01.02</v>
          </cell>
          <cell r="B55" t="str">
            <v>IMPUESTO A LA PROPIEDAD DE BIENES INMUEB</v>
          </cell>
          <cell r="C55" t="str">
            <v>Bs</v>
          </cell>
          <cell r="D55">
            <v>-15985.5</v>
          </cell>
        </row>
        <row r="56">
          <cell r="A56" t="str">
            <v>4.5.01.04</v>
          </cell>
          <cell r="B56" t="str">
            <v>TASAS Y PATENTES</v>
          </cell>
          <cell r="C56" t="str">
            <v>Bs</v>
          </cell>
          <cell r="D56">
            <v>0</v>
          </cell>
        </row>
        <row r="57">
          <cell r="A57" t="str">
            <v>4.5.01.05</v>
          </cell>
          <cell r="B57" t="str">
            <v>PATENTES MINERAS</v>
          </cell>
          <cell r="C57" t="str">
            <v>Bs</v>
          </cell>
          <cell r="D57">
            <v>-377456</v>
          </cell>
        </row>
        <row r="58">
          <cell r="A58" t="str">
            <v>4.5.01.06</v>
          </cell>
          <cell r="B58" t="str">
            <v>IMPUESTO A LAS TRANSAC. FINANCIERAS</v>
          </cell>
          <cell r="C58" t="str">
            <v>Bs</v>
          </cell>
          <cell r="D58">
            <v>-6985.24</v>
          </cell>
        </row>
        <row r="59">
          <cell r="A59" t="str">
            <v>4.5.01.07</v>
          </cell>
          <cell r="B59" t="str">
            <v>MANTENIMIENTO DE VALOR - FACILIDADES DE PAGO</v>
          </cell>
          <cell r="C59" t="str">
            <v>Bs</v>
          </cell>
          <cell r="D59">
            <v>-149653</v>
          </cell>
        </row>
        <row r="60">
          <cell r="A60" t="str">
            <v>4.5.01.08</v>
          </cell>
          <cell r="B60" t="str">
            <v>INTERESES - FACILIDADES DE PAGO</v>
          </cell>
          <cell r="C60" t="str">
            <v>Bs</v>
          </cell>
          <cell r="D60">
            <v>-171727</v>
          </cell>
        </row>
        <row r="61">
          <cell r="A61" t="str">
            <v>4.5.01.09</v>
          </cell>
          <cell r="B61" t="str">
            <v>IMPUESTO AL JUEGO - PROMOCIONES EMPRESARIALES</v>
          </cell>
          <cell r="C61" t="str">
            <v>Bs</v>
          </cell>
          <cell r="D61">
            <v>0</v>
          </cell>
        </row>
        <row r="62">
          <cell r="A62" t="str">
            <v>4.6.00.00</v>
          </cell>
          <cell r="B62" t="str">
            <v>PERDIDAS Y GANANCIAS</v>
          </cell>
          <cell r="C62" t="str">
            <v>Bs</v>
          </cell>
          <cell r="D62">
            <v>1264981.51</v>
          </cell>
        </row>
        <row r="63">
          <cell r="A63" t="str">
            <v>4.6.01.00</v>
          </cell>
          <cell r="B63" t="str">
            <v>PERDIDAS Y GANANCIAS</v>
          </cell>
          <cell r="C63" t="str">
            <v>Bs</v>
          </cell>
          <cell r="D63">
            <v>1264981.51</v>
          </cell>
        </row>
        <row r="64">
          <cell r="A64" t="str">
            <v>4.6.01.01</v>
          </cell>
          <cell r="B64" t="str">
            <v>PERDIDAS Y GANANCIAS</v>
          </cell>
          <cell r="C64" t="str">
            <v>Bs</v>
          </cell>
          <cell r="D64">
            <v>1291344.51</v>
          </cell>
        </row>
        <row r="65">
          <cell r="A65" t="str">
            <v>4.6.01.02</v>
          </cell>
          <cell r="B65" t="str">
            <v>AJUSTES GESTIONES ANTERIORES</v>
          </cell>
          <cell r="C65" t="str">
            <v>Bs</v>
          </cell>
          <cell r="D65">
            <v>-26363</v>
          </cell>
        </row>
        <row r="66">
          <cell r="A66" t="str">
            <v>4.6.01.03</v>
          </cell>
          <cell r="B66" t="str">
            <v>TRANSFERENCIAS ENTRE UNIDADES (CREDITOS)</v>
          </cell>
          <cell r="C66" t="str">
            <v>Bs</v>
          </cell>
          <cell r="D66">
            <v>0</v>
          </cell>
        </row>
        <row r="67">
          <cell r="A67" t="str">
            <v>4.7.00.00</v>
          </cell>
          <cell r="B67" t="str">
            <v>CORRECCION MONETARIA POR INFLACION</v>
          </cell>
          <cell r="C67" t="str">
            <v>Bs</v>
          </cell>
          <cell r="D67">
            <v>-415922.54</v>
          </cell>
        </row>
        <row r="68">
          <cell r="A68" t="str">
            <v>4.7.01.00</v>
          </cell>
          <cell r="B68" t="str">
            <v>AJUSTES MONETARIOS POR INFLACION</v>
          </cell>
          <cell r="C68" t="str">
            <v>Bs</v>
          </cell>
          <cell r="D68">
            <v>-415922.54</v>
          </cell>
        </row>
        <row r="69">
          <cell r="A69" t="str">
            <v>4.7.01.01</v>
          </cell>
          <cell r="B69" t="str">
            <v>AJUSTE POR INFLACION Y TENENCIA DE BIENE</v>
          </cell>
          <cell r="C69" t="str">
            <v>Bs</v>
          </cell>
          <cell r="D69">
            <v>910359.58</v>
          </cell>
        </row>
        <row r="70">
          <cell r="A70" t="str">
            <v>4.7.01.02</v>
          </cell>
          <cell r="B70" t="str">
            <v>DIFERENCIAS DE CAMBIO</v>
          </cell>
          <cell r="C70" t="str">
            <v>Bs</v>
          </cell>
          <cell r="D70">
            <v>-1326282.1200000001</v>
          </cell>
        </row>
        <row r="71">
          <cell r="A71" t="str">
            <v>***TOTAL UTILIDAD(+)/PERDIDA(-)***</v>
          </cell>
          <cell r="C71" t="str">
            <v>Bs</v>
          </cell>
          <cell r="D71">
            <v>-1952532.25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45928784.280000001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45928784.280000001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45612167.270000003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45612167.270000003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316617.01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55968.1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14378.94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1714.06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244555.91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-33155625.43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-27596156.079999998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-27437762.399999999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-27437762.399999999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-158393.68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-158393.68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-723857.37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-467244.59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-351214.92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-58955.55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-57074.12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-20692.41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-20692.41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-224124.45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-214988.05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-208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-8928.4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-11795.92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-11795.92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-2706383.8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-884075.48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-708407.27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-89260.39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-86407.82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-157817.79999999999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-157817.79999999999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-1558845.73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-1558845.73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-105644.79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-105644.79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-1310646.57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-1310646.57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-1308326.6100000001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-2319.96</v>
          </cell>
        </row>
        <row r="51">
          <cell r="A51" t="str">
            <v>4.4.01.03</v>
          </cell>
          <cell r="B51" t="str">
            <v>OTROS GASTOS FINANCIEROS</v>
          </cell>
          <cell r="C51" t="str">
            <v>Bs</v>
          </cell>
          <cell r="D51">
            <v>0</v>
          </cell>
        </row>
        <row r="52">
          <cell r="A52" t="str">
            <v>4.5.00.00</v>
          </cell>
          <cell r="B52" t="str">
            <v>GASTOS TRIBUTARIOS</v>
          </cell>
          <cell r="C52" t="str">
            <v>Bs</v>
          </cell>
          <cell r="D52">
            <v>-1710650.3</v>
          </cell>
        </row>
        <row r="53">
          <cell r="A53" t="str">
            <v>4.5.01.00</v>
          </cell>
          <cell r="B53" t="str">
            <v>GASTOS TRIBUTARIOS</v>
          </cell>
          <cell r="C53" t="str">
            <v>Bs</v>
          </cell>
          <cell r="D53">
            <v>-1710650.3</v>
          </cell>
        </row>
        <row r="54">
          <cell r="A54" t="str">
            <v>4.5.01.01</v>
          </cell>
          <cell r="B54" t="str">
            <v>IMPUESTO A LAS TRANSACCIONES</v>
          </cell>
          <cell r="C54" t="str">
            <v>Bs</v>
          </cell>
          <cell r="D54">
            <v>-1576164</v>
          </cell>
        </row>
        <row r="55">
          <cell r="A55" t="str">
            <v>4.5.01.02</v>
          </cell>
          <cell r="B55" t="str">
            <v>IMPUESTO A LA PROPIEDAD DE BIENES INMUEB</v>
          </cell>
          <cell r="C55" t="str">
            <v>Bs</v>
          </cell>
          <cell r="D55">
            <v>0</v>
          </cell>
        </row>
        <row r="56">
          <cell r="A56" t="str">
            <v>4.5.01.04</v>
          </cell>
          <cell r="B56" t="str">
            <v>TASAS Y PATENTES</v>
          </cell>
          <cell r="C56" t="str">
            <v>Bs</v>
          </cell>
          <cell r="D56">
            <v>0</v>
          </cell>
        </row>
        <row r="57">
          <cell r="A57" t="str">
            <v>4.5.01.05</v>
          </cell>
          <cell r="B57" t="str">
            <v>PATENTES MINERAS</v>
          </cell>
          <cell r="C57" t="str">
            <v>Bs</v>
          </cell>
          <cell r="D57">
            <v>-57387</v>
          </cell>
        </row>
        <row r="58">
          <cell r="A58" t="str">
            <v>4.5.01.06</v>
          </cell>
          <cell r="B58" t="str">
            <v>IMPUESTO A LAS TRANSAC. FINANCIERAS</v>
          </cell>
          <cell r="C58" t="str">
            <v>Bs</v>
          </cell>
          <cell r="D58">
            <v>-111.3</v>
          </cell>
        </row>
        <row r="59">
          <cell r="A59" t="str">
            <v>4.5.01.07</v>
          </cell>
          <cell r="B59" t="str">
            <v>MANTENIMIENTO DE VALOR - FACILIDADES DE PAGO</v>
          </cell>
          <cell r="C59" t="str">
            <v>Bs</v>
          </cell>
          <cell r="D59">
            <v>-37818</v>
          </cell>
        </row>
        <row r="60">
          <cell r="A60" t="str">
            <v>4.5.01.08</v>
          </cell>
          <cell r="B60" t="str">
            <v>INTERESES - FACILIDADES DE PAGO</v>
          </cell>
          <cell r="C60" t="str">
            <v>Bs</v>
          </cell>
          <cell r="D60">
            <v>-39170</v>
          </cell>
        </row>
        <row r="61">
          <cell r="A61" t="str">
            <v>4.5.01.09</v>
          </cell>
          <cell r="B61" t="str">
            <v>IMPUESTO AL JUEGO - PROMOCIONES EMPRESARIALES</v>
          </cell>
          <cell r="C61" t="str">
            <v>Bs</v>
          </cell>
          <cell r="D61">
            <v>0</v>
          </cell>
        </row>
        <row r="62">
          <cell r="A62" t="str">
            <v>4.6.00.00</v>
          </cell>
          <cell r="B62" t="str">
            <v>PERDIDAS Y GANANCIAS</v>
          </cell>
          <cell r="C62" t="str">
            <v>Bs</v>
          </cell>
          <cell r="D62">
            <v>-59208.52</v>
          </cell>
        </row>
        <row r="63">
          <cell r="A63" t="str">
            <v>4.6.01.00</v>
          </cell>
          <cell r="B63" t="str">
            <v>PERDIDAS Y GANANCIAS</v>
          </cell>
          <cell r="C63" t="str">
            <v>Bs</v>
          </cell>
          <cell r="D63">
            <v>-59208.52</v>
          </cell>
        </row>
        <row r="64">
          <cell r="A64" t="str">
            <v>4.6.01.01</v>
          </cell>
          <cell r="B64" t="str">
            <v>PERDIDAS Y GANANCIAS</v>
          </cell>
          <cell r="C64" t="str">
            <v>Bs</v>
          </cell>
          <cell r="D64">
            <v>0</v>
          </cell>
        </row>
        <row r="65">
          <cell r="A65" t="str">
            <v>4.6.01.02</v>
          </cell>
          <cell r="B65" t="str">
            <v>AJUSTES GESTIONES ANTERIORES</v>
          </cell>
          <cell r="C65" t="str">
            <v>Bs</v>
          </cell>
          <cell r="D65">
            <v>-59208.52</v>
          </cell>
        </row>
        <row r="66">
          <cell r="A66" t="str">
            <v>4.6.01.03</v>
          </cell>
          <cell r="B66" t="str">
            <v>TRANSFERENCIAS ENTRE UNIDADES (CREDITOS)</v>
          </cell>
          <cell r="C66" t="str">
            <v>Bs</v>
          </cell>
          <cell r="D66">
            <v>0</v>
          </cell>
        </row>
        <row r="67">
          <cell r="A67" t="str">
            <v>4.7.00.00</v>
          </cell>
          <cell r="B67" t="str">
            <v>CORRECCION MONETARIA POR INFLACION</v>
          </cell>
          <cell r="C67" t="str">
            <v>Bs</v>
          </cell>
          <cell r="D67">
            <v>951277.21</v>
          </cell>
        </row>
        <row r="68">
          <cell r="A68" t="str">
            <v>4.7.01.00</v>
          </cell>
          <cell r="B68" t="str">
            <v>AJUSTES MONETARIOS POR INFLACION</v>
          </cell>
          <cell r="C68" t="str">
            <v>Bs</v>
          </cell>
          <cell r="D68">
            <v>951277.21</v>
          </cell>
        </row>
        <row r="69">
          <cell r="A69" t="str">
            <v>4.7.01.01</v>
          </cell>
          <cell r="B69" t="str">
            <v>AJUSTE POR INFLACION Y TENENCIA DE BIENE</v>
          </cell>
          <cell r="C69" t="str">
            <v>Bs</v>
          </cell>
          <cell r="D69">
            <v>964392.58</v>
          </cell>
        </row>
        <row r="70">
          <cell r="A70" t="str">
            <v>4.7.01.02</v>
          </cell>
          <cell r="B70" t="str">
            <v>DIFERENCIAS DE CAMBIO</v>
          </cell>
          <cell r="C70" t="str">
            <v>Bs</v>
          </cell>
          <cell r="D70">
            <v>-13115.37</v>
          </cell>
        </row>
        <row r="71">
          <cell r="A71" t="str">
            <v>***TOTAL UTILIDAD(+)/PERDIDA(-)***</v>
          </cell>
          <cell r="C71" t="str">
            <v>Bs</v>
          </cell>
          <cell r="D71">
            <v>12773158.85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40061739.619999997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40061739.619999997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39629762.890000001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39629762.890000001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431976.73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106212.38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1795.13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323969.21999999997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-40913450.700000003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-33592476.380000003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-33470470.960000001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-33470470.960000001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-122005.42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-122005.42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-722581.34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-467180.05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-348980.57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-60059.360000000001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-58140.12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-14829.1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-14829.1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-228776.24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-204860.3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-12729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-11186.94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-11795.95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-11795.95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-2425202.79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-730237.97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-554892.6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-89096.39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-86248.98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-139457.59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-139457.59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-1449862.45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-1449862.45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-105644.78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-105644.78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-1205097.01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-1205097.01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-1133476.07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-71620.94</v>
          </cell>
        </row>
        <row r="51">
          <cell r="A51" t="str">
            <v>4.4.01.03</v>
          </cell>
          <cell r="B51" t="str">
            <v>OTROS GASTOS FINANCIEROS</v>
          </cell>
          <cell r="C51" t="str">
            <v>Bs</v>
          </cell>
          <cell r="D51">
            <v>0</v>
          </cell>
        </row>
        <row r="52">
          <cell r="A52" t="str">
            <v>4.5.00.00</v>
          </cell>
          <cell r="B52" t="str">
            <v>GASTOS TRIBUTARIOS</v>
          </cell>
          <cell r="C52" t="str">
            <v>Bs</v>
          </cell>
          <cell r="D52">
            <v>-1778091.3</v>
          </cell>
        </row>
        <row r="53">
          <cell r="A53" t="str">
            <v>4.5.01.00</v>
          </cell>
          <cell r="B53" t="str">
            <v>GASTOS TRIBUTARIOS</v>
          </cell>
          <cell r="C53" t="str">
            <v>Bs</v>
          </cell>
          <cell r="D53">
            <v>-1778091.3</v>
          </cell>
        </row>
        <row r="54">
          <cell r="A54" t="str">
            <v>4.5.01.01</v>
          </cell>
          <cell r="B54" t="str">
            <v>IMPUESTO A LAS TRANSACCIONES</v>
          </cell>
          <cell r="C54" t="str">
            <v>Bs</v>
          </cell>
          <cell r="D54">
            <v>-1378277</v>
          </cell>
        </row>
        <row r="55">
          <cell r="A55" t="str">
            <v>4.5.01.02</v>
          </cell>
          <cell r="B55" t="str">
            <v>IMPUESTO A LA PROPIEDAD DE BIENES INMUEB</v>
          </cell>
          <cell r="C55" t="str">
            <v>Bs</v>
          </cell>
          <cell r="D55">
            <v>-808</v>
          </cell>
        </row>
        <row r="56">
          <cell r="A56" t="str">
            <v>4.5.01.04</v>
          </cell>
          <cell r="B56" t="str">
            <v>TASAS Y PATENTES</v>
          </cell>
          <cell r="C56" t="str">
            <v>Bs</v>
          </cell>
          <cell r="D56">
            <v>0</v>
          </cell>
        </row>
        <row r="57">
          <cell r="A57" t="str">
            <v>4.5.01.05</v>
          </cell>
          <cell r="B57" t="str">
            <v>PATENTES MINERAS</v>
          </cell>
          <cell r="C57" t="str">
            <v>Bs</v>
          </cell>
          <cell r="D57">
            <v>-284077</v>
          </cell>
        </row>
        <row r="58">
          <cell r="A58" t="str">
            <v>4.5.01.06</v>
          </cell>
          <cell r="B58" t="str">
            <v>IMPUESTO A LAS TRANSAC. FINANCIERAS</v>
          </cell>
          <cell r="C58" t="str">
            <v>Bs</v>
          </cell>
          <cell r="D58">
            <v>-74652.3</v>
          </cell>
        </row>
        <row r="59">
          <cell r="A59" t="str">
            <v>4.5.01.07</v>
          </cell>
          <cell r="B59" t="str">
            <v>MANTENIMIENTO DE VALOR - FACILIDADES DE PAGO</v>
          </cell>
          <cell r="C59" t="str">
            <v>Bs</v>
          </cell>
          <cell r="D59">
            <v>-16909</v>
          </cell>
        </row>
        <row r="60">
          <cell r="A60" t="str">
            <v>4.5.01.08</v>
          </cell>
          <cell r="B60" t="str">
            <v>INTERESES - FACILIDADES DE PAGO</v>
          </cell>
          <cell r="C60" t="str">
            <v>Bs</v>
          </cell>
          <cell r="D60">
            <v>-23368</v>
          </cell>
        </row>
        <row r="61">
          <cell r="A61" t="str">
            <v>4.5.01.09</v>
          </cell>
          <cell r="B61" t="str">
            <v>IMPUESTO AL JUEGO - PROMOCIONES EMPRESARIALES</v>
          </cell>
          <cell r="C61" t="str">
            <v>Bs</v>
          </cell>
          <cell r="D61">
            <v>0</v>
          </cell>
        </row>
        <row r="62">
          <cell r="A62" t="str">
            <v>4.6.00.00</v>
          </cell>
          <cell r="B62" t="str">
            <v>PERDIDAS Y GANANCIAS</v>
          </cell>
          <cell r="C62" t="str">
            <v>Bs</v>
          </cell>
          <cell r="D62">
            <v>-187048.48</v>
          </cell>
        </row>
        <row r="63">
          <cell r="A63" t="str">
            <v>4.6.01.00</v>
          </cell>
          <cell r="B63" t="str">
            <v>PERDIDAS Y GANANCIAS</v>
          </cell>
          <cell r="C63" t="str">
            <v>Bs</v>
          </cell>
          <cell r="D63">
            <v>-187048.48</v>
          </cell>
        </row>
        <row r="64">
          <cell r="A64" t="str">
            <v>4.6.01.01</v>
          </cell>
          <cell r="B64" t="str">
            <v>PERDIDAS Y GANANCIAS</v>
          </cell>
          <cell r="C64" t="str">
            <v>Bs</v>
          </cell>
          <cell r="D64">
            <v>0</v>
          </cell>
        </row>
        <row r="65">
          <cell r="A65" t="str">
            <v>4.6.01.02</v>
          </cell>
          <cell r="B65" t="str">
            <v>AJUSTES GESTIONES ANTERIORES</v>
          </cell>
          <cell r="C65" t="str">
            <v>Bs</v>
          </cell>
          <cell r="D65">
            <v>-187048.48</v>
          </cell>
        </row>
        <row r="66">
          <cell r="A66" t="str">
            <v>4.6.01.03</v>
          </cell>
          <cell r="B66" t="str">
            <v>TRANSFERENCIAS ENTRE UNIDADES (CREDITOS)</v>
          </cell>
          <cell r="C66" t="str">
            <v>Bs</v>
          </cell>
          <cell r="D66">
            <v>0</v>
          </cell>
        </row>
        <row r="67">
          <cell r="A67" t="str">
            <v>4.7.00.00</v>
          </cell>
          <cell r="B67" t="str">
            <v>CORRECCION MONETARIA POR INFLACION</v>
          </cell>
          <cell r="C67" t="str">
            <v>Bs</v>
          </cell>
          <cell r="D67">
            <v>-1002953.4</v>
          </cell>
        </row>
        <row r="68">
          <cell r="A68" t="str">
            <v>4.7.01.00</v>
          </cell>
          <cell r="B68" t="str">
            <v>AJUSTES MONETARIOS POR INFLACION</v>
          </cell>
          <cell r="C68" t="str">
            <v>Bs</v>
          </cell>
          <cell r="D68">
            <v>-1002953.4</v>
          </cell>
        </row>
        <row r="69">
          <cell r="A69" t="str">
            <v>4.7.01.01</v>
          </cell>
          <cell r="B69" t="str">
            <v>AJUSTE POR INFLACION Y TENENCIA DE BIENE</v>
          </cell>
          <cell r="C69" t="str">
            <v>Bs</v>
          </cell>
          <cell r="D69">
            <v>1089952.58</v>
          </cell>
        </row>
        <row r="70">
          <cell r="A70" t="str">
            <v>4.7.01.02</v>
          </cell>
          <cell r="B70" t="str">
            <v>DIFERENCIAS DE CAMBIO</v>
          </cell>
          <cell r="C70" t="str">
            <v>Bs</v>
          </cell>
          <cell r="D70">
            <v>-2092905.98</v>
          </cell>
        </row>
        <row r="71">
          <cell r="A71" t="str">
            <v>***TOTAL UTILIDAD(+)/PERDIDA(-)***</v>
          </cell>
          <cell r="C71" t="str">
            <v>Bs</v>
          </cell>
          <cell r="D71">
            <v>-851711.08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43461898.609999999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43461898.609999999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40921415.979999997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40921415.979999997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2540482.63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101548.56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5021.97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2433912.1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-46173216.810000002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-40794323.18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-40452692.439999998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-40452692.439999998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-341630.74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-341630.74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-998115.77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-589498.98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-419924.67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-72268.600000000006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-97305.71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-10939.51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-10939.51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-386274.34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-378217.74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-696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-7360.6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-11402.94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-11402.94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-2728198.04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-994688.55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-653223.25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-112120.33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-229344.97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-82137.69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-82137.69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-1545727.01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-1545727.01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-105644.79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-105644.79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-1240499.82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-1240499.82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-1237748.72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-2751.1</v>
          </cell>
        </row>
        <row r="51">
          <cell r="A51" t="str">
            <v>4.4.01.03</v>
          </cell>
          <cell r="B51" t="str">
            <v>OTROS GASTOS FINANCIEROS</v>
          </cell>
          <cell r="C51" t="str">
            <v>Bs</v>
          </cell>
          <cell r="D51">
            <v>0</v>
          </cell>
        </row>
        <row r="52">
          <cell r="A52" t="str">
            <v>4.5.00.00</v>
          </cell>
          <cell r="B52" t="str">
            <v>GASTOS TRIBUTARIOS</v>
          </cell>
          <cell r="C52" t="str">
            <v>Bs</v>
          </cell>
          <cell r="D52">
            <v>-2005693.5</v>
          </cell>
        </row>
        <row r="53">
          <cell r="A53" t="str">
            <v>4.5.01.00</v>
          </cell>
          <cell r="B53" t="str">
            <v>GASTOS TRIBUTARIOS</v>
          </cell>
          <cell r="C53" t="str">
            <v>Bs</v>
          </cell>
          <cell r="D53">
            <v>-2005693.5</v>
          </cell>
        </row>
        <row r="54">
          <cell r="A54" t="str">
            <v>4.5.01.01</v>
          </cell>
          <cell r="B54" t="str">
            <v>IMPUESTO A LAS TRANSACCIONES</v>
          </cell>
          <cell r="C54" t="str">
            <v>Bs</v>
          </cell>
          <cell r="D54">
            <v>-1498461</v>
          </cell>
        </row>
        <row r="55">
          <cell r="A55" t="str">
            <v>4.5.01.02</v>
          </cell>
          <cell r="B55" t="str">
            <v>IMPUESTO A LA PROPIEDAD DE BIENES INMUEB</v>
          </cell>
          <cell r="C55" t="str">
            <v>Bs</v>
          </cell>
          <cell r="D55">
            <v>-14446.5</v>
          </cell>
        </row>
        <row r="56">
          <cell r="A56" t="str">
            <v>4.5.01.04</v>
          </cell>
          <cell r="B56" t="str">
            <v>TASAS Y PATENTES</v>
          </cell>
          <cell r="C56" t="str">
            <v>Bs</v>
          </cell>
          <cell r="D56">
            <v>-23718</v>
          </cell>
        </row>
        <row r="57">
          <cell r="A57" t="str">
            <v>4.5.01.05</v>
          </cell>
          <cell r="B57" t="str">
            <v>PATENTES MINERAS</v>
          </cell>
          <cell r="C57" t="str">
            <v>Bs</v>
          </cell>
          <cell r="D57">
            <v>-4219</v>
          </cell>
        </row>
        <row r="58">
          <cell r="A58" t="str">
            <v>4.5.01.06</v>
          </cell>
          <cell r="B58" t="str">
            <v>IMPUESTO A LAS TRANSAC. FINANCIERAS</v>
          </cell>
          <cell r="C58" t="str">
            <v>Bs</v>
          </cell>
          <cell r="D58">
            <v>0</v>
          </cell>
        </row>
        <row r="59">
          <cell r="A59" t="str">
            <v>4.5.01.07</v>
          </cell>
          <cell r="B59" t="str">
            <v>MANTENIMIENTO DE VALOR - FACILIDADES DE PAGO</v>
          </cell>
          <cell r="C59" t="str">
            <v>Bs</v>
          </cell>
          <cell r="D59">
            <v>-272186</v>
          </cell>
        </row>
        <row r="60">
          <cell r="A60" t="str">
            <v>4.5.01.08</v>
          </cell>
          <cell r="B60" t="str">
            <v>INTERESES - FACILIDADES DE PAGO</v>
          </cell>
          <cell r="C60" t="str">
            <v>Bs</v>
          </cell>
          <cell r="D60">
            <v>-192663</v>
          </cell>
        </row>
        <row r="61">
          <cell r="A61" t="str">
            <v>4.5.01.09</v>
          </cell>
          <cell r="B61" t="str">
            <v>IMPUESTO AL JUEGO - PROMOCIONES EMPRESARIALES</v>
          </cell>
          <cell r="C61" t="str">
            <v>Bs</v>
          </cell>
          <cell r="D61">
            <v>0</v>
          </cell>
        </row>
        <row r="62">
          <cell r="A62" t="str">
            <v>4.6.00.00</v>
          </cell>
          <cell r="B62" t="str">
            <v>PERDIDAS Y GANANCIAS</v>
          </cell>
          <cell r="C62" t="str">
            <v>Bs</v>
          </cell>
          <cell r="D62">
            <v>1463755.44</v>
          </cell>
        </row>
        <row r="63">
          <cell r="A63" t="str">
            <v>4.6.01.00</v>
          </cell>
          <cell r="B63" t="str">
            <v>PERDIDAS Y GANANCIAS</v>
          </cell>
          <cell r="C63" t="str">
            <v>Bs</v>
          </cell>
          <cell r="D63">
            <v>1463755.44</v>
          </cell>
        </row>
        <row r="64">
          <cell r="A64" t="str">
            <v>4.6.01.01</v>
          </cell>
          <cell r="B64" t="str">
            <v>PERDIDAS Y GANANCIAS</v>
          </cell>
          <cell r="C64" t="str">
            <v>Bs</v>
          </cell>
          <cell r="D64">
            <v>3327.14</v>
          </cell>
        </row>
        <row r="65">
          <cell r="A65" t="str">
            <v>4.6.01.02</v>
          </cell>
          <cell r="B65" t="str">
            <v>AJUSTES GESTIONES ANTERIORES</v>
          </cell>
          <cell r="C65" t="str">
            <v>Bs</v>
          </cell>
          <cell r="D65">
            <v>1460428.3</v>
          </cell>
        </row>
        <row r="66">
          <cell r="A66" t="str">
            <v>4.6.01.03</v>
          </cell>
          <cell r="B66" t="str">
            <v>TRANSFERENCIAS ENTRE UNIDADES (CREDITOS)</v>
          </cell>
          <cell r="C66" t="str">
            <v>Bs</v>
          </cell>
          <cell r="D66">
            <v>0</v>
          </cell>
        </row>
        <row r="67">
          <cell r="A67" t="str">
            <v>4.7.00.00</v>
          </cell>
          <cell r="B67" t="str">
            <v>CORRECCION MONETARIA POR INFLACION</v>
          </cell>
          <cell r="C67" t="str">
            <v>Bs</v>
          </cell>
          <cell r="D67">
            <v>129858.06</v>
          </cell>
        </row>
        <row r="68">
          <cell r="A68" t="str">
            <v>4.7.01.00</v>
          </cell>
          <cell r="B68" t="str">
            <v>AJUSTES MONETARIOS POR INFLACION</v>
          </cell>
          <cell r="C68" t="str">
            <v>Bs</v>
          </cell>
          <cell r="D68">
            <v>129858.06</v>
          </cell>
        </row>
        <row r="69">
          <cell r="A69" t="str">
            <v>4.7.01.01</v>
          </cell>
          <cell r="B69" t="str">
            <v>AJUSTE POR INFLACION Y TENENCIA DE BIENE</v>
          </cell>
          <cell r="C69" t="str">
            <v>Bs</v>
          </cell>
          <cell r="D69">
            <v>1212331.22</v>
          </cell>
        </row>
        <row r="70">
          <cell r="A70" t="str">
            <v>4.7.01.02</v>
          </cell>
          <cell r="B70" t="str">
            <v>DIFERENCIAS DE CAMBIO</v>
          </cell>
          <cell r="C70" t="str">
            <v>Bs</v>
          </cell>
          <cell r="D70">
            <v>-1082473.1599999999</v>
          </cell>
        </row>
        <row r="71">
          <cell r="A71" t="str">
            <v>***TOTAL UTILIDAD(+)/PERDIDA(-)***</v>
          </cell>
          <cell r="C71" t="str">
            <v>Bs</v>
          </cell>
          <cell r="D71">
            <v>-2711318.2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37031382.560000002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37031382.560000002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36690257.549999997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36690257.549999997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341125.01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83870.320000000007</v>
          </cell>
        </row>
        <row r="12">
          <cell r="A12" t="str">
            <v>3.1.02.03</v>
          </cell>
          <cell r="B12" t="str">
            <v>INGRESOS FINANCIEROS</v>
          </cell>
          <cell r="C12" t="str">
            <v>Bs</v>
          </cell>
          <cell r="D12">
            <v>2198.42</v>
          </cell>
        </row>
        <row r="13">
          <cell r="A13" t="str">
            <v>3.1.02.04</v>
          </cell>
          <cell r="B13" t="str">
            <v>OTROS INGRESOS</v>
          </cell>
          <cell r="C13" t="str">
            <v>Bs</v>
          </cell>
          <cell r="D13">
            <v>255056.27</v>
          </cell>
        </row>
        <row r="14">
          <cell r="A14" t="str">
            <v>4.0.00.00</v>
          </cell>
          <cell r="B14" t="str">
            <v>EGRESOS</v>
          </cell>
          <cell r="C14" t="str">
            <v>Bs</v>
          </cell>
          <cell r="D14">
            <v>-39076046.939999998</v>
          </cell>
        </row>
        <row r="16">
          <cell r="A16" t="str">
            <v>4.1.00.00</v>
          </cell>
          <cell r="B16" t="str">
            <v>COSTO DE VENTAS</v>
          </cell>
          <cell r="C16" t="str">
            <v>Bs</v>
          </cell>
          <cell r="D16">
            <v>-31039969.25</v>
          </cell>
        </row>
        <row r="17">
          <cell r="A17" t="str">
            <v>4.1.01.00</v>
          </cell>
          <cell r="B17" t="str">
            <v>COSTO DE PRODUCCION DE LO VENDIDO</v>
          </cell>
          <cell r="C17" t="str">
            <v>Bs</v>
          </cell>
          <cell r="D17">
            <v>-30924502.73</v>
          </cell>
        </row>
        <row r="18">
          <cell r="A18" t="str">
            <v>4.1.01.01</v>
          </cell>
          <cell r="B18" t="str">
            <v>COSTO DE PRODUCCION DE LO VENDIDO</v>
          </cell>
          <cell r="C18" t="str">
            <v>Bs</v>
          </cell>
          <cell r="D18">
            <v>-30924502.73</v>
          </cell>
        </row>
        <row r="19">
          <cell r="A19" t="str">
            <v>4.1.02.00</v>
          </cell>
          <cell r="B19" t="str">
            <v>EGRESOS NO OPERATIVOS</v>
          </cell>
          <cell r="C19" t="str">
            <v>Bs</v>
          </cell>
          <cell r="D19">
            <v>-115466.52</v>
          </cell>
        </row>
        <row r="20">
          <cell r="A20" t="str">
            <v>4.1.02.01</v>
          </cell>
          <cell r="B20" t="str">
            <v>EGRESOS NO OPERATIVOS</v>
          </cell>
          <cell r="C20" t="str">
            <v>Bs</v>
          </cell>
          <cell r="D20">
            <v>-115466.52</v>
          </cell>
        </row>
        <row r="21">
          <cell r="A21" t="str">
            <v>4.2.00.00</v>
          </cell>
          <cell r="B21" t="str">
            <v>GASTOS DE ADMINISTRACION</v>
          </cell>
          <cell r="C21" t="str">
            <v>Bs</v>
          </cell>
          <cell r="D21">
            <v>-818156.95</v>
          </cell>
        </row>
        <row r="22">
          <cell r="A22" t="str">
            <v>4.2.01.00</v>
          </cell>
          <cell r="B22" t="str">
            <v>SERVICIOS PERSONALES</v>
          </cell>
          <cell r="C22" t="str">
            <v>Bs</v>
          </cell>
          <cell r="D22">
            <v>-497054.02</v>
          </cell>
        </row>
        <row r="23">
          <cell r="A23" t="str">
            <v>4.2.01.01</v>
          </cell>
          <cell r="B23" t="str">
            <v>SUELDOS Y SALARIOS</v>
          </cell>
          <cell r="C23" t="str">
            <v>Bs</v>
          </cell>
          <cell r="D23">
            <v>-371296.25</v>
          </cell>
        </row>
        <row r="24">
          <cell r="A24" t="str">
            <v>4.2.01.02</v>
          </cell>
          <cell r="B24" t="str">
            <v>APORTES PATRONALES</v>
          </cell>
          <cell r="C24" t="str">
            <v>Bs</v>
          </cell>
          <cell r="D24">
            <v>-63899.83</v>
          </cell>
        </row>
        <row r="25">
          <cell r="A25" t="str">
            <v>4.2.01.03</v>
          </cell>
          <cell r="B25" t="str">
            <v>BENEFICIOS SOCIALES</v>
          </cell>
          <cell r="C25" t="str">
            <v>Bs</v>
          </cell>
          <cell r="D25">
            <v>-61857.94</v>
          </cell>
        </row>
        <row r="26">
          <cell r="A26" t="str">
            <v>4.2.02.00</v>
          </cell>
          <cell r="B26" t="str">
            <v>MATERIALES Y SERVICIOS</v>
          </cell>
          <cell r="C26" t="str">
            <v>Bs</v>
          </cell>
          <cell r="D26">
            <v>-12203.95</v>
          </cell>
        </row>
        <row r="27">
          <cell r="A27" t="str">
            <v>4.2.02.01</v>
          </cell>
          <cell r="B27" t="str">
            <v>MATERIALES DE ALMACEN</v>
          </cell>
          <cell r="C27" t="str">
            <v>Bs</v>
          </cell>
          <cell r="D27">
            <v>-12203.95</v>
          </cell>
        </row>
        <row r="28">
          <cell r="A28" t="str">
            <v>4.2.03.00</v>
          </cell>
          <cell r="B28" t="str">
            <v>GASTOS GENERALES</v>
          </cell>
          <cell r="C28" t="str">
            <v>Bs</v>
          </cell>
          <cell r="D28">
            <v>-296759.09999999998</v>
          </cell>
        </row>
        <row r="29">
          <cell r="A29" t="str">
            <v>4.2.03.01</v>
          </cell>
          <cell r="B29" t="str">
            <v>GASTOS GENERALES</v>
          </cell>
          <cell r="C29" t="str">
            <v>Bs</v>
          </cell>
          <cell r="D29">
            <v>-287861.46999999997</v>
          </cell>
        </row>
        <row r="30">
          <cell r="A30" t="str">
            <v>4.2.03.03</v>
          </cell>
          <cell r="B30" t="str">
            <v>AYUDA COMUNITARIA</v>
          </cell>
          <cell r="C30" t="str">
            <v>Bs</v>
          </cell>
          <cell r="D30">
            <v>-8897.6299999999992</v>
          </cell>
        </row>
        <row r="31">
          <cell r="A31" t="str">
            <v>4.2.04.00</v>
          </cell>
          <cell r="B31" t="str">
            <v>DEPRECIACION ACTIVO FIJO</v>
          </cell>
          <cell r="C31" t="str">
            <v>Bs</v>
          </cell>
          <cell r="D31">
            <v>-12139.88</v>
          </cell>
        </row>
        <row r="32">
          <cell r="A32" t="str">
            <v>4.2.04.01</v>
          </cell>
          <cell r="B32" t="str">
            <v>DEPRECIACION ACTIVO FIJO</v>
          </cell>
          <cell r="C32" t="str">
            <v>Bs</v>
          </cell>
          <cell r="D32">
            <v>-12139.88</v>
          </cell>
        </row>
        <row r="33">
          <cell r="A33" t="str">
            <v>4.3.00.00</v>
          </cell>
          <cell r="B33" t="str">
            <v>GASTOS DE COMERCIALIZACION</v>
          </cell>
          <cell r="C33" t="str">
            <v>Bs</v>
          </cell>
          <cell r="D33">
            <v>-2036367.94</v>
          </cell>
        </row>
        <row r="34">
          <cell r="A34" t="str">
            <v>4.3.01.00</v>
          </cell>
          <cell r="B34" t="str">
            <v>SERVICIOS PERSONALES</v>
          </cell>
          <cell r="C34" t="str">
            <v>Bs</v>
          </cell>
          <cell r="D34">
            <v>-803182.24</v>
          </cell>
        </row>
        <row r="35">
          <cell r="A35" t="str">
            <v>4.3.01.01</v>
          </cell>
          <cell r="B35" t="str">
            <v>SUELDOS Y SALARIOS</v>
          </cell>
          <cell r="C35" t="str">
            <v>Bs</v>
          </cell>
          <cell r="D35">
            <v>-600523.25</v>
          </cell>
        </row>
        <row r="36">
          <cell r="A36" t="str">
            <v>4.3.01.02</v>
          </cell>
          <cell r="B36" t="str">
            <v>APORTES PATRONALES</v>
          </cell>
          <cell r="C36" t="str">
            <v>Bs</v>
          </cell>
          <cell r="D36">
            <v>-102901.67</v>
          </cell>
        </row>
        <row r="37">
          <cell r="A37" t="str">
            <v>4.3.01.03</v>
          </cell>
          <cell r="B37" t="str">
            <v>BENEFICIOS SOCIALES</v>
          </cell>
          <cell r="C37" t="str">
            <v>Bs</v>
          </cell>
          <cell r="D37">
            <v>-99757.32</v>
          </cell>
        </row>
        <row r="38">
          <cell r="A38" t="str">
            <v>4.3.02.00</v>
          </cell>
          <cell r="B38" t="str">
            <v>MATERIALES Y SERVICIOS</v>
          </cell>
          <cell r="C38" t="str">
            <v>Bs</v>
          </cell>
          <cell r="D38">
            <v>-132410.15</v>
          </cell>
        </row>
        <row r="39">
          <cell r="A39" t="str">
            <v>4.3.02.01</v>
          </cell>
          <cell r="B39" t="str">
            <v>MATERIALES ALMACEN - COMERCIALIZACION</v>
          </cell>
          <cell r="C39" t="str">
            <v>Bs</v>
          </cell>
          <cell r="D39">
            <v>-132410.15</v>
          </cell>
        </row>
        <row r="40">
          <cell r="A40" t="str">
            <v>4.3.03.00</v>
          </cell>
          <cell r="B40" t="str">
            <v>GASTOS GENERALES</v>
          </cell>
          <cell r="C40" t="str">
            <v>Bs</v>
          </cell>
          <cell r="D40">
            <v>-988293.49</v>
          </cell>
        </row>
        <row r="41">
          <cell r="A41" t="str">
            <v>4.3.03.01</v>
          </cell>
          <cell r="B41" t="str">
            <v>GASTOS GENERALES - COMERCIALIZACION</v>
          </cell>
          <cell r="C41" t="str">
            <v>Bs</v>
          </cell>
          <cell r="D41">
            <v>-988293.49</v>
          </cell>
        </row>
        <row r="42">
          <cell r="A42" t="str">
            <v>4.3.04.00</v>
          </cell>
          <cell r="B42" t="str">
            <v>DEPRECIACION ACTIVO FIJO</v>
          </cell>
          <cell r="C42" t="str">
            <v>Bs</v>
          </cell>
          <cell r="D42">
            <v>-112482.06</v>
          </cell>
        </row>
        <row r="43">
          <cell r="A43" t="str">
            <v>4.3.04.01</v>
          </cell>
          <cell r="B43" t="str">
            <v>DEPREC. ACTIVO FIJO - COMERCIALIZACION</v>
          </cell>
          <cell r="C43" t="str">
            <v>Bs</v>
          </cell>
          <cell r="D43">
            <v>-112482.06</v>
          </cell>
        </row>
        <row r="44">
          <cell r="A44" t="str">
            <v>4.4.00.00</v>
          </cell>
          <cell r="B44" t="str">
            <v>GASTOS FINANCIEROS</v>
          </cell>
          <cell r="C44" t="str">
            <v>Bs</v>
          </cell>
          <cell r="D44">
            <v>-1183277.51</v>
          </cell>
        </row>
        <row r="45">
          <cell r="A45" t="str">
            <v>4.4.01.00</v>
          </cell>
          <cell r="B45" t="str">
            <v>GASTOS FINANCIEROS</v>
          </cell>
          <cell r="C45" t="str">
            <v>Bs</v>
          </cell>
          <cell r="D45">
            <v>-1183277.51</v>
          </cell>
        </row>
        <row r="46">
          <cell r="A46" t="str">
            <v>4.4.01.01</v>
          </cell>
          <cell r="B46" t="str">
            <v>INTERESES</v>
          </cell>
          <cell r="C46" t="str">
            <v>Bs</v>
          </cell>
          <cell r="D46">
            <v>-1163435.75</v>
          </cell>
        </row>
        <row r="47">
          <cell r="A47" t="str">
            <v>4.4.01.02</v>
          </cell>
          <cell r="B47" t="str">
            <v>COMISIONES</v>
          </cell>
          <cell r="C47" t="str">
            <v>Bs</v>
          </cell>
          <cell r="D47">
            <v>-19841.759999999998</v>
          </cell>
        </row>
        <row r="48">
          <cell r="A48" t="str">
            <v>4.5.00.00</v>
          </cell>
          <cell r="B48" t="str">
            <v>GASTOS TRIBUTARIOS</v>
          </cell>
          <cell r="C48" t="str">
            <v>Bs</v>
          </cell>
          <cell r="D48">
            <v>-1657161</v>
          </cell>
        </row>
        <row r="49">
          <cell r="A49" t="str">
            <v>4.5.01.00</v>
          </cell>
          <cell r="B49" t="str">
            <v>GASTOS TRIBUTARIOS</v>
          </cell>
          <cell r="C49" t="str">
            <v>Bs</v>
          </cell>
          <cell r="D49">
            <v>-1657161</v>
          </cell>
        </row>
        <row r="50">
          <cell r="A50" t="str">
            <v>4.5.01.01</v>
          </cell>
          <cell r="B50" t="str">
            <v>IMPUESTO A LAS TRANSACCIONES</v>
          </cell>
          <cell r="C50" t="str">
            <v>Bs</v>
          </cell>
          <cell r="D50">
            <v>-1276276</v>
          </cell>
        </row>
        <row r="51">
          <cell r="A51" t="str">
            <v>4.5.01.04</v>
          </cell>
          <cell r="B51" t="str">
            <v>TASAS Y PATENTES</v>
          </cell>
          <cell r="C51" t="str">
            <v>Bs</v>
          </cell>
          <cell r="D51">
            <v>-1124</v>
          </cell>
        </row>
        <row r="52">
          <cell r="A52" t="str">
            <v>4.5.01.05</v>
          </cell>
          <cell r="B52" t="str">
            <v>PATENTES MINERAS</v>
          </cell>
          <cell r="C52" t="str">
            <v>Bs</v>
          </cell>
          <cell r="D52">
            <v>-2520</v>
          </cell>
        </row>
        <row r="53">
          <cell r="A53" t="str">
            <v>4.5.01.07</v>
          </cell>
          <cell r="B53" t="str">
            <v>MANTENIMIENTO DE VALOR - FACILIDADES DE PAGO</v>
          </cell>
          <cell r="C53" t="str">
            <v>Bs</v>
          </cell>
          <cell r="D53">
            <v>-251686</v>
          </cell>
        </row>
        <row r="54">
          <cell r="A54" t="str">
            <v>4.5.01.08</v>
          </cell>
          <cell r="B54" t="str">
            <v>INTERESES - FACILIDADES DE PAGO</v>
          </cell>
          <cell r="C54" t="str">
            <v>Bs</v>
          </cell>
          <cell r="D54">
            <v>-125555</v>
          </cell>
        </row>
        <row r="55">
          <cell r="A55" t="str">
            <v>4.6.00.00</v>
          </cell>
          <cell r="B55" t="str">
            <v>PERDIDAS Y GANANCIAS</v>
          </cell>
          <cell r="C55" t="str">
            <v>Bs</v>
          </cell>
          <cell r="D55">
            <v>-2441564.71</v>
          </cell>
        </row>
        <row r="56">
          <cell r="A56" t="str">
            <v>4.6.01.00</v>
          </cell>
          <cell r="B56" t="str">
            <v>PERDIDAS Y GANANCIAS</v>
          </cell>
          <cell r="C56" t="str">
            <v>Bs</v>
          </cell>
          <cell r="D56">
            <v>-2441564.71</v>
          </cell>
        </row>
        <row r="57">
          <cell r="A57" t="str">
            <v>4.6.01.01</v>
          </cell>
          <cell r="B57" t="str">
            <v>PERDIDAS Y GANANCIAS</v>
          </cell>
          <cell r="C57" t="str">
            <v>Bs</v>
          </cell>
          <cell r="D57">
            <v>-2243398.84</v>
          </cell>
        </row>
        <row r="58">
          <cell r="A58" t="str">
            <v>4.6.01.02</v>
          </cell>
          <cell r="B58" t="str">
            <v>AJUSTES GESTIONES ANTERIORES</v>
          </cell>
          <cell r="C58" t="str">
            <v>Bs</v>
          </cell>
          <cell r="D58">
            <v>-198165.87</v>
          </cell>
        </row>
        <row r="59">
          <cell r="A59" t="str">
            <v>4.7.00.00</v>
          </cell>
          <cell r="B59" t="str">
            <v>CORRECCION MONETARIA POR INFLACION</v>
          </cell>
          <cell r="C59" t="str">
            <v>Bs</v>
          </cell>
          <cell r="D59">
            <v>100450.42</v>
          </cell>
        </row>
        <row r="60">
          <cell r="A60" t="str">
            <v>4.7.01.00</v>
          </cell>
          <cell r="B60" t="str">
            <v>AJUSTES MONETARIOS POR INFLACION</v>
          </cell>
          <cell r="C60" t="str">
            <v>Bs</v>
          </cell>
          <cell r="D60">
            <v>100450.42</v>
          </cell>
        </row>
        <row r="61">
          <cell r="A61" t="str">
            <v>4.7.01.01</v>
          </cell>
          <cell r="B61" t="str">
            <v>AJUSTE POR INFLACION Y TENENCIA DE BIENE</v>
          </cell>
          <cell r="C61" t="str">
            <v>Bs</v>
          </cell>
          <cell r="D61">
            <v>1677520.83</v>
          </cell>
        </row>
        <row r="62">
          <cell r="A62" t="str">
            <v>4.7.01.02</v>
          </cell>
          <cell r="B62" t="str">
            <v>DIFERENCIAS DE CAMBIO</v>
          </cell>
          <cell r="C62" t="str">
            <v>Bs</v>
          </cell>
          <cell r="D62">
            <v>-1577070.41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44514715.289999999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44514715.289999999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44235384.57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44197842.329999998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37542.239999999998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279330.71999999997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68434.11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205.32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2395.2399999999998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208296.05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-35169456.619999997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-29106507.039999999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-28977814.460000001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-28977814.460000001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-128692.58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-128692.58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-753385.32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-494656.75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-369505.4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-63591.77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-61559.58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-21903.48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-21903.48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-224685.22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-217344.02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-7341.2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-12139.87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-12139.87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-2150087.54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-826858.79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-618634.41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-105721.72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-102502.66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-100645.12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-100645.12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-1110101.52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-1110101.52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-112482.11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-112482.11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-1171166.6200000001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-1171166.6200000001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-1166562.8999999999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-4603.72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-1669831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-1669831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-1533613</v>
          </cell>
        </row>
        <row r="53">
          <cell r="A53" t="str">
            <v>4.5.01.04</v>
          </cell>
          <cell r="B53" t="str">
            <v>TASAS Y PATENTES</v>
          </cell>
          <cell r="C53" t="str">
            <v>Bs</v>
          </cell>
          <cell r="D53">
            <v>-1106</v>
          </cell>
        </row>
        <row r="54">
          <cell r="A54" t="str">
            <v>4.5.01.05</v>
          </cell>
          <cell r="B54" t="str">
            <v>PATENTES MINERAS</v>
          </cell>
          <cell r="C54" t="str">
            <v>Bs</v>
          </cell>
          <cell r="D54">
            <v>-135112</v>
          </cell>
        </row>
        <row r="55">
          <cell r="A55" t="str">
            <v>4.5.01.07</v>
          </cell>
          <cell r="B55" t="str">
            <v>MANTENIMIENTO DE VALOR - FACILIDADES DE PAGO</v>
          </cell>
          <cell r="C55" t="str">
            <v>Bs</v>
          </cell>
          <cell r="D55">
            <v>0</v>
          </cell>
        </row>
        <row r="56">
          <cell r="A56" t="str">
            <v>4.5.01.08</v>
          </cell>
          <cell r="B56" t="str">
            <v>INTERESES - FACILIDADES DE PAGO</v>
          </cell>
          <cell r="C56" t="str">
            <v>Bs</v>
          </cell>
          <cell r="D56">
            <v>0</v>
          </cell>
        </row>
        <row r="57">
          <cell r="A57" t="str">
            <v>4.6.00.00</v>
          </cell>
          <cell r="B57" t="str">
            <v>PERDIDAS Y GANANCIAS</v>
          </cell>
          <cell r="C57" t="str">
            <v>Bs</v>
          </cell>
          <cell r="D57">
            <v>501683.3</v>
          </cell>
        </row>
        <row r="58">
          <cell r="A58" t="str">
            <v>4.6.01.00</v>
          </cell>
          <cell r="B58" t="str">
            <v>PERDIDAS Y GANANCIAS</v>
          </cell>
          <cell r="C58" t="str">
            <v>Bs</v>
          </cell>
          <cell r="D58">
            <v>501683.3</v>
          </cell>
        </row>
        <row r="59">
          <cell r="A59" t="str">
            <v>4.6.01.01</v>
          </cell>
          <cell r="B59" t="str">
            <v>PERDIDAS Y GANANCIAS</v>
          </cell>
          <cell r="C59" t="str">
            <v>Bs</v>
          </cell>
          <cell r="D59">
            <v>533787.78</v>
          </cell>
        </row>
        <row r="60">
          <cell r="A60" t="str">
            <v>4.6.01.02</v>
          </cell>
          <cell r="B60" t="str">
            <v>AJUSTES GESTIONES ANTERIORES</v>
          </cell>
          <cell r="C60" t="str">
            <v>Bs</v>
          </cell>
          <cell r="D60">
            <v>-32104.48</v>
          </cell>
        </row>
        <row r="61">
          <cell r="A61" t="str">
            <v>4.7.00.00</v>
          </cell>
          <cell r="B61" t="str">
            <v>CORRECCION MONETARIA POR INFLACION</v>
          </cell>
          <cell r="C61" t="str">
            <v>Bs</v>
          </cell>
          <cell r="D61">
            <v>-820162.4</v>
          </cell>
        </row>
        <row r="62">
          <cell r="A62" t="str">
            <v>4.7.01.00</v>
          </cell>
          <cell r="B62" t="str">
            <v>AJUSTES MONETARIOS POR INFLACION</v>
          </cell>
          <cell r="C62" t="str">
            <v>Bs</v>
          </cell>
          <cell r="D62">
            <v>-820162.4</v>
          </cell>
        </row>
        <row r="63">
          <cell r="A63" t="str">
            <v>4.7.01.01</v>
          </cell>
          <cell r="B63" t="str">
            <v>AJUSTE POR INFLACION Y TENENCIA DE BIENE</v>
          </cell>
          <cell r="C63" t="str">
            <v>Bs</v>
          </cell>
          <cell r="D63">
            <v>1725959.21</v>
          </cell>
        </row>
        <row r="64">
          <cell r="A64" t="str">
            <v>4.7.01.02</v>
          </cell>
          <cell r="B64" t="str">
            <v>DIFERENCIAS DE CAMBIO</v>
          </cell>
          <cell r="C64" t="str">
            <v>Bs</v>
          </cell>
          <cell r="D64">
            <v>-2546121.61</v>
          </cell>
        </row>
        <row r="65">
          <cell r="A65" t="str">
            <v>***TOTAL UTILIDAD(+)/PERDIDA(-)***</v>
          </cell>
          <cell r="C65" t="str">
            <v>Bs</v>
          </cell>
          <cell r="D65">
            <v>9345258.6699999999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4">
          <cell r="A4" t="str">
            <v>CODIGO</v>
          </cell>
          <cell r="B4" t="str">
            <v>NOMBRE DE LA CUENTA</v>
          </cell>
          <cell r="C4" t="str">
            <v>MONEDA</v>
          </cell>
          <cell r="D4" t="str">
            <v>EJECUTADO</v>
          </cell>
        </row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39451055.880000003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39451055.880000003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39029367.32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39029367.32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421688.56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48570.64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2184.69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370933.23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-32749458.32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-26748165.920000002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-26622477.210000001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-26622477.210000001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-125688.71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-125688.71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-1268038.97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-484854.77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-388240.7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-66815.94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-29798.13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-10666.08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-10666.08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-760378.24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-749476.11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-136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-10766.13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-12139.88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-12139.88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-2151965.6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-842007.22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-686619.33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-111299.69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-44088.2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-139294.01999999999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-139294.01999999999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-1071272.99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-1071272.99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-99391.37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-99391.37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-1089673.06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-1089673.06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-1086483.1100000001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-3189.95</v>
          </cell>
        </row>
        <row r="51">
          <cell r="A51" t="str">
            <v>4.5.00.00</v>
          </cell>
          <cell r="B51" t="str">
            <v>GASTOS TRIBUTARIOS</v>
          </cell>
          <cell r="C51" t="str">
            <v>Bs</v>
          </cell>
          <cell r="D51">
            <v>-1573809.6</v>
          </cell>
        </row>
        <row r="52">
          <cell r="A52" t="str">
            <v>4.5.01.00</v>
          </cell>
          <cell r="B52" t="str">
            <v>GASTOS TRIBUTARIOS</v>
          </cell>
          <cell r="C52" t="str">
            <v>Bs</v>
          </cell>
          <cell r="D52">
            <v>-1573809.6</v>
          </cell>
        </row>
        <row r="53">
          <cell r="A53" t="str">
            <v>4.5.01.01</v>
          </cell>
          <cell r="B53" t="str">
            <v>IMPUESTO A LAS TRANSACCIONES</v>
          </cell>
          <cell r="C53" t="str">
            <v>Bs</v>
          </cell>
          <cell r="D53">
            <v>-1354877.66</v>
          </cell>
        </row>
        <row r="54">
          <cell r="A54" t="str">
            <v>4.5.01.02</v>
          </cell>
          <cell r="B54" t="str">
            <v>IMPUESTO A LA PROPIEDAD DE BIENES INMUEB</v>
          </cell>
          <cell r="C54" t="str">
            <v>Bs</v>
          </cell>
          <cell r="D54">
            <v>-14194</v>
          </cell>
        </row>
        <row r="55">
          <cell r="A55" t="str">
            <v>4.5.01.04</v>
          </cell>
          <cell r="B55" t="str">
            <v>TASAS Y PATENTES</v>
          </cell>
          <cell r="C55" t="str">
            <v>Bs</v>
          </cell>
          <cell r="D55">
            <v>-2541</v>
          </cell>
        </row>
        <row r="56">
          <cell r="A56" t="str">
            <v>4.5.01.05</v>
          </cell>
          <cell r="B56" t="str">
            <v>PATENTES MINERAS</v>
          </cell>
          <cell r="C56" t="str">
            <v>Bs</v>
          </cell>
          <cell r="D56">
            <v>-198313</v>
          </cell>
        </row>
        <row r="57">
          <cell r="A57" t="str">
            <v>4.5.01.06</v>
          </cell>
          <cell r="B57" t="str">
            <v>IMPUESTO A LAS TRANSAC. FINANCIERAS</v>
          </cell>
          <cell r="C57" t="str">
            <v>Bs</v>
          </cell>
          <cell r="D57">
            <v>-3883.94</v>
          </cell>
        </row>
        <row r="58">
          <cell r="A58" t="str">
            <v>4.5.01.07</v>
          </cell>
          <cell r="B58" t="str">
            <v>MANTENIMIENTO DE VALOR - FACILIDADES DE PAGO</v>
          </cell>
          <cell r="C58" t="str">
            <v>Bs</v>
          </cell>
          <cell r="D58">
            <v>0</v>
          </cell>
        </row>
        <row r="59">
          <cell r="A59" t="str">
            <v>4.5.01.08</v>
          </cell>
          <cell r="B59" t="str">
            <v>INTERESES - FACILIDADES DE PAGO</v>
          </cell>
          <cell r="C59" t="str">
            <v>Bs</v>
          </cell>
          <cell r="D59">
            <v>0</v>
          </cell>
        </row>
        <row r="60">
          <cell r="A60" t="str">
            <v>4.6.00.00</v>
          </cell>
          <cell r="B60" t="str">
            <v>PERDIDAS Y GANANCIAS</v>
          </cell>
          <cell r="C60" t="str">
            <v>Bs</v>
          </cell>
          <cell r="D60">
            <v>-124328.92</v>
          </cell>
        </row>
        <row r="61">
          <cell r="A61" t="str">
            <v>4.6.01.00</v>
          </cell>
          <cell r="B61" t="str">
            <v>PERDIDAS Y GANANCIAS</v>
          </cell>
          <cell r="C61" t="str">
            <v>Bs</v>
          </cell>
          <cell r="D61">
            <v>-124328.92</v>
          </cell>
        </row>
        <row r="62">
          <cell r="A62" t="str">
            <v>4.6.01.01</v>
          </cell>
          <cell r="B62" t="str">
            <v>PERDIDAS Y GANANCIAS</v>
          </cell>
          <cell r="C62" t="str">
            <v>Bs</v>
          </cell>
          <cell r="D62">
            <v>-113371.52</v>
          </cell>
        </row>
        <row r="63">
          <cell r="A63" t="str">
            <v>4.6.01.02</v>
          </cell>
          <cell r="B63" t="str">
            <v>AJUSTES GESTIONES ANTERIORES</v>
          </cell>
          <cell r="C63" t="str">
            <v>Bs</v>
          </cell>
          <cell r="D63">
            <v>-10957.4</v>
          </cell>
        </row>
        <row r="64">
          <cell r="A64" t="str">
            <v>4.7.00.00</v>
          </cell>
          <cell r="B64" t="str">
            <v>CORRECCION MONETARIA POR INFLACION</v>
          </cell>
          <cell r="C64" t="str">
            <v>Bs</v>
          </cell>
          <cell r="D64">
            <v>206523.75</v>
          </cell>
        </row>
        <row r="65">
          <cell r="A65" t="str">
            <v>4.7.01.00</v>
          </cell>
          <cell r="B65" t="str">
            <v>AJUSTES MONETARIOS POR INFLACION</v>
          </cell>
          <cell r="C65" t="str">
            <v>Bs</v>
          </cell>
          <cell r="D65">
            <v>206523.75</v>
          </cell>
        </row>
        <row r="66">
          <cell r="A66" t="str">
            <v>4.7.01.01</v>
          </cell>
          <cell r="B66" t="str">
            <v>AJUSTE POR INFLACION Y TENENCIA DE BIENE</v>
          </cell>
          <cell r="C66" t="str">
            <v>Bs</v>
          </cell>
          <cell r="D66">
            <v>1957678.88</v>
          </cell>
        </row>
        <row r="67">
          <cell r="A67" t="str">
            <v>4.7.01.02</v>
          </cell>
          <cell r="B67" t="str">
            <v>DIFERENCIAS DE CAMBIO</v>
          </cell>
          <cell r="C67" t="str">
            <v>Bs</v>
          </cell>
          <cell r="D67">
            <v>-1751155.13</v>
          </cell>
        </row>
        <row r="68">
          <cell r="A68" t="str">
            <v>***TOTAL UTILIDAD(+)/PERDIDA(-)***</v>
          </cell>
          <cell r="C68" t="str">
            <v>Bs</v>
          </cell>
          <cell r="D68">
            <v>6701597.5599999996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4">
          <cell r="A4" t="str">
            <v>CODIGO</v>
          </cell>
          <cell r="B4" t="str">
            <v>NOMBRE DE LA CUENTA</v>
          </cell>
          <cell r="C4" t="str">
            <v>MONEDA</v>
          </cell>
          <cell r="D4" t="str">
            <v>EJECUTADO</v>
          </cell>
        </row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54517969.109999999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54517969.109999999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54197570.82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54197570.82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320398.28999999998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55375.72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3502.33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261520.24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-37918660.789999999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-28476868.149999999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-28321244.260000002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-28321244.260000002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-155623.89000000001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-155623.89000000001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-883562.16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-474485.5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-354745.47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-60841.53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-58898.5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-7040.93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-7040.93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-389895.86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-378960.76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0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-10935.1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-12139.87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-12139.87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-2082448.3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-821566.89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-615177.96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-104870.27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-101518.66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-189957.67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-189957.67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-971532.38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-971532.38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-99391.360000000001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-99391.360000000001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-1196803.3999999999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-1196803.3999999999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-1192156.75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-4646.6499999999996</v>
          </cell>
        </row>
        <row r="51">
          <cell r="A51" t="str">
            <v>4.5.00.00</v>
          </cell>
          <cell r="B51" t="str">
            <v>GASTOS TRIBUTARIOS</v>
          </cell>
          <cell r="C51" t="str">
            <v>Bs</v>
          </cell>
          <cell r="D51">
            <v>-2668229.71</v>
          </cell>
        </row>
        <row r="52">
          <cell r="A52" t="str">
            <v>4.5.01.00</v>
          </cell>
          <cell r="B52" t="str">
            <v>GASTOS TRIBUTARIOS</v>
          </cell>
          <cell r="C52" t="str">
            <v>Bs</v>
          </cell>
          <cell r="D52">
            <v>-2668229.71</v>
          </cell>
        </row>
        <row r="53">
          <cell r="A53" t="str">
            <v>4.5.01.01</v>
          </cell>
          <cell r="B53" t="str">
            <v>IMPUESTO A LAS TRANSACCIONES</v>
          </cell>
          <cell r="C53" t="str">
            <v>Bs</v>
          </cell>
          <cell r="D53">
            <v>-1879766.1</v>
          </cell>
        </row>
        <row r="54">
          <cell r="A54" t="str">
            <v>4.5.01.02</v>
          </cell>
          <cell r="B54" t="str">
            <v>IMPUESTO A LA PROPIEDAD DE BIENES INMUEB</v>
          </cell>
          <cell r="C54" t="str">
            <v>Bs</v>
          </cell>
          <cell r="D54">
            <v>0</v>
          </cell>
        </row>
        <row r="55">
          <cell r="A55" t="str">
            <v>4.5.01.04</v>
          </cell>
          <cell r="B55" t="str">
            <v>TASAS Y PATENTES</v>
          </cell>
          <cell r="C55" t="str">
            <v>Bs</v>
          </cell>
          <cell r="D55">
            <v>0</v>
          </cell>
        </row>
        <row r="56">
          <cell r="A56" t="str">
            <v>4.5.01.05</v>
          </cell>
          <cell r="B56" t="str">
            <v>PATENTES MINERAS</v>
          </cell>
          <cell r="C56" t="str">
            <v>Bs</v>
          </cell>
          <cell r="D56">
            <v>-296075</v>
          </cell>
        </row>
        <row r="57">
          <cell r="A57" t="str">
            <v>4.5.01.06</v>
          </cell>
          <cell r="B57" t="str">
            <v>IMPUESTO A LAS TRANSAC. FINANCIERAS</v>
          </cell>
          <cell r="C57" t="str">
            <v>Bs</v>
          </cell>
          <cell r="D57">
            <v>-12099.61</v>
          </cell>
        </row>
        <row r="58">
          <cell r="A58" t="str">
            <v>4.5.01.07</v>
          </cell>
          <cell r="B58" t="str">
            <v>MANTENIMIENTO DE VALOR - FACILIDADES DE PAGO</v>
          </cell>
          <cell r="C58" t="str">
            <v>Bs</v>
          </cell>
          <cell r="D58">
            <v>-338956</v>
          </cell>
        </row>
        <row r="59">
          <cell r="A59" t="str">
            <v>4.5.01.08</v>
          </cell>
          <cell r="B59" t="str">
            <v>INTERESES - FACILIDADES DE PAGO</v>
          </cell>
          <cell r="C59" t="str">
            <v>Bs</v>
          </cell>
          <cell r="D59">
            <v>-141333</v>
          </cell>
        </row>
        <row r="60">
          <cell r="A60" t="str">
            <v>4.6.00.00</v>
          </cell>
          <cell r="B60" t="str">
            <v>PERDIDAS Y GANANCIAS</v>
          </cell>
          <cell r="C60" t="str">
            <v>Bs</v>
          </cell>
          <cell r="D60">
            <v>-454029.7</v>
          </cell>
        </row>
        <row r="61">
          <cell r="A61" t="str">
            <v>4.6.01.00</v>
          </cell>
          <cell r="B61" t="str">
            <v>PERDIDAS Y GANANCIAS</v>
          </cell>
          <cell r="C61" t="str">
            <v>Bs</v>
          </cell>
          <cell r="D61">
            <v>-454029.7</v>
          </cell>
        </row>
        <row r="62">
          <cell r="A62" t="str">
            <v>4.6.01.01</v>
          </cell>
          <cell r="B62" t="str">
            <v>PERDIDAS Y GANANCIAS</v>
          </cell>
          <cell r="C62" t="str">
            <v>Bs</v>
          </cell>
          <cell r="D62">
            <v>-449113.75</v>
          </cell>
        </row>
        <row r="63">
          <cell r="A63" t="str">
            <v>4.6.01.02</v>
          </cell>
          <cell r="B63" t="str">
            <v>AJUSTES GESTIONES ANTERIORES</v>
          </cell>
          <cell r="C63" t="str">
            <v>Bs</v>
          </cell>
          <cell r="D63">
            <v>-4915.95</v>
          </cell>
        </row>
        <row r="64">
          <cell r="A64" t="str">
            <v>4.7.00.00</v>
          </cell>
          <cell r="B64" t="str">
            <v>CORRECCION MONETARIA POR INFLACION</v>
          </cell>
          <cell r="C64" t="str">
            <v>Bs</v>
          </cell>
          <cell r="D64">
            <v>-2156719.37</v>
          </cell>
        </row>
        <row r="65">
          <cell r="A65" t="str">
            <v>4.7.01.00</v>
          </cell>
          <cell r="B65" t="str">
            <v>AJUSTES MONETARIOS POR INFLACION</v>
          </cell>
          <cell r="C65" t="str">
            <v>Bs</v>
          </cell>
          <cell r="D65">
            <v>-2156719.37</v>
          </cell>
        </row>
        <row r="66">
          <cell r="A66" t="str">
            <v>4.7.01.01</v>
          </cell>
          <cell r="B66" t="str">
            <v>AJUSTE POR INFLACION Y TENENCIA DE BIENE</v>
          </cell>
          <cell r="C66" t="str">
            <v>Bs</v>
          </cell>
          <cell r="D66">
            <v>2443898.58</v>
          </cell>
        </row>
        <row r="67">
          <cell r="A67" t="str">
            <v>4.7.01.02</v>
          </cell>
          <cell r="B67" t="str">
            <v>DIFERENCIAS DE CAMBIO</v>
          </cell>
          <cell r="C67" t="str">
            <v>Bs</v>
          </cell>
          <cell r="D67">
            <v>-4600617.95</v>
          </cell>
        </row>
        <row r="68">
          <cell r="A68" t="str">
            <v>***TOTAL UTILIDAD(+)/PERDIDA(-)***</v>
          </cell>
          <cell r="C68" t="str">
            <v>Bs</v>
          </cell>
          <cell r="D68">
            <v>16599308.32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4">
          <cell r="A4" t="str">
            <v>CODIGO</v>
          </cell>
          <cell r="B4" t="str">
            <v>NOMBRE DE LA CUENTA</v>
          </cell>
          <cell r="C4" t="str">
            <v>MONEDA</v>
          </cell>
          <cell r="D4" t="str">
            <v>EJECUTADO</v>
          </cell>
        </row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24668107.719999999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24668107.719999999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24291089.52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24268121.52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22968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377018.2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167136.71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60.9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28456.83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181363.76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-25399220.440000001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-19961082.350000001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-19717214.890000001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-19717214.890000001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-243867.46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-243867.46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-1308160.83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-490892.14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-365690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-63617.56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-61584.58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-19688.84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-19688.84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-785439.98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-773800.6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0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-11639.38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-12139.87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-12139.87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-1909851.08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-866754.47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-647097.78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-111611.85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-108044.84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-191882.57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-191882.57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-751822.67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-751822.67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-99391.37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-99391.37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-1193736.7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-1193736.7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-1115821.4099999999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-77915.289999999994</v>
          </cell>
        </row>
        <row r="51">
          <cell r="A51" t="str">
            <v>4.5.00.00</v>
          </cell>
          <cell r="B51" t="str">
            <v>GASTOS TRIBUTARIOS</v>
          </cell>
          <cell r="C51" t="str">
            <v>Bs</v>
          </cell>
          <cell r="D51">
            <v>-1232903.27</v>
          </cell>
        </row>
        <row r="52">
          <cell r="A52" t="str">
            <v>4.5.01.00</v>
          </cell>
          <cell r="B52" t="str">
            <v>GASTOS TRIBUTARIOS</v>
          </cell>
          <cell r="C52" t="str">
            <v>Bs</v>
          </cell>
          <cell r="D52">
            <v>-1232903.27</v>
          </cell>
        </row>
        <row r="53">
          <cell r="A53" t="str">
            <v>4.5.01.01</v>
          </cell>
          <cell r="B53" t="str">
            <v>IMPUESTO A LAS TRANSACCIONES</v>
          </cell>
          <cell r="C53" t="str">
            <v>Bs</v>
          </cell>
          <cell r="D53">
            <v>-848851.13</v>
          </cell>
        </row>
        <row r="54">
          <cell r="A54" t="str">
            <v>4.5.01.02</v>
          </cell>
          <cell r="B54" t="str">
            <v>IMPUESTO A LA PROPIEDAD DE BIENES INMUEB</v>
          </cell>
          <cell r="C54" t="str">
            <v>Bs</v>
          </cell>
          <cell r="D54">
            <v>0</v>
          </cell>
        </row>
        <row r="55">
          <cell r="A55" t="str">
            <v>4.5.01.04</v>
          </cell>
          <cell r="B55" t="str">
            <v>TASAS Y PATENTES</v>
          </cell>
          <cell r="C55" t="str">
            <v>Bs</v>
          </cell>
          <cell r="D55">
            <v>0</v>
          </cell>
        </row>
        <row r="56">
          <cell r="A56" t="str">
            <v>4.5.01.05</v>
          </cell>
          <cell r="B56" t="str">
            <v>PATENTES MINERAS</v>
          </cell>
          <cell r="C56" t="str">
            <v>Bs</v>
          </cell>
          <cell r="D56">
            <v>-180735</v>
          </cell>
        </row>
        <row r="57">
          <cell r="A57" t="str">
            <v>4.5.01.06</v>
          </cell>
          <cell r="B57" t="str">
            <v>IMPUESTO A LAS TRANSAC. FINANCIERAS</v>
          </cell>
          <cell r="C57" t="str">
            <v>Bs</v>
          </cell>
          <cell r="D57">
            <v>-14720.14</v>
          </cell>
        </row>
        <row r="58">
          <cell r="A58" t="str">
            <v>4.5.01.07</v>
          </cell>
          <cell r="B58" t="str">
            <v>MANTENIMIENTO DE VALOR - FACILIDADES DE PAGO</v>
          </cell>
          <cell r="C58" t="str">
            <v>Bs</v>
          </cell>
          <cell r="D58">
            <v>-121722</v>
          </cell>
        </row>
        <row r="59">
          <cell r="A59" t="str">
            <v>4.5.01.08</v>
          </cell>
          <cell r="B59" t="str">
            <v>INTERESES - FACILIDADES DE PAGO</v>
          </cell>
          <cell r="C59" t="str">
            <v>Bs</v>
          </cell>
          <cell r="D59">
            <v>-66875</v>
          </cell>
        </row>
        <row r="60">
          <cell r="A60" t="str">
            <v>4.6.00.00</v>
          </cell>
          <cell r="B60" t="str">
            <v>PERDIDAS Y GANANCIAS</v>
          </cell>
          <cell r="C60" t="str">
            <v>Bs</v>
          </cell>
          <cell r="D60">
            <v>-23329.43</v>
          </cell>
        </row>
        <row r="61">
          <cell r="A61" t="str">
            <v>4.6.01.00</v>
          </cell>
          <cell r="B61" t="str">
            <v>PERDIDAS Y GANANCIAS</v>
          </cell>
          <cell r="C61" t="str">
            <v>Bs</v>
          </cell>
          <cell r="D61">
            <v>-23329.43</v>
          </cell>
        </row>
        <row r="62">
          <cell r="A62" t="str">
            <v>4.6.01.01</v>
          </cell>
          <cell r="B62" t="str">
            <v>PERDIDAS Y GANANCIAS</v>
          </cell>
          <cell r="C62" t="str">
            <v>Bs</v>
          </cell>
          <cell r="D62">
            <v>17468.419999999998</v>
          </cell>
        </row>
        <row r="63">
          <cell r="A63" t="str">
            <v>4.6.01.02</v>
          </cell>
          <cell r="B63" t="str">
            <v>AJUSTES GESTIONES ANTERIORES</v>
          </cell>
          <cell r="C63" t="str">
            <v>Bs</v>
          </cell>
          <cell r="D63">
            <v>-40797.85</v>
          </cell>
        </row>
        <row r="64">
          <cell r="A64" t="str">
            <v>4.7.00.00</v>
          </cell>
          <cell r="B64" t="str">
            <v>CORRECCION MONETARIA POR INFLACION</v>
          </cell>
          <cell r="C64" t="str">
            <v>Bs</v>
          </cell>
          <cell r="D64">
            <v>229843.22</v>
          </cell>
        </row>
        <row r="65">
          <cell r="A65" t="str">
            <v>4.7.01.00</v>
          </cell>
          <cell r="B65" t="str">
            <v>AJUSTES MONETARIOS POR INFLACION</v>
          </cell>
          <cell r="C65" t="str">
            <v>Bs</v>
          </cell>
          <cell r="D65">
            <v>229843.22</v>
          </cell>
        </row>
        <row r="66">
          <cell r="A66" t="str">
            <v>4.7.01.01</v>
          </cell>
          <cell r="B66" t="str">
            <v>AJUSTE POR INFLACION Y TENENCIA DE BIENE</v>
          </cell>
          <cell r="C66" t="str">
            <v>Bs</v>
          </cell>
          <cell r="D66">
            <v>2660244</v>
          </cell>
        </row>
        <row r="67">
          <cell r="A67" t="str">
            <v>4.7.01.02</v>
          </cell>
          <cell r="B67" t="str">
            <v>DIFERENCIAS DE CAMBIO</v>
          </cell>
          <cell r="C67" t="str">
            <v>Bs</v>
          </cell>
          <cell r="D67">
            <v>-2430400.7799999998</v>
          </cell>
        </row>
        <row r="68">
          <cell r="A68" t="str">
            <v>***TOTAL UTILIDAD(+)/PERDIDA(-)***</v>
          </cell>
          <cell r="C68" t="str">
            <v>Bs</v>
          </cell>
          <cell r="D68">
            <v>-731112.72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4">
          <cell r="A4" t="str">
            <v>CODIGO</v>
          </cell>
          <cell r="B4" t="str">
            <v>NOMBRE DE LA CUENTA</v>
          </cell>
          <cell r="C4" t="str">
            <v>MONEDA</v>
          </cell>
          <cell r="D4" t="str">
            <v>EJECUTADO</v>
          </cell>
        </row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52633135.039999999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52633135.039999999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51938199.030000001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51938199.030000001</v>
          </cell>
        </row>
        <row r="10">
          <cell r="A10" t="str">
            <v>3.1.01.03</v>
          </cell>
          <cell r="B10" t="str">
            <v>INGRESOS POR EXPORTACIONES</v>
          </cell>
          <cell r="C10" t="str">
            <v>Bs</v>
          </cell>
          <cell r="D10">
            <v>0</v>
          </cell>
        </row>
        <row r="11">
          <cell r="A11" t="str">
            <v>3.1.02.00</v>
          </cell>
          <cell r="B11" t="str">
            <v>INGRESOS NO OPERATIVOS</v>
          </cell>
          <cell r="C11" t="str">
            <v>Bs</v>
          </cell>
          <cell r="D11">
            <v>694936.01</v>
          </cell>
        </row>
        <row r="12">
          <cell r="A12" t="str">
            <v>3.1.02.01</v>
          </cell>
          <cell r="B12" t="str">
            <v>INGRESOS POR VENTA DE MATERIALES Y DESEC</v>
          </cell>
          <cell r="C12" t="str">
            <v>Bs</v>
          </cell>
          <cell r="D12">
            <v>112111.89</v>
          </cell>
        </row>
        <row r="13">
          <cell r="A13" t="str">
            <v>3.1.02.02</v>
          </cell>
          <cell r="B13" t="str">
            <v>INGRESOS POR VENTA DE ACTIVOS FIJOS</v>
          </cell>
          <cell r="C13" t="str">
            <v>Bs</v>
          </cell>
          <cell r="D13">
            <v>0</v>
          </cell>
        </row>
        <row r="14">
          <cell r="A14" t="str">
            <v>3.1.02.03</v>
          </cell>
          <cell r="B14" t="str">
            <v>INGRESOS FINANCIEROS</v>
          </cell>
          <cell r="C14" t="str">
            <v>Bs</v>
          </cell>
          <cell r="D14">
            <v>58623.19</v>
          </cell>
        </row>
        <row r="15">
          <cell r="A15" t="str">
            <v>3.1.02.04</v>
          </cell>
          <cell r="B15" t="str">
            <v>OTROS INGRESOS</v>
          </cell>
          <cell r="C15" t="str">
            <v>Bs</v>
          </cell>
          <cell r="D15">
            <v>524200.93</v>
          </cell>
        </row>
        <row r="16">
          <cell r="A16" t="str">
            <v>4.0.00.00</v>
          </cell>
          <cell r="B16" t="str">
            <v>EGRESOS</v>
          </cell>
          <cell r="C16" t="str">
            <v>Bs</v>
          </cell>
          <cell r="D16">
            <v>-39768879.350000001</v>
          </cell>
        </row>
        <row r="18">
          <cell r="A18" t="str">
            <v>4.1.00.00</v>
          </cell>
          <cell r="B18" t="str">
            <v>COSTO DE VENTAS</v>
          </cell>
          <cell r="C18" t="str">
            <v>Bs</v>
          </cell>
          <cell r="D18">
            <v>-22927242.530000001</v>
          </cell>
        </row>
        <row r="19">
          <cell r="A19" t="str">
            <v>4.1.01.00</v>
          </cell>
          <cell r="B19" t="str">
            <v>COSTO DE PRODUCCION DE LO VENDIDO</v>
          </cell>
          <cell r="C19" t="str">
            <v>Bs</v>
          </cell>
          <cell r="D19">
            <v>-22819444.010000002</v>
          </cell>
        </row>
        <row r="20">
          <cell r="A20" t="str">
            <v>4.1.01.01</v>
          </cell>
          <cell r="B20" t="str">
            <v>COSTO DE PRODUCCION DE LO VENDIDO</v>
          </cell>
          <cell r="C20" t="str">
            <v>Bs</v>
          </cell>
          <cell r="D20">
            <v>-22819444.010000002</v>
          </cell>
        </row>
        <row r="21">
          <cell r="A21" t="str">
            <v>4.1.02.00</v>
          </cell>
          <cell r="B21" t="str">
            <v>EGRESOS NO OPERATIVOS</v>
          </cell>
          <cell r="C21" t="str">
            <v>Bs</v>
          </cell>
          <cell r="D21">
            <v>-107798.52</v>
          </cell>
        </row>
        <row r="22">
          <cell r="A22" t="str">
            <v>4.1.02.01</v>
          </cell>
          <cell r="B22" t="str">
            <v>EGRESOS NO OPERATIVOS</v>
          </cell>
          <cell r="C22" t="str">
            <v>Bs</v>
          </cell>
          <cell r="D22">
            <v>-107798.52</v>
          </cell>
        </row>
        <row r="23">
          <cell r="A23" t="str">
            <v>4.2.00.00</v>
          </cell>
          <cell r="B23" t="str">
            <v>GASTOS DE ADMINISTRACION</v>
          </cell>
          <cell r="C23" t="str">
            <v>Bs</v>
          </cell>
          <cell r="D23">
            <v>-1228978.45</v>
          </cell>
        </row>
        <row r="24">
          <cell r="A24" t="str">
            <v>4.2.01.00</v>
          </cell>
          <cell r="B24" t="str">
            <v>SERVICIOS PERSONALES</v>
          </cell>
          <cell r="C24" t="str">
            <v>Bs</v>
          </cell>
          <cell r="D24">
            <v>-462309.52</v>
          </cell>
        </row>
        <row r="25">
          <cell r="A25" t="str">
            <v>4.2.01.01</v>
          </cell>
          <cell r="B25" t="str">
            <v>SUELDOS Y SALARIOS</v>
          </cell>
          <cell r="C25" t="str">
            <v>Bs</v>
          </cell>
          <cell r="D25">
            <v>-354147.14</v>
          </cell>
        </row>
        <row r="26">
          <cell r="A26" t="str">
            <v>4.2.01.02</v>
          </cell>
          <cell r="B26" t="str">
            <v>APORTES PATRONALES</v>
          </cell>
          <cell r="C26" t="str">
            <v>Bs</v>
          </cell>
          <cell r="D26">
            <v>-61516.69</v>
          </cell>
        </row>
        <row r="27">
          <cell r="A27" t="str">
            <v>4.2.01.03</v>
          </cell>
          <cell r="B27" t="str">
            <v>BENEFICIOS SOCIALES</v>
          </cell>
          <cell r="C27" t="str">
            <v>Bs</v>
          </cell>
          <cell r="D27">
            <v>-46645.69</v>
          </cell>
        </row>
        <row r="28">
          <cell r="A28" t="str">
            <v>4.2.02.00</v>
          </cell>
          <cell r="B28" t="str">
            <v>MATERIALES Y SERVICIOS</v>
          </cell>
          <cell r="C28" t="str">
            <v>Bs</v>
          </cell>
          <cell r="D28">
            <v>-12701.4</v>
          </cell>
        </row>
        <row r="29">
          <cell r="A29" t="str">
            <v>4.2.02.01</v>
          </cell>
          <cell r="B29" t="str">
            <v>MATERIALES DE ALMACEN</v>
          </cell>
          <cell r="C29" t="str">
            <v>Bs</v>
          </cell>
          <cell r="D29">
            <v>-12701.4</v>
          </cell>
        </row>
        <row r="30">
          <cell r="A30" t="str">
            <v>4.2.03.00</v>
          </cell>
          <cell r="B30" t="str">
            <v>GASTOS GENERALES</v>
          </cell>
          <cell r="C30" t="str">
            <v>Bs</v>
          </cell>
          <cell r="D30">
            <v>-741827.66</v>
          </cell>
        </row>
        <row r="31">
          <cell r="A31" t="str">
            <v>4.2.03.01</v>
          </cell>
          <cell r="B31" t="str">
            <v>GASTOS GENERALES</v>
          </cell>
          <cell r="C31" t="str">
            <v>Bs</v>
          </cell>
          <cell r="D31">
            <v>-739604.59</v>
          </cell>
        </row>
        <row r="32">
          <cell r="A32" t="str">
            <v>4.2.03.02</v>
          </cell>
          <cell r="B32" t="str">
            <v>OTROS GASTOS</v>
          </cell>
          <cell r="C32" t="str">
            <v>Bs</v>
          </cell>
          <cell r="D32">
            <v>-570</v>
          </cell>
        </row>
        <row r="33">
          <cell r="A33" t="str">
            <v>4.2.03.03</v>
          </cell>
          <cell r="B33" t="str">
            <v>AYUDA COMUNITARIA</v>
          </cell>
          <cell r="C33" t="str">
            <v>Bs</v>
          </cell>
          <cell r="D33">
            <v>-1653.07</v>
          </cell>
        </row>
        <row r="34">
          <cell r="A34" t="str">
            <v>4.2.04.00</v>
          </cell>
          <cell r="B34" t="str">
            <v>DEPRECIACION ACTIVO FIJO</v>
          </cell>
          <cell r="C34" t="str">
            <v>Bs</v>
          </cell>
          <cell r="D34">
            <v>-12139.87</v>
          </cell>
        </row>
        <row r="35">
          <cell r="A35" t="str">
            <v>4.2.04.01</v>
          </cell>
          <cell r="B35" t="str">
            <v>DEPRECIACION ACTIVO FIJO</v>
          </cell>
          <cell r="C35" t="str">
            <v>Bs</v>
          </cell>
          <cell r="D35">
            <v>-12139.87</v>
          </cell>
        </row>
        <row r="36">
          <cell r="A36" t="str">
            <v>4.3.00.00</v>
          </cell>
          <cell r="B36" t="str">
            <v>GASTOS DE COMERCIALIZACION</v>
          </cell>
          <cell r="C36" t="str">
            <v>Bs</v>
          </cell>
          <cell r="D36">
            <v>-2215088.13</v>
          </cell>
        </row>
        <row r="37">
          <cell r="A37" t="str">
            <v>4.3.01.00</v>
          </cell>
          <cell r="B37" t="str">
            <v>SERVICIOS PERSONALES</v>
          </cell>
          <cell r="C37" t="str">
            <v>Bs</v>
          </cell>
          <cell r="D37">
            <v>-949521.61</v>
          </cell>
        </row>
        <row r="38">
          <cell r="A38" t="str">
            <v>4.3.01.01</v>
          </cell>
          <cell r="B38" t="str">
            <v>SUELDOS Y SALARIOS</v>
          </cell>
          <cell r="C38" t="str">
            <v>Bs</v>
          </cell>
          <cell r="D38">
            <v>-648451.6</v>
          </cell>
        </row>
        <row r="39">
          <cell r="A39" t="str">
            <v>4.3.01.02</v>
          </cell>
          <cell r="B39" t="str">
            <v>APORTES PATRONALES</v>
          </cell>
          <cell r="C39" t="str">
            <v>Bs</v>
          </cell>
          <cell r="D39">
            <v>-111284.63</v>
          </cell>
        </row>
        <row r="40">
          <cell r="A40" t="str">
            <v>4.3.01.03</v>
          </cell>
          <cell r="B40" t="str">
            <v>BENEFICIOS SOCIALES</v>
          </cell>
          <cell r="C40" t="str">
            <v>Bs</v>
          </cell>
          <cell r="D40">
            <v>-189785.38</v>
          </cell>
        </row>
        <row r="41">
          <cell r="A41" t="str">
            <v>4.3.02.00</v>
          </cell>
          <cell r="B41" t="str">
            <v>MATERIALES Y SERVICIOS</v>
          </cell>
          <cell r="C41" t="str">
            <v>Bs</v>
          </cell>
          <cell r="D41">
            <v>-206102.5</v>
          </cell>
        </row>
        <row r="42">
          <cell r="A42" t="str">
            <v>4.3.02.01</v>
          </cell>
          <cell r="B42" t="str">
            <v>MATERIALES ALMACEN - COMERCIALIZACION</v>
          </cell>
          <cell r="C42" t="str">
            <v>Bs</v>
          </cell>
          <cell r="D42">
            <v>-206102.5</v>
          </cell>
        </row>
        <row r="43">
          <cell r="A43" t="str">
            <v>4.3.03.00</v>
          </cell>
          <cell r="B43" t="str">
            <v>GASTOS GENERALES</v>
          </cell>
          <cell r="C43" t="str">
            <v>Bs</v>
          </cell>
          <cell r="D43">
            <v>-960072.58</v>
          </cell>
        </row>
        <row r="44">
          <cell r="A44" t="str">
            <v>4.3.03.01</v>
          </cell>
          <cell r="B44" t="str">
            <v>GASTOS GENERALES - COMERCIALIZACION</v>
          </cell>
          <cell r="C44" t="str">
            <v>Bs</v>
          </cell>
          <cell r="D44">
            <v>-960072.58</v>
          </cell>
        </row>
        <row r="45">
          <cell r="A45" t="str">
            <v>4.3.04.00</v>
          </cell>
          <cell r="B45" t="str">
            <v>DEPRECIACION ACTIVO FIJO</v>
          </cell>
          <cell r="C45" t="str">
            <v>Bs</v>
          </cell>
          <cell r="D45">
            <v>-99391.44</v>
          </cell>
        </row>
        <row r="46">
          <cell r="A46" t="str">
            <v>4.3.04.01</v>
          </cell>
          <cell r="B46" t="str">
            <v>DEPREC. ACTIVO FIJO - COMERCIALIZACION</v>
          </cell>
          <cell r="C46" t="str">
            <v>Bs</v>
          </cell>
          <cell r="D46">
            <v>-99391.44</v>
          </cell>
        </row>
        <row r="47">
          <cell r="A47" t="str">
            <v>4.4.00.00</v>
          </cell>
          <cell r="B47" t="str">
            <v>GASTOS FINANCIEROS</v>
          </cell>
          <cell r="C47" t="str">
            <v>Bs</v>
          </cell>
          <cell r="D47">
            <v>-1171095.53</v>
          </cell>
        </row>
        <row r="48">
          <cell r="A48" t="str">
            <v>4.4.01.00</v>
          </cell>
          <cell r="B48" t="str">
            <v>GASTOS FINANCIEROS</v>
          </cell>
          <cell r="C48" t="str">
            <v>Bs</v>
          </cell>
          <cell r="D48">
            <v>-1171095.53</v>
          </cell>
        </row>
        <row r="49">
          <cell r="A49" t="str">
            <v>4.4.01.01</v>
          </cell>
          <cell r="B49" t="str">
            <v>INTERESES</v>
          </cell>
          <cell r="C49" t="str">
            <v>Bs</v>
          </cell>
          <cell r="D49">
            <v>-1098345.28</v>
          </cell>
        </row>
        <row r="50">
          <cell r="A50" t="str">
            <v>4.4.01.02</v>
          </cell>
          <cell r="B50" t="str">
            <v>COMISIONES</v>
          </cell>
          <cell r="C50" t="str">
            <v>Bs</v>
          </cell>
          <cell r="D50">
            <v>-72750.25</v>
          </cell>
        </row>
        <row r="51">
          <cell r="A51" t="str">
            <v>4.5.00.00</v>
          </cell>
          <cell r="B51" t="str">
            <v>GASTOS TRIBUTARIOS</v>
          </cell>
          <cell r="C51" t="str">
            <v>Bs</v>
          </cell>
          <cell r="D51">
            <v>-2132452.96</v>
          </cell>
        </row>
        <row r="52">
          <cell r="A52" t="str">
            <v>4.5.01.00</v>
          </cell>
          <cell r="B52" t="str">
            <v>GASTOS TRIBUTARIOS</v>
          </cell>
          <cell r="C52" t="str">
            <v>Bs</v>
          </cell>
          <cell r="D52">
            <v>-2132452.96</v>
          </cell>
        </row>
        <row r="53">
          <cell r="A53" t="str">
            <v>4.5.01.01</v>
          </cell>
          <cell r="B53" t="str">
            <v>IMPUESTO A LAS TRANSACCIONES</v>
          </cell>
          <cell r="C53" t="str">
            <v>Bs</v>
          </cell>
          <cell r="D53">
            <v>-1812914.2</v>
          </cell>
        </row>
        <row r="54">
          <cell r="A54" t="str">
            <v>4.5.01.02</v>
          </cell>
          <cell r="B54" t="str">
            <v>IMPUESTO A LA PROPIEDAD DE BIENES INMUEB</v>
          </cell>
          <cell r="C54" t="str">
            <v>Bs</v>
          </cell>
          <cell r="D54">
            <v>-8748</v>
          </cell>
        </row>
        <row r="55">
          <cell r="A55" t="str">
            <v>4.5.01.04</v>
          </cell>
          <cell r="B55" t="str">
            <v>TASAS Y PATENTES</v>
          </cell>
          <cell r="C55" t="str">
            <v>Bs</v>
          </cell>
          <cell r="D55">
            <v>-10</v>
          </cell>
        </row>
        <row r="56">
          <cell r="A56" t="str">
            <v>4.5.01.05</v>
          </cell>
          <cell r="B56" t="str">
            <v>PATENTES MINERAS</v>
          </cell>
          <cell r="C56" t="str">
            <v>Bs</v>
          </cell>
          <cell r="D56">
            <v>-295595</v>
          </cell>
        </row>
        <row r="57">
          <cell r="A57" t="str">
            <v>4.5.01.06</v>
          </cell>
          <cell r="B57" t="str">
            <v>IMPUESTO A LAS TRANSAC. FINANCIERAS</v>
          </cell>
          <cell r="C57" t="str">
            <v>Bs</v>
          </cell>
          <cell r="D57">
            <v>-15184.76</v>
          </cell>
        </row>
        <row r="58">
          <cell r="A58" t="str">
            <v>4.5.01.07</v>
          </cell>
          <cell r="B58" t="str">
            <v>MANTENIMIENTO DE VALOR - FACILIDADES DE PAGO</v>
          </cell>
          <cell r="C58" t="str">
            <v>Bs</v>
          </cell>
          <cell r="D58">
            <v>-1</v>
          </cell>
        </row>
        <row r="59">
          <cell r="A59" t="str">
            <v>4.5.01.08</v>
          </cell>
          <cell r="B59" t="str">
            <v>INTERESES - FACILIDADES DE PAGO</v>
          </cell>
          <cell r="C59" t="str">
            <v>Bs</v>
          </cell>
          <cell r="D59">
            <v>0</v>
          </cell>
        </row>
        <row r="60">
          <cell r="A60" t="str">
            <v>4.6.00.00</v>
          </cell>
          <cell r="B60" t="str">
            <v>PERDIDAS Y GANANCIAS</v>
          </cell>
          <cell r="C60" t="str">
            <v>Bs</v>
          </cell>
          <cell r="D60">
            <v>-11164075.189999999</v>
          </cell>
        </row>
        <row r="61">
          <cell r="A61" t="str">
            <v>4.6.01.00</v>
          </cell>
          <cell r="B61" t="str">
            <v>PERDIDAS Y GANANCIAS</v>
          </cell>
          <cell r="C61" t="str">
            <v>Bs</v>
          </cell>
          <cell r="D61">
            <v>-11164075.189999999</v>
          </cell>
        </row>
        <row r="62">
          <cell r="A62" t="str">
            <v>4.6.01.01</v>
          </cell>
          <cell r="B62" t="str">
            <v>PERDIDAS Y GANANCIAS</v>
          </cell>
          <cell r="C62" t="str">
            <v>Bs</v>
          </cell>
          <cell r="D62">
            <v>-11118777.08</v>
          </cell>
        </row>
        <row r="63">
          <cell r="A63" t="str">
            <v>4.6.01.02</v>
          </cell>
          <cell r="B63" t="str">
            <v>AJUSTES GESTIONES ANTERIORES</v>
          </cell>
          <cell r="C63" t="str">
            <v>Bs</v>
          </cell>
          <cell r="D63">
            <v>-45298.11</v>
          </cell>
        </row>
        <row r="64">
          <cell r="A64" t="str">
            <v>4.7.00.00</v>
          </cell>
          <cell r="B64" t="str">
            <v>CORRECCION MONETARIA POR INFLACION</v>
          </cell>
          <cell r="C64" t="str">
            <v>Bs</v>
          </cell>
          <cell r="D64">
            <v>1070053.44</v>
          </cell>
        </row>
        <row r="65">
          <cell r="A65" t="str">
            <v>4.7.01.00</v>
          </cell>
          <cell r="B65" t="str">
            <v>AJUSTES MONETARIOS POR INFLACION</v>
          </cell>
          <cell r="C65" t="str">
            <v>Bs</v>
          </cell>
          <cell r="D65">
            <v>1070053.44</v>
          </cell>
        </row>
        <row r="66">
          <cell r="A66" t="str">
            <v>4.7.01.01</v>
          </cell>
          <cell r="B66" t="str">
            <v>AJUSTE POR INFLACION Y TENENCIA DE BIENE</v>
          </cell>
          <cell r="C66" t="str">
            <v>Bs</v>
          </cell>
          <cell r="D66">
            <v>2605528.56</v>
          </cell>
        </row>
        <row r="67">
          <cell r="A67" t="str">
            <v>4.7.01.02</v>
          </cell>
          <cell r="B67" t="str">
            <v>DIFERENCIAS DE CAMBIO</v>
          </cell>
          <cell r="C67" t="str">
            <v>Bs</v>
          </cell>
          <cell r="D67">
            <v>-1535475.12</v>
          </cell>
        </row>
        <row r="68">
          <cell r="A68" t="str">
            <v>***TOTAL UTILIDAD(+)/PERDIDA(-)***</v>
          </cell>
          <cell r="C68" t="str">
            <v>Bs</v>
          </cell>
          <cell r="D68">
            <v>12864255.689999999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28063241.539999999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28063241.539999999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27830430.059999999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27830430.059999999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232811.48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204054.82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9082.7999999999993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319.75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19354.11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-34686298.229999997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-25660843.129999999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-25434474.620000001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-25434474.620000001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-226368.51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-226368.51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-753872.57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-507569.11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-375068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-66349.850000000006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-66151.259999999995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-3466.94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-3466.94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-228453.48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-215676.46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-243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-12534.02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-14383.04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-14383.04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-4349703.57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-808813.1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-607180.67000000004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-100967.31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-100665.12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-191292.77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-191292.77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-3243282.97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-3243282.97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-106314.73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-106314.73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-1428130.67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-1428130.67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-1382065.7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-46064.97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-984960.49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-984960.49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-967687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-12470</v>
          </cell>
        </row>
        <row r="54">
          <cell r="A54" t="str">
            <v>4.5.01.06</v>
          </cell>
          <cell r="B54" t="str">
            <v>IMPUESTO A LAS TRANSAC. FINANCIERAS</v>
          </cell>
          <cell r="C54" t="str">
            <v>Bs</v>
          </cell>
          <cell r="D54">
            <v>-4803.49</v>
          </cell>
        </row>
        <row r="55">
          <cell r="A55" t="str">
            <v>4.6.00.00</v>
          </cell>
          <cell r="B55" t="str">
            <v>PERDIDAS Y GANANCIAS</v>
          </cell>
          <cell r="C55" t="str">
            <v>Bs</v>
          </cell>
          <cell r="D55">
            <v>-1829666.2</v>
          </cell>
        </row>
        <row r="56">
          <cell r="A56" t="str">
            <v>4.6.01.00</v>
          </cell>
          <cell r="B56" t="str">
            <v>PERDIDAS Y GANANCIAS</v>
          </cell>
          <cell r="C56" t="str">
            <v>Bs</v>
          </cell>
          <cell r="D56">
            <v>-1829666.2</v>
          </cell>
        </row>
        <row r="57">
          <cell r="A57" t="str">
            <v>4.6.01.01</v>
          </cell>
          <cell r="B57" t="str">
            <v>PERDIDAS Y GANANCIAS</v>
          </cell>
          <cell r="C57" t="str">
            <v>Bs</v>
          </cell>
          <cell r="D57">
            <v>-1824896.41</v>
          </cell>
        </row>
        <row r="58">
          <cell r="A58" t="str">
            <v>4.6.01.02</v>
          </cell>
          <cell r="B58" t="str">
            <v>AJUSTES GESTIONES ANTERIORES</v>
          </cell>
          <cell r="C58" t="str">
            <v>Bs</v>
          </cell>
          <cell r="D58">
            <v>-4769.79</v>
          </cell>
        </row>
        <row r="59">
          <cell r="A59" t="str">
            <v>4.7.00.00</v>
          </cell>
          <cell r="B59" t="str">
            <v>CORRECCION MONETARIA POR INFLACION</v>
          </cell>
          <cell r="C59" t="str">
            <v>Bs</v>
          </cell>
          <cell r="D59">
            <v>320878.40000000002</v>
          </cell>
        </row>
        <row r="60">
          <cell r="A60" t="str">
            <v>4.7.01.00</v>
          </cell>
          <cell r="B60" t="str">
            <v>AJUSTES MONETARIOS POR INFLACION</v>
          </cell>
          <cell r="C60" t="str">
            <v>Bs</v>
          </cell>
          <cell r="D60">
            <v>320878.40000000002</v>
          </cell>
        </row>
        <row r="61">
          <cell r="A61" t="str">
            <v>4.7.01.01</v>
          </cell>
          <cell r="B61" t="str">
            <v>AJUSTE POR INFLACION Y TENENCIA DE BIENE</v>
          </cell>
          <cell r="C61" t="str">
            <v>Bs</v>
          </cell>
          <cell r="D61">
            <v>337102.91</v>
          </cell>
        </row>
        <row r="62">
          <cell r="A62" t="str">
            <v>4.7.01.02</v>
          </cell>
          <cell r="B62" t="str">
            <v>DIFERENCIAS DE CAMBIO</v>
          </cell>
          <cell r="C62" t="str">
            <v>Bs</v>
          </cell>
          <cell r="D62">
            <v>-16224.51</v>
          </cell>
        </row>
        <row r="63">
          <cell r="A63" t="str">
            <v>***TOTAL UTILIDAD(+)/PERDIDA(-)***</v>
          </cell>
          <cell r="C63" t="str">
            <v>Bs</v>
          </cell>
          <cell r="D63">
            <v>-6623056.6900000004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29510736.129999999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29510736.129999999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29395565.350000001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29395565.350000001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115170.78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60155.73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173.62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43.1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54798.33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-39558157.899999999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-29103751.23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-28879269.420000002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-28879269.420000002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-224481.81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-224481.81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-940756.54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-541130.37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-405055.11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-68139.600000000006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-67935.66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-17294.669999999998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-17294.669999999998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-367948.46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-289205.94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-204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-78538.52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-14383.04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-14383.04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-5670219.0899999999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-1077115.3500000001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-808920.4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-134298.43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-133896.51999999999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-105404.84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-105404.84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-4381384.08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-4381384.08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-106314.82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-106314.82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-1550198.65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-1550198.65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-1419505.4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-130693.25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-1029388.33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-1029388.33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-1017592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0</v>
          </cell>
        </row>
        <row r="54">
          <cell r="A54" t="str">
            <v>4.5.01.06</v>
          </cell>
          <cell r="B54" t="str">
            <v>IMPUESTO A LAS TRANSAC. FINANCIERAS</v>
          </cell>
          <cell r="C54" t="str">
            <v>Bs</v>
          </cell>
          <cell r="D54">
            <v>-11796.33</v>
          </cell>
        </row>
        <row r="55">
          <cell r="A55" t="str">
            <v>4.6.00.00</v>
          </cell>
          <cell r="B55" t="str">
            <v>PERDIDAS Y GANANCIAS</v>
          </cell>
          <cell r="C55" t="str">
            <v>Bs</v>
          </cell>
          <cell r="D55">
            <v>-1586735.98</v>
          </cell>
        </row>
        <row r="56">
          <cell r="A56" t="str">
            <v>4.6.01.00</v>
          </cell>
          <cell r="B56" t="str">
            <v>PERDIDAS Y GANANCIAS</v>
          </cell>
          <cell r="C56" t="str">
            <v>Bs</v>
          </cell>
          <cell r="D56">
            <v>-1586735.98</v>
          </cell>
        </row>
        <row r="57">
          <cell r="A57" t="str">
            <v>4.6.01.01</v>
          </cell>
          <cell r="B57" t="str">
            <v>PERDIDAS Y GANANCIAS</v>
          </cell>
          <cell r="C57" t="str">
            <v>Bs</v>
          </cell>
          <cell r="D57">
            <v>-561007.53</v>
          </cell>
        </row>
        <row r="58">
          <cell r="A58" t="str">
            <v>4.6.01.02</v>
          </cell>
          <cell r="B58" t="str">
            <v>AJUSTES GESTIONES ANTERIORES</v>
          </cell>
          <cell r="C58" t="str">
            <v>Bs</v>
          </cell>
          <cell r="D58">
            <v>-1025728.45</v>
          </cell>
        </row>
        <row r="59">
          <cell r="A59" t="str">
            <v>4.7.00.00</v>
          </cell>
          <cell r="B59" t="str">
            <v>CORRECCION MONETARIA POR INFLACION</v>
          </cell>
          <cell r="C59" t="str">
            <v>Bs</v>
          </cell>
          <cell r="D59">
            <v>322891.92</v>
          </cell>
        </row>
        <row r="60">
          <cell r="A60" t="str">
            <v>4.7.01.00</v>
          </cell>
          <cell r="B60" t="str">
            <v>AJUSTES MONETARIOS POR INFLACION</v>
          </cell>
          <cell r="C60" t="str">
            <v>Bs</v>
          </cell>
          <cell r="D60">
            <v>322891.92</v>
          </cell>
        </row>
        <row r="61">
          <cell r="A61" t="str">
            <v>4.7.01.01</v>
          </cell>
          <cell r="B61" t="str">
            <v>AJUSTE POR INFLACION Y TENENCIA DE BIENE</v>
          </cell>
          <cell r="C61" t="str">
            <v>Bs</v>
          </cell>
          <cell r="D61">
            <v>331470.18</v>
          </cell>
        </row>
        <row r="62">
          <cell r="A62" t="str">
            <v>4.7.01.02</v>
          </cell>
          <cell r="B62" t="str">
            <v>DIFERENCIAS DE CAMBIO</v>
          </cell>
          <cell r="C62" t="str">
            <v>Bs</v>
          </cell>
          <cell r="D62">
            <v>-8578.26</v>
          </cell>
        </row>
        <row r="63">
          <cell r="A63" t="str">
            <v>***TOTAL UTILIDAD(+)/PERDIDA(-)***</v>
          </cell>
          <cell r="C63" t="str">
            <v>Bs</v>
          </cell>
          <cell r="D63">
            <v>-10047421.77</v>
          </cell>
        </row>
        <row r="68">
          <cell r="B68" t="str">
            <v>LIC.DEISY MONTAÑO GUZMAN</v>
          </cell>
        </row>
        <row r="69">
          <cell r="B69" t="str">
            <v>JEFE DE CONTABILIDAD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32577673.82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32577673.82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32325750.850000001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32325750.850000001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251922.97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208616.46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522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41.06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42743.45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-36975523.399999999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-26896296.43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-26405737.670000002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-26405737.670000002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-490558.76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-490558.76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-992983.88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-597109.43000000005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-373832.4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-66892.429999999993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-156384.6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-15028.23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-15028.23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-366463.18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-359952.6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-204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-6306.58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-14383.04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-14383.04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-5062639.82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-1075520.43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-710977.66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-119434.49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-245108.28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-180290.25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-180290.25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-3700514.41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-3700514.41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-106314.73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-106314.73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-1528023.11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-1528023.11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-1360266.95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-167756.16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-1386067.02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-1386067.02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-1123367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-195864</v>
          </cell>
        </row>
        <row r="54">
          <cell r="A54" t="str">
            <v>4.5.01.05</v>
          </cell>
          <cell r="B54" t="str">
            <v>PATENTES MINERAS</v>
          </cell>
          <cell r="C54" t="str">
            <v>Bs</v>
          </cell>
          <cell r="D54">
            <v>-59421</v>
          </cell>
        </row>
        <row r="55">
          <cell r="A55" t="str">
            <v>4.5.01.06</v>
          </cell>
          <cell r="B55" t="str">
            <v>IMPUESTO A LAS TRANSAC. FINANCIERAS</v>
          </cell>
          <cell r="C55" t="str">
            <v>Bs</v>
          </cell>
          <cell r="D55">
            <v>-7415.02</v>
          </cell>
        </row>
        <row r="56">
          <cell r="A56" t="str">
            <v>4.6.00.00</v>
          </cell>
          <cell r="B56" t="str">
            <v>PERDIDAS Y GANANCIAS</v>
          </cell>
          <cell r="C56" t="str">
            <v>Bs</v>
          </cell>
          <cell r="D56">
            <v>-1451195.94</v>
          </cell>
        </row>
        <row r="57">
          <cell r="A57" t="str">
            <v>4.6.01.00</v>
          </cell>
          <cell r="B57" t="str">
            <v>PERDIDAS Y GANANCIAS</v>
          </cell>
          <cell r="C57" t="str">
            <v>Bs</v>
          </cell>
          <cell r="D57">
            <v>-1451195.94</v>
          </cell>
        </row>
        <row r="58">
          <cell r="A58" t="str">
            <v>4.6.01.01</v>
          </cell>
          <cell r="B58" t="str">
            <v>PERDIDAS Y GANANCIAS</v>
          </cell>
          <cell r="C58" t="str">
            <v>Bs</v>
          </cell>
          <cell r="D58">
            <v>-1347827.51</v>
          </cell>
        </row>
        <row r="59">
          <cell r="A59" t="str">
            <v>4.6.01.02</v>
          </cell>
          <cell r="B59" t="str">
            <v>AJUSTES GESTIONES ANTERIORES</v>
          </cell>
          <cell r="C59" t="str">
            <v>Bs</v>
          </cell>
          <cell r="D59">
            <v>-103368.43</v>
          </cell>
        </row>
        <row r="60">
          <cell r="A60" t="str">
            <v>4.7.00.00</v>
          </cell>
          <cell r="B60" t="str">
            <v>CORRECCION MONETARIA POR INFLACION</v>
          </cell>
          <cell r="C60" t="str">
            <v>Bs</v>
          </cell>
          <cell r="D60">
            <v>341682.8</v>
          </cell>
        </row>
        <row r="61">
          <cell r="A61" t="str">
            <v>4.7.01.00</v>
          </cell>
          <cell r="B61" t="str">
            <v>AJUSTES MONETARIOS POR INFLACION</v>
          </cell>
          <cell r="C61" t="str">
            <v>Bs</v>
          </cell>
          <cell r="D61">
            <v>341682.8</v>
          </cell>
        </row>
        <row r="62">
          <cell r="A62" t="str">
            <v>4.7.01.01</v>
          </cell>
          <cell r="B62" t="str">
            <v>AJUSTE POR INFLACION Y TENENCIA DE BIENE</v>
          </cell>
          <cell r="C62" t="str">
            <v>Bs</v>
          </cell>
          <cell r="D62">
            <v>347064.61</v>
          </cell>
        </row>
        <row r="63">
          <cell r="A63" t="str">
            <v>4.7.01.02</v>
          </cell>
          <cell r="B63" t="str">
            <v>DIFERENCIAS DE CAMBIO</v>
          </cell>
          <cell r="C63" t="str">
            <v>Bs</v>
          </cell>
          <cell r="D63">
            <v>-5381.81</v>
          </cell>
        </row>
        <row r="64">
          <cell r="A64" t="str">
            <v>***TOTAL UTILIDAD(+)/PERDIDA(-)***</v>
          </cell>
          <cell r="C64" t="str">
            <v>Bs</v>
          </cell>
          <cell r="D64">
            <v>-4397849.58</v>
          </cell>
        </row>
        <row r="69">
          <cell r="B69" t="str">
            <v>LIC.DEISY MONTAÑO GUZMAN</v>
          </cell>
        </row>
        <row r="70">
          <cell r="B70" t="str">
            <v>JEFE DE CONTABILIDAD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33924384.850000001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33924384.850000001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33791663.299999997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33791663.299999997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132721.54999999999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113066.23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0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115.79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19539.53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-33650607.329999998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-22900457.280000001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-22676359.620000001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-22676359.620000001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-224097.66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-224097.66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-778109.73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-558563.34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-419678.02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-69546.740000000005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-69338.58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-11201.65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-11201.65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-196968.5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-187924.89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-244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-8799.61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-11376.24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-11376.24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-5039066.82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-956552.95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-719023.95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-118942.46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-118586.54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-177529.87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-177529.87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-3798669.18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-3798669.18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-106314.82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-106314.82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-1366927.4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-1366927.4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-1363116.65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-3810.75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-1659345.75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-1659345.75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-1169802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-57965</v>
          </cell>
        </row>
        <row r="54">
          <cell r="A54" t="str">
            <v>4.5.01.05</v>
          </cell>
          <cell r="B54" t="str">
            <v>PATENTES MINERAS</v>
          </cell>
          <cell r="C54" t="str">
            <v>Bs</v>
          </cell>
          <cell r="D54">
            <v>-373511</v>
          </cell>
        </row>
        <row r="55">
          <cell r="A55" t="str">
            <v>4.5.01.06</v>
          </cell>
          <cell r="B55" t="str">
            <v>IMPUESTO A LAS TRANSAC. FINANCIERAS</v>
          </cell>
          <cell r="C55" t="str">
            <v>Bs</v>
          </cell>
          <cell r="D55">
            <v>-3806.75</v>
          </cell>
        </row>
        <row r="56">
          <cell r="A56" t="str">
            <v>4.5.01.07</v>
          </cell>
          <cell r="B56" t="str">
            <v>MANTENIMIENTO DE VALOR - FACILIDADES DE PAGO</v>
          </cell>
          <cell r="C56" t="str">
            <v>Bs</v>
          </cell>
          <cell r="D56">
            <v>-12686</v>
          </cell>
        </row>
        <row r="57">
          <cell r="A57" t="str">
            <v>4.5.01.08</v>
          </cell>
          <cell r="B57" t="str">
            <v>INTERESES - FACILIDADES DE PAGO</v>
          </cell>
          <cell r="C57" t="str">
            <v>Bs</v>
          </cell>
          <cell r="D57">
            <v>-41575</v>
          </cell>
        </row>
        <row r="58">
          <cell r="A58" t="str">
            <v>4.6.00.00</v>
          </cell>
          <cell r="B58" t="str">
            <v>PERDIDAS Y GANANCIAS</v>
          </cell>
          <cell r="C58" t="str">
            <v>Bs</v>
          </cell>
          <cell r="D58">
            <v>-2247323.69</v>
          </cell>
        </row>
        <row r="59">
          <cell r="A59" t="str">
            <v>4.6.01.00</v>
          </cell>
          <cell r="B59" t="str">
            <v>PERDIDAS Y GANANCIAS</v>
          </cell>
          <cell r="C59" t="str">
            <v>Bs</v>
          </cell>
          <cell r="D59">
            <v>-2247323.69</v>
          </cell>
        </row>
        <row r="60">
          <cell r="A60" t="str">
            <v>4.6.01.01</v>
          </cell>
          <cell r="B60" t="str">
            <v>PERDIDAS Y GANANCIAS</v>
          </cell>
          <cell r="C60" t="str">
            <v>Bs</v>
          </cell>
          <cell r="D60">
            <v>-2153217.4</v>
          </cell>
        </row>
        <row r="61">
          <cell r="A61" t="str">
            <v>4.6.01.02</v>
          </cell>
          <cell r="B61" t="str">
            <v>AJUSTES GESTIONES ANTERIORES</v>
          </cell>
          <cell r="C61" t="str">
            <v>Bs</v>
          </cell>
          <cell r="D61">
            <v>-94106.29</v>
          </cell>
        </row>
        <row r="62">
          <cell r="A62" t="str">
            <v>4.7.00.00</v>
          </cell>
          <cell r="B62" t="str">
            <v>CORRECCION MONETARIA POR INFLACION</v>
          </cell>
          <cell r="C62" t="str">
            <v>Bs</v>
          </cell>
          <cell r="D62">
            <v>340623.34</v>
          </cell>
        </row>
        <row r="63">
          <cell r="A63" t="str">
            <v>4.7.01.00</v>
          </cell>
          <cell r="B63" t="str">
            <v>AJUSTES MONETARIOS POR INFLACION</v>
          </cell>
          <cell r="C63" t="str">
            <v>Bs</v>
          </cell>
          <cell r="D63">
            <v>340623.34</v>
          </cell>
        </row>
        <row r="64">
          <cell r="A64" t="str">
            <v>4.7.01.01</v>
          </cell>
          <cell r="B64" t="str">
            <v>AJUSTE POR INFLACION Y TENENCIA DE BIENE</v>
          </cell>
          <cell r="C64" t="str">
            <v>Bs</v>
          </cell>
          <cell r="D64">
            <v>340553.8</v>
          </cell>
        </row>
        <row r="65">
          <cell r="A65" t="str">
            <v>4.7.01.02</v>
          </cell>
          <cell r="B65" t="str">
            <v>DIFERENCIAS DE CAMBIO</v>
          </cell>
          <cell r="C65" t="str">
            <v>Bs</v>
          </cell>
          <cell r="D65">
            <v>69.540000000000006</v>
          </cell>
        </row>
        <row r="66">
          <cell r="A66" t="str">
            <v>***TOTAL UTILIDAD(+)/PERDIDA(-)***</v>
          </cell>
          <cell r="C66" t="str">
            <v>Bs</v>
          </cell>
          <cell r="D66">
            <v>273777.52</v>
          </cell>
        </row>
        <row r="71">
          <cell r="B71" t="str">
            <v>LIC.DEISY MONTAÑO GUZMAN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38209570.5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38209570.5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37781578.539999999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37781578.539999999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427991.96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88553.97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170514.43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437.07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168486.49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-35906878.579999998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-26070343.530000001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-25831800.559999999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-25831800.559999999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-238542.97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-238542.97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-1110318.0800000001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-876700.12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-743380.54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-66759.679999999993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-66559.899999999994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-12762.2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-12762.2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-209601.96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-198939.2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-456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-10206.76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-11253.8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-11253.8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-5355148.21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-953276.16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-694747.56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-118338.12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-140190.48000000001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-266450.86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-266450.86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-4031505.73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-4031505.73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-103915.46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-103915.46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-1499093.8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-1499093.8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-1409519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-89574.8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-1821794.29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-1821794.29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-1312849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0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-864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-386908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-10765.29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-35422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-74986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-364725.72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-364725.72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-268026.28999999998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-96699.43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314545.05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314545.05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321288.21000000002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-6743.16</v>
          </cell>
        </row>
        <row r="67">
          <cell r="A67" t="str">
            <v>***TOTAL UTILIDAD(+)/PERDIDA(-)***</v>
          </cell>
          <cell r="C67" t="str">
            <v>Bs</v>
          </cell>
          <cell r="D67">
            <v>2302691.92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34172946.670000002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34172946.670000002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33754569.810000002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33754569.810000002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418376.86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195441.1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130186.8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2733.81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90015.15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-32001348.809999999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-23634219.859999999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-23391815.109999999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-23391815.109999999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-242404.75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-242404.75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-1479437.93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-588399.86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-407201.84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-68579.16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-112618.86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-11105.08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-11105.08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-868679.19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-854666.5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0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-14012.69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-11253.8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-11253.8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-5162504.74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-973845.04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-677420.33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-117749.67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-178675.04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-114593.92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-114593.92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-3970268.5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-3970268.5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-103797.28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-103797.28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-1768757.02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-1768757.02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-1727479.12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-41277.9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-2086413.84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-2086413.84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-1178139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-159500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-547316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-3844.84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-52610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-145004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1798344.47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1798344.47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1888270.9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-89926.43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331640.11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331640.11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334602.18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-2962.07</v>
          </cell>
        </row>
        <row r="67">
          <cell r="A67" t="str">
            <v>***TOTAL UTILIDAD(+)/PERDIDA(-)***</v>
          </cell>
          <cell r="C67" t="str">
            <v>Bs</v>
          </cell>
          <cell r="D67">
            <v>2171597.86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42648923.840000004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42648923.840000004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42512451.609999999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42512451.609999999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136472.23000000001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109603.97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0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5323.77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21544.49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-35807608.890000001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-23940070.66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-23747253.399999999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-23747253.399999999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-192817.26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-192817.26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-1015844.17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-744474.63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-613038.11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-65816.72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-65619.8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-9026.5400000000009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-9026.5400000000009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-251089.2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-233394.94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-4569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-13125.26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-11253.8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-11253.8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-6580880.2000000002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-979491.48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-729995.57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-124934.87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-124561.04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-233215.7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-233215.7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-5264375.7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-5264375.7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-103797.32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-103797.32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-1397973.27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-1397973.27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-1382672.95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-15300.32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-1967310.83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-1967310.83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-1470469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-35317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-383665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-4092.83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-19975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-53792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-1218625.26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-1218625.26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-1127378.3600000001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-91246.9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313095.5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313095.5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321610.07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-8514.57</v>
          </cell>
        </row>
        <row r="67">
          <cell r="A67" t="str">
            <v>***TOTAL UTILIDAD(+)/PERDIDA(-)***</v>
          </cell>
          <cell r="C67" t="str">
            <v>Bs</v>
          </cell>
          <cell r="D67">
            <v>6841314.9500000002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48759397.729999997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48759397.729999997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35905824.469999999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35905824.469999999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12853573.26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2691627.48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10049424.98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6654.28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105866.52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-50881531.079999998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-34966942.149999999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-21719244.949999999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-21719244.949999999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-13247697.199999999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-13247697.199999999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-865259.05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-506568.86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-387999.29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-59373.61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-59195.96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-4278.78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-4278.78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-343157.61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-331412.64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0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-11744.97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-11253.8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-11253.8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-5431534.9000000004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-977539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-731404.41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-123251.75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-122882.84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-131914.07999999999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-131914.07999999999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-4218438.82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-4218438.82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-103643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-103643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-1708563.65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-1708563.65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-1399381.49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-309182.15999999997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-2086132.3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-2086132.3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-1681123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-59789.52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-332583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-12636.78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0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0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-6034836.2199999997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-6034836.2199999997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-1945815.48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-4089020.74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211737.19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211737.19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222919.14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-11181.95</v>
          </cell>
        </row>
        <row r="67">
          <cell r="A67" t="str">
            <v>***TOTAL UTILIDAD(+)/PERDIDA(-)***</v>
          </cell>
          <cell r="C67" t="str">
            <v>Bs</v>
          </cell>
          <cell r="D67">
            <v>-2122133.35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35673056.490000002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35673056.490000002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35422531.700000003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35422531.700000003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250524.79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226389.98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530.70000000000005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1502.63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22101.48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-31646913.690000001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-22027243.370000001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-21897033.809999999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-21897033.809999999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-130209.56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-130209.56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-1088031.07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-651545.01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-369377.08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-61141.42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-221026.51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-13906.43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-13906.43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-411325.84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-401233.14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0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-10092.700000000001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-11253.79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-11253.79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-5458995.5700000003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-1323201.1100000001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-788372.57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-131155.48000000001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-403673.06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-133360.21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-133360.21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-3899707.51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-3899707.51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-102726.74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-102726.74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-1122665.52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-1122665.52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-1070741.74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-51923.78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-1713209.02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-1713209.02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-1230054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0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-221673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-17747.02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-67724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-176011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-376597.48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-376597.48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-282775.06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-93822.42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139828.34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139828.34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157694.56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-17866.22</v>
          </cell>
        </row>
        <row r="67">
          <cell r="A67" t="str">
            <v>***TOTAL UTILIDAD(+)/PERDIDA(-)***</v>
          </cell>
          <cell r="C67" t="str">
            <v>Bs</v>
          </cell>
          <cell r="D67">
            <v>4026142.8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55673427.920000002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55673427.920000002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55428653.460000001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55428653.460000001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244774.46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40099.949999999997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56646.74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390.37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147637.4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-38418839.289999999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-29163361.449999999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-28994629.609999999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-28994629.609999999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-168731.84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-168731.84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-705014.41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-480795.02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-361367.84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-59803.06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-59624.12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-23207.53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-23207.53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-189758.06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-180222.96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0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-9535.1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-11253.8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-11253.8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-5118902.97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-1020439.5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-759982.94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-130423.38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-130033.18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-138920.46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-138920.46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-3857572.14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-3857572.14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-101970.87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-101970.87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-1580420.16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-1580420.16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-1511933.86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-68486.3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-1926358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-1926358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-1917835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0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-6399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-2124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0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0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-89926.43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-89926.43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0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-89926.43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165144.13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165144.13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167150.03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-2005.9</v>
          </cell>
        </row>
        <row r="67">
          <cell r="A67" t="str">
            <v>***TOTAL UTILIDAD(+)/PERDIDA(-)***</v>
          </cell>
          <cell r="C67" t="str">
            <v>Bs</v>
          </cell>
          <cell r="D67">
            <v>17254588.629999999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27463002.02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27463002.02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26525657.09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26525657.09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937344.93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222572.97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887.4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714.74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713169.82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-35765609.229999997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-27521643.870000001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-27393500.579999998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-27393500.579999998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-128143.29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-128143.29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-812545.65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-508663.24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-381605.63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-63623.97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-63433.64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-2783.86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-2783.86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-289844.77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-281213.2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-355.18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-8276.39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-11253.78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-11253.78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-5156803.29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-1057662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-789694.18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-134184.66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-133783.16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-125021.79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-125021.79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-3872294.34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-3872294.34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-101825.16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-101825.16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-1303987.3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-1303987.3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-1300222.05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-3765.25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-1022615.69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-1022615.69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-930458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0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0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-4633.6899999999996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-24269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-63255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-89926.43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-89926.43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0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-89926.43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141913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141913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155699.35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-13786.35</v>
          </cell>
        </row>
        <row r="67">
          <cell r="A67" t="str">
            <v>***TOTAL UTILIDAD(+)/PERDIDA(-)***</v>
          </cell>
          <cell r="C67" t="str">
            <v>Bs</v>
          </cell>
          <cell r="D67">
            <v>-8302607.21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47335812.549999997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47335812.549999997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47089941.869999997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47089941.869999997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245870.68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210667.34</v>
          </cell>
        </row>
        <row r="12">
          <cell r="A12" t="str">
            <v>3.1.02.02</v>
          </cell>
          <cell r="B12" t="str">
            <v>INGRESOS POR VENTA DE ACTIVOS FIJOS</v>
          </cell>
          <cell r="C12" t="str">
            <v>Bs</v>
          </cell>
          <cell r="D12">
            <v>0</v>
          </cell>
        </row>
        <row r="13">
          <cell r="A13" t="str">
            <v>3.1.02.03</v>
          </cell>
          <cell r="B13" t="str">
            <v>INGRESOS FINANCIEROS</v>
          </cell>
          <cell r="C13" t="str">
            <v>Bs</v>
          </cell>
          <cell r="D13">
            <v>2481.04</v>
          </cell>
        </row>
        <row r="14">
          <cell r="A14" t="str">
            <v>3.1.02.04</v>
          </cell>
          <cell r="B14" t="str">
            <v>OTROS INGRESOS</v>
          </cell>
          <cell r="C14" t="str">
            <v>Bs</v>
          </cell>
          <cell r="D14">
            <v>32722.3</v>
          </cell>
        </row>
        <row r="15">
          <cell r="A15" t="str">
            <v>4.0.00.00</v>
          </cell>
          <cell r="B15" t="str">
            <v>EGRESOS</v>
          </cell>
          <cell r="C15" t="str">
            <v>Bs</v>
          </cell>
          <cell r="D15">
            <v>-47762950.880000003</v>
          </cell>
        </row>
        <row r="17">
          <cell r="A17" t="str">
            <v>4.1.00.00</v>
          </cell>
          <cell r="B17" t="str">
            <v>COSTO DE VENTAS</v>
          </cell>
          <cell r="C17" t="str">
            <v>Bs</v>
          </cell>
          <cell r="D17">
            <v>-35136626.670000002</v>
          </cell>
        </row>
        <row r="18">
          <cell r="A18" t="str">
            <v>4.1.01.00</v>
          </cell>
          <cell r="B18" t="str">
            <v>COSTO DE PRODUCCION DE LO VENDIDO</v>
          </cell>
          <cell r="C18" t="str">
            <v>Bs</v>
          </cell>
          <cell r="D18">
            <v>-34941199.670000002</v>
          </cell>
        </row>
        <row r="19">
          <cell r="A19" t="str">
            <v>4.1.01.01</v>
          </cell>
          <cell r="B19" t="str">
            <v>COSTO DE PRODUCCION DE LO VENDIDO</v>
          </cell>
          <cell r="C19" t="str">
            <v>Bs</v>
          </cell>
          <cell r="D19">
            <v>-34941199.670000002</v>
          </cell>
        </row>
        <row r="20">
          <cell r="A20" t="str">
            <v>4.1.02.00</v>
          </cell>
          <cell r="B20" t="str">
            <v>EGRESOS NO OPERATIVOS</v>
          </cell>
          <cell r="C20" t="str">
            <v>Bs</v>
          </cell>
          <cell r="D20">
            <v>-195427</v>
          </cell>
        </row>
        <row r="21">
          <cell r="A21" t="str">
            <v>4.1.02.01</v>
          </cell>
          <cell r="B21" t="str">
            <v>EGRESOS NO OPERATIVOS</v>
          </cell>
          <cell r="C21" t="str">
            <v>Bs</v>
          </cell>
          <cell r="D21">
            <v>-195427</v>
          </cell>
        </row>
        <row r="22">
          <cell r="A22" t="str">
            <v>4.2.00.00</v>
          </cell>
          <cell r="B22" t="str">
            <v>GASTOS DE ADMINISTRACION</v>
          </cell>
          <cell r="C22" t="str">
            <v>Bs</v>
          </cell>
          <cell r="D22">
            <v>-1069544.78</v>
          </cell>
        </row>
        <row r="23">
          <cell r="A23" t="str">
            <v>4.2.01.00</v>
          </cell>
          <cell r="B23" t="str">
            <v>SERVICIOS PERSONALES</v>
          </cell>
          <cell r="C23" t="str">
            <v>Bs</v>
          </cell>
          <cell r="D23">
            <v>-760097.71</v>
          </cell>
        </row>
        <row r="24">
          <cell r="A24" t="str">
            <v>4.2.01.01</v>
          </cell>
          <cell r="B24" t="str">
            <v>SUELDOS Y SALARIOS</v>
          </cell>
          <cell r="C24" t="str">
            <v>Bs</v>
          </cell>
          <cell r="D24">
            <v>-535019.93000000005</v>
          </cell>
        </row>
        <row r="25">
          <cell r="A25" t="str">
            <v>4.2.01.02</v>
          </cell>
          <cell r="B25" t="str">
            <v>APORTES PATRONALES</v>
          </cell>
          <cell r="C25" t="str">
            <v>Bs</v>
          </cell>
          <cell r="D25">
            <v>-71322.009999999995</v>
          </cell>
        </row>
        <row r="26">
          <cell r="A26" t="str">
            <v>4.2.01.03</v>
          </cell>
          <cell r="B26" t="str">
            <v>BENEFICIOS SOCIALES</v>
          </cell>
          <cell r="C26" t="str">
            <v>Bs</v>
          </cell>
          <cell r="D26">
            <v>-153755.76999999999</v>
          </cell>
        </row>
        <row r="27">
          <cell r="A27" t="str">
            <v>4.2.02.00</v>
          </cell>
          <cell r="B27" t="str">
            <v>MATERIALES Y SERVICIOS</v>
          </cell>
          <cell r="C27" t="str">
            <v>Bs</v>
          </cell>
          <cell r="D27">
            <v>-13251.43</v>
          </cell>
        </row>
        <row r="28">
          <cell r="A28" t="str">
            <v>4.2.02.01</v>
          </cell>
          <cell r="B28" t="str">
            <v>MATERIALES DE ALMACEN</v>
          </cell>
          <cell r="C28" t="str">
            <v>Bs</v>
          </cell>
          <cell r="D28">
            <v>-13251.43</v>
          </cell>
        </row>
        <row r="29">
          <cell r="A29" t="str">
            <v>4.2.03.00</v>
          </cell>
          <cell r="B29" t="str">
            <v>GASTOS GENERALES</v>
          </cell>
          <cell r="C29" t="str">
            <v>Bs</v>
          </cell>
          <cell r="D29">
            <v>-284941.83</v>
          </cell>
        </row>
        <row r="30">
          <cell r="A30" t="str">
            <v>4.2.03.01</v>
          </cell>
          <cell r="B30" t="str">
            <v>GASTOS GENERALES</v>
          </cell>
          <cell r="C30" t="str">
            <v>Bs</v>
          </cell>
          <cell r="D30">
            <v>-279490.45</v>
          </cell>
        </row>
        <row r="31">
          <cell r="A31" t="str">
            <v>4.2.03.02</v>
          </cell>
          <cell r="B31" t="str">
            <v>OTROS GASTOS</v>
          </cell>
          <cell r="C31" t="str">
            <v>Bs</v>
          </cell>
          <cell r="D31">
            <v>0</v>
          </cell>
        </row>
        <row r="32">
          <cell r="A32" t="str">
            <v>4.2.03.03</v>
          </cell>
          <cell r="B32" t="str">
            <v>AYUDA COMUNITARIA</v>
          </cell>
          <cell r="C32" t="str">
            <v>Bs</v>
          </cell>
          <cell r="D32">
            <v>-5451.38</v>
          </cell>
        </row>
        <row r="33">
          <cell r="A33" t="str">
            <v>4.2.04.00</v>
          </cell>
          <cell r="B33" t="str">
            <v>DEPRECIACION ACTIVO FIJO</v>
          </cell>
          <cell r="C33" t="str">
            <v>Bs</v>
          </cell>
          <cell r="D33">
            <v>-11253.81</v>
          </cell>
        </row>
        <row r="34">
          <cell r="A34" t="str">
            <v>4.2.04.01</v>
          </cell>
          <cell r="B34" t="str">
            <v>DEPRECIACION ACTIVO FIJO</v>
          </cell>
          <cell r="C34" t="str">
            <v>Bs</v>
          </cell>
          <cell r="D34">
            <v>-11253.81</v>
          </cell>
        </row>
        <row r="35">
          <cell r="A35" t="str">
            <v>4.3.00.00</v>
          </cell>
          <cell r="B35" t="str">
            <v>GASTOS DE COMERCIALIZACION</v>
          </cell>
          <cell r="C35" t="str">
            <v>Bs</v>
          </cell>
          <cell r="D35">
            <v>-7871570.8200000003</v>
          </cell>
        </row>
        <row r="36">
          <cell r="A36" t="str">
            <v>4.3.01.00</v>
          </cell>
          <cell r="B36" t="str">
            <v>SERVICIOS PERSONALES</v>
          </cell>
          <cell r="C36" t="str">
            <v>Bs</v>
          </cell>
          <cell r="D36">
            <v>-1211703.58</v>
          </cell>
        </row>
        <row r="37">
          <cell r="A37" t="str">
            <v>4.3.01.01</v>
          </cell>
          <cell r="B37" t="str">
            <v>SUELDOS Y SALARIOS</v>
          </cell>
          <cell r="C37" t="str">
            <v>Bs</v>
          </cell>
          <cell r="D37">
            <v>-799277.7</v>
          </cell>
        </row>
        <row r="38">
          <cell r="A38" t="str">
            <v>4.3.01.02</v>
          </cell>
          <cell r="B38" t="str">
            <v>APORTES PATRONALES</v>
          </cell>
          <cell r="C38" t="str">
            <v>Bs</v>
          </cell>
          <cell r="D38">
            <v>-138196.97</v>
          </cell>
        </row>
        <row r="39">
          <cell r="A39" t="str">
            <v>4.3.01.03</v>
          </cell>
          <cell r="B39" t="str">
            <v>BENEFICIOS SOCIALES</v>
          </cell>
          <cell r="C39" t="str">
            <v>Bs</v>
          </cell>
          <cell r="D39">
            <v>-274228.90999999997</v>
          </cell>
        </row>
        <row r="40">
          <cell r="A40" t="str">
            <v>4.3.02.00</v>
          </cell>
          <cell r="B40" t="str">
            <v>MATERIALES Y SERVICIOS</v>
          </cell>
          <cell r="C40" t="str">
            <v>Bs</v>
          </cell>
          <cell r="D40">
            <v>-250478.58</v>
          </cell>
        </row>
        <row r="41">
          <cell r="A41" t="str">
            <v>4.3.02.01</v>
          </cell>
          <cell r="B41" t="str">
            <v>MATERIALES ALMACEN - COMERCIALIZACION</v>
          </cell>
          <cell r="C41" t="str">
            <v>Bs</v>
          </cell>
          <cell r="D41">
            <v>-250478.58</v>
          </cell>
        </row>
        <row r="42">
          <cell r="A42" t="str">
            <v>4.3.03.00</v>
          </cell>
          <cell r="B42" t="str">
            <v>GASTOS GENERALES</v>
          </cell>
          <cell r="C42" t="str">
            <v>Bs</v>
          </cell>
          <cell r="D42">
            <v>-6307169.3399999999</v>
          </cell>
        </row>
        <row r="43">
          <cell r="A43" t="str">
            <v>4.3.03.01</v>
          </cell>
          <cell r="B43" t="str">
            <v>GASTOS GENERALES - COMERCIALIZACION</v>
          </cell>
          <cell r="C43" t="str">
            <v>Bs</v>
          </cell>
          <cell r="D43">
            <v>-6307169.3399999999</v>
          </cell>
        </row>
        <row r="44">
          <cell r="A44" t="str">
            <v>4.3.04.00</v>
          </cell>
          <cell r="B44" t="str">
            <v>DEPRECIACION ACTIVO FIJO</v>
          </cell>
          <cell r="C44" t="str">
            <v>Bs</v>
          </cell>
          <cell r="D44">
            <v>-102219.32</v>
          </cell>
        </row>
        <row r="45">
          <cell r="A45" t="str">
            <v>4.3.04.01</v>
          </cell>
          <cell r="B45" t="str">
            <v>DEPREC. ACTIVO FIJO - COMERCIALIZACION</v>
          </cell>
          <cell r="C45" t="str">
            <v>Bs</v>
          </cell>
          <cell r="D45">
            <v>-102219.32</v>
          </cell>
        </row>
        <row r="46">
          <cell r="A46" t="str">
            <v>4.4.00.00</v>
          </cell>
          <cell r="B46" t="str">
            <v>GASTOS FINANCIEROS</v>
          </cell>
          <cell r="C46" t="str">
            <v>Bs</v>
          </cell>
          <cell r="D46">
            <v>-1892984.83</v>
          </cell>
        </row>
        <row r="47">
          <cell r="A47" t="str">
            <v>4.4.01.00</v>
          </cell>
          <cell r="B47" t="str">
            <v>GASTOS FINANCIEROS</v>
          </cell>
          <cell r="C47" t="str">
            <v>Bs</v>
          </cell>
          <cell r="D47">
            <v>-1892984.83</v>
          </cell>
        </row>
        <row r="48">
          <cell r="A48" t="str">
            <v>4.4.01.01</v>
          </cell>
          <cell r="B48" t="str">
            <v>INTERESES</v>
          </cell>
          <cell r="C48" t="str">
            <v>Bs</v>
          </cell>
          <cell r="D48">
            <v>-1862815.92</v>
          </cell>
        </row>
        <row r="49">
          <cell r="A49" t="str">
            <v>4.4.01.02</v>
          </cell>
          <cell r="B49" t="str">
            <v>COMISIONES</v>
          </cell>
          <cell r="C49" t="str">
            <v>Bs</v>
          </cell>
          <cell r="D49">
            <v>-30168.91</v>
          </cell>
        </row>
        <row r="50">
          <cell r="A50" t="str">
            <v>4.5.00.00</v>
          </cell>
          <cell r="B50" t="str">
            <v>GASTOS TRIBUTARIOS</v>
          </cell>
          <cell r="C50" t="str">
            <v>Bs</v>
          </cell>
          <cell r="D50">
            <v>-1887531.99</v>
          </cell>
        </row>
        <row r="51">
          <cell r="A51" t="str">
            <v>4.5.01.00</v>
          </cell>
          <cell r="B51" t="str">
            <v>GASTOS TRIBUTARIOS</v>
          </cell>
          <cell r="C51" t="str">
            <v>Bs</v>
          </cell>
          <cell r="D51">
            <v>-1887531.99</v>
          </cell>
        </row>
        <row r="52">
          <cell r="A52" t="str">
            <v>4.5.01.01</v>
          </cell>
          <cell r="B52" t="str">
            <v>IMPUESTO A LAS TRANSACCIONES</v>
          </cell>
          <cell r="C52" t="str">
            <v>Bs</v>
          </cell>
          <cell r="D52">
            <v>-1632312</v>
          </cell>
        </row>
        <row r="53">
          <cell r="A53" t="str">
            <v>4.5.01.02</v>
          </cell>
          <cell r="B53" t="str">
            <v>IMPUESTO A LA PROPIEDAD DE BIENES INMUEB</v>
          </cell>
          <cell r="C53" t="str">
            <v>Bs</v>
          </cell>
          <cell r="D53">
            <v>-4729</v>
          </cell>
        </row>
        <row r="54">
          <cell r="A54" t="str">
            <v>4.5.01.04</v>
          </cell>
          <cell r="B54" t="str">
            <v>TASAS Y PATENTES</v>
          </cell>
          <cell r="C54" t="str">
            <v>Bs</v>
          </cell>
          <cell r="D54">
            <v>0</v>
          </cell>
        </row>
        <row r="55">
          <cell r="A55" t="str">
            <v>4.5.01.05</v>
          </cell>
          <cell r="B55" t="str">
            <v>PATENTES MINERAS</v>
          </cell>
          <cell r="C55" t="str">
            <v>Bs</v>
          </cell>
          <cell r="D55">
            <v>-62841</v>
          </cell>
        </row>
        <row r="56">
          <cell r="A56" t="str">
            <v>4.5.01.06</v>
          </cell>
          <cell r="B56" t="str">
            <v>IMPUESTO A LAS TRANSAC. FINANCIERAS</v>
          </cell>
          <cell r="C56" t="str">
            <v>Bs</v>
          </cell>
          <cell r="D56">
            <v>-2305.9899999999998</v>
          </cell>
        </row>
        <row r="57">
          <cell r="A57" t="str">
            <v>4.5.01.07</v>
          </cell>
          <cell r="B57" t="str">
            <v>MANTENIMIENTO DE VALOR - FACILIDADES DE PAGO</v>
          </cell>
          <cell r="C57" t="str">
            <v>Bs</v>
          </cell>
          <cell r="D57">
            <v>-51402</v>
          </cell>
        </row>
        <row r="58">
          <cell r="A58" t="str">
            <v>4.5.01.08</v>
          </cell>
          <cell r="B58" t="str">
            <v>INTERESES - FACILIDADES DE PAGO</v>
          </cell>
          <cell r="C58" t="str">
            <v>Bs</v>
          </cell>
          <cell r="D58">
            <v>-133942</v>
          </cell>
        </row>
        <row r="59">
          <cell r="A59" t="str">
            <v>4.6.00.00</v>
          </cell>
          <cell r="B59" t="str">
            <v>PERDIDAS Y GANANCIAS</v>
          </cell>
          <cell r="C59" t="str">
            <v>Bs</v>
          </cell>
          <cell r="D59">
            <v>-84055.37</v>
          </cell>
        </row>
        <row r="60">
          <cell r="A60" t="str">
            <v>4.6.01.00</v>
          </cell>
          <cell r="B60" t="str">
            <v>PERDIDAS Y GANANCIAS</v>
          </cell>
          <cell r="C60" t="str">
            <v>Bs</v>
          </cell>
          <cell r="D60">
            <v>-84055.37</v>
          </cell>
        </row>
        <row r="61">
          <cell r="A61" t="str">
            <v>4.6.01.01</v>
          </cell>
          <cell r="B61" t="str">
            <v>PERDIDAS Y GANANCIAS</v>
          </cell>
          <cell r="C61" t="str">
            <v>Bs</v>
          </cell>
          <cell r="D61">
            <v>0</v>
          </cell>
        </row>
        <row r="62">
          <cell r="A62" t="str">
            <v>4.6.01.02</v>
          </cell>
          <cell r="B62" t="str">
            <v>AJUSTES GESTIONES ANTERIORES</v>
          </cell>
          <cell r="C62" t="str">
            <v>Bs</v>
          </cell>
          <cell r="D62">
            <v>-84055.37</v>
          </cell>
        </row>
        <row r="63">
          <cell r="A63" t="str">
            <v>4.7.00.00</v>
          </cell>
          <cell r="B63" t="str">
            <v>CORRECCION MONETARIA POR INFLACION</v>
          </cell>
          <cell r="C63" t="str">
            <v>Bs</v>
          </cell>
          <cell r="D63">
            <v>179363.58</v>
          </cell>
        </row>
        <row r="64">
          <cell r="A64" t="str">
            <v>4.7.01.00</v>
          </cell>
          <cell r="B64" t="str">
            <v>AJUSTES MONETARIOS POR INFLACION</v>
          </cell>
          <cell r="C64" t="str">
            <v>Bs</v>
          </cell>
          <cell r="D64">
            <v>179363.58</v>
          </cell>
        </row>
        <row r="65">
          <cell r="A65" t="str">
            <v>4.7.01.01</v>
          </cell>
          <cell r="B65" t="str">
            <v>AJUSTE POR INFLACION Y TENENCIA DE BIENE</v>
          </cell>
          <cell r="C65" t="str">
            <v>Bs</v>
          </cell>
          <cell r="D65">
            <v>190638.09</v>
          </cell>
        </row>
        <row r="66">
          <cell r="A66" t="str">
            <v>4.7.01.02</v>
          </cell>
          <cell r="B66" t="str">
            <v>DIFERENCIAS DE CAMBIO</v>
          </cell>
          <cell r="C66" t="str">
            <v>Bs</v>
          </cell>
          <cell r="D66">
            <v>-11274.51</v>
          </cell>
        </row>
        <row r="67">
          <cell r="A67" t="str">
            <v>***TOTAL UTILIDAD(+)/PERDIDA(-)***</v>
          </cell>
          <cell r="C67" t="str">
            <v>Bs</v>
          </cell>
          <cell r="D67">
            <v>-427138.33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53140981.799999997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53140981.799999997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51738407.869999997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51738407.869999997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1402573.93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206387.52</v>
          </cell>
        </row>
        <row r="12">
          <cell r="A12" t="str">
            <v>3.1.02.03</v>
          </cell>
          <cell r="B12" t="str">
            <v>INGRESOS FINANCIEROS</v>
          </cell>
          <cell r="C12" t="str">
            <v>Bs</v>
          </cell>
          <cell r="D12">
            <v>2766.49</v>
          </cell>
        </row>
        <row r="13">
          <cell r="A13" t="str">
            <v>3.1.02.04</v>
          </cell>
          <cell r="B13" t="str">
            <v>OTROS INGRESOS</v>
          </cell>
          <cell r="C13" t="str">
            <v>Bs</v>
          </cell>
          <cell r="D13">
            <v>1193419.92</v>
          </cell>
        </row>
        <row r="14">
          <cell r="A14" t="str">
            <v>4.0.00.00</v>
          </cell>
          <cell r="B14" t="str">
            <v>EGRESOS</v>
          </cell>
          <cell r="C14" t="str">
            <v>Bs</v>
          </cell>
          <cell r="D14">
            <v>-43972841.159999996</v>
          </cell>
        </row>
        <row r="16">
          <cell r="A16" t="str">
            <v>4.1.00.00</v>
          </cell>
          <cell r="B16" t="str">
            <v>COSTO DE VENTAS</v>
          </cell>
          <cell r="C16" t="str">
            <v>Bs</v>
          </cell>
          <cell r="D16">
            <v>-33832217.420000002</v>
          </cell>
        </row>
        <row r="17">
          <cell r="A17" t="str">
            <v>4.1.01.00</v>
          </cell>
          <cell r="B17" t="str">
            <v>COSTO DE PRODUCCION DE LO VENDIDO</v>
          </cell>
          <cell r="C17" t="str">
            <v>Bs</v>
          </cell>
          <cell r="D17">
            <v>-33710556.32</v>
          </cell>
        </row>
        <row r="18">
          <cell r="A18" t="str">
            <v>4.1.01.01</v>
          </cell>
          <cell r="B18" t="str">
            <v>COSTO DE PRODUCCION DE LO VENDIDO</v>
          </cell>
          <cell r="C18" t="str">
            <v>Bs</v>
          </cell>
          <cell r="D18">
            <v>-33710556.32</v>
          </cell>
        </row>
        <row r="19">
          <cell r="A19" t="str">
            <v>4.1.02.00</v>
          </cell>
          <cell r="B19" t="str">
            <v>EGRESOS NO OPERATIVOS</v>
          </cell>
          <cell r="C19" t="str">
            <v>Bs</v>
          </cell>
          <cell r="D19">
            <v>-121661.1</v>
          </cell>
        </row>
        <row r="20">
          <cell r="A20" t="str">
            <v>4.1.02.01</v>
          </cell>
          <cell r="B20" t="str">
            <v>EGRESOS NO OPERATIVOS</v>
          </cell>
          <cell r="C20" t="str">
            <v>Bs</v>
          </cell>
          <cell r="D20">
            <v>-121661.1</v>
          </cell>
        </row>
        <row r="21">
          <cell r="A21" t="str">
            <v>4.2.00.00</v>
          </cell>
          <cell r="B21" t="str">
            <v>GASTOS DE ADMINISTRACION</v>
          </cell>
          <cell r="C21" t="str">
            <v>Bs</v>
          </cell>
          <cell r="D21">
            <v>-762056.68</v>
          </cell>
        </row>
        <row r="22">
          <cell r="A22" t="str">
            <v>4.2.01.00</v>
          </cell>
          <cell r="B22" t="str">
            <v>SERVICIOS PERSONALES</v>
          </cell>
          <cell r="C22" t="str">
            <v>Bs</v>
          </cell>
          <cell r="D22">
            <v>-514269.21</v>
          </cell>
        </row>
        <row r="23">
          <cell r="A23" t="str">
            <v>4.2.01.01</v>
          </cell>
          <cell r="B23" t="str">
            <v>SUELDOS Y SALARIOS</v>
          </cell>
          <cell r="C23" t="str">
            <v>Bs</v>
          </cell>
          <cell r="D23">
            <v>-386031.24</v>
          </cell>
        </row>
        <row r="24">
          <cell r="A24" t="str">
            <v>4.2.01.02</v>
          </cell>
          <cell r="B24" t="str">
            <v>APORTES PATRONALES</v>
          </cell>
          <cell r="C24" t="str">
            <v>Bs</v>
          </cell>
          <cell r="D24">
            <v>-64215.07</v>
          </cell>
        </row>
        <row r="25">
          <cell r="A25" t="str">
            <v>4.2.01.03</v>
          </cell>
          <cell r="B25" t="str">
            <v>BENEFICIOS SOCIALES</v>
          </cell>
          <cell r="C25" t="str">
            <v>Bs</v>
          </cell>
          <cell r="D25">
            <v>-64022.9</v>
          </cell>
        </row>
        <row r="26">
          <cell r="A26" t="str">
            <v>4.2.02.00</v>
          </cell>
          <cell r="B26" t="str">
            <v>MATERIALES Y SERVICIOS</v>
          </cell>
          <cell r="C26" t="str">
            <v>Bs</v>
          </cell>
          <cell r="D26">
            <v>-18785.61</v>
          </cell>
        </row>
        <row r="27">
          <cell r="A27" t="str">
            <v>4.2.02.01</v>
          </cell>
          <cell r="B27" t="str">
            <v>MATERIALES DE ALMACEN</v>
          </cell>
          <cell r="C27" t="str">
            <v>Bs</v>
          </cell>
          <cell r="D27">
            <v>-18785.61</v>
          </cell>
        </row>
        <row r="28">
          <cell r="A28" t="str">
            <v>4.2.03.00</v>
          </cell>
          <cell r="B28" t="str">
            <v>GASTOS GENERALES</v>
          </cell>
          <cell r="C28" t="str">
            <v>Bs</v>
          </cell>
          <cell r="D28">
            <v>-217328.65</v>
          </cell>
        </row>
        <row r="29">
          <cell r="A29" t="str">
            <v>4.2.03.01</v>
          </cell>
          <cell r="B29" t="str">
            <v>GASTOS GENERALES</v>
          </cell>
          <cell r="C29" t="str">
            <v>Bs</v>
          </cell>
          <cell r="D29">
            <v>-209185.07</v>
          </cell>
        </row>
        <row r="30">
          <cell r="A30" t="str">
            <v>4.2.03.02</v>
          </cell>
          <cell r="B30" t="str">
            <v>OTROS GASTOS</v>
          </cell>
          <cell r="C30" t="str">
            <v>Bs</v>
          </cell>
          <cell r="D30">
            <v>-204</v>
          </cell>
        </row>
        <row r="31">
          <cell r="A31" t="str">
            <v>4.2.03.03</v>
          </cell>
          <cell r="B31" t="str">
            <v>AYUDA COMUNITARIA</v>
          </cell>
          <cell r="C31" t="str">
            <v>Bs</v>
          </cell>
          <cell r="D31">
            <v>-7939.58</v>
          </cell>
        </row>
        <row r="32">
          <cell r="A32" t="str">
            <v>4.2.04.00</v>
          </cell>
          <cell r="B32" t="str">
            <v>DEPRECIACION ACTIVO FIJO</v>
          </cell>
          <cell r="C32" t="str">
            <v>Bs</v>
          </cell>
          <cell r="D32">
            <v>-11673.21</v>
          </cell>
        </row>
        <row r="33">
          <cell r="A33" t="str">
            <v>4.2.04.01</v>
          </cell>
          <cell r="B33" t="str">
            <v>DEPRECIACION ACTIVO FIJO</v>
          </cell>
          <cell r="C33" t="str">
            <v>Bs</v>
          </cell>
          <cell r="D33">
            <v>-11673.21</v>
          </cell>
        </row>
        <row r="34">
          <cell r="A34" t="str">
            <v>4.3.00.00</v>
          </cell>
          <cell r="B34" t="str">
            <v>GASTOS DE COMERCIALIZACION</v>
          </cell>
          <cell r="C34" t="str">
            <v>Bs</v>
          </cell>
          <cell r="D34">
            <v>-5624672.1600000001</v>
          </cell>
        </row>
        <row r="35">
          <cell r="A35" t="str">
            <v>4.3.01.00</v>
          </cell>
          <cell r="B35" t="str">
            <v>SERVICIOS PERSONALES</v>
          </cell>
          <cell r="C35" t="str">
            <v>Bs</v>
          </cell>
          <cell r="D35">
            <v>-1035390.95</v>
          </cell>
        </row>
        <row r="36">
          <cell r="A36" t="str">
            <v>4.3.01.01</v>
          </cell>
          <cell r="B36" t="str">
            <v>SUELDOS Y SALARIOS</v>
          </cell>
          <cell r="C36" t="str">
            <v>Bs</v>
          </cell>
          <cell r="D36">
            <v>-776992.68</v>
          </cell>
        </row>
        <row r="37">
          <cell r="A37" t="str">
            <v>4.3.01.02</v>
          </cell>
          <cell r="B37" t="str">
            <v>APORTES PATRONALES</v>
          </cell>
          <cell r="C37" t="str">
            <v>Bs</v>
          </cell>
          <cell r="D37">
            <v>-129392.73</v>
          </cell>
        </row>
        <row r="38">
          <cell r="A38" t="str">
            <v>4.3.01.03</v>
          </cell>
          <cell r="B38" t="str">
            <v>BENEFICIOS SOCIALES</v>
          </cell>
          <cell r="C38" t="str">
            <v>Bs</v>
          </cell>
          <cell r="D38">
            <v>-129005.54</v>
          </cell>
        </row>
        <row r="39">
          <cell r="A39" t="str">
            <v>4.3.02.00</v>
          </cell>
          <cell r="B39" t="str">
            <v>MATERIALES Y SERVICIOS</v>
          </cell>
          <cell r="C39" t="str">
            <v>Bs</v>
          </cell>
          <cell r="D39">
            <v>-198685.12</v>
          </cell>
        </row>
        <row r="40">
          <cell r="A40" t="str">
            <v>4.3.02.01</v>
          </cell>
          <cell r="B40" t="str">
            <v>MATERIALES ALMACEN - COMERCIALIZACION</v>
          </cell>
          <cell r="C40" t="str">
            <v>Bs</v>
          </cell>
          <cell r="D40">
            <v>-198685.12</v>
          </cell>
        </row>
        <row r="41">
          <cell r="A41" t="str">
            <v>4.3.03.00</v>
          </cell>
          <cell r="B41" t="str">
            <v>GASTOS GENERALES</v>
          </cell>
          <cell r="C41" t="str">
            <v>Bs</v>
          </cell>
          <cell r="D41">
            <v>-4285800.5</v>
          </cell>
        </row>
        <row r="42">
          <cell r="A42" t="str">
            <v>4.3.03.01</v>
          </cell>
          <cell r="B42" t="str">
            <v>GASTOS GENERALES - COMERCIALIZACION</v>
          </cell>
          <cell r="C42" t="str">
            <v>Bs</v>
          </cell>
          <cell r="D42">
            <v>-4285800.5</v>
          </cell>
        </row>
        <row r="43">
          <cell r="A43" t="str">
            <v>4.3.04.00</v>
          </cell>
          <cell r="B43" t="str">
            <v>DEPRECIACION ACTIVO FIJO</v>
          </cell>
          <cell r="C43" t="str">
            <v>Bs</v>
          </cell>
          <cell r="D43">
            <v>-104795.59</v>
          </cell>
        </row>
        <row r="44">
          <cell r="A44" t="str">
            <v>4.3.04.01</v>
          </cell>
          <cell r="B44" t="str">
            <v>DEPREC. ACTIVO FIJO - COMERCIALIZACION</v>
          </cell>
          <cell r="C44" t="str">
            <v>Bs</v>
          </cell>
          <cell r="D44">
            <v>-104795.59</v>
          </cell>
        </row>
        <row r="45">
          <cell r="A45" t="str">
            <v>4.4.00.00</v>
          </cell>
          <cell r="B45" t="str">
            <v>GASTOS FINANCIEROS</v>
          </cell>
          <cell r="C45" t="str">
            <v>Bs</v>
          </cell>
          <cell r="D45">
            <v>-1400464.9</v>
          </cell>
        </row>
        <row r="46">
          <cell r="A46" t="str">
            <v>4.4.01.00</v>
          </cell>
          <cell r="B46" t="str">
            <v>GASTOS FINANCIEROS</v>
          </cell>
          <cell r="C46" t="str">
            <v>Bs</v>
          </cell>
          <cell r="D46">
            <v>-1400464.9</v>
          </cell>
        </row>
        <row r="47">
          <cell r="A47" t="str">
            <v>4.4.01.01</v>
          </cell>
          <cell r="B47" t="str">
            <v>INTERESES</v>
          </cell>
          <cell r="C47" t="str">
            <v>Bs</v>
          </cell>
          <cell r="D47">
            <v>-1369153.53</v>
          </cell>
        </row>
        <row r="48">
          <cell r="A48" t="str">
            <v>4.4.01.02</v>
          </cell>
          <cell r="B48" t="str">
            <v>COMISIONES</v>
          </cell>
          <cell r="C48" t="str">
            <v>Bs</v>
          </cell>
          <cell r="D48">
            <v>-31311.37</v>
          </cell>
        </row>
        <row r="49">
          <cell r="A49" t="str">
            <v>4.5.00.00</v>
          </cell>
          <cell r="B49" t="str">
            <v>GASTOS TRIBUTARIOS</v>
          </cell>
          <cell r="C49" t="str">
            <v>Bs</v>
          </cell>
          <cell r="D49">
            <v>-1794189.6</v>
          </cell>
        </row>
        <row r="50">
          <cell r="A50" t="str">
            <v>4.5.01.00</v>
          </cell>
          <cell r="B50" t="str">
            <v>GASTOS TRIBUTARIOS</v>
          </cell>
          <cell r="C50" t="str">
            <v>Bs</v>
          </cell>
          <cell r="D50">
            <v>-1794189.6</v>
          </cell>
        </row>
        <row r="51">
          <cell r="A51" t="str">
            <v>4.5.01.01</v>
          </cell>
          <cell r="B51" t="str">
            <v>IMPUESTO A LAS TRANSACCIONES</v>
          </cell>
          <cell r="C51" t="str">
            <v>Bs</v>
          </cell>
          <cell r="D51">
            <v>-1792114</v>
          </cell>
        </row>
        <row r="52">
          <cell r="A52" t="str">
            <v>4.5.01.06</v>
          </cell>
          <cell r="B52" t="str">
            <v>IMPUESTO A LAS TRANSAC. FINANCIERAS</v>
          </cell>
          <cell r="C52" t="str">
            <v>Bs</v>
          </cell>
          <cell r="D52">
            <v>-2075.6</v>
          </cell>
        </row>
        <row r="53">
          <cell r="A53" t="str">
            <v>4.6.00.00</v>
          </cell>
          <cell r="B53" t="str">
            <v>PERDIDAS Y GANANCIAS</v>
          </cell>
          <cell r="C53" t="str">
            <v>Bs</v>
          </cell>
          <cell r="D53">
            <v>-848920.56</v>
          </cell>
        </row>
        <row r="54">
          <cell r="A54" t="str">
            <v>4.6.01.00</v>
          </cell>
          <cell r="B54" t="str">
            <v>PERDIDAS Y GANANCIAS</v>
          </cell>
          <cell r="C54" t="str">
            <v>Bs</v>
          </cell>
          <cell r="D54">
            <v>-848920.56</v>
          </cell>
        </row>
        <row r="55">
          <cell r="A55" t="str">
            <v>4.6.01.01</v>
          </cell>
          <cell r="B55" t="str">
            <v>PERDIDAS Y GANANCIAS</v>
          </cell>
          <cell r="C55" t="str">
            <v>Bs</v>
          </cell>
          <cell r="D55">
            <v>-834468.07</v>
          </cell>
        </row>
        <row r="56">
          <cell r="A56" t="str">
            <v>4.6.01.02</v>
          </cell>
          <cell r="B56" t="str">
            <v>AJUSTES GESTIONES ANTERIORES</v>
          </cell>
          <cell r="C56" t="str">
            <v>Bs</v>
          </cell>
          <cell r="D56">
            <v>-14452.49</v>
          </cell>
        </row>
        <row r="57">
          <cell r="A57" t="str">
            <v>4.7.00.00</v>
          </cell>
          <cell r="B57" t="str">
            <v>CORRECCION MONETARIA POR INFLACION</v>
          </cell>
          <cell r="C57" t="str">
            <v>Bs</v>
          </cell>
          <cell r="D57">
            <v>289680.15999999997</v>
          </cell>
        </row>
        <row r="58">
          <cell r="A58" t="str">
            <v>4.7.01.00</v>
          </cell>
          <cell r="B58" t="str">
            <v>AJUSTES MONETARIOS POR INFLACION</v>
          </cell>
          <cell r="C58" t="str">
            <v>Bs</v>
          </cell>
          <cell r="D58">
            <v>289680.15999999997</v>
          </cell>
        </row>
        <row r="59">
          <cell r="A59" t="str">
            <v>4.7.01.01</v>
          </cell>
          <cell r="B59" t="str">
            <v>AJUSTE POR INFLACION Y TENENCIA DE BIENE</v>
          </cell>
          <cell r="C59" t="str">
            <v>Bs</v>
          </cell>
          <cell r="D59">
            <v>305411.76</v>
          </cell>
        </row>
        <row r="60">
          <cell r="A60" t="str">
            <v>4.7.01.02</v>
          </cell>
          <cell r="B60" t="str">
            <v>DIFERENCIAS DE CAMBIO</v>
          </cell>
          <cell r="C60" t="str">
            <v>Bs</v>
          </cell>
          <cell r="D60">
            <v>-15731.6</v>
          </cell>
        </row>
        <row r="61">
          <cell r="A61" t="str">
            <v>***TOTAL UTILIDAD(+)/PERDIDA(-)***</v>
          </cell>
          <cell r="C61" t="str">
            <v>Bs</v>
          </cell>
          <cell r="D61">
            <v>9168140.6400000006</v>
          </cell>
        </row>
        <row r="66">
          <cell r="B66" t="str">
            <v>LIC.DEISY MONTAÑO GUZMAN</v>
          </cell>
        </row>
        <row r="67">
          <cell r="B67" t="str">
            <v>JEFE DE CONTABILIDAD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 refreshError="1">
        <row r="5">
          <cell r="A5" t="str">
            <v>3.0.00.00</v>
          </cell>
          <cell r="B5" t="str">
            <v>INGRESOS</v>
          </cell>
          <cell r="C5" t="str">
            <v>Bs</v>
          </cell>
          <cell r="D5">
            <v>31464319.969999999</v>
          </cell>
        </row>
        <row r="7">
          <cell r="A7" t="str">
            <v>3.1.00.00</v>
          </cell>
          <cell r="B7" t="str">
            <v>INGRESOS NETOS</v>
          </cell>
          <cell r="C7" t="str">
            <v>Bs</v>
          </cell>
          <cell r="D7">
            <v>31464319.969999999</v>
          </cell>
        </row>
        <row r="8">
          <cell r="A8" t="str">
            <v>3.1.01.00</v>
          </cell>
          <cell r="B8" t="str">
            <v>INGRESOS OPERATIVOS</v>
          </cell>
          <cell r="C8" t="str">
            <v>Bs</v>
          </cell>
          <cell r="D8">
            <v>31208457.460000001</v>
          </cell>
        </row>
        <row r="9">
          <cell r="A9" t="str">
            <v>3.1.01.01</v>
          </cell>
          <cell r="B9" t="str">
            <v>INGRESOS POR VENTA DE PRODUCTOS</v>
          </cell>
          <cell r="C9" t="str">
            <v>Bs</v>
          </cell>
          <cell r="D9">
            <v>31208457.460000001</v>
          </cell>
        </row>
        <row r="10">
          <cell r="A10" t="str">
            <v>3.1.02.00</v>
          </cell>
          <cell r="B10" t="str">
            <v>INGRESOS NO OPERATIVOS</v>
          </cell>
          <cell r="C10" t="str">
            <v>Bs</v>
          </cell>
          <cell r="D10">
            <v>255862.51</v>
          </cell>
        </row>
        <row r="11">
          <cell r="A11" t="str">
            <v>3.1.02.01</v>
          </cell>
          <cell r="B11" t="str">
            <v>INGRESOS POR VENTA DE MATERIALES Y DESEC</v>
          </cell>
          <cell r="C11" t="str">
            <v>Bs</v>
          </cell>
          <cell r="D11">
            <v>197190.01</v>
          </cell>
        </row>
        <row r="12">
          <cell r="A12" t="str">
            <v>3.1.02.03</v>
          </cell>
          <cell r="B12" t="str">
            <v>INGRESOS FINANCIEROS</v>
          </cell>
          <cell r="C12" t="str">
            <v>Bs</v>
          </cell>
          <cell r="D12">
            <v>137.06</v>
          </cell>
        </row>
        <row r="13">
          <cell r="A13" t="str">
            <v>3.1.02.04</v>
          </cell>
          <cell r="B13" t="str">
            <v>OTROS INGRESOS</v>
          </cell>
          <cell r="C13" t="str">
            <v>Bs</v>
          </cell>
          <cell r="D13">
            <v>58535.44</v>
          </cell>
        </row>
        <row r="14">
          <cell r="A14" t="str">
            <v>4.0.00.00</v>
          </cell>
          <cell r="B14" t="str">
            <v>EGRESOS</v>
          </cell>
          <cell r="C14" t="str">
            <v>Bs</v>
          </cell>
          <cell r="D14">
            <v>-41558730.369999997</v>
          </cell>
        </row>
        <row r="16">
          <cell r="A16" t="str">
            <v>4.1.00.00</v>
          </cell>
          <cell r="B16" t="str">
            <v>COSTO DE VENTAS</v>
          </cell>
          <cell r="C16" t="str">
            <v>Bs</v>
          </cell>
          <cell r="D16">
            <v>-31825420.550000001</v>
          </cell>
        </row>
        <row r="17">
          <cell r="A17" t="str">
            <v>4.1.01.00</v>
          </cell>
          <cell r="B17" t="str">
            <v>COSTO DE PRODUCCION DE LO VENDIDO</v>
          </cell>
          <cell r="C17" t="str">
            <v>Bs</v>
          </cell>
          <cell r="D17">
            <v>-31566134.879999999</v>
          </cell>
        </row>
        <row r="18">
          <cell r="A18" t="str">
            <v>4.1.01.01</v>
          </cell>
          <cell r="B18" t="str">
            <v>COSTO DE PRODUCCION DE LO VENDIDO</v>
          </cell>
          <cell r="C18" t="str">
            <v>Bs</v>
          </cell>
          <cell r="D18">
            <v>-31566134.879999999</v>
          </cell>
        </row>
        <row r="19">
          <cell r="A19" t="str">
            <v>4.1.02.00</v>
          </cell>
          <cell r="B19" t="str">
            <v>EGRESOS NO OPERATIVOS</v>
          </cell>
          <cell r="C19" t="str">
            <v>Bs</v>
          </cell>
          <cell r="D19">
            <v>-259285.67</v>
          </cell>
        </row>
        <row r="20">
          <cell r="A20" t="str">
            <v>4.1.02.01</v>
          </cell>
          <cell r="B20" t="str">
            <v>EGRESOS NO OPERATIVOS</v>
          </cell>
          <cell r="C20" t="str">
            <v>Bs</v>
          </cell>
          <cell r="D20">
            <v>-259285.67</v>
          </cell>
        </row>
        <row r="21">
          <cell r="A21" t="str">
            <v>4.2.00.00</v>
          </cell>
          <cell r="B21" t="str">
            <v>GASTOS DE ADMINISTRACION</v>
          </cell>
          <cell r="C21" t="str">
            <v>Bs</v>
          </cell>
          <cell r="D21">
            <v>-803591.32</v>
          </cell>
        </row>
        <row r="22">
          <cell r="A22" t="str">
            <v>4.2.01.00</v>
          </cell>
          <cell r="B22" t="str">
            <v>SERVICIOS PERSONALES</v>
          </cell>
          <cell r="C22" t="str">
            <v>Bs</v>
          </cell>
          <cell r="D22">
            <v>-513163.26</v>
          </cell>
        </row>
        <row r="23">
          <cell r="A23" t="str">
            <v>4.2.01.01</v>
          </cell>
          <cell r="B23" t="str">
            <v>SUELDOS Y SALARIOS</v>
          </cell>
          <cell r="C23" t="str">
            <v>Bs</v>
          </cell>
          <cell r="D23">
            <v>-387620.69</v>
          </cell>
        </row>
        <row r="24">
          <cell r="A24" t="str">
            <v>4.2.01.02</v>
          </cell>
          <cell r="B24" t="str">
            <v>APORTES PATRONALES</v>
          </cell>
          <cell r="C24" t="str">
            <v>Bs</v>
          </cell>
          <cell r="D24">
            <v>-64480.67</v>
          </cell>
        </row>
        <row r="25">
          <cell r="A25" t="str">
            <v>4.2.01.03</v>
          </cell>
          <cell r="B25" t="str">
            <v>BENEFICIOS SOCIALES</v>
          </cell>
          <cell r="C25" t="str">
            <v>Bs</v>
          </cell>
          <cell r="D25">
            <v>-61061.9</v>
          </cell>
        </row>
        <row r="26">
          <cell r="A26" t="str">
            <v>4.2.02.00</v>
          </cell>
          <cell r="B26" t="str">
            <v>MATERIALES Y SERVICIOS</v>
          </cell>
          <cell r="C26" t="str">
            <v>Bs</v>
          </cell>
          <cell r="D26">
            <v>-7709.88</v>
          </cell>
        </row>
        <row r="27">
          <cell r="A27" t="str">
            <v>4.2.02.01</v>
          </cell>
          <cell r="B27" t="str">
            <v>MATERIALES DE ALMACEN</v>
          </cell>
          <cell r="C27" t="str">
            <v>Bs</v>
          </cell>
          <cell r="D27">
            <v>-7709.88</v>
          </cell>
        </row>
        <row r="28">
          <cell r="A28" t="str">
            <v>4.2.03.00</v>
          </cell>
          <cell r="B28" t="str">
            <v>GASTOS GENERALES</v>
          </cell>
          <cell r="C28" t="str">
            <v>Bs</v>
          </cell>
          <cell r="D28">
            <v>-271044.96999999997</v>
          </cell>
        </row>
        <row r="29">
          <cell r="A29" t="str">
            <v>4.2.03.01</v>
          </cell>
          <cell r="B29" t="str">
            <v>GASTOS GENERALES</v>
          </cell>
          <cell r="C29" t="str">
            <v>Bs</v>
          </cell>
          <cell r="D29">
            <v>-263457.01</v>
          </cell>
        </row>
        <row r="30">
          <cell r="A30" t="str">
            <v>4.2.03.02</v>
          </cell>
          <cell r="B30" t="str">
            <v>OTROS GASTOS</v>
          </cell>
          <cell r="C30" t="str">
            <v>Bs</v>
          </cell>
          <cell r="D30">
            <v>0</v>
          </cell>
        </row>
        <row r="31">
          <cell r="A31" t="str">
            <v>4.2.03.03</v>
          </cell>
          <cell r="B31" t="str">
            <v>AYUDA COMUNITARIA</v>
          </cell>
          <cell r="C31" t="str">
            <v>Bs</v>
          </cell>
          <cell r="D31">
            <v>-7587.96</v>
          </cell>
        </row>
        <row r="32">
          <cell r="A32" t="str">
            <v>4.2.04.00</v>
          </cell>
          <cell r="B32" t="str">
            <v>DEPRECIACION ACTIVO FIJO</v>
          </cell>
          <cell r="C32" t="str">
            <v>Bs</v>
          </cell>
          <cell r="D32">
            <v>-11673.21</v>
          </cell>
        </row>
        <row r="33">
          <cell r="A33" t="str">
            <v>4.2.04.01</v>
          </cell>
          <cell r="B33" t="str">
            <v>DEPRECIACION ACTIVO FIJO</v>
          </cell>
          <cell r="C33" t="str">
            <v>Bs</v>
          </cell>
          <cell r="D33">
            <v>-11673.21</v>
          </cell>
        </row>
        <row r="34">
          <cell r="A34" t="str">
            <v>4.3.00.00</v>
          </cell>
          <cell r="B34" t="str">
            <v>GASTOS DE COMERCIALIZACION</v>
          </cell>
          <cell r="C34" t="str">
            <v>Bs</v>
          </cell>
          <cell r="D34">
            <v>-6318041.1500000004</v>
          </cell>
        </row>
        <row r="35">
          <cell r="A35" t="str">
            <v>4.3.01.00</v>
          </cell>
          <cell r="B35" t="str">
            <v>SERVICIOS PERSONALES</v>
          </cell>
          <cell r="C35" t="str">
            <v>Bs</v>
          </cell>
          <cell r="D35">
            <v>-1007675.39</v>
          </cell>
        </row>
        <row r="36">
          <cell r="A36" t="str">
            <v>4.3.01.01</v>
          </cell>
          <cell r="B36" t="str">
            <v>SUELDOS Y SALARIOS</v>
          </cell>
          <cell r="C36" t="str">
            <v>Bs</v>
          </cell>
          <cell r="D36">
            <v>-747464.6</v>
          </cell>
        </row>
        <row r="37">
          <cell r="A37" t="str">
            <v>4.3.01.02</v>
          </cell>
          <cell r="B37" t="str">
            <v>APORTES PATRONALES</v>
          </cell>
          <cell r="C37" t="str">
            <v>Bs</v>
          </cell>
          <cell r="D37">
            <v>-128685.19</v>
          </cell>
        </row>
        <row r="38">
          <cell r="A38" t="str">
            <v>4.3.01.03</v>
          </cell>
          <cell r="B38" t="str">
            <v>BENEFICIOS SOCIALES</v>
          </cell>
          <cell r="C38" t="str">
            <v>Bs</v>
          </cell>
          <cell r="D38">
            <v>-131525.6</v>
          </cell>
        </row>
        <row r="39">
          <cell r="A39" t="str">
            <v>4.3.02.00</v>
          </cell>
          <cell r="B39" t="str">
            <v>MATERIALES Y SERVICIOS</v>
          </cell>
          <cell r="C39" t="str">
            <v>Bs</v>
          </cell>
          <cell r="D39">
            <v>-117552.57</v>
          </cell>
        </row>
        <row r="40">
          <cell r="A40" t="str">
            <v>4.3.02.01</v>
          </cell>
          <cell r="B40" t="str">
            <v>MATERIALES ALMACEN - COMERCIALIZACION</v>
          </cell>
          <cell r="C40" t="str">
            <v>Bs</v>
          </cell>
          <cell r="D40">
            <v>-117552.57</v>
          </cell>
        </row>
        <row r="41">
          <cell r="A41" t="str">
            <v>4.3.03.00</v>
          </cell>
          <cell r="B41" t="str">
            <v>GASTOS GENERALES</v>
          </cell>
          <cell r="C41" t="str">
            <v>Bs</v>
          </cell>
          <cell r="D41">
            <v>-5088017.59</v>
          </cell>
        </row>
        <row r="42">
          <cell r="A42" t="str">
            <v>4.3.03.01</v>
          </cell>
          <cell r="B42" t="str">
            <v>GASTOS GENERALES - COMERCIALIZACION</v>
          </cell>
          <cell r="C42" t="str">
            <v>Bs</v>
          </cell>
          <cell r="D42">
            <v>-5088017.59</v>
          </cell>
        </row>
        <row r="43">
          <cell r="A43" t="str">
            <v>4.3.04.00</v>
          </cell>
          <cell r="B43" t="str">
            <v>DEPRECIACION ACTIVO FIJO</v>
          </cell>
          <cell r="C43" t="str">
            <v>Bs</v>
          </cell>
          <cell r="D43">
            <v>-104795.6</v>
          </cell>
        </row>
        <row r="44">
          <cell r="A44" t="str">
            <v>4.3.04.01</v>
          </cell>
          <cell r="B44" t="str">
            <v>DEPREC. ACTIVO FIJO - COMERCIALIZACION</v>
          </cell>
          <cell r="C44" t="str">
            <v>Bs</v>
          </cell>
          <cell r="D44">
            <v>-104795.6</v>
          </cell>
        </row>
        <row r="45">
          <cell r="A45" t="str">
            <v>4.4.00.00</v>
          </cell>
          <cell r="B45" t="str">
            <v>GASTOS FINANCIEROS</v>
          </cell>
          <cell r="C45" t="str">
            <v>Bs</v>
          </cell>
          <cell r="D45">
            <v>-1557350.96</v>
          </cell>
        </row>
        <row r="46">
          <cell r="A46" t="str">
            <v>4.4.01.00</v>
          </cell>
          <cell r="B46" t="str">
            <v>GASTOS FINANCIEROS</v>
          </cell>
          <cell r="C46" t="str">
            <v>Bs</v>
          </cell>
          <cell r="D46">
            <v>-1557350.96</v>
          </cell>
        </row>
        <row r="47">
          <cell r="A47" t="str">
            <v>4.4.01.01</v>
          </cell>
          <cell r="B47" t="str">
            <v>INTERESES</v>
          </cell>
          <cell r="C47" t="str">
            <v>Bs</v>
          </cell>
          <cell r="D47">
            <v>-1467031.21</v>
          </cell>
        </row>
        <row r="48">
          <cell r="A48" t="str">
            <v>4.4.01.02</v>
          </cell>
          <cell r="B48" t="str">
            <v>COMISIONES</v>
          </cell>
          <cell r="C48" t="str">
            <v>Bs</v>
          </cell>
          <cell r="D48">
            <v>-90319.75</v>
          </cell>
        </row>
        <row r="49">
          <cell r="A49" t="str">
            <v>4.5.00.00</v>
          </cell>
          <cell r="B49" t="str">
            <v>GASTOS TRIBUTARIOS</v>
          </cell>
          <cell r="C49" t="str">
            <v>Bs</v>
          </cell>
          <cell r="D49">
            <v>-1099608.99</v>
          </cell>
        </row>
        <row r="50">
          <cell r="A50" t="str">
            <v>4.5.01.00</v>
          </cell>
          <cell r="B50" t="str">
            <v>GASTOS TRIBUTARIOS</v>
          </cell>
          <cell r="C50" t="str">
            <v>Bs</v>
          </cell>
          <cell r="D50">
            <v>-1099608.99</v>
          </cell>
        </row>
        <row r="51">
          <cell r="A51" t="str">
            <v>4.5.01.01</v>
          </cell>
          <cell r="B51" t="str">
            <v>IMPUESTO A LAS TRANSACCIONES</v>
          </cell>
          <cell r="C51" t="str">
            <v>Bs</v>
          </cell>
          <cell r="D51">
            <v>-1084854</v>
          </cell>
        </row>
        <row r="52">
          <cell r="A52" t="str">
            <v>4.5.01.05</v>
          </cell>
          <cell r="B52" t="str">
            <v>PATENTES MINERAS</v>
          </cell>
          <cell r="C52" t="str">
            <v>Bs</v>
          </cell>
          <cell r="D52">
            <v>-8054</v>
          </cell>
        </row>
        <row r="53">
          <cell r="A53" t="str">
            <v>4.5.01.06</v>
          </cell>
          <cell r="B53" t="str">
            <v>IMPUESTO A LAS TRANSAC. FINANCIERAS</v>
          </cell>
          <cell r="C53" t="str">
            <v>Bs</v>
          </cell>
          <cell r="D53">
            <v>-4046.99</v>
          </cell>
        </row>
        <row r="54">
          <cell r="A54" t="str">
            <v>4.5.01.09</v>
          </cell>
          <cell r="B54" t="str">
            <v>IMPUESTO AL JUEGO - PROMOCIONES EMPRESARIALES</v>
          </cell>
          <cell r="C54" t="str">
            <v>Bs</v>
          </cell>
          <cell r="D54">
            <v>-2654</v>
          </cell>
        </row>
        <row r="55">
          <cell r="A55" t="str">
            <v>4.6.00.00</v>
          </cell>
          <cell r="B55" t="str">
            <v>PERDIDAS Y GANANCIAS</v>
          </cell>
          <cell r="C55" t="str">
            <v>Bs</v>
          </cell>
          <cell r="D55">
            <v>-138669.5</v>
          </cell>
        </row>
        <row r="56">
          <cell r="A56" t="str">
            <v>4.6.01.00</v>
          </cell>
          <cell r="B56" t="str">
            <v>PERDIDAS Y GANANCIAS</v>
          </cell>
          <cell r="C56" t="str">
            <v>Bs</v>
          </cell>
          <cell r="D56">
            <v>-138669.5</v>
          </cell>
        </row>
        <row r="57">
          <cell r="A57" t="str">
            <v>4.6.01.01</v>
          </cell>
          <cell r="B57" t="str">
            <v>PERDIDAS Y GANANCIAS</v>
          </cell>
          <cell r="C57" t="str">
            <v>Bs</v>
          </cell>
          <cell r="D57">
            <v>-136968.31</v>
          </cell>
        </row>
        <row r="58">
          <cell r="A58" t="str">
            <v>4.6.01.02</v>
          </cell>
          <cell r="B58" t="str">
            <v>AJUSTES GESTIONES ANTERIORES</v>
          </cell>
          <cell r="C58" t="str">
            <v>Bs</v>
          </cell>
          <cell r="D58">
            <v>-1701.19</v>
          </cell>
        </row>
        <row r="59">
          <cell r="A59" t="str">
            <v>4.7.00.00</v>
          </cell>
          <cell r="B59" t="str">
            <v>CORRECCION MONETARIA POR INFLACION</v>
          </cell>
          <cell r="C59" t="str">
            <v>Bs</v>
          </cell>
          <cell r="D59">
            <v>183952.1</v>
          </cell>
        </row>
        <row r="60">
          <cell r="A60" t="str">
            <v>4.7.01.00</v>
          </cell>
          <cell r="B60" t="str">
            <v>AJUSTES MONETARIOS POR INFLACION</v>
          </cell>
          <cell r="C60" t="str">
            <v>Bs</v>
          </cell>
          <cell r="D60">
            <v>183952.1</v>
          </cell>
        </row>
        <row r="61">
          <cell r="A61" t="str">
            <v>4.7.01.01</v>
          </cell>
          <cell r="B61" t="str">
            <v>AJUSTE POR INFLACION Y TENENCIA DE BIENE</v>
          </cell>
          <cell r="C61" t="str">
            <v>Bs</v>
          </cell>
          <cell r="D61">
            <v>340866.06</v>
          </cell>
        </row>
        <row r="62">
          <cell r="A62" t="str">
            <v>4.7.01.02</v>
          </cell>
          <cell r="B62" t="str">
            <v>DIFERENCIAS DE CAMBIO</v>
          </cell>
          <cell r="C62" t="str">
            <v>Bs</v>
          </cell>
          <cell r="D62">
            <v>-156913.96</v>
          </cell>
        </row>
        <row r="63">
          <cell r="A63" t="str">
            <v>***TOTAL UTILIDAD(+)/PERDIDA(-)***</v>
          </cell>
          <cell r="C63" t="str">
            <v>Bs</v>
          </cell>
          <cell r="D63">
            <v>-10094410.4</v>
          </cell>
        </row>
        <row r="68">
          <cell r="B68" t="str">
            <v>LIC.DEISY MONTAÑO GUZMAN</v>
          </cell>
        </row>
        <row r="69">
          <cell r="B69" t="str">
            <v>JEFE DE CONTABILIDAD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1226252834.02</v>
          </cell>
          <cell r="E6">
            <v>1226252834.02</v>
          </cell>
        </row>
        <row r="9">
          <cell r="A9">
            <v>1100000000</v>
          </cell>
          <cell r="B9" t="str">
            <v>ACTIVO DISPONIBLE</v>
          </cell>
          <cell r="C9">
            <v>8274482.5</v>
          </cell>
          <cell r="E9">
            <v>8274482.5</v>
          </cell>
        </row>
        <row r="10">
          <cell r="A10">
            <v>1101000000</v>
          </cell>
          <cell r="B10" t="str">
            <v>CAJA</v>
          </cell>
          <cell r="C10">
            <v>2380439.6</v>
          </cell>
          <cell r="E10">
            <v>2380439.6</v>
          </cell>
        </row>
        <row r="11">
          <cell r="A11">
            <v>1101010000</v>
          </cell>
          <cell r="B11" t="str">
            <v>CAJA GENERAL MONEDA NACIONAL</v>
          </cell>
          <cell r="C11">
            <v>2213739.6</v>
          </cell>
          <cell r="E11">
            <v>2213739.6</v>
          </cell>
        </row>
        <row r="12">
          <cell r="A12">
            <v>1101030000</v>
          </cell>
          <cell r="B12" t="str">
            <v>CAJA CHICA MONEDA NACIONAL</v>
          </cell>
          <cell r="C12">
            <v>166700</v>
          </cell>
          <cell r="E12">
            <v>166700</v>
          </cell>
        </row>
        <row r="13">
          <cell r="A13">
            <v>1102000000</v>
          </cell>
          <cell r="B13" t="str">
            <v>BANCOS</v>
          </cell>
          <cell r="C13">
            <v>5894042.9000000004</v>
          </cell>
          <cell r="E13">
            <v>5894042.9000000004</v>
          </cell>
        </row>
        <row r="14">
          <cell r="A14">
            <v>1102010000</v>
          </cell>
          <cell r="B14" t="str">
            <v>BANCO BISA</v>
          </cell>
          <cell r="C14">
            <v>1738253.9</v>
          </cell>
          <cell r="E14">
            <v>1738253.9</v>
          </cell>
        </row>
        <row r="15">
          <cell r="A15">
            <v>1102020000</v>
          </cell>
          <cell r="B15" t="str">
            <v>BANCO MERCANTIL</v>
          </cell>
          <cell r="C15">
            <v>231384.67</v>
          </cell>
          <cell r="E15">
            <v>231384.67</v>
          </cell>
        </row>
        <row r="16">
          <cell r="A16">
            <v>1102040000</v>
          </cell>
          <cell r="B16" t="str">
            <v>BANCO DE CREDITO</v>
          </cell>
          <cell r="C16">
            <v>67381.240000000005</v>
          </cell>
          <cell r="E16">
            <v>67381.240000000005</v>
          </cell>
        </row>
        <row r="17">
          <cell r="A17">
            <v>1102050000</v>
          </cell>
          <cell r="B17" t="str">
            <v>BANCO ECONÓMICO</v>
          </cell>
          <cell r="C17">
            <v>140573.47</v>
          </cell>
          <cell r="E17">
            <v>140573.47</v>
          </cell>
        </row>
        <row r="18">
          <cell r="A18">
            <v>1102060000</v>
          </cell>
          <cell r="B18" t="str">
            <v>BANCO GANADERO</v>
          </cell>
          <cell r="C18">
            <v>1823143.23</v>
          </cell>
          <cell r="E18">
            <v>1823143.23</v>
          </cell>
        </row>
        <row r="19">
          <cell r="A19">
            <v>1102070000</v>
          </cell>
          <cell r="B19" t="str">
            <v>BANCO UNION</v>
          </cell>
          <cell r="C19">
            <v>1411921.76</v>
          </cell>
          <cell r="E19">
            <v>1411921.76</v>
          </cell>
        </row>
        <row r="20">
          <cell r="A20">
            <v>1102080000</v>
          </cell>
          <cell r="B20" t="str">
            <v>BANCO NACIONAL</v>
          </cell>
          <cell r="C20">
            <v>104927.03</v>
          </cell>
          <cell r="E20">
            <v>104927.03</v>
          </cell>
        </row>
        <row r="21">
          <cell r="A21">
            <v>1102100000</v>
          </cell>
          <cell r="B21" t="str">
            <v>FONDO DE LA COMUNIDAD</v>
          </cell>
          <cell r="C21">
            <v>7589.34</v>
          </cell>
          <cell r="E21">
            <v>7589.34</v>
          </cell>
        </row>
        <row r="22">
          <cell r="A22">
            <v>1102110000</v>
          </cell>
          <cell r="B22" t="str">
            <v>BANCO FASSIL S.A.</v>
          </cell>
          <cell r="C22">
            <v>1072.05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179106.61</v>
          </cell>
          <cell r="E23">
            <v>179106.61</v>
          </cell>
        </row>
        <row r="24">
          <cell r="A24">
            <v>1102130000</v>
          </cell>
          <cell r="B24" t="str">
            <v>BANCO FIE</v>
          </cell>
          <cell r="C24">
            <v>186286.66</v>
          </cell>
          <cell r="E24">
            <v>186286.66</v>
          </cell>
        </row>
        <row r="25">
          <cell r="A25">
            <v>1102150000</v>
          </cell>
          <cell r="B25" t="str">
            <v>BANCO FORTALEZA</v>
          </cell>
          <cell r="C25">
            <v>2402.94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216486403.37</v>
          </cell>
          <cell r="E27">
            <v>216486403.37</v>
          </cell>
        </row>
        <row r="28">
          <cell r="A28">
            <v>1201000000</v>
          </cell>
          <cell r="B28" t="str">
            <v>CUENTAS POR COBRAR</v>
          </cell>
          <cell r="C28">
            <v>137940575.27000001</v>
          </cell>
          <cell r="E28">
            <v>137940575.27000001</v>
          </cell>
        </row>
        <row r="29">
          <cell r="A29">
            <v>1201010000</v>
          </cell>
          <cell r="B29" t="str">
            <v>DEUDORES POR PRODUCTOS LOCALES M.N.</v>
          </cell>
          <cell r="C29">
            <v>55692356.259999998</v>
          </cell>
          <cell r="E29">
            <v>55692356.259999998</v>
          </cell>
        </row>
        <row r="30">
          <cell r="A30">
            <v>1201050000</v>
          </cell>
          <cell r="B30" t="str">
            <v>DEUDORES POR PRODUCTOS INTERIOR M.N.</v>
          </cell>
          <cell r="C30">
            <v>79532994.510000005</v>
          </cell>
          <cell r="E30">
            <v>79532994.510000005</v>
          </cell>
        </row>
        <row r="31">
          <cell r="A31">
            <v>1201130000</v>
          </cell>
          <cell r="B31" t="str">
            <v>DEUDORES VARIOS</v>
          </cell>
          <cell r="C31">
            <v>2715224.5</v>
          </cell>
          <cell r="E31">
            <v>2715224.5</v>
          </cell>
        </row>
        <row r="32">
          <cell r="A32">
            <v>1202000000</v>
          </cell>
          <cell r="B32" t="str">
            <v>CUENTAS CORRIENTES</v>
          </cell>
          <cell r="C32">
            <v>69757934.010000005</v>
          </cell>
          <cell r="E32">
            <v>69757934.010000005</v>
          </cell>
        </row>
        <row r="33">
          <cell r="A33">
            <v>1202010000</v>
          </cell>
          <cell r="B33" t="str">
            <v>PROVEEDORES</v>
          </cell>
          <cell r="C33">
            <v>69751879.510000005</v>
          </cell>
          <cell r="E33">
            <v>69751879.510000005</v>
          </cell>
        </row>
        <row r="34">
          <cell r="A34">
            <v>1202020000</v>
          </cell>
          <cell r="B34" t="str">
            <v>CONTRATISTAS</v>
          </cell>
          <cell r="C34">
            <v>6054.5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3795181.47</v>
          </cell>
          <cell r="E36">
            <v>3795181.47</v>
          </cell>
        </row>
        <row r="37">
          <cell r="A37">
            <v>1203030000</v>
          </cell>
          <cell r="B37" t="str">
            <v>RECLAMOS EN CURSO</v>
          </cell>
          <cell r="C37">
            <v>77215.5</v>
          </cell>
          <cell r="E37">
            <v>77215.5</v>
          </cell>
        </row>
        <row r="38">
          <cell r="A38">
            <v>1203040000</v>
          </cell>
          <cell r="B38" t="str">
            <v>OTROS DOCUMENTOS POR COBRAR</v>
          </cell>
          <cell r="C38">
            <v>3717965.97</v>
          </cell>
          <cell r="E38">
            <v>3717965.97</v>
          </cell>
        </row>
        <row r="39">
          <cell r="A39">
            <v>1204000000</v>
          </cell>
          <cell r="B39" t="str">
            <v>ANTICIPOS Y PRESTAMOS</v>
          </cell>
          <cell r="C39">
            <v>4992712.62</v>
          </cell>
          <cell r="E39">
            <v>4992712.62</v>
          </cell>
        </row>
        <row r="40">
          <cell r="A40">
            <v>1204020000</v>
          </cell>
          <cell r="B40" t="str">
            <v>PRESTAMOS AL PERSONAL M.N.</v>
          </cell>
          <cell r="C40">
            <v>47981.51</v>
          </cell>
          <cell r="E40">
            <v>47981.51</v>
          </cell>
        </row>
        <row r="41">
          <cell r="A41">
            <v>1204040000</v>
          </cell>
          <cell r="B41" t="str">
            <v>PRESTAMOS EN PRODUCTOS O SERVICIOS</v>
          </cell>
          <cell r="C41">
            <v>127466.5</v>
          </cell>
          <cell r="E41">
            <v>127466.5</v>
          </cell>
        </row>
        <row r="42">
          <cell r="A42">
            <v>1204050000</v>
          </cell>
          <cell r="B42" t="str">
            <v>PRESTAMOS MATERIALES DE ALMACEN</v>
          </cell>
          <cell r="C42">
            <v>4744.7</v>
          </cell>
          <cell r="E42">
            <v>4744.7</v>
          </cell>
        </row>
        <row r="43">
          <cell r="A43">
            <v>1204060000</v>
          </cell>
          <cell r="B43" t="str">
            <v>PAGOS ANTICIPADOS</v>
          </cell>
          <cell r="C43">
            <v>3997904.83</v>
          </cell>
          <cell r="E43">
            <v>3997904.83</v>
          </cell>
        </row>
        <row r="44">
          <cell r="A44">
            <v>1204080000</v>
          </cell>
          <cell r="B44" t="str">
            <v>DEUDORES CON CARGO DE CUENTA M.N.</v>
          </cell>
          <cell r="C44">
            <v>814599.06</v>
          </cell>
          <cell r="E44">
            <v>814599.06</v>
          </cell>
        </row>
        <row r="45">
          <cell r="A45">
            <v>1204100000</v>
          </cell>
          <cell r="B45" t="str">
            <v>PULPERIAS</v>
          </cell>
          <cell r="C45">
            <v>16.02</v>
          </cell>
          <cell r="E45">
            <v>16.02</v>
          </cell>
        </row>
        <row r="47">
          <cell r="A47">
            <v>1300000000</v>
          </cell>
          <cell r="B47" t="str">
            <v>ACTIVO REALIZABLE</v>
          </cell>
          <cell r="C47">
            <v>171447265.41</v>
          </cell>
          <cell r="E47">
            <v>171447265.41</v>
          </cell>
        </row>
        <row r="48">
          <cell r="A48">
            <v>1301000000</v>
          </cell>
          <cell r="B48" t="str">
            <v>EXISTENCIAS</v>
          </cell>
          <cell r="C48">
            <v>85771245.540000007</v>
          </cell>
          <cell r="E48">
            <v>85771245.540000007</v>
          </cell>
        </row>
        <row r="49">
          <cell r="A49">
            <v>1301010000</v>
          </cell>
          <cell r="B49" t="str">
            <v>MATERIA PRIMA E INSUMOS</v>
          </cell>
          <cell r="C49">
            <v>15843939.16</v>
          </cell>
          <cell r="E49">
            <v>15843939.16</v>
          </cell>
        </row>
        <row r="50">
          <cell r="A50">
            <v>1301020000</v>
          </cell>
          <cell r="B50" t="str">
            <v>PRODUCTOS EN PROCESO</v>
          </cell>
          <cell r="C50">
            <v>67921498.140000001</v>
          </cell>
          <cell r="E50">
            <v>67921498.140000001</v>
          </cell>
        </row>
        <row r="51">
          <cell r="A51">
            <v>1301030000</v>
          </cell>
          <cell r="B51" t="str">
            <v>PRODUCTOS TERMINADOS</v>
          </cell>
          <cell r="C51">
            <v>2005808.24</v>
          </cell>
          <cell r="E51">
            <v>2005808.24</v>
          </cell>
        </row>
        <row r="52">
          <cell r="A52">
            <v>1304000000</v>
          </cell>
          <cell r="B52" t="str">
            <v>EXISTENCIA DE MATERIALES</v>
          </cell>
          <cell r="C52">
            <v>85676019.870000005</v>
          </cell>
          <cell r="E52">
            <v>85676019.870000005</v>
          </cell>
        </row>
        <row r="53">
          <cell r="A53">
            <v>1304010000</v>
          </cell>
          <cell r="B53" t="str">
            <v>MATERIALES EN ALMACEN</v>
          </cell>
          <cell r="C53">
            <v>53919938.590000004</v>
          </cell>
          <cell r="E53">
            <v>53919938.590000004</v>
          </cell>
        </row>
        <row r="54">
          <cell r="A54">
            <v>1304020000</v>
          </cell>
          <cell r="B54" t="str">
            <v>ALMACEN - AUXILIAR</v>
          </cell>
          <cell r="C54">
            <v>8500984.3599999994</v>
          </cell>
          <cell r="E54">
            <v>8500984.3599999994</v>
          </cell>
        </row>
        <row r="55">
          <cell r="A55">
            <v>1304030000</v>
          </cell>
          <cell r="B55" t="str">
            <v>PULPERIA IRPA - IRPA</v>
          </cell>
          <cell r="C55">
            <v>114600.92</v>
          </cell>
          <cell r="E55">
            <v>114600.92</v>
          </cell>
        </row>
        <row r="56">
          <cell r="A56">
            <v>1304040000</v>
          </cell>
          <cell r="B56" t="str">
            <v>MERCADERIAS EN TRANSITO</v>
          </cell>
          <cell r="C56">
            <v>23140496</v>
          </cell>
          <cell r="E56">
            <v>23140496</v>
          </cell>
        </row>
        <row r="58">
          <cell r="A58">
            <v>1400000000</v>
          </cell>
          <cell r="B58" t="str">
            <v>ACTIVO FIJO</v>
          </cell>
          <cell r="C58">
            <v>577407467.30999994</v>
          </cell>
          <cell r="E58">
            <v>577407467.30999994</v>
          </cell>
        </row>
        <row r="59">
          <cell r="A59">
            <v>1401000000</v>
          </cell>
          <cell r="B59" t="str">
            <v>BIENES DE USO</v>
          </cell>
          <cell r="C59">
            <v>1803771641.71</v>
          </cell>
          <cell r="E59">
            <v>1803771641.71</v>
          </cell>
        </row>
        <row r="60">
          <cell r="A60">
            <v>1401010000</v>
          </cell>
          <cell r="B60" t="str">
            <v>TERRENOS</v>
          </cell>
          <cell r="C60">
            <v>43260378.670000002</v>
          </cell>
          <cell r="E60">
            <v>43260378.670000002</v>
          </cell>
        </row>
        <row r="61">
          <cell r="A61">
            <v>1401020000</v>
          </cell>
          <cell r="B61" t="str">
            <v>EDIFICIOS</v>
          </cell>
          <cell r="C61">
            <v>369496038.32999998</v>
          </cell>
          <cell r="E61">
            <v>369496038.32999998</v>
          </cell>
        </row>
        <row r="62">
          <cell r="A62">
            <v>1401030000</v>
          </cell>
          <cell r="B62" t="str">
            <v>MUEBLES Y ENSERES DE OFICINA</v>
          </cell>
          <cell r="C62">
            <v>5166080.26</v>
          </cell>
          <cell r="E62">
            <v>5166080.26</v>
          </cell>
        </row>
        <row r="63">
          <cell r="A63">
            <v>1401040000</v>
          </cell>
          <cell r="B63" t="str">
            <v>MAQUINARIA Y EQUIPO</v>
          </cell>
          <cell r="C63">
            <v>692556096.58000004</v>
          </cell>
          <cell r="E63">
            <v>692556096.58000004</v>
          </cell>
        </row>
        <row r="64">
          <cell r="A64">
            <v>1401050000</v>
          </cell>
          <cell r="B64" t="str">
            <v>VEHICULOS</v>
          </cell>
          <cell r="C64">
            <v>35296922.969999999</v>
          </cell>
          <cell r="E64">
            <v>35296922.969999999</v>
          </cell>
        </row>
        <row r="65">
          <cell r="A65">
            <v>1401060000</v>
          </cell>
          <cell r="B65" t="str">
            <v>MAQUINARIA DE CONSTRUCCION</v>
          </cell>
          <cell r="C65">
            <v>17568749.18</v>
          </cell>
          <cell r="E65">
            <v>17568749.18</v>
          </cell>
        </row>
        <row r="66">
          <cell r="A66">
            <v>1401070000</v>
          </cell>
          <cell r="B66" t="str">
            <v>EQUIPO PESADO</v>
          </cell>
          <cell r="C66">
            <v>123670367.12</v>
          </cell>
          <cell r="E66">
            <v>123670367.12</v>
          </cell>
        </row>
        <row r="67">
          <cell r="A67">
            <v>1401080000</v>
          </cell>
          <cell r="B67" t="str">
            <v>INSTALACIONES INDUSTRIALES</v>
          </cell>
          <cell r="C67">
            <v>465726909.93000001</v>
          </cell>
          <cell r="E67">
            <v>465726909.93000001</v>
          </cell>
        </row>
        <row r="68">
          <cell r="A68">
            <v>1401090000</v>
          </cell>
          <cell r="B68" t="str">
            <v>HERRAMIENTAS E IMPLEMENTOS</v>
          </cell>
          <cell r="C68">
            <v>19183819.98</v>
          </cell>
          <cell r="E68">
            <v>19183819.98</v>
          </cell>
        </row>
        <row r="69">
          <cell r="A69">
            <v>1401100000</v>
          </cell>
          <cell r="B69" t="str">
            <v>TINGLADOS</v>
          </cell>
          <cell r="C69">
            <v>14310764.42</v>
          </cell>
          <cell r="E69">
            <v>14310764.42</v>
          </cell>
        </row>
        <row r="70">
          <cell r="A70">
            <v>1401110000</v>
          </cell>
          <cell r="B70" t="str">
            <v>EQUIPOS DE COMPUTACION</v>
          </cell>
          <cell r="C70">
            <v>8129137.2400000002</v>
          </cell>
          <cell r="E70">
            <v>8129137.2400000002</v>
          </cell>
        </row>
        <row r="71">
          <cell r="A71">
            <v>1401120000</v>
          </cell>
          <cell r="B71" t="str">
            <v>EQUIPOS DE LABORATORIO</v>
          </cell>
          <cell r="C71">
            <v>9240273.7100000009</v>
          </cell>
          <cell r="E71">
            <v>9240273.7100000009</v>
          </cell>
        </row>
        <row r="72">
          <cell r="A72">
            <v>1401150000</v>
          </cell>
          <cell r="B72" t="str">
            <v>CANALES DE RIEGO Y POZOS</v>
          </cell>
          <cell r="C72">
            <v>166103.32</v>
          </cell>
          <cell r="E72">
            <v>166103.32</v>
          </cell>
        </row>
        <row r="73">
          <cell r="A73">
            <v>1402000000</v>
          </cell>
          <cell r="B73" t="str">
            <v>DEPRECIACION ACUMULADA</v>
          </cell>
          <cell r="C73">
            <v>-1226364174.4000001</v>
          </cell>
          <cell r="E73">
            <v>-1226364174.4000001</v>
          </cell>
        </row>
        <row r="74">
          <cell r="A74">
            <v>1402020000</v>
          </cell>
          <cell r="B74" t="str">
            <v>EDIFICIOS</v>
          </cell>
          <cell r="C74">
            <v>-102295995.5</v>
          </cell>
          <cell r="E74">
            <v>-102295995.5</v>
          </cell>
        </row>
        <row r="75">
          <cell r="A75">
            <v>1402030000</v>
          </cell>
          <cell r="B75" t="str">
            <v>MUEBLES Y ENSERES DE OFICINA</v>
          </cell>
          <cell r="C75">
            <v>-5125975.0999999996</v>
          </cell>
          <cell r="E75">
            <v>-5125975.0999999996</v>
          </cell>
        </row>
        <row r="76">
          <cell r="A76">
            <v>1402040000</v>
          </cell>
          <cell r="B76" t="str">
            <v>MAQUINARIA Y EQUIPO</v>
          </cell>
          <cell r="C76">
            <v>-561179908.79999995</v>
          </cell>
          <cell r="E76">
            <v>-561179908.79999995</v>
          </cell>
        </row>
        <row r="77">
          <cell r="A77">
            <v>1402050000</v>
          </cell>
          <cell r="B77" t="str">
            <v>VEHICULOS</v>
          </cell>
          <cell r="C77">
            <v>-34653203.009999998</v>
          </cell>
          <cell r="E77">
            <v>-34653203.009999998</v>
          </cell>
        </row>
        <row r="78">
          <cell r="A78">
            <v>1402060000</v>
          </cell>
          <cell r="B78" t="str">
            <v>MAQUINARIA DE CONSTRUCCION</v>
          </cell>
          <cell r="C78">
            <v>-17251177.43</v>
          </cell>
          <cell r="E78">
            <v>-17251177.43</v>
          </cell>
        </row>
        <row r="79">
          <cell r="A79">
            <v>1402070000</v>
          </cell>
          <cell r="B79" t="str">
            <v>EQUIPO PESADO</v>
          </cell>
          <cell r="C79">
            <v>-121962723.04000001</v>
          </cell>
          <cell r="E79">
            <v>-121962723.04000001</v>
          </cell>
        </row>
        <row r="80">
          <cell r="A80">
            <v>1402080000</v>
          </cell>
          <cell r="B80" t="str">
            <v>INSTALACIONES INDUSTRIALES</v>
          </cell>
          <cell r="C80">
            <v>-335836887.37</v>
          </cell>
          <cell r="E80">
            <v>-335836887.37</v>
          </cell>
        </row>
        <row r="81">
          <cell r="A81">
            <v>1402090000</v>
          </cell>
          <cell r="B81" t="str">
            <v>HERRAMIENTAS E IMPLEMENTOS</v>
          </cell>
          <cell r="C81">
            <v>-19089268.100000001</v>
          </cell>
          <cell r="E81">
            <v>-19089268.100000001</v>
          </cell>
        </row>
        <row r="82">
          <cell r="A82">
            <v>1402100000</v>
          </cell>
          <cell r="B82" t="str">
            <v>TINGLADOS</v>
          </cell>
          <cell r="C82">
            <v>-13550514.279999999</v>
          </cell>
          <cell r="E82">
            <v>-13550514.279999999</v>
          </cell>
        </row>
        <row r="83">
          <cell r="A83">
            <v>1402110000</v>
          </cell>
          <cell r="B83" t="str">
            <v>EQUIPOS DE COMPUTACION</v>
          </cell>
          <cell r="C83">
            <v>-7753660.96</v>
          </cell>
          <cell r="E83">
            <v>-7753660.96</v>
          </cell>
        </row>
        <row r="84">
          <cell r="A84">
            <v>1402120000</v>
          </cell>
          <cell r="B84" t="str">
            <v>EQUIPOS DE LABORATORIO</v>
          </cell>
          <cell r="C84">
            <v>-7498757.4900000002</v>
          </cell>
          <cell r="E84">
            <v>-7498757.4900000002</v>
          </cell>
        </row>
        <row r="85">
          <cell r="A85">
            <v>1402150000</v>
          </cell>
          <cell r="B85" t="str">
            <v>CANALES DE RIEGO Y POZOS</v>
          </cell>
          <cell r="C85">
            <v>-166103.32</v>
          </cell>
          <cell r="E85">
            <v>-166103.32</v>
          </cell>
        </row>
        <row r="87">
          <cell r="A87">
            <v>1500000000</v>
          </cell>
          <cell r="B87" t="str">
            <v>INVERSIONES</v>
          </cell>
          <cell r="C87">
            <v>37051364.509999998</v>
          </cell>
          <cell r="E87">
            <v>37051364.509999998</v>
          </cell>
        </row>
        <row r="88">
          <cell r="A88">
            <v>1502000000</v>
          </cell>
          <cell r="B88" t="str">
            <v>OTRAS INVERSIONES</v>
          </cell>
          <cell r="C88">
            <v>37051364.509999998</v>
          </cell>
          <cell r="E88">
            <v>37051364.509999998</v>
          </cell>
        </row>
        <row r="89">
          <cell r="A89">
            <v>1502010000</v>
          </cell>
          <cell r="B89" t="str">
            <v>ACCIONES</v>
          </cell>
          <cell r="C89">
            <v>36650544.5</v>
          </cell>
          <cell r="E89">
            <v>36650544.5</v>
          </cell>
        </row>
        <row r="90">
          <cell r="A90">
            <v>1502030000</v>
          </cell>
          <cell r="B90" t="str">
            <v>LINEAS TELEFONICAS</v>
          </cell>
          <cell r="C90">
            <v>261000</v>
          </cell>
          <cell r="E90">
            <v>261000</v>
          </cell>
        </row>
        <row r="91">
          <cell r="A91">
            <v>1502050000</v>
          </cell>
          <cell r="B91" t="str">
            <v>OTRAS INVERSIONES</v>
          </cell>
          <cell r="C91">
            <v>139820.01</v>
          </cell>
          <cell r="E91">
            <v>139820.01</v>
          </cell>
        </row>
        <row r="93">
          <cell r="A93">
            <v>1600000000</v>
          </cell>
          <cell r="B93" t="str">
            <v>OTROS ACTIVOS</v>
          </cell>
          <cell r="C93">
            <v>202484432.28</v>
          </cell>
          <cell r="E93">
            <v>202484432.28</v>
          </cell>
        </row>
        <row r="94">
          <cell r="A94">
            <v>1601000000</v>
          </cell>
          <cell r="B94" t="str">
            <v>DOCUMENTOS POR COBRAR A LARGO PLAZO</v>
          </cell>
          <cell r="C94">
            <v>9552250.3599999994</v>
          </cell>
          <cell r="E94">
            <v>9552250.3599999994</v>
          </cell>
        </row>
        <row r="95">
          <cell r="A95">
            <v>1601040000</v>
          </cell>
          <cell r="B95" t="str">
            <v>DOCUMENTOS EN EJECUCION</v>
          </cell>
          <cell r="C95">
            <v>9552250.3599999994</v>
          </cell>
          <cell r="E95">
            <v>9552250.3599999994</v>
          </cell>
        </row>
        <row r="96">
          <cell r="A96">
            <v>1601050000</v>
          </cell>
          <cell r="B96" t="str">
            <v>CUENTAS INCOBRABLES</v>
          </cell>
          <cell r="C96">
            <v>3212209.75</v>
          </cell>
          <cell r="E96">
            <v>3212209.75</v>
          </cell>
        </row>
        <row r="97">
          <cell r="A97">
            <v>1601060000</v>
          </cell>
          <cell r="B97" t="str">
            <v>(PREVISION CUENTAS INCOBRABLES)</v>
          </cell>
          <cell r="C97">
            <v>-3212209.75</v>
          </cell>
          <cell r="E97">
            <v>-3212209.75</v>
          </cell>
        </row>
        <row r="98">
          <cell r="A98">
            <v>1602000000</v>
          </cell>
          <cell r="B98" t="str">
            <v>OBRAS EN EJECUCIÓN</v>
          </cell>
          <cell r="C98">
            <v>14396572.039999999</v>
          </cell>
          <cell r="E98">
            <v>14396572.039999999</v>
          </cell>
        </row>
        <row r="99">
          <cell r="A99">
            <v>1602010000</v>
          </cell>
          <cell r="B99" t="str">
            <v>AMPLIACIONES</v>
          </cell>
          <cell r="C99">
            <v>14396572.039999999</v>
          </cell>
          <cell r="E99">
            <v>14396572.039999999</v>
          </cell>
        </row>
        <row r="100">
          <cell r="A100">
            <v>1604000000</v>
          </cell>
          <cell r="B100" t="str">
            <v>BIENES ARRENDADOS</v>
          </cell>
          <cell r="C100">
            <v>2685870.78</v>
          </cell>
          <cell r="E100">
            <v>2685870.78</v>
          </cell>
        </row>
        <row r="101">
          <cell r="A101">
            <v>1604010000</v>
          </cell>
          <cell r="B101" t="str">
            <v>VALOR DE ARRENDAMIENTO</v>
          </cell>
          <cell r="C101">
            <v>2685870.78</v>
          </cell>
          <cell r="E101">
            <v>2685870.78</v>
          </cell>
        </row>
        <row r="102">
          <cell r="A102">
            <v>1605000000</v>
          </cell>
          <cell r="B102" t="str">
            <v>DIVERSOS</v>
          </cell>
          <cell r="C102">
            <v>18668814.52</v>
          </cell>
          <cell r="E102">
            <v>18668814.52</v>
          </cell>
        </row>
        <row r="103">
          <cell r="A103">
            <v>1605010000</v>
          </cell>
          <cell r="B103" t="str">
            <v>REPUESTOS EN ALMACEN</v>
          </cell>
          <cell r="C103">
            <v>18479794.280000001</v>
          </cell>
          <cell r="E103">
            <v>18479794.280000001</v>
          </cell>
        </row>
        <row r="104">
          <cell r="A104">
            <v>1605020000</v>
          </cell>
          <cell r="B104" t="str">
            <v>LIBROS Y BIBLIOTECAS</v>
          </cell>
          <cell r="C104">
            <v>189020.24</v>
          </cell>
          <cell r="E104">
            <v>189020.24</v>
          </cell>
        </row>
        <row r="105">
          <cell r="A105">
            <v>1606000000</v>
          </cell>
          <cell r="B105" t="str">
            <v>CUENTAS CORRIENTES UNIDADES</v>
          </cell>
          <cell r="C105">
            <v>157180924.58000001</v>
          </cell>
          <cell r="E105">
            <v>157180924.58000001</v>
          </cell>
        </row>
        <row r="106">
          <cell r="A106">
            <v>1606010000</v>
          </cell>
          <cell r="B106" t="str">
            <v>LIMITADA</v>
          </cell>
          <cell r="C106">
            <v>130299314.31999999</v>
          </cell>
          <cell r="E106">
            <v>130299314.31999999</v>
          </cell>
        </row>
        <row r="107">
          <cell r="A107">
            <v>1606030000</v>
          </cell>
          <cell r="B107" t="str">
            <v>CERAMIL</v>
          </cell>
          <cell r="C107">
            <v>5890336.7699999996</v>
          </cell>
          <cell r="E107">
            <v>5890336.7699999996</v>
          </cell>
        </row>
        <row r="108">
          <cell r="A108">
            <v>1606040000</v>
          </cell>
          <cell r="B108" t="str">
            <v>HORMIGON</v>
          </cell>
          <cell r="C108">
            <v>19829770.66</v>
          </cell>
          <cell r="E108">
            <v>19829770.66</v>
          </cell>
        </row>
        <row r="109">
          <cell r="A109">
            <v>1606050000</v>
          </cell>
          <cell r="B109" t="str">
            <v>CONSTRUCCIONES</v>
          </cell>
          <cell r="C109">
            <v>497236.33</v>
          </cell>
          <cell r="E109">
            <v>497236.33</v>
          </cell>
        </row>
        <row r="110">
          <cell r="A110">
            <v>1606060000</v>
          </cell>
          <cell r="B110" t="str">
            <v>CERAMICA</v>
          </cell>
          <cell r="C110">
            <v>627231.12</v>
          </cell>
          <cell r="E110">
            <v>627231.12</v>
          </cell>
        </row>
        <row r="111">
          <cell r="A111">
            <v>1606070000</v>
          </cell>
          <cell r="B111" t="str">
            <v>METAL</v>
          </cell>
          <cell r="C111">
            <v>37035.379999999997</v>
          </cell>
          <cell r="E111">
            <v>37035.379999999997</v>
          </cell>
        </row>
        <row r="113">
          <cell r="A113">
            <v>1700000000</v>
          </cell>
          <cell r="B113" t="str">
            <v>ACTIVOS DIFERIDOS</v>
          </cell>
          <cell r="C113">
            <v>13101418.640000001</v>
          </cell>
          <cell r="E113">
            <v>13101418.640000001</v>
          </cell>
        </row>
        <row r="114">
          <cell r="A114">
            <v>1701000000</v>
          </cell>
          <cell r="B114" t="str">
            <v>ACTIVOS RETIRADOS</v>
          </cell>
          <cell r="C114">
            <v>3580102.51</v>
          </cell>
          <cell r="E114">
            <v>3580102.51</v>
          </cell>
        </row>
        <row r="115">
          <cell r="A115">
            <v>1701010000</v>
          </cell>
          <cell r="B115" t="str">
            <v>BIENES DE USO RETIRADOS</v>
          </cell>
          <cell r="C115">
            <v>3580102.51</v>
          </cell>
          <cell r="E115">
            <v>3580102.51</v>
          </cell>
        </row>
        <row r="116">
          <cell r="A116">
            <v>1702000000</v>
          </cell>
          <cell r="B116" t="str">
            <v>GASTOS DIFERIDOS</v>
          </cell>
          <cell r="C116">
            <v>9521316.1300000008</v>
          </cell>
          <cell r="E116">
            <v>9521316.1300000008</v>
          </cell>
        </row>
        <row r="117">
          <cell r="A117">
            <v>1702010000</v>
          </cell>
          <cell r="B117" t="str">
            <v>GASTOS DE ORGANIZACION Y PUESTA EN MARCH</v>
          </cell>
          <cell r="C117">
            <v>4900472.5999999996</v>
          </cell>
          <cell r="E117">
            <v>4900472.5999999996</v>
          </cell>
        </row>
        <row r="118">
          <cell r="A118">
            <v>1702020000</v>
          </cell>
          <cell r="B118" t="str">
            <v>GASTOS DE PRODUCCIÓN Y MANTENIMIENTO</v>
          </cell>
          <cell r="C118">
            <v>0</v>
          </cell>
          <cell r="E118">
            <v>0</v>
          </cell>
        </row>
        <row r="119">
          <cell r="A119">
            <v>1702050000</v>
          </cell>
          <cell r="B119" t="str">
            <v>VARIOS</v>
          </cell>
          <cell r="C119">
            <v>4620843.53</v>
          </cell>
          <cell r="E119">
            <v>4620843.53</v>
          </cell>
        </row>
        <row r="121">
          <cell r="A121">
            <v>2000000000</v>
          </cell>
          <cell r="B121" t="str">
            <v>PASIVO</v>
          </cell>
          <cell r="C121">
            <v>-1217084693.3800001</v>
          </cell>
          <cell r="E121">
            <v>-1217084693.3800001</v>
          </cell>
        </row>
        <row r="124">
          <cell r="A124">
            <v>2100000000</v>
          </cell>
          <cell r="B124" t="str">
            <v>PASIVO CORRIENTE</v>
          </cell>
          <cell r="C124">
            <v>-281900037.5</v>
          </cell>
          <cell r="E124">
            <v>-281900037.5</v>
          </cell>
        </row>
        <row r="125">
          <cell r="A125">
            <v>2101000000</v>
          </cell>
          <cell r="B125" t="str">
            <v>DEUDAS COMERCIALES</v>
          </cell>
          <cell r="C125">
            <v>-87962502.299999997</v>
          </cell>
          <cell r="E125">
            <v>-87962502.299999997</v>
          </cell>
        </row>
        <row r="126">
          <cell r="A126">
            <v>2101010000</v>
          </cell>
          <cell r="B126" t="str">
            <v>PROVEEDORES</v>
          </cell>
          <cell r="C126">
            <v>-78363589.180000007</v>
          </cell>
          <cell r="E126">
            <v>-78363589.180000007</v>
          </cell>
        </row>
        <row r="127">
          <cell r="A127">
            <v>2101030000</v>
          </cell>
          <cell r="B127" t="str">
            <v>TRANSPORTISTAS</v>
          </cell>
          <cell r="C127">
            <v>-4516805.99</v>
          </cell>
          <cell r="E127">
            <v>-4516805.99</v>
          </cell>
        </row>
        <row r="128">
          <cell r="A128">
            <v>2101040000</v>
          </cell>
          <cell r="B128" t="str">
            <v>ACREEDORES VARIOS</v>
          </cell>
          <cell r="C128">
            <v>-4764683.2699999996</v>
          </cell>
          <cell r="E128">
            <v>-4764683.2699999996</v>
          </cell>
        </row>
        <row r="129">
          <cell r="A129">
            <v>2101090000</v>
          </cell>
          <cell r="B129" t="str">
            <v>ACREEDORES POR DEPOSITOS EN GARANTIA</v>
          </cell>
          <cell r="C129">
            <v>-47575.86</v>
          </cell>
          <cell r="E129">
            <v>-47575.86</v>
          </cell>
        </row>
        <row r="130">
          <cell r="A130">
            <v>2101650000</v>
          </cell>
          <cell r="B130" t="str">
            <v>PROVEEDORES AEROPUERTO POTOSI</v>
          </cell>
          <cell r="C130">
            <v>-269848</v>
          </cell>
          <cell r="E130">
            <v>-269848</v>
          </cell>
        </row>
        <row r="131">
          <cell r="A131">
            <v>2102000000</v>
          </cell>
          <cell r="B131" t="str">
            <v>DOCUMENTOS POR PAGAR</v>
          </cell>
          <cell r="C131">
            <v>-6437726.5</v>
          </cell>
          <cell r="E131">
            <v>-6437726.5</v>
          </cell>
        </row>
        <row r="132">
          <cell r="A132">
            <v>2102020000</v>
          </cell>
          <cell r="B132" t="str">
            <v>BANCARIOS</v>
          </cell>
          <cell r="C132">
            <v>-3087207.62</v>
          </cell>
          <cell r="E132">
            <v>-3087207.62</v>
          </cell>
        </row>
        <row r="133">
          <cell r="A133">
            <v>2102030000</v>
          </cell>
          <cell r="B133" t="str">
            <v>CONTRATOS</v>
          </cell>
          <cell r="C133">
            <v>-2796962.27</v>
          </cell>
          <cell r="E133">
            <v>-2796962.27</v>
          </cell>
        </row>
        <row r="134">
          <cell r="A134">
            <v>2102040000</v>
          </cell>
          <cell r="B134" t="str">
            <v>OTROS DOCUMENTOS</v>
          </cell>
          <cell r="C134">
            <v>-553556.61</v>
          </cell>
          <cell r="E134">
            <v>-553556.61</v>
          </cell>
        </row>
        <row r="135">
          <cell r="A135">
            <v>2104000000</v>
          </cell>
          <cell r="B135" t="str">
            <v>OBLIGACIONES FINANCIERAS A CORTO PLAZO</v>
          </cell>
          <cell r="C135">
            <v>-157466210.15000001</v>
          </cell>
          <cell r="E135">
            <v>-157466210.15000001</v>
          </cell>
        </row>
        <row r="136">
          <cell r="A136">
            <v>2104010000</v>
          </cell>
          <cell r="B136" t="str">
            <v>OBLIGACIONES POR CAPITAL</v>
          </cell>
          <cell r="C136">
            <v>-146838411.69999999</v>
          </cell>
          <cell r="E136">
            <v>-146838411.69999999</v>
          </cell>
        </row>
        <row r="137">
          <cell r="A137">
            <v>2104020000</v>
          </cell>
          <cell r="B137" t="str">
            <v>OBLIGACIONES POR INTERESES</v>
          </cell>
          <cell r="C137">
            <v>-10627798.449999999</v>
          </cell>
          <cell r="E137">
            <v>-10627798.449999999</v>
          </cell>
        </row>
        <row r="138">
          <cell r="A138">
            <v>2105000000</v>
          </cell>
          <cell r="B138" t="str">
            <v>IMPUESTOS POR PAGAR</v>
          </cell>
          <cell r="C138">
            <v>0</v>
          </cell>
          <cell r="E138">
            <v>0</v>
          </cell>
        </row>
        <row r="139">
          <cell r="A139">
            <v>2105010000</v>
          </cell>
          <cell r="B139" t="str">
            <v>IMPUESTO AL VALOR AGREGADO (DEBITO FISCA</v>
          </cell>
          <cell r="C139">
            <v>0</v>
          </cell>
          <cell r="E139">
            <v>0</v>
          </cell>
        </row>
        <row r="140">
          <cell r="A140">
            <v>2105040000</v>
          </cell>
          <cell r="B140" t="str">
            <v>RETENCION EN LA FUENTE</v>
          </cell>
          <cell r="C140">
            <v>0</v>
          </cell>
          <cell r="E140">
            <v>0</v>
          </cell>
        </row>
        <row r="141">
          <cell r="A141">
            <v>2106000000</v>
          </cell>
          <cell r="B141" t="str">
            <v>OBLIGACIONES POR PAGAR</v>
          </cell>
          <cell r="C141">
            <v>-15928872.67</v>
          </cell>
          <cell r="E141">
            <v>-15928872.67</v>
          </cell>
        </row>
        <row r="142">
          <cell r="A142">
            <v>2106010000</v>
          </cell>
          <cell r="B142" t="str">
            <v>SUELDOS Y JORNALES POR PAGAR</v>
          </cell>
          <cell r="C142">
            <v>-7255597.3099999996</v>
          </cell>
          <cell r="E142">
            <v>-7255597.3099999996</v>
          </cell>
        </row>
        <row r="143">
          <cell r="A143">
            <v>2106020000</v>
          </cell>
          <cell r="B143" t="str">
            <v>AGUINALDOS Y PRIMAS POR PAGAR</v>
          </cell>
          <cell r="C143">
            <v>-100838.3</v>
          </cell>
          <cell r="E143">
            <v>-100838.3</v>
          </cell>
        </row>
        <row r="144">
          <cell r="A144">
            <v>2106040000</v>
          </cell>
          <cell r="B144" t="str">
            <v>FINIQUITOS POR PAGAR</v>
          </cell>
          <cell r="C144">
            <v>-614003.77</v>
          </cell>
          <cell r="E144">
            <v>-614003.77</v>
          </cell>
        </row>
        <row r="145">
          <cell r="A145">
            <v>2106060000</v>
          </cell>
          <cell r="B145" t="str">
            <v>AGUINALDOS Y PRIMAS NO RECLAMADOS</v>
          </cell>
          <cell r="C145">
            <v>-373944.54</v>
          </cell>
          <cell r="E145">
            <v>-373944.54</v>
          </cell>
        </row>
        <row r="146">
          <cell r="A146">
            <v>2106070000</v>
          </cell>
          <cell r="B146" t="str">
            <v>APORTES Y RETENCIONES POR PAGAR</v>
          </cell>
          <cell r="C146">
            <v>-7252405.1299999999</v>
          </cell>
          <cell r="E146">
            <v>-7252405.1299999999</v>
          </cell>
        </row>
        <row r="147">
          <cell r="A147">
            <v>2106080000</v>
          </cell>
          <cell r="B147" t="str">
            <v>RETENCIONES JUDICIALES</v>
          </cell>
          <cell r="C147">
            <v>-332083.62</v>
          </cell>
          <cell r="E147">
            <v>-332083.62</v>
          </cell>
        </row>
        <row r="148">
          <cell r="A148">
            <v>2107000000</v>
          </cell>
          <cell r="B148" t="str">
            <v>PROVISIONES</v>
          </cell>
          <cell r="C148">
            <v>-11324973.789999999</v>
          </cell>
          <cell r="E148">
            <v>-11324973.789999999</v>
          </cell>
        </row>
        <row r="149">
          <cell r="A149">
            <v>2107010000</v>
          </cell>
          <cell r="B149" t="str">
            <v>AGUINALDOS</v>
          </cell>
          <cell r="C149">
            <v>-2998986.46</v>
          </cell>
          <cell r="E149">
            <v>-2998986.46</v>
          </cell>
        </row>
        <row r="150">
          <cell r="A150">
            <v>2107030000</v>
          </cell>
          <cell r="B150" t="str">
            <v>OTROS</v>
          </cell>
          <cell r="C150">
            <v>-8325987.3300000001</v>
          </cell>
          <cell r="E150">
            <v>-8325987.3300000001</v>
          </cell>
        </row>
        <row r="151">
          <cell r="A151">
            <v>2108000000</v>
          </cell>
          <cell r="B151" t="str">
            <v>COBROS POR ADELANTADO</v>
          </cell>
          <cell r="C151">
            <v>-2779752.09</v>
          </cell>
          <cell r="E151">
            <v>-2779752.09</v>
          </cell>
        </row>
        <row r="152">
          <cell r="A152">
            <v>2108010000</v>
          </cell>
          <cell r="B152" t="str">
            <v>CLIENTES LOCALES</v>
          </cell>
          <cell r="C152">
            <v>-2157188.98</v>
          </cell>
          <cell r="E152">
            <v>-2157188.98</v>
          </cell>
        </row>
        <row r="153">
          <cell r="A153">
            <v>2108020000</v>
          </cell>
          <cell r="B153" t="str">
            <v>CLIENTES INTERIOR</v>
          </cell>
          <cell r="C153">
            <v>-622563.11</v>
          </cell>
          <cell r="E153">
            <v>-622563.11</v>
          </cell>
        </row>
        <row r="155">
          <cell r="A155">
            <v>2200000000</v>
          </cell>
          <cell r="B155" t="str">
            <v>PASIVO NO CORRIENTE</v>
          </cell>
          <cell r="C155">
            <v>-472967732.97000003</v>
          </cell>
          <cell r="E155">
            <v>-472967732.97000003</v>
          </cell>
        </row>
        <row r="156">
          <cell r="A156">
            <v>2201000000</v>
          </cell>
          <cell r="B156" t="str">
            <v>OBLIGACIONES FINANCIERAS A LARGO PLAZO</v>
          </cell>
          <cell r="C156">
            <v>-164637171.31</v>
          </cell>
          <cell r="E156">
            <v>-164637171.31</v>
          </cell>
        </row>
        <row r="157">
          <cell r="A157">
            <v>2201010000</v>
          </cell>
          <cell r="B157" t="str">
            <v>OBLIGACIONES POR CAPITAL</v>
          </cell>
          <cell r="C157">
            <v>-162676191.12</v>
          </cell>
          <cell r="E157">
            <v>-162676191.12</v>
          </cell>
        </row>
        <row r="158">
          <cell r="A158">
            <v>2201030000</v>
          </cell>
          <cell r="B158" t="str">
            <v>OBLIGACIONES POR INTERESES LP</v>
          </cell>
          <cell r="C158">
            <v>-1960980.19</v>
          </cell>
          <cell r="E158">
            <v>-1960980.19</v>
          </cell>
        </row>
        <row r="159">
          <cell r="A159">
            <v>2202000000</v>
          </cell>
          <cell r="B159" t="str">
            <v>PREVISIONES</v>
          </cell>
          <cell r="C159">
            <v>-55654467.380000003</v>
          </cell>
          <cell r="E159">
            <v>-55654467.380000003</v>
          </cell>
        </row>
        <row r="160">
          <cell r="A160">
            <v>2202010000</v>
          </cell>
          <cell r="B160" t="str">
            <v>PREVISIONES BENEFICIOS SOCIALES</v>
          </cell>
          <cell r="C160">
            <v>-55597484.700000003</v>
          </cell>
          <cell r="E160">
            <v>-55597484.700000003</v>
          </cell>
        </row>
        <row r="161">
          <cell r="A161">
            <v>2202020000</v>
          </cell>
          <cell r="B161" t="str">
            <v>OTRAS PREVISIONES</v>
          </cell>
          <cell r="C161">
            <v>-56982.68</v>
          </cell>
          <cell r="E161">
            <v>-56982.68</v>
          </cell>
        </row>
        <row r="162">
          <cell r="A162">
            <v>2203000000</v>
          </cell>
          <cell r="B162" t="str">
            <v>OTROS PASIVOS NO CORRIENTES</v>
          </cell>
          <cell r="C162">
            <v>-714544.21</v>
          </cell>
          <cell r="E162">
            <v>-714544.21</v>
          </cell>
        </row>
        <row r="163">
          <cell r="A163">
            <v>2203050000</v>
          </cell>
          <cell r="B163" t="str">
            <v>CREDITOS DIFERIDOS</v>
          </cell>
          <cell r="C163">
            <v>-714544.21</v>
          </cell>
          <cell r="E163">
            <v>-714544.21</v>
          </cell>
        </row>
        <row r="164">
          <cell r="A164">
            <v>2204000000</v>
          </cell>
          <cell r="B164" t="str">
            <v>CUENTAS CORRIENTES. UNIDADES.</v>
          </cell>
          <cell r="C164">
            <v>-251961550.06999999</v>
          </cell>
          <cell r="E164">
            <v>-251961550.06999999</v>
          </cell>
        </row>
        <row r="165">
          <cell r="A165">
            <v>2204010000</v>
          </cell>
          <cell r="B165" t="str">
            <v>LIMITADA</v>
          </cell>
          <cell r="C165">
            <v>-245495834.53999999</v>
          </cell>
          <cell r="E165">
            <v>-245495834.53999999</v>
          </cell>
        </row>
        <row r="166">
          <cell r="A166">
            <v>2204040000</v>
          </cell>
          <cell r="B166" t="str">
            <v>HORMIGON</v>
          </cell>
          <cell r="C166">
            <v>-226576.07</v>
          </cell>
          <cell r="E166">
            <v>-226576.07</v>
          </cell>
        </row>
        <row r="167">
          <cell r="A167">
            <v>2204050000</v>
          </cell>
          <cell r="B167" t="str">
            <v>CONSTRUCCIONES</v>
          </cell>
          <cell r="C167">
            <v>-4816981.57</v>
          </cell>
          <cell r="E167">
            <v>-4816981.57</v>
          </cell>
        </row>
        <row r="168">
          <cell r="A168">
            <v>2204060000</v>
          </cell>
          <cell r="B168" t="str">
            <v>CERAMICA</v>
          </cell>
          <cell r="C168">
            <v>-55892.46</v>
          </cell>
          <cell r="E168">
            <v>-55892.46</v>
          </cell>
        </row>
        <row r="169">
          <cell r="A169">
            <v>2204070000</v>
          </cell>
          <cell r="B169" t="str">
            <v>METAL</v>
          </cell>
          <cell r="C169">
            <v>-1356545.43</v>
          </cell>
          <cell r="E169">
            <v>-1356545.43</v>
          </cell>
        </row>
        <row r="170">
          <cell r="A170">
            <v>2204080000</v>
          </cell>
          <cell r="B170" t="str">
            <v>COBOCE EDITORA OPINION</v>
          </cell>
          <cell r="C170">
            <v>-9720</v>
          </cell>
          <cell r="E170">
            <v>-9720</v>
          </cell>
        </row>
        <row r="172">
          <cell r="A172">
            <v>2400000000</v>
          </cell>
          <cell r="B172" t="str">
            <v>PATRIMONIO</v>
          </cell>
          <cell r="C172">
            <v>-462216922.91000003</v>
          </cell>
          <cell r="E172">
            <v>-462216922.91000003</v>
          </cell>
        </row>
        <row r="173">
          <cell r="A173">
            <v>2401000000</v>
          </cell>
          <cell r="B173" t="str">
            <v>FONDO SOCIAL</v>
          </cell>
          <cell r="C173">
            <v>-462216922.91000003</v>
          </cell>
          <cell r="E173">
            <v>-462216922.91000003</v>
          </cell>
        </row>
        <row r="174">
          <cell r="A174">
            <v>2401010000</v>
          </cell>
          <cell r="B174" t="str">
            <v>FONDO SOCIAL UNIDADES</v>
          </cell>
          <cell r="C174">
            <v>-462216922.91000003</v>
          </cell>
          <cell r="E174">
            <v>-462216922.91000003</v>
          </cell>
        </row>
        <row r="175">
          <cell r="A175">
            <v>2901010000</v>
          </cell>
          <cell r="B175" t="str">
            <v>CUENTAS DE ORDEN DEBITOS</v>
          </cell>
          <cell r="C175">
            <v>56660796.229999997</v>
          </cell>
          <cell r="E175">
            <v>56660796.229999997</v>
          </cell>
        </row>
        <row r="176">
          <cell r="A176">
            <v>2901020000</v>
          </cell>
          <cell r="B176" t="str">
            <v>CUENTAS DE ORDEN CREDITOS</v>
          </cell>
          <cell r="C176">
            <v>-56660796.229999997</v>
          </cell>
          <cell r="E176">
            <v>-56660796.229999997</v>
          </cell>
        </row>
        <row r="177">
          <cell r="A177" t="str">
            <v>***TOTAL UTILIDAD(+)/PERDIDA(-)***</v>
          </cell>
          <cell r="C177">
            <v>9168140.6400000006</v>
          </cell>
          <cell r="E177">
            <v>9168140.6400000006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-17159141.969999999</v>
          </cell>
          <cell r="E6">
            <v>1209093692.05</v>
          </cell>
        </row>
        <row r="9">
          <cell r="A9">
            <v>1100000000</v>
          </cell>
          <cell r="B9" t="str">
            <v>ACTIVO DISPONIBLE</v>
          </cell>
          <cell r="C9">
            <v>2572899.48</v>
          </cell>
          <cell r="E9">
            <v>10847381.98</v>
          </cell>
        </row>
        <row r="10">
          <cell r="A10">
            <v>1101000000</v>
          </cell>
          <cell r="B10" t="str">
            <v>CAJA</v>
          </cell>
          <cell r="C10">
            <v>-580127.80000000005</v>
          </cell>
          <cell r="E10">
            <v>1800311.8</v>
          </cell>
        </row>
        <row r="11">
          <cell r="A11">
            <v>1101010000</v>
          </cell>
          <cell r="B11" t="str">
            <v>CAJA GENERAL MONEDA NACIONAL</v>
          </cell>
          <cell r="C11">
            <v>-580127.80000000005</v>
          </cell>
          <cell r="E11">
            <v>1633611.8</v>
          </cell>
        </row>
        <row r="12">
          <cell r="A12">
            <v>1101030000</v>
          </cell>
          <cell r="B12" t="str">
            <v>CAJA CHICA MONEDA NACIONAL</v>
          </cell>
          <cell r="C12">
            <v>0</v>
          </cell>
          <cell r="E12">
            <v>166700</v>
          </cell>
        </row>
        <row r="13">
          <cell r="A13">
            <v>1102000000</v>
          </cell>
          <cell r="B13" t="str">
            <v>BANCOS</v>
          </cell>
          <cell r="C13">
            <v>3153027.28</v>
          </cell>
          <cell r="E13">
            <v>9047070.1799999997</v>
          </cell>
        </row>
        <row r="14">
          <cell r="A14">
            <v>1102010000</v>
          </cell>
          <cell r="B14" t="str">
            <v>BANCO BISA</v>
          </cell>
          <cell r="C14">
            <v>-331391</v>
          </cell>
          <cell r="E14">
            <v>1406862.9</v>
          </cell>
        </row>
        <row r="15">
          <cell r="A15">
            <v>1102020000</v>
          </cell>
          <cell r="B15" t="str">
            <v>BANCO MERCANTIL</v>
          </cell>
          <cell r="C15">
            <v>63578.559999999998</v>
          </cell>
          <cell r="E15">
            <v>294963.23</v>
          </cell>
        </row>
        <row r="16">
          <cell r="A16">
            <v>1102040000</v>
          </cell>
          <cell r="B16" t="str">
            <v>BANCO DE CREDITO</v>
          </cell>
          <cell r="C16">
            <v>260145.81</v>
          </cell>
          <cell r="E16">
            <v>327527.05</v>
          </cell>
        </row>
        <row r="17">
          <cell r="A17">
            <v>1102050000</v>
          </cell>
          <cell r="B17" t="str">
            <v>BANCO ECONÓMICO</v>
          </cell>
          <cell r="C17">
            <v>5657.08</v>
          </cell>
          <cell r="E17">
            <v>146230.54999999999</v>
          </cell>
        </row>
        <row r="18">
          <cell r="A18">
            <v>1102060000</v>
          </cell>
          <cell r="B18" t="str">
            <v>BANCO GANADERO</v>
          </cell>
          <cell r="C18">
            <v>-1666610.92</v>
          </cell>
          <cell r="E18">
            <v>156532.31</v>
          </cell>
        </row>
        <row r="19">
          <cell r="A19">
            <v>1102070000</v>
          </cell>
          <cell r="B19" t="str">
            <v>BANCO UNION</v>
          </cell>
          <cell r="C19">
            <v>4843097.9800000004</v>
          </cell>
          <cell r="E19">
            <v>6255019.7400000002</v>
          </cell>
        </row>
        <row r="20">
          <cell r="A20">
            <v>1102080000</v>
          </cell>
          <cell r="B20" t="str">
            <v>BANCO NACIONAL</v>
          </cell>
          <cell r="C20">
            <v>78107.399999999994</v>
          </cell>
          <cell r="E20">
            <v>183034.43</v>
          </cell>
        </row>
        <row r="21">
          <cell r="A21">
            <v>1102100000</v>
          </cell>
          <cell r="B21" t="str">
            <v>FONDO DE LA COMUNIDAD</v>
          </cell>
          <cell r="C21">
            <v>16.25</v>
          </cell>
          <cell r="E21">
            <v>7605.59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7.71</v>
          </cell>
          <cell r="E23">
            <v>179114.32</v>
          </cell>
        </row>
        <row r="24">
          <cell r="A24">
            <v>1102130000</v>
          </cell>
          <cell r="B24" t="str">
            <v>BANCO FIE</v>
          </cell>
          <cell r="C24">
            <v>-99581.59</v>
          </cell>
          <cell r="E24">
            <v>86705.07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-15040125.289999999</v>
          </cell>
          <cell r="E27">
            <v>201446278.08000001</v>
          </cell>
        </row>
        <row r="28">
          <cell r="A28">
            <v>1201000000</v>
          </cell>
          <cell r="B28" t="str">
            <v>CUENTAS POR COBRAR</v>
          </cell>
          <cell r="C28">
            <v>-13886450.460000001</v>
          </cell>
          <cell r="E28">
            <v>124054124.81</v>
          </cell>
        </row>
        <row r="29">
          <cell r="A29">
            <v>1201010000</v>
          </cell>
          <cell r="B29" t="str">
            <v>DEUDORES POR PRODUCTOS LOCALES M.N.</v>
          </cell>
          <cell r="C29">
            <v>-11324049.33</v>
          </cell>
          <cell r="E29">
            <v>44368306.93</v>
          </cell>
        </row>
        <row r="30">
          <cell r="A30">
            <v>1201050000</v>
          </cell>
          <cell r="B30" t="str">
            <v>DEUDORES POR PRODUCTOS INTERIOR M.N.</v>
          </cell>
          <cell r="C30">
            <v>-2068347.12</v>
          </cell>
          <cell r="E30">
            <v>77464647.390000001</v>
          </cell>
        </row>
        <row r="31">
          <cell r="A31">
            <v>1201130000</v>
          </cell>
          <cell r="B31" t="str">
            <v>DEUDORES VARIOS</v>
          </cell>
          <cell r="C31">
            <v>-494054.01</v>
          </cell>
          <cell r="E31">
            <v>2221170.4900000002</v>
          </cell>
        </row>
        <row r="32">
          <cell r="A32">
            <v>1202000000</v>
          </cell>
          <cell r="B32" t="str">
            <v>CUENTAS CORRIENTES</v>
          </cell>
          <cell r="C32">
            <v>-925565.2</v>
          </cell>
          <cell r="E32">
            <v>68832368.810000002</v>
          </cell>
        </row>
        <row r="33">
          <cell r="A33">
            <v>1202010000</v>
          </cell>
          <cell r="B33" t="str">
            <v>PROVEEDORES</v>
          </cell>
          <cell r="C33">
            <v>-925565.2</v>
          </cell>
          <cell r="E33">
            <v>68826314.310000002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117534.48</v>
          </cell>
          <cell r="E36">
            <v>3912715.95</v>
          </cell>
        </row>
        <row r="37">
          <cell r="A37">
            <v>1203030000</v>
          </cell>
          <cell r="B37" t="str">
            <v>RECLAMOS EN CURSO</v>
          </cell>
          <cell r="C37">
            <v>16767.37</v>
          </cell>
          <cell r="E37">
            <v>93982.87</v>
          </cell>
        </row>
        <row r="38">
          <cell r="A38">
            <v>1203040000</v>
          </cell>
          <cell r="B38" t="str">
            <v>OTROS DOCUMENTOS POR COBRAR</v>
          </cell>
          <cell r="C38">
            <v>100767.11</v>
          </cell>
          <cell r="E38">
            <v>3818733.08</v>
          </cell>
        </row>
        <row r="39">
          <cell r="A39">
            <v>1204000000</v>
          </cell>
          <cell r="B39" t="str">
            <v>ANTICIPOS Y PRESTAMOS</v>
          </cell>
          <cell r="C39">
            <v>-345644.11</v>
          </cell>
          <cell r="E39">
            <v>4647068.51</v>
          </cell>
        </row>
        <row r="40">
          <cell r="A40">
            <v>1204010000</v>
          </cell>
          <cell r="B40" t="str">
            <v>ANTICIPOS AL PERSONAL</v>
          </cell>
          <cell r="C40">
            <v>1531.04</v>
          </cell>
          <cell r="E40">
            <v>1531.04</v>
          </cell>
        </row>
        <row r="41">
          <cell r="A41">
            <v>1204020000</v>
          </cell>
          <cell r="B41" t="str">
            <v>PRESTAMOS AL PERSONAL M.N.</v>
          </cell>
          <cell r="C41">
            <v>-1975.49</v>
          </cell>
          <cell r="E41">
            <v>46006.02</v>
          </cell>
        </row>
        <row r="42">
          <cell r="A42">
            <v>1204040000</v>
          </cell>
          <cell r="B42" t="str">
            <v>PRESTAMOS EN PRODUCTOS O SERVICIOS</v>
          </cell>
          <cell r="C42">
            <v>18540.09</v>
          </cell>
          <cell r="E42">
            <v>146006.59</v>
          </cell>
        </row>
        <row r="43">
          <cell r="A43">
            <v>1204050000</v>
          </cell>
          <cell r="B43" t="str">
            <v>PRESTAMOS MATERIALES DE ALMACEN</v>
          </cell>
          <cell r="C43">
            <v>4034.28</v>
          </cell>
          <cell r="E43">
            <v>8778.98</v>
          </cell>
        </row>
        <row r="44">
          <cell r="A44">
            <v>1204060000</v>
          </cell>
          <cell r="B44" t="str">
            <v>PAGOS ANTICIPADOS</v>
          </cell>
          <cell r="C44">
            <v>-294663.78000000003</v>
          </cell>
          <cell r="E44">
            <v>3703241.05</v>
          </cell>
        </row>
        <row r="45">
          <cell r="A45">
            <v>1204080000</v>
          </cell>
          <cell r="B45" t="str">
            <v>DEUDORES CON CARGO DE CUENTA M.N.</v>
          </cell>
          <cell r="C45">
            <v>-73110.25</v>
          </cell>
          <cell r="E45">
            <v>741488.81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-5657878.7199999997</v>
          </cell>
          <cell r="E48">
            <v>165789386.69</v>
          </cell>
        </row>
        <row r="49">
          <cell r="A49">
            <v>1301000000</v>
          </cell>
          <cell r="B49" t="str">
            <v>EXISTENCIAS</v>
          </cell>
          <cell r="C49">
            <v>-7614717.5700000003</v>
          </cell>
          <cell r="E49">
            <v>78156527.969999999</v>
          </cell>
        </row>
        <row r="50">
          <cell r="A50">
            <v>1301010000</v>
          </cell>
          <cell r="B50" t="str">
            <v>MATERIA PRIMA E INSUMOS</v>
          </cell>
          <cell r="C50">
            <v>-2071720.7</v>
          </cell>
          <cell r="E50">
            <v>13772218.460000001</v>
          </cell>
        </row>
        <row r="51">
          <cell r="A51">
            <v>1301020000</v>
          </cell>
          <cell r="B51" t="str">
            <v>PRODUCTOS EN PROCESO</v>
          </cell>
          <cell r="C51">
            <v>-5742909.4800000004</v>
          </cell>
          <cell r="E51">
            <v>62178588.659999996</v>
          </cell>
        </row>
        <row r="52">
          <cell r="A52">
            <v>1301030000</v>
          </cell>
          <cell r="B52" t="str">
            <v>PRODUCTOS TERMINADOS</v>
          </cell>
          <cell r="C52">
            <v>199912.61</v>
          </cell>
          <cell r="E52">
            <v>2205720.85</v>
          </cell>
        </row>
        <row r="53">
          <cell r="A53">
            <v>1304000000</v>
          </cell>
          <cell r="B53" t="str">
            <v>EXISTENCIA DE MATERIALES</v>
          </cell>
          <cell r="C53">
            <v>1956838.85</v>
          </cell>
          <cell r="E53">
            <v>87632858.719999999</v>
          </cell>
        </row>
        <row r="54">
          <cell r="A54">
            <v>1304010000</v>
          </cell>
          <cell r="B54" t="str">
            <v>MATERIALES EN ALMACEN</v>
          </cell>
          <cell r="C54">
            <v>556925.06999999995</v>
          </cell>
          <cell r="E54">
            <v>54476863.659999996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8500984.3599999994</v>
          </cell>
        </row>
        <row r="56">
          <cell r="A56">
            <v>1304030000</v>
          </cell>
          <cell r="B56" t="str">
            <v>PULPERIA IRPA - IRPA</v>
          </cell>
          <cell r="C56">
            <v>30341.86</v>
          </cell>
          <cell r="E56">
            <v>144942.78</v>
          </cell>
        </row>
        <row r="57">
          <cell r="A57">
            <v>1304040000</v>
          </cell>
          <cell r="B57" t="str">
            <v>MERCADERIAS EN TRANSITO</v>
          </cell>
          <cell r="C57">
            <v>1369571.92</v>
          </cell>
          <cell r="E57">
            <v>24510067.920000002</v>
          </cell>
        </row>
        <row r="59">
          <cell r="A59">
            <v>1400000000</v>
          </cell>
          <cell r="B59" t="str">
            <v>ACTIVO FIJO</v>
          </cell>
          <cell r="C59">
            <v>-1172507.42</v>
          </cell>
          <cell r="E59">
            <v>576234959.88999999</v>
          </cell>
        </row>
        <row r="60">
          <cell r="A60">
            <v>1401000000</v>
          </cell>
          <cell r="B60" t="str">
            <v>BIENES DE USO</v>
          </cell>
          <cell r="C60">
            <v>2762915.79</v>
          </cell>
          <cell r="E60">
            <v>1806534557.5</v>
          </cell>
        </row>
        <row r="61">
          <cell r="A61">
            <v>1401010000</v>
          </cell>
          <cell r="B61" t="str">
            <v>TERRENOS</v>
          </cell>
          <cell r="C61">
            <v>118511.9</v>
          </cell>
          <cell r="E61">
            <v>43378890.57</v>
          </cell>
        </row>
        <row r="62">
          <cell r="A62">
            <v>1401020000</v>
          </cell>
          <cell r="B62" t="str">
            <v>EDIFICIOS</v>
          </cell>
          <cell r="C62">
            <v>996734.28</v>
          </cell>
          <cell r="E62">
            <v>370492772.61000001</v>
          </cell>
        </row>
        <row r="63">
          <cell r="A63">
            <v>1401030000</v>
          </cell>
          <cell r="B63" t="str">
            <v>MUEBLES Y ENSERES DE OFICINA</v>
          </cell>
          <cell r="C63">
            <v>408.12</v>
          </cell>
          <cell r="E63">
            <v>5166488.38</v>
          </cell>
        </row>
        <row r="64">
          <cell r="A64">
            <v>1401040000</v>
          </cell>
          <cell r="B64" t="str">
            <v>MAQUINARIA Y EQUIPO</v>
          </cell>
          <cell r="C64">
            <v>821697.69</v>
          </cell>
          <cell r="E64">
            <v>693377794.26999998</v>
          </cell>
        </row>
        <row r="65">
          <cell r="A65">
            <v>1401050000</v>
          </cell>
          <cell r="B65" t="str">
            <v>VEHICULOS</v>
          </cell>
          <cell r="C65">
            <v>4723.32</v>
          </cell>
          <cell r="E65">
            <v>35301646.289999999</v>
          </cell>
        </row>
        <row r="66">
          <cell r="A66">
            <v>1401060000</v>
          </cell>
          <cell r="B66" t="str">
            <v>MAQUINARIA DE CONSTRUCCION</v>
          </cell>
          <cell r="C66">
            <v>3446.29</v>
          </cell>
          <cell r="E66">
            <v>17572195.469999999</v>
          </cell>
        </row>
        <row r="67">
          <cell r="A67">
            <v>1401070000</v>
          </cell>
          <cell r="B67" t="str">
            <v>EQUIPO PESADO</v>
          </cell>
          <cell r="C67">
            <v>13386.05</v>
          </cell>
          <cell r="E67">
            <v>123683753.17</v>
          </cell>
        </row>
        <row r="68">
          <cell r="A68">
            <v>1401080000</v>
          </cell>
          <cell r="B68" t="str">
            <v>INSTALACIONES INDUSTRIALES</v>
          </cell>
          <cell r="C68">
            <v>841543</v>
          </cell>
          <cell r="E68">
            <v>466568452.93000001</v>
          </cell>
        </row>
        <row r="69">
          <cell r="A69">
            <v>1401090000</v>
          </cell>
          <cell r="B69" t="str">
            <v>HERRAMIENTAS E IMPLEMENTOS</v>
          </cell>
          <cell r="C69">
            <v>15557.48</v>
          </cell>
          <cell r="E69">
            <v>19199377.460000001</v>
          </cell>
        </row>
        <row r="70">
          <cell r="A70">
            <v>1401100000</v>
          </cell>
          <cell r="B70" t="str">
            <v>TINGLADOS</v>
          </cell>
          <cell r="C70">
            <v>9027.4500000000007</v>
          </cell>
          <cell r="E70">
            <v>14319791.869999999</v>
          </cell>
        </row>
        <row r="71">
          <cell r="A71">
            <v>1401110000</v>
          </cell>
          <cell r="B71" t="str">
            <v>EQUIPOS DE COMPUTACION</v>
          </cell>
          <cell r="C71">
            <v>-72853.5</v>
          </cell>
          <cell r="E71">
            <v>8056283.7400000002</v>
          </cell>
        </row>
        <row r="72">
          <cell r="A72">
            <v>1401120000</v>
          </cell>
          <cell r="B72" t="str">
            <v>EQUIPOS DE LABORATORIO</v>
          </cell>
          <cell r="C72">
            <v>10733.71</v>
          </cell>
          <cell r="E72">
            <v>9251007.4199999999</v>
          </cell>
        </row>
        <row r="73">
          <cell r="A73">
            <v>1401150000</v>
          </cell>
          <cell r="B73" t="str">
            <v>CANALES DE RIEGO Y POZOS</v>
          </cell>
          <cell r="C73">
            <v>0</v>
          </cell>
          <cell r="E73">
            <v>166103.32</v>
          </cell>
        </row>
        <row r="74">
          <cell r="A74">
            <v>1402000000</v>
          </cell>
          <cell r="B74" t="str">
            <v>DEPRECIACION ACUMULADA</v>
          </cell>
          <cell r="C74">
            <v>-3935423.21</v>
          </cell>
          <cell r="E74">
            <v>-1230299597.6099999</v>
          </cell>
        </row>
        <row r="75">
          <cell r="A75">
            <v>1402020000</v>
          </cell>
          <cell r="B75" t="str">
            <v>EDIFICIOS</v>
          </cell>
          <cell r="C75">
            <v>-1027592.38</v>
          </cell>
          <cell r="E75">
            <v>-103323587.88</v>
          </cell>
        </row>
        <row r="76">
          <cell r="A76">
            <v>1402030000</v>
          </cell>
          <cell r="B76" t="str">
            <v>MUEBLES Y ENSERES DE OFICINA</v>
          </cell>
          <cell r="C76">
            <v>-1543.11</v>
          </cell>
          <cell r="E76">
            <v>-5127518.21</v>
          </cell>
        </row>
        <row r="77">
          <cell r="A77">
            <v>1402040000</v>
          </cell>
          <cell r="B77" t="str">
            <v>MAQUINARIA Y EQUIPO</v>
          </cell>
          <cell r="C77">
            <v>-1339910.51</v>
          </cell>
          <cell r="E77">
            <v>-562519819.30999994</v>
          </cell>
        </row>
        <row r="78">
          <cell r="A78">
            <v>1402050000</v>
          </cell>
          <cell r="B78" t="str">
            <v>VEHICULOS</v>
          </cell>
          <cell r="C78">
            <v>-31774.42</v>
          </cell>
          <cell r="E78">
            <v>-34684977.43</v>
          </cell>
        </row>
        <row r="79">
          <cell r="A79">
            <v>1402060000</v>
          </cell>
          <cell r="B79" t="str">
            <v>MAQUINARIA DE CONSTRUCCION</v>
          </cell>
          <cell r="C79">
            <v>-15716.6</v>
          </cell>
          <cell r="E79">
            <v>-17266894.030000001</v>
          </cell>
        </row>
        <row r="80">
          <cell r="A80">
            <v>1402070000</v>
          </cell>
          <cell r="B80" t="str">
            <v>EQUIPO PESADO</v>
          </cell>
          <cell r="C80">
            <v>-59746.48</v>
          </cell>
          <cell r="E80">
            <v>-122022469.52</v>
          </cell>
        </row>
        <row r="81">
          <cell r="A81">
            <v>1402080000</v>
          </cell>
          <cell r="B81" t="str">
            <v>INSTALACIONES INDUSTRIALES</v>
          </cell>
          <cell r="C81">
            <v>-1435462.52</v>
          </cell>
          <cell r="E81">
            <v>-337272349.88999999</v>
          </cell>
        </row>
        <row r="82">
          <cell r="A82">
            <v>1402090000</v>
          </cell>
          <cell r="B82" t="str">
            <v>HERRAMIENTAS E IMPLEMENTOS</v>
          </cell>
          <cell r="C82">
            <v>-4794.5200000000004</v>
          </cell>
          <cell r="E82">
            <v>-19094062.620000001</v>
          </cell>
        </row>
        <row r="83">
          <cell r="A83">
            <v>1402100000</v>
          </cell>
          <cell r="B83" t="str">
            <v>TINGLADOS</v>
          </cell>
          <cell r="C83">
            <v>-34480.67</v>
          </cell>
          <cell r="E83">
            <v>-13584994.949999999</v>
          </cell>
        </row>
        <row r="84">
          <cell r="A84">
            <v>1402110000</v>
          </cell>
          <cell r="B84" t="str">
            <v>EQUIPOS DE COMPUTACION</v>
          </cell>
          <cell r="C84">
            <v>62486.41</v>
          </cell>
          <cell r="E84">
            <v>-7691174.5499999998</v>
          </cell>
        </row>
        <row r="85">
          <cell r="A85">
            <v>1402120000</v>
          </cell>
          <cell r="B85" t="str">
            <v>EQUIPOS DE LABORATORIO</v>
          </cell>
          <cell r="C85">
            <v>-46888.41</v>
          </cell>
          <cell r="E85">
            <v>-7545645.9000000004</v>
          </cell>
        </row>
        <row r="86">
          <cell r="A86">
            <v>1402150000</v>
          </cell>
          <cell r="B86" t="str">
            <v>CANALES DE RIEGO Y POZOS</v>
          </cell>
          <cell r="C86">
            <v>0</v>
          </cell>
          <cell r="E86">
            <v>-166103.32</v>
          </cell>
        </row>
        <row r="88">
          <cell r="A88">
            <v>1500000000</v>
          </cell>
          <cell r="B88" t="str">
            <v>INVERSIONES</v>
          </cell>
          <cell r="C88">
            <v>-136968.31</v>
          </cell>
          <cell r="E88">
            <v>36914396.200000003</v>
          </cell>
        </row>
        <row r="89">
          <cell r="A89">
            <v>1502000000</v>
          </cell>
          <cell r="B89" t="str">
            <v>OTRAS INVERSIONES</v>
          </cell>
          <cell r="C89">
            <v>-136968.31</v>
          </cell>
          <cell r="E89">
            <v>36914396.200000003</v>
          </cell>
        </row>
        <row r="90">
          <cell r="A90">
            <v>1502010000</v>
          </cell>
          <cell r="B90" t="str">
            <v>ACCIONES</v>
          </cell>
          <cell r="C90">
            <v>-136968.31</v>
          </cell>
          <cell r="E90">
            <v>36513576.189999998</v>
          </cell>
        </row>
        <row r="91">
          <cell r="A91">
            <v>1502030000</v>
          </cell>
          <cell r="B91" t="str">
            <v>LINEAS TELEFONICAS</v>
          </cell>
          <cell r="C91">
            <v>0</v>
          </cell>
          <cell r="E91">
            <v>261000</v>
          </cell>
        </row>
        <row r="92">
          <cell r="A92">
            <v>1502050000</v>
          </cell>
          <cell r="B92" t="str">
            <v>OTRAS INVERSIONES</v>
          </cell>
          <cell r="C92">
            <v>0</v>
          </cell>
          <cell r="E92">
            <v>139820.01</v>
          </cell>
        </row>
        <row r="94">
          <cell r="A94">
            <v>1600000000</v>
          </cell>
          <cell r="B94" t="str">
            <v>OTROS ACTIVOS</v>
          </cell>
          <cell r="C94">
            <v>2193646.38</v>
          </cell>
          <cell r="E94">
            <v>204678078.66</v>
          </cell>
        </row>
        <row r="95">
          <cell r="A95">
            <v>1601000000</v>
          </cell>
          <cell r="B95" t="str">
            <v>DOCUMENTOS POR COBRAR A LARGO PLAZO</v>
          </cell>
          <cell r="C95">
            <v>-700</v>
          </cell>
          <cell r="E95">
            <v>9551550.3599999994</v>
          </cell>
        </row>
        <row r="96">
          <cell r="A96">
            <v>1601040000</v>
          </cell>
          <cell r="B96" t="str">
            <v>DOCUMENTOS EN EJECUCION</v>
          </cell>
          <cell r="C96">
            <v>-700</v>
          </cell>
          <cell r="E96">
            <v>9551550.3599999994</v>
          </cell>
        </row>
        <row r="97">
          <cell r="A97">
            <v>1601050000</v>
          </cell>
          <cell r="B97" t="str">
            <v>CUENTAS INCOBRABLES</v>
          </cell>
          <cell r="C97">
            <v>0</v>
          </cell>
          <cell r="E97">
            <v>3212209.75</v>
          </cell>
        </row>
        <row r="98">
          <cell r="A98">
            <v>1601060000</v>
          </cell>
          <cell r="B98" t="str">
            <v>(PREVISION CUENTAS INCOBRABLES)</v>
          </cell>
          <cell r="C98">
            <v>0</v>
          </cell>
          <cell r="E98">
            <v>-3212209.75</v>
          </cell>
        </row>
        <row r="99">
          <cell r="A99">
            <v>1602000000</v>
          </cell>
          <cell r="B99" t="str">
            <v>OBRAS EN EJECUCIÓN</v>
          </cell>
          <cell r="C99">
            <v>210894.36</v>
          </cell>
          <cell r="E99">
            <v>14607466.4</v>
          </cell>
        </row>
        <row r="100">
          <cell r="A100">
            <v>1602010000</v>
          </cell>
          <cell r="B100" t="str">
            <v>AMPLIACIONES</v>
          </cell>
          <cell r="C100">
            <v>210894.36</v>
          </cell>
          <cell r="E100">
            <v>14607466.4</v>
          </cell>
        </row>
        <row r="101">
          <cell r="A101">
            <v>1604000000</v>
          </cell>
          <cell r="B101" t="str">
            <v>BIENES ARRENDADOS</v>
          </cell>
          <cell r="C101">
            <v>0</v>
          </cell>
          <cell r="E101">
            <v>2685870.78</v>
          </cell>
        </row>
        <row r="102">
          <cell r="A102">
            <v>1604010000</v>
          </cell>
          <cell r="B102" t="str">
            <v>VALOR DE ARRENDAMIENTO</v>
          </cell>
          <cell r="C102">
            <v>0</v>
          </cell>
          <cell r="E102">
            <v>2685870.78</v>
          </cell>
        </row>
        <row r="103">
          <cell r="A103">
            <v>1605000000</v>
          </cell>
          <cell r="B103" t="str">
            <v>DIVERSOS</v>
          </cell>
          <cell r="C103">
            <v>-664470.31999999995</v>
          </cell>
          <cell r="E103">
            <v>18004344.199999999</v>
          </cell>
        </row>
        <row r="104">
          <cell r="A104">
            <v>1605010000</v>
          </cell>
          <cell r="B104" t="str">
            <v>REPUESTOS EN ALMACEN</v>
          </cell>
          <cell r="C104">
            <v>-664470.31999999995</v>
          </cell>
          <cell r="E104">
            <v>17815323.960000001</v>
          </cell>
        </row>
        <row r="105">
          <cell r="A105">
            <v>1605020000</v>
          </cell>
          <cell r="B105" t="str">
            <v>LIBROS Y BIBLIOTECAS</v>
          </cell>
          <cell r="C105">
            <v>0</v>
          </cell>
          <cell r="E105">
            <v>189020.24</v>
          </cell>
        </row>
        <row r="106">
          <cell r="A106">
            <v>1606000000</v>
          </cell>
          <cell r="B106" t="str">
            <v>CUENTAS CORRIENTES UNIDADES</v>
          </cell>
          <cell r="C106">
            <v>2647922.34</v>
          </cell>
          <cell r="E106">
            <v>159828846.91999999</v>
          </cell>
        </row>
        <row r="107">
          <cell r="A107">
            <v>1606010000</v>
          </cell>
          <cell r="B107" t="str">
            <v>LIMITADA</v>
          </cell>
          <cell r="C107">
            <v>2332267.56</v>
          </cell>
          <cell r="E107">
            <v>132631581.88</v>
          </cell>
        </row>
        <row r="108">
          <cell r="A108">
            <v>1606030000</v>
          </cell>
          <cell r="B108" t="str">
            <v>CERAMIL</v>
          </cell>
          <cell r="C108">
            <v>41740.15</v>
          </cell>
          <cell r="E108">
            <v>5932076.9199999999</v>
          </cell>
        </row>
        <row r="109">
          <cell r="A109">
            <v>1606040000</v>
          </cell>
          <cell r="B109" t="str">
            <v>HORMIGON</v>
          </cell>
          <cell r="C109">
            <v>-18727.2</v>
          </cell>
          <cell r="E109">
            <v>19811043.460000001</v>
          </cell>
        </row>
        <row r="110">
          <cell r="A110">
            <v>1606050000</v>
          </cell>
          <cell r="B110" t="str">
            <v>CONSTRUCCIONES</v>
          </cell>
          <cell r="C110">
            <v>42246.64</v>
          </cell>
          <cell r="E110">
            <v>539482.97</v>
          </cell>
        </row>
        <row r="111">
          <cell r="A111">
            <v>1606060000</v>
          </cell>
          <cell r="B111" t="str">
            <v>CERAMICA</v>
          </cell>
          <cell r="C111">
            <v>211969.5</v>
          </cell>
          <cell r="E111">
            <v>839200.62</v>
          </cell>
        </row>
        <row r="112">
          <cell r="A112">
            <v>1606070000</v>
          </cell>
          <cell r="B112" t="str">
            <v>METAL</v>
          </cell>
          <cell r="C112">
            <v>38425.69</v>
          </cell>
          <cell r="E112">
            <v>75461.070000000007</v>
          </cell>
        </row>
        <row r="114">
          <cell r="A114">
            <v>1700000000</v>
          </cell>
          <cell r="B114" t="str">
            <v>ACTIVOS DIFERIDOS</v>
          </cell>
          <cell r="C114">
            <v>81791.91</v>
          </cell>
          <cell r="E114">
            <v>13183210.550000001</v>
          </cell>
        </row>
        <row r="115">
          <cell r="A115">
            <v>1701000000</v>
          </cell>
          <cell r="B115" t="str">
            <v>ACTIVOS RETIRADOS</v>
          </cell>
          <cell r="C115">
            <v>0</v>
          </cell>
          <cell r="E115">
            <v>3580102.51</v>
          </cell>
        </row>
        <row r="116">
          <cell r="A116">
            <v>1701010000</v>
          </cell>
          <cell r="B116" t="str">
            <v>BIENES DE USO RETIRADOS</v>
          </cell>
          <cell r="C116">
            <v>0</v>
          </cell>
          <cell r="E116">
            <v>3580102.51</v>
          </cell>
        </row>
        <row r="117">
          <cell r="A117">
            <v>1702000000</v>
          </cell>
          <cell r="B117" t="str">
            <v>GASTOS DIFERIDOS</v>
          </cell>
          <cell r="C117">
            <v>81791.91</v>
          </cell>
          <cell r="E117">
            <v>9603108.0399999991</v>
          </cell>
        </row>
        <row r="118">
          <cell r="A118">
            <v>1702010000</v>
          </cell>
          <cell r="B118" t="str">
            <v>GASTOS DE ORGANIZACION Y PUESTA EN MARCH</v>
          </cell>
          <cell r="C118">
            <v>0</v>
          </cell>
          <cell r="E118">
            <v>4900472.5999999996</v>
          </cell>
        </row>
        <row r="119">
          <cell r="A119">
            <v>1702020000</v>
          </cell>
          <cell r="B119" t="str">
            <v>GASTOS DE PRODUCCIÓN Y MANTENIMIENTO</v>
          </cell>
          <cell r="C119">
            <v>81791.91</v>
          </cell>
          <cell r="E119">
            <v>81791.91</v>
          </cell>
        </row>
        <row r="120">
          <cell r="A120">
            <v>1702050000</v>
          </cell>
          <cell r="B120" t="str">
            <v>VARIOS</v>
          </cell>
          <cell r="C120">
            <v>0</v>
          </cell>
          <cell r="E120">
            <v>4620843.53</v>
          </cell>
        </row>
        <row r="122">
          <cell r="A122">
            <v>2000000000</v>
          </cell>
          <cell r="B122" t="str">
            <v>PASIVO</v>
          </cell>
          <cell r="C122">
            <v>7064731.5700000003</v>
          </cell>
          <cell r="E122">
            <v>-1210019961.8099999</v>
          </cell>
        </row>
        <row r="125">
          <cell r="A125">
            <v>2100000000</v>
          </cell>
          <cell r="B125" t="str">
            <v>PASIVO CORRIENTE</v>
          </cell>
          <cell r="C125">
            <v>7334919.0499999998</v>
          </cell>
          <cell r="E125">
            <v>-274565118.44999999</v>
          </cell>
        </row>
        <row r="126">
          <cell r="A126">
            <v>2101000000</v>
          </cell>
          <cell r="B126" t="str">
            <v>DEUDAS COMERCIALES</v>
          </cell>
          <cell r="C126">
            <v>6639162.6299999999</v>
          </cell>
          <cell r="E126">
            <v>-81323339.670000002</v>
          </cell>
        </row>
        <row r="127">
          <cell r="A127">
            <v>2101010000</v>
          </cell>
          <cell r="B127" t="str">
            <v>PROVEEDORES</v>
          </cell>
          <cell r="C127">
            <v>2191208.9</v>
          </cell>
          <cell r="E127">
            <v>-76172380.280000001</v>
          </cell>
        </row>
        <row r="128">
          <cell r="A128">
            <v>2101030000</v>
          </cell>
          <cell r="B128" t="str">
            <v>TRANSPORTISTAS</v>
          </cell>
          <cell r="C128">
            <v>3974396.63</v>
          </cell>
          <cell r="E128">
            <v>-542409.36</v>
          </cell>
        </row>
        <row r="129">
          <cell r="A129">
            <v>2101040000</v>
          </cell>
          <cell r="B129" t="str">
            <v>ACREEDORES VARIOS</v>
          </cell>
          <cell r="C129">
            <v>473557.1</v>
          </cell>
          <cell r="E129">
            <v>-4291126.17</v>
          </cell>
        </row>
        <row r="130">
          <cell r="A130">
            <v>2101090000</v>
          </cell>
          <cell r="B130" t="str">
            <v>ACREEDORES POR DEPOSITOS EN GARANTIA</v>
          </cell>
          <cell r="C130">
            <v>0</v>
          </cell>
          <cell r="E130">
            <v>-47575.86</v>
          </cell>
        </row>
        <row r="131">
          <cell r="A131">
            <v>2101650000</v>
          </cell>
          <cell r="B131" t="str">
            <v>PROVEEDORES AEROPUERTO POTOSI</v>
          </cell>
          <cell r="C131">
            <v>0</v>
          </cell>
          <cell r="E131">
            <v>-269848</v>
          </cell>
        </row>
        <row r="132">
          <cell r="A132">
            <v>2102000000</v>
          </cell>
          <cell r="B132" t="str">
            <v>DOCUMENTOS POR PAGAR</v>
          </cell>
          <cell r="C132">
            <v>562706.51</v>
          </cell>
          <cell r="E132">
            <v>-5875019.9900000002</v>
          </cell>
        </row>
        <row r="133">
          <cell r="A133">
            <v>2102020000</v>
          </cell>
          <cell r="B133" t="str">
            <v>BANCARIOS</v>
          </cell>
          <cell r="C133">
            <v>0</v>
          </cell>
          <cell r="E133">
            <v>-3087207.62</v>
          </cell>
        </row>
        <row r="134">
          <cell r="A134">
            <v>2102030000</v>
          </cell>
          <cell r="B134" t="str">
            <v>CONTRATOS</v>
          </cell>
          <cell r="C134">
            <v>269066.08</v>
          </cell>
          <cell r="E134">
            <v>-2527896.19</v>
          </cell>
        </row>
        <row r="135">
          <cell r="A135">
            <v>2102040000</v>
          </cell>
          <cell r="B135" t="str">
            <v>OTROS DOCUMENTOS</v>
          </cell>
          <cell r="C135">
            <v>293640.43</v>
          </cell>
          <cell r="E135">
            <v>-259916.18</v>
          </cell>
        </row>
        <row r="136">
          <cell r="A136">
            <v>2104000000</v>
          </cell>
          <cell r="B136" t="str">
            <v>OBLIGACIONES FINANCIERAS A CORTO PLAZO</v>
          </cell>
          <cell r="C136">
            <v>-147990.31</v>
          </cell>
          <cell r="E136">
            <v>-157614200.46000001</v>
          </cell>
        </row>
        <row r="137">
          <cell r="A137">
            <v>2104010000</v>
          </cell>
          <cell r="B137" t="str">
            <v>OBLIGACIONES POR CAPITAL</v>
          </cell>
          <cell r="C137">
            <v>1093624.28</v>
          </cell>
          <cell r="E137">
            <v>-145744787.41999999</v>
          </cell>
        </row>
        <row r="138">
          <cell r="A138">
            <v>2104020000</v>
          </cell>
          <cell r="B138" t="str">
            <v>OBLIGACIONES POR INTERESES</v>
          </cell>
          <cell r="C138">
            <v>-1241614.5900000001</v>
          </cell>
          <cell r="E138">
            <v>-11869413.039999999</v>
          </cell>
        </row>
        <row r="139">
          <cell r="A139">
            <v>2105000000</v>
          </cell>
          <cell r="B139" t="str">
            <v>IMPUESTOS POR PAGAR</v>
          </cell>
          <cell r="C139">
            <v>0</v>
          </cell>
          <cell r="E139">
            <v>0</v>
          </cell>
        </row>
        <row r="140">
          <cell r="A140">
            <v>2105010000</v>
          </cell>
          <cell r="B140" t="str">
            <v>IMPUESTO AL VALOR AGREGADO (DEBITO FISCA</v>
          </cell>
          <cell r="C140">
            <v>0</v>
          </cell>
          <cell r="E140">
            <v>0</v>
          </cell>
        </row>
        <row r="141">
          <cell r="A141">
            <v>2105040000</v>
          </cell>
          <cell r="B141" t="str">
            <v>RETENCION EN LA FUENTE</v>
          </cell>
          <cell r="C141">
            <v>0</v>
          </cell>
          <cell r="E141">
            <v>0</v>
          </cell>
        </row>
        <row r="142">
          <cell r="A142">
            <v>2106000000</v>
          </cell>
          <cell r="B142" t="str">
            <v>OBLIGACIONES POR PAGAR</v>
          </cell>
          <cell r="C142">
            <v>-1246558.93</v>
          </cell>
          <cell r="E142">
            <v>-17175431.600000001</v>
          </cell>
        </row>
        <row r="143">
          <cell r="A143">
            <v>2106010000</v>
          </cell>
          <cell r="B143" t="str">
            <v>SUELDOS Y JORNALES POR PAGAR</v>
          </cell>
          <cell r="C143">
            <v>1145480.3999999999</v>
          </cell>
          <cell r="E143">
            <v>-6110116.9100000001</v>
          </cell>
        </row>
        <row r="144">
          <cell r="A144">
            <v>2106020000</v>
          </cell>
          <cell r="B144" t="str">
            <v>AGUINALDOS Y PRIMAS POR PAGAR</v>
          </cell>
          <cell r="C144">
            <v>0</v>
          </cell>
          <cell r="E144">
            <v>-100838.3</v>
          </cell>
        </row>
        <row r="145">
          <cell r="A145">
            <v>2106040000</v>
          </cell>
          <cell r="B145" t="str">
            <v>FINIQUITOS POR PAGAR</v>
          </cell>
          <cell r="C145">
            <v>-159693.54999999999</v>
          </cell>
          <cell r="E145">
            <v>-773697.32</v>
          </cell>
        </row>
        <row r="146">
          <cell r="A146">
            <v>2106060000</v>
          </cell>
          <cell r="B146" t="str">
            <v>AGUINALDOS Y PRIMAS NO RECLAMADOS</v>
          </cell>
          <cell r="C146">
            <v>0</v>
          </cell>
          <cell r="E146">
            <v>-373944.54</v>
          </cell>
        </row>
        <row r="147">
          <cell r="A147">
            <v>2106070000</v>
          </cell>
          <cell r="B147" t="str">
            <v>APORTES Y RETENCIONES POR PAGAR</v>
          </cell>
          <cell r="C147">
            <v>-2231995.7799999998</v>
          </cell>
          <cell r="E147">
            <v>-9484400.9100000001</v>
          </cell>
        </row>
        <row r="148">
          <cell r="A148">
            <v>2106080000</v>
          </cell>
          <cell r="B148" t="str">
            <v>RETENCIONES JUDICIALES</v>
          </cell>
          <cell r="C148">
            <v>-350</v>
          </cell>
          <cell r="E148">
            <v>-332433.62</v>
          </cell>
        </row>
        <row r="149">
          <cell r="A149">
            <v>2107000000</v>
          </cell>
          <cell r="B149" t="str">
            <v>PROVISIONES</v>
          </cell>
          <cell r="C149">
            <v>585761.94999999995</v>
          </cell>
          <cell r="E149">
            <v>-10739211.84</v>
          </cell>
        </row>
        <row r="150">
          <cell r="A150">
            <v>2107010000</v>
          </cell>
          <cell r="B150" t="str">
            <v>AGUINALDOS</v>
          </cell>
          <cell r="C150">
            <v>-875549.94</v>
          </cell>
          <cell r="E150">
            <v>-3874536.4</v>
          </cell>
        </row>
        <row r="151">
          <cell r="A151">
            <v>2107030000</v>
          </cell>
          <cell r="B151" t="str">
            <v>OTROS</v>
          </cell>
          <cell r="C151">
            <v>1461311.89</v>
          </cell>
          <cell r="E151">
            <v>-6864675.4400000004</v>
          </cell>
        </row>
        <row r="152">
          <cell r="A152">
            <v>2108000000</v>
          </cell>
          <cell r="B152" t="str">
            <v>COBROS POR ADELANTADO</v>
          </cell>
          <cell r="C152">
            <v>941837.2</v>
          </cell>
          <cell r="E152">
            <v>-1837914.89</v>
          </cell>
        </row>
        <row r="153">
          <cell r="A153">
            <v>2108010000</v>
          </cell>
          <cell r="B153" t="str">
            <v>CLIENTES LOCALES</v>
          </cell>
          <cell r="C153">
            <v>916645.42</v>
          </cell>
          <cell r="E153">
            <v>-1240543.56</v>
          </cell>
        </row>
        <row r="154">
          <cell r="A154">
            <v>2108020000</v>
          </cell>
          <cell r="B154" t="str">
            <v>CLIENTES INTERIOR</v>
          </cell>
          <cell r="C154">
            <v>25191.78</v>
          </cell>
          <cell r="E154">
            <v>-597371.32999999996</v>
          </cell>
        </row>
        <row r="156">
          <cell r="A156">
            <v>2200000000</v>
          </cell>
          <cell r="B156" t="str">
            <v>PASIVO NO CORRIENTE</v>
          </cell>
          <cell r="C156">
            <v>996073.9</v>
          </cell>
          <cell r="E156">
            <v>-471971659.06999999</v>
          </cell>
        </row>
        <row r="157">
          <cell r="A157">
            <v>2201000000</v>
          </cell>
          <cell r="B157" t="str">
            <v>OBLIGACIONES FINANCIERAS A LARGO PLAZO</v>
          </cell>
          <cell r="C157">
            <v>0</v>
          </cell>
          <cell r="E157">
            <v>-164637171.31</v>
          </cell>
        </row>
        <row r="158">
          <cell r="A158">
            <v>2201010000</v>
          </cell>
          <cell r="B158" t="str">
            <v>OBLIGACIONES POR CAPITAL</v>
          </cell>
          <cell r="C158">
            <v>0</v>
          </cell>
          <cell r="E158">
            <v>-162676191.12</v>
          </cell>
        </row>
        <row r="159">
          <cell r="A159">
            <v>2201030000</v>
          </cell>
          <cell r="B159" t="str">
            <v>OBLIGACIONES POR INTERESES LP</v>
          </cell>
          <cell r="C159">
            <v>0</v>
          </cell>
          <cell r="E159">
            <v>-1960980.19</v>
          </cell>
        </row>
        <row r="160">
          <cell r="A160">
            <v>2202000000</v>
          </cell>
          <cell r="B160" t="str">
            <v>PREVISIONES</v>
          </cell>
          <cell r="C160">
            <v>-498537.54</v>
          </cell>
          <cell r="E160">
            <v>-56153004.920000002</v>
          </cell>
        </row>
        <row r="161">
          <cell r="A161">
            <v>2202010000</v>
          </cell>
          <cell r="B161" t="str">
            <v>PREVISIONES BENEFICIOS SOCIALES</v>
          </cell>
          <cell r="C161">
            <v>-498537.54</v>
          </cell>
          <cell r="E161">
            <v>-56096022.240000002</v>
          </cell>
        </row>
        <row r="162">
          <cell r="A162">
            <v>2202020000</v>
          </cell>
          <cell r="B162" t="str">
            <v>OTRAS PREVISIONES</v>
          </cell>
          <cell r="C162">
            <v>0</v>
          </cell>
          <cell r="E162">
            <v>-56982.68</v>
          </cell>
        </row>
        <row r="163">
          <cell r="A163">
            <v>2203000000</v>
          </cell>
          <cell r="B163" t="str">
            <v>OTROS PASIVOS NO CORRIENTES</v>
          </cell>
          <cell r="C163">
            <v>-12254.06</v>
          </cell>
          <cell r="E163">
            <v>-726798.27</v>
          </cell>
        </row>
        <row r="164">
          <cell r="A164">
            <v>2203050000</v>
          </cell>
          <cell r="B164" t="str">
            <v>CREDITOS DIFERIDOS</v>
          </cell>
          <cell r="C164">
            <v>-12254.06</v>
          </cell>
          <cell r="E164">
            <v>-726798.27</v>
          </cell>
        </row>
        <row r="165">
          <cell r="A165">
            <v>2204000000</v>
          </cell>
          <cell r="B165" t="str">
            <v>CUENTAS CORRIENTES. UNIDADES.</v>
          </cell>
          <cell r="C165">
            <v>1506865.5</v>
          </cell>
          <cell r="E165">
            <v>-250454684.56999999</v>
          </cell>
        </row>
        <row r="166">
          <cell r="A166">
            <v>2204010000</v>
          </cell>
          <cell r="B166" t="str">
            <v>LIMITADA</v>
          </cell>
          <cell r="C166">
            <v>1509413.5</v>
          </cell>
          <cell r="E166">
            <v>-243986421.03999999</v>
          </cell>
        </row>
        <row r="167">
          <cell r="A167">
            <v>2204040000</v>
          </cell>
          <cell r="B167" t="str">
            <v>HORMIGON</v>
          </cell>
          <cell r="C167">
            <v>-984</v>
          </cell>
          <cell r="E167">
            <v>-227560.07</v>
          </cell>
        </row>
        <row r="168">
          <cell r="A168">
            <v>2204050000</v>
          </cell>
          <cell r="B168" t="str">
            <v>CONSTRUCCIONES</v>
          </cell>
          <cell r="C168">
            <v>8170.5</v>
          </cell>
          <cell r="E168">
            <v>-4808811.07</v>
          </cell>
        </row>
        <row r="169">
          <cell r="A169">
            <v>2204060000</v>
          </cell>
          <cell r="B169" t="str">
            <v>CERAMICA</v>
          </cell>
          <cell r="C169">
            <v>0</v>
          </cell>
          <cell r="E169">
            <v>-55892.46</v>
          </cell>
        </row>
        <row r="170">
          <cell r="A170">
            <v>2204070000</v>
          </cell>
          <cell r="B170" t="str">
            <v>METAL</v>
          </cell>
          <cell r="C170">
            <v>0</v>
          </cell>
          <cell r="E170">
            <v>-1356545.43</v>
          </cell>
        </row>
        <row r="171">
          <cell r="A171">
            <v>2204080000</v>
          </cell>
          <cell r="B171" t="str">
            <v>COBOCE EDITORA OPINION</v>
          </cell>
          <cell r="C171">
            <v>-9734.5</v>
          </cell>
          <cell r="E171">
            <v>-19454.5</v>
          </cell>
        </row>
        <row r="173">
          <cell r="A173">
            <v>2400000000</v>
          </cell>
          <cell r="B173" t="str">
            <v>PATRIMONIO</v>
          </cell>
          <cell r="C173">
            <v>-1266261.3799999999</v>
          </cell>
          <cell r="E173">
            <v>-463483184.29000002</v>
          </cell>
        </row>
        <row r="174">
          <cell r="A174">
            <v>2401000000</v>
          </cell>
          <cell r="B174" t="str">
            <v>FONDO SOCIAL</v>
          </cell>
          <cell r="C174">
            <v>-1266261.3799999999</v>
          </cell>
          <cell r="E174">
            <v>-463483184.29000002</v>
          </cell>
        </row>
        <row r="175">
          <cell r="A175">
            <v>2401010000</v>
          </cell>
          <cell r="B175" t="str">
            <v>FONDO SOCIAL UNIDADES</v>
          </cell>
          <cell r="C175">
            <v>-1266261.3799999999</v>
          </cell>
          <cell r="E175">
            <v>-463483184.29000002</v>
          </cell>
        </row>
        <row r="176">
          <cell r="A176">
            <v>2901010000</v>
          </cell>
          <cell r="B176" t="str">
            <v>CUENTAS DE ORDEN DEBITOS</v>
          </cell>
          <cell r="C176">
            <v>-3943372.96</v>
          </cell>
          <cell r="E176">
            <v>52717423.270000003</v>
          </cell>
        </row>
        <row r="177">
          <cell r="A177">
            <v>2901020000</v>
          </cell>
          <cell r="B177" t="str">
            <v>CUENTAS DE ORDEN CREDITOS</v>
          </cell>
          <cell r="C177">
            <v>3943372.96</v>
          </cell>
          <cell r="E177">
            <v>-52717423.270000003</v>
          </cell>
        </row>
        <row r="178">
          <cell r="A178" t="str">
            <v>***TOTAL UTILIDAD(+)/PERDIDA(-)***</v>
          </cell>
          <cell r="C178">
            <v>-10094410.4</v>
          </cell>
          <cell r="E178">
            <v>-926269.76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-5876831.0099999998</v>
          </cell>
          <cell r="E6">
            <v>1203216861.04</v>
          </cell>
        </row>
        <row r="9">
          <cell r="A9">
            <v>1100000000</v>
          </cell>
          <cell r="B9" t="str">
            <v>ACTIVO DISPONIBLE</v>
          </cell>
          <cell r="C9">
            <v>-4378339.43</v>
          </cell>
          <cell r="E9">
            <v>6469042.5499999998</v>
          </cell>
        </row>
        <row r="10">
          <cell r="A10">
            <v>1101000000</v>
          </cell>
          <cell r="B10" t="str">
            <v>CAJA</v>
          </cell>
          <cell r="C10">
            <v>1260068.8999999999</v>
          </cell>
          <cell r="E10">
            <v>3060380.7</v>
          </cell>
        </row>
        <row r="11">
          <cell r="A11">
            <v>1101010000</v>
          </cell>
          <cell r="B11" t="str">
            <v>CAJA GENERAL MONEDA NACIONAL</v>
          </cell>
          <cell r="C11">
            <v>1259068.8999999999</v>
          </cell>
          <cell r="E11">
            <v>2892680.7</v>
          </cell>
        </row>
        <row r="12">
          <cell r="A12">
            <v>1101030000</v>
          </cell>
          <cell r="B12" t="str">
            <v>CAJA CHICA MONEDA NACIONAL</v>
          </cell>
          <cell r="C12">
            <v>1000</v>
          </cell>
          <cell r="E12">
            <v>167700</v>
          </cell>
        </row>
        <row r="13">
          <cell r="A13">
            <v>1102000000</v>
          </cell>
          <cell r="B13" t="str">
            <v>BANCOS</v>
          </cell>
          <cell r="C13">
            <v>-5638408.3300000001</v>
          </cell>
          <cell r="E13">
            <v>3408661.85</v>
          </cell>
        </row>
        <row r="14">
          <cell r="A14">
            <v>1102010000</v>
          </cell>
          <cell r="B14" t="str">
            <v>BANCO BISA</v>
          </cell>
          <cell r="C14">
            <v>-556397.39</v>
          </cell>
          <cell r="E14">
            <v>850465.51</v>
          </cell>
        </row>
        <row r="15">
          <cell r="A15">
            <v>1102020000</v>
          </cell>
          <cell r="B15" t="str">
            <v>BANCO MERCANTIL</v>
          </cell>
          <cell r="C15">
            <v>81985.48</v>
          </cell>
          <cell r="E15">
            <v>376948.71</v>
          </cell>
        </row>
        <row r="16">
          <cell r="A16">
            <v>1102040000</v>
          </cell>
          <cell r="B16" t="str">
            <v>BANCO DE CREDITO</v>
          </cell>
          <cell r="C16">
            <v>-301459.09999999998</v>
          </cell>
          <cell r="E16">
            <v>26067.95</v>
          </cell>
        </row>
        <row r="17">
          <cell r="A17">
            <v>1102050000</v>
          </cell>
          <cell r="B17" t="str">
            <v>BANCO ECONÓMICO</v>
          </cell>
          <cell r="C17">
            <v>10476.42</v>
          </cell>
          <cell r="E17">
            <v>156706.97</v>
          </cell>
        </row>
        <row r="18">
          <cell r="A18">
            <v>1102060000</v>
          </cell>
          <cell r="B18" t="str">
            <v>BANCO GANADERO</v>
          </cell>
          <cell r="C18">
            <v>660143.43999999994</v>
          </cell>
          <cell r="E18">
            <v>816675.75</v>
          </cell>
        </row>
        <row r="19">
          <cell r="A19">
            <v>1102070000</v>
          </cell>
          <cell r="B19" t="str">
            <v>BANCO UNION</v>
          </cell>
          <cell r="C19">
            <v>-5741735.75</v>
          </cell>
          <cell r="E19">
            <v>513283.99</v>
          </cell>
        </row>
        <row r="20">
          <cell r="A20">
            <v>1102080000</v>
          </cell>
          <cell r="B20" t="str">
            <v>BANCO NACIONAL</v>
          </cell>
          <cell r="C20">
            <v>109785.17</v>
          </cell>
          <cell r="E20">
            <v>292819.59999999998</v>
          </cell>
        </row>
        <row r="21">
          <cell r="A21">
            <v>1102100000</v>
          </cell>
          <cell r="B21" t="str">
            <v>FONDO DE LA COMUNIDAD</v>
          </cell>
          <cell r="C21">
            <v>15.76</v>
          </cell>
          <cell r="E21">
            <v>7621.35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7.46</v>
          </cell>
          <cell r="E23">
            <v>179121.78</v>
          </cell>
        </row>
        <row r="24">
          <cell r="A24">
            <v>1102130000</v>
          </cell>
          <cell r="B24" t="str">
            <v>BANCO FIE</v>
          </cell>
          <cell r="C24">
            <v>98770.18</v>
          </cell>
          <cell r="E24">
            <v>185475.25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1990908.87</v>
          </cell>
          <cell r="E27">
            <v>203437186.94999999</v>
          </cell>
        </row>
        <row r="28">
          <cell r="A28">
            <v>1201000000</v>
          </cell>
          <cell r="B28" t="str">
            <v>CUENTAS POR COBRAR</v>
          </cell>
          <cell r="C28">
            <v>2809212.99</v>
          </cell>
          <cell r="E28">
            <v>126863337.8</v>
          </cell>
        </row>
        <row r="29">
          <cell r="A29">
            <v>1201010000</v>
          </cell>
          <cell r="B29" t="str">
            <v>DEUDORES POR PRODUCTOS LOCALES M.N.</v>
          </cell>
          <cell r="C29">
            <v>-2606316.62</v>
          </cell>
          <cell r="E29">
            <v>41761990.310000002</v>
          </cell>
        </row>
        <row r="30">
          <cell r="A30">
            <v>1201050000</v>
          </cell>
          <cell r="B30" t="str">
            <v>DEUDORES POR PRODUCTOS INTERIOR M.N.</v>
          </cell>
          <cell r="C30">
            <v>5356685.92</v>
          </cell>
          <cell r="E30">
            <v>82821333.310000002</v>
          </cell>
        </row>
        <row r="31">
          <cell r="A31">
            <v>1201130000</v>
          </cell>
          <cell r="B31" t="str">
            <v>DEUDORES VARIOS</v>
          </cell>
          <cell r="C31">
            <v>58843.69</v>
          </cell>
          <cell r="E31">
            <v>2280014.1800000002</v>
          </cell>
        </row>
        <row r="32">
          <cell r="A32">
            <v>1202000000</v>
          </cell>
          <cell r="B32" t="str">
            <v>CUENTAS CORRIENTES</v>
          </cell>
          <cell r="C32">
            <v>-92322.66</v>
          </cell>
          <cell r="E32">
            <v>68740046.150000006</v>
          </cell>
        </row>
        <row r="33">
          <cell r="A33">
            <v>1202010000</v>
          </cell>
          <cell r="B33" t="str">
            <v>PROVEEDORES</v>
          </cell>
          <cell r="C33">
            <v>-92322.66</v>
          </cell>
          <cell r="E33">
            <v>68733991.650000006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-42593.09</v>
          </cell>
          <cell r="E36">
            <v>3870122.86</v>
          </cell>
        </row>
        <row r="37">
          <cell r="A37">
            <v>1203030000</v>
          </cell>
          <cell r="B37" t="str">
            <v>RECLAMOS EN CURSO</v>
          </cell>
          <cell r="C37">
            <v>39750.39</v>
          </cell>
          <cell r="E37">
            <v>133733.26</v>
          </cell>
        </row>
        <row r="38">
          <cell r="A38">
            <v>1203040000</v>
          </cell>
          <cell r="B38" t="str">
            <v>OTROS DOCUMENTOS POR COBRAR</v>
          </cell>
          <cell r="C38">
            <v>-82343.48</v>
          </cell>
          <cell r="E38">
            <v>3736389.6</v>
          </cell>
        </row>
        <row r="39">
          <cell r="A39">
            <v>1204000000</v>
          </cell>
          <cell r="B39" t="str">
            <v>ANTICIPOS Y PRESTAMOS</v>
          </cell>
          <cell r="C39">
            <v>-683388.37</v>
          </cell>
          <cell r="E39">
            <v>3963680.14</v>
          </cell>
        </row>
        <row r="40">
          <cell r="A40">
            <v>1204010000</v>
          </cell>
          <cell r="B40" t="str">
            <v>ANTICIPOS AL PERSONAL</v>
          </cell>
          <cell r="C40">
            <v>-1438.03</v>
          </cell>
          <cell r="E40">
            <v>93.01</v>
          </cell>
        </row>
        <row r="41">
          <cell r="A41">
            <v>1204020000</v>
          </cell>
          <cell r="B41" t="str">
            <v>PRESTAMOS AL PERSONAL M.N.</v>
          </cell>
          <cell r="C41">
            <v>8055.55</v>
          </cell>
          <cell r="E41">
            <v>54061.57</v>
          </cell>
        </row>
        <row r="42">
          <cell r="A42">
            <v>1204040000</v>
          </cell>
          <cell r="B42" t="str">
            <v>PRESTAMOS EN PRODUCTOS O SERVICIOS</v>
          </cell>
          <cell r="C42">
            <v>-4404.7</v>
          </cell>
          <cell r="E42">
            <v>141601.89000000001</v>
          </cell>
        </row>
        <row r="43">
          <cell r="A43">
            <v>1204050000</v>
          </cell>
          <cell r="B43" t="str">
            <v>PRESTAMOS MATERIALES DE ALMACEN</v>
          </cell>
          <cell r="C43">
            <v>1115.08</v>
          </cell>
          <cell r="E43">
            <v>9894.06</v>
          </cell>
        </row>
        <row r="44">
          <cell r="A44">
            <v>1204060000</v>
          </cell>
          <cell r="B44" t="str">
            <v>PAGOS ANTICIPADOS</v>
          </cell>
          <cell r="C44">
            <v>-342358.57</v>
          </cell>
          <cell r="E44">
            <v>3360882.48</v>
          </cell>
        </row>
        <row r="45">
          <cell r="A45">
            <v>1204080000</v>
          </cell>
          <cell r="B45" t="str">
            <v>DEUDORES CON CARGO DE CUENTA M.N.</v>
          </cell>
          <cell r="C45">
            <v>-344357.7</v>
          </cell>
          <cell r="E45">
            <v>397131.11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416878.79</v>
          </cell>
          <cell r="E48">
            <v>166206265.47999999</v>
          </cell>
        </row>
        <row r="49">
          <cell r="A49">
            <v>1301000000</v>
          </cell>
          <cell r="B49" t="str">
            <v>EXISTENCIAS</v>
          </cell>
          <cell r="C49">
            <v>-1105034.05</v>
          </cell>
          <cell r="E49">
            <v>77051493.920000002</v>
          </cell>
        </row>
        <row r="50">
          <cell r="A50">
            <v>1301010000</v>
          </cell>
          <cell r="B50" t="str">
            <v>MATERIA PRIMA E INSUMOS</v>
          </cell>
          <cell r="C50">
            <v>1341988.28</v>
          </cell>
          <cell r="E50">
            <v>15114206.74</v>
          </cell>
        </row>
        <row r="51">
          <cell r="A51">
            <v>1301020000</v>
          </cell>
          <cell r="B51" t="str">
            <v>PRODUCTOS EN PROCESO</v>
          </cell>
          <cell r="C51">
            <v>-2400516.9</v>
          </cell>
          <cell r="E51">
            <v>59778071.759999998</v>
          </cell>
        </row>
        <row r="52">
          <cell r="A52">
            <v>1301030000</v>
          </cell>
          <cell r="B52" t="str">
            <v>PRODUCTOS TERMINADOS</v>
          </cell>
          <cell r="C52">
            <v>-46505.43</v>
          </cell>
          <cell r="E52">
            <v>2159215.42</v>
          </cell>
        </row>
        <row r="53">
          <cell r="A53">
            <v>1304000000</v>
          </cell>
          <cell r="B53" t="str">
            <v>EXISTENCIA DE MATERIALES</v>
          </cell>
          <cell r="C53">
            <v>1521912.84</v>
          </cell>
          <cell r="E53">
            <v>89154771.560000002</v>
          </cell>
        </row>
        <row r="54">
          <cell r="A54">
            <v>1304010000</v>
          </cell>
          <cell r="B54" t="str">
            <v>MATERIALES EN ALMACEN</v>
          </cell>
          <cell r="C54">
            <v>1318002.1399999999</v>
          </cell>
          <cell r="E54">
            <v>55794865.799999997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8500984.3599999994</v>
          </cell>
        </row>
        <row r="56">
          <cell r="A56">
            <v>1304030000</v>
          </cell>
          <cell r="B56" t="str">
            <v>PULPERIA IRPA - IRPA</v>
          </cell>
          <cell r="C56">
            <v>28710.51</v>
          </cell>
          <cell r="E56">
            <v>173653.29</v>
          </cell>
        </row>
        <row r="57">
          <cell r="A57">
            <v>1304040000</v>
          </cell>
          <cell r="B57" t="str">
            <v>MERCADERIAS EN TRANSITO</v>
          </cell>
          <cell r="C57">
            <v>175200.19</v>
          </cell>
          <cell r="E57">
            <v>24685268.109999999</v>
          </cell>
        </row>
        <row r="59">
          <cell r="A59">
            <v>1400000000</v>
          </cell>
          <cell r="B59" t="str">
            <v>ACTIVO FIJO</v>
          </cell>
          <cell r="C59">
            <v>-1117578.3700000001</v>
          </cell>
          <cell r="E59">
            <v>575117381.51999998</v>
          </cell>
        </row>
        <row r="60">
          <cell r="A60">
            <v>1401000000</v>
          </cell>
          <cell r="B60" t="str">
            <v>BIENES DE USO</v>
          </cell>
          <cell r="C60">
            <v>2982097.26</v>
          </cell>
          <cell r="E60">
            <v>1809516654.76</v>
          </cell>
        </row>
        <row r="61">
          <cell r="A61">
            <v>1401010000</v>
          </cell>
          <cell r="B61" t="str">
            <v>TERRENOS</v>
          </cell>
          <cell r="C61">
            <v>124942.39999999999</v>
          </cell>
          <cell r="E61">
            <v>43503832.969999999</v>
          </cell>
        </row>
        <row r="62">
          <cell r="A62">
            <v>1401020000</v>
          </cell>
          <cell r="B62" t="str">
            <v>EDIFICIOS</v>
          </cell>
          <cell r="C62">
            <v>1050817.8799999999</v>
          </cell>
          <cell r="E62">
            <v>371543590.49000001</v>
          </cell>
        </row>
        <row r="63">
          <cell r="A63">
            <v>1401030000</v>
          </cell>
          <cell r="B63" t="str">
            <v>MUEBLES Y ENSERES DE OFICINA</v>
          </cell>
          <cell r="C63">
            <v>430.31</v>
          </cell>
          <cell r="E63">
            <v>5166918.6900000004</v>
          </cell>
        </row>
        <row r="64">
          <cell r="A64">
            <v>1401040000</v>
          </cell>
          <cell r="B64" t="str">
            <v>MAQUINARIA Y EQUIPO</v>
          </cell>
          <cell r="C64">
            <v>866283.38</v>
          </cell>
          <cell r="E64">
            <v>694244077.64999998</v>
          </cell>
        </row>
        <row r="65">
          <cell r="A65">
            <v>1401050000</v>
          </cell>
          <cell r="B65" t="str">
            <v>VEHICULOS</v>
          </cell>
          <cell r="C65">
            <v>4979.6099999999997</v>
          </cell>
          <cell r="E65">
            <v>35306625.899999999</v>
          </cell>
        </row>
        <row r="66">
          <cell r="A66">
            <v>1401060000</v>
          </cell>
          <cell r="B66" t="str">
            <v>MAQUINARIA DE CONSTRUCCION</v>
          </cell>
          <cell r="C66">
            <v>3589.26</v>
          </cell>
          <cell r="E66">
            <v>17575784.73</v>
          </cell>
        </row>
        <row r="67">
          <cell r="A67">
            <v>1401070000</v>
          </cell>
          <cell r="B67" t="str">
            <v>EQUIPO PESADO</v>
          </cell>
          <cell r="C67">
            <v>14112.41</v>
          </cell>
          <cell r="E67">
            <v>123697865.58</v>
          </cell>
        </row>
        <row r="68">
          <cell r="A68">
            <v>1401080000</v>
          </cell>
          <cell r="B68" t="str">
            <v>INSTALACIONES INDUSTRIALES</v>
          </cell>
          <cell r="C68">
            <v>887205.8</v>
          </cell>
          <cell r="E68">
            <v>467455658.73000002</v>
          </cell>
        </row>
        <row r="69">
          <cell r="A69">
            <v>1401090000</v>
          </cell>
          <cell r="B69" t="str">
            <v>HERRAMIENTAS E IMPLEMENTOS</v>
          </cell>
          <cell r="C69">
            <v>622.64</v>
          </cell>
          <cell r="E69">
            <v>19200000.100000001</v>
          </cell>
        </row>
        <row r="70">
          <cell r="A70">
            <v>1401100000</v>
          </cell>
          <cell r="B70" t="str">
            <v>TINGLADOS</v>
          </cell>
          <cell r="C70">
            <v>9517.27</v>
          </cell>
          <cell r="E70">
            <v>14329309.140000001</v>
          </cell>
        </row>
        <row r="71">
          <cell r="A71">
            <v>1401110000</v>
          </cell>
          <cell r="B71" t="str">
            <v>EQUIPOS DE COMPUTACION</v>
          </cell>
          <cell r="C71">
            <v>8280.2000000000007</v>
          </cell>
          <cell r="E71">
            <v>8064563.9400000004</v>
          </cell>
        </row>
        <row r="72">
          <cell r="A72">
            <v>1401120000</v>
          </cell>
          <cell r="B72" t="str">
            <v>EQUIPOS DE LABORATORIO</v>
          </cell>
          <cell r="C72">
            <v>11316.1</v>
          </cell>
          <cell r="E72">
            <v>9262323.5199999996</v>
          </cell>
        </row>
        <row r="73">
          <cell r="A73">
            <v>1401150000</v>
          </cell>
          <cell r="B73" t="str">
            <v>CANALES DE RIEGO Y POZOS</v>
          </cell>
          <cell r="C73">
            <v>0</v>
          </cell>
          <cell r="E73">
            <v>166103.32</v>
          </cell>
        </row>
        <row r="74">
          <cell r="A74">
            <v>1402000000</v>
          </cell>
          <cell r="B74" t="str">
            <v>DEPRECIACION ACUMULADA</v>
          </cell>
          <cell r="C74">
            <v>-4099675.63</v>
          </cell>
          <cell r="E74">
            <v>-1234399273.24</v>
          </cell>
        </row>
        <row r="75">
          <cell r="A75">
            <v>1402020000</v>
          </cell>
          <cell r="B75" t="str">
            <v>EDIFICIOS</v>
          </cell>
          <cell r="C75">
            <v>-1046351.78</v>
          </cell>
          <cell r="E75">
            <v>-104369939.66</v>
          </cell>
        </row>
        <row r="76">
          <cell r="A76">
            <v>1402030000</v>
          </cell>
          <cell r="B76" t="str">
            <v>MUEBLES Y ENSERES DE OFICINA</v>
          </cell>
          <cell r="C76">
            <v>-1565.74</v>
          </cell>
          <cell r="E76">
            <v>-5129083.95</v>
          </cell>
        </row>
        <row r="77">
          <cell r="A77">
            <v>1402040000</v>
          </cell>
          <cell r="B77" t="str">
            <v>MAQUINARIA Y EQUIPO</v>
          </cell>
          <cell r="C77">
            <v>-1370025.75</v>
          </cell>
          <cell r="E77">
            <v>-563889845.05999994</v>
          </cell>
        </row>
        <row r="78">
          <cell r="A78">
            <v>1402050000</v>
          </cell>
          <cell r="B78" t="str">
            <v>VEHICULOS</v>
          </cell>
          <cell r="C78">
            <v>-32101.02</v>
          </cell>
          <cell r="E78">
            <v>-34717078.450000003</v>
          </cell>
        </row>
        <row r="79">
          <cell r="A79">
            <v>1402060000</v>
          </cell>
          <cell r="B79" t="str">
            <v>MAQUINARIA DE CONSTRUCCION</v>
          </cell>
          <cell r="C79">
            <v>-15727.96</v>
          </cell>
          <cell r="E79">
            <v>-17282621.989999998</v>
          </cell>
        </row>
        <row r="80">
          <cell r="A80">
            <v>1402070000</v>
          </cell>
          <cell r="B80" t="str">
            <v>EQUIPO PESADO</v>
          </cell>
          <cell r="C80">
            <v>-60512.98</v>
          </cell>
          <cell r="E80">
            <v>-122082982.5</v>
          </cell>
        </row>
        <row r="81">
          <cell r="A81">
            <v>1402080000</v>
          </cell>
          <cell r="B81" t="str">
            <v>INSTALACIONES INDUSTRIALES</v>
          </cell>
          <cell r="C81">
            <v>-1467288.48</v>
          </cell>
          <cell r="E81">
            <v>-338739638.37</v>
          </cell>
        </row>
        <row r="82">
          <cell r="A82">
            <v>1402090000</v>
          </cell>
          <cell r="B82" t="str">
            <v>HERRAMIENTAS E IMPLEMENTOS</v>
          </cell>
          <cell r="C82">
            <v>-4836.2299999999996</v>
          </cell>
          <cell r="E82">
            <v>-19098898.850000001</v>
          </cell>
        </row>
        <row r="83">
          <cell r="A83">
            <v>1402100000</v>
          </cell>
          <cell r="B83" t="str">
            <v>TINGLADOS</v>
          </cell>
          <cell r="C83">
            <v>-35016.1</v>
          </cell>
          <cell r="E83">
            <v>-13620011.050000001</v>
          </cell>
        </row>
        <row r="84">
          <cell r="A84">
            <v>1402110000</v>
          </cell>
          <cell r="B84" t="str">
            <v>EQUIPOS DE COMPUTACION</v>
          </cell>
          <cell r="C84">
            <v>-18801.91</v>
          </cell>
          <cell r="E84">
            <v>-7709976.46</v>
          </cell>
        </row>
        <row r="85">
          <cell r="A85">
            <v>1402120000</v>
          </cell>
          <cell r="B85" t="str">
            <v>EQUIPOS DE LABORATORIO</v>
          </cell>
          <cell r="C85">
            <v>-47447.68</v>
          </cell>
          <cell r="E85">
            <v>-7593093.5800000001</v>
          </cell>
        </row>
        <row r="86">
          <cell r="A86">
            <v>1402150000</v>
          </cell>
          <cell r="B86" t="str">
            <v>CANALES DE RIEGO Y POZOS</v>
          </cell>
          <cell r="C86">
            <v>0</v>
          </cell>
          <cell r="E86">
            <v>-166103.32</v>
          </cell>
        </row>
        <row r="88">
          <cell r="A88">
            <v>1500000000</v>
          </cell>
          <cell r="B88" t="str">
            <v>INVERSIONES</v>
          </cell>
          <cell r="C88">
            <v>546011.64</v>
          </cell>
          <cell r="E88">
            <v>37460407.840000004</v>
          </cell>
        </row>
        <row r="89">
          <cell r="A89">
            <v>1502000000</v>
          </cell>
          <cell r="B89" t="str">
            <v>OTRAS INVERSIONES</v>
          </cell>
          <cell r="C89">
            <v>546011.64</v>
          </cell>
          <cell r="E89">
            <v>37460407.840000004</v>
          </cell>
        </row>
        <row r="90">
          <cell r="A90">
            <v>1502010000</v>
          </cell>
          <cell r="B90" t="str">
            <v>ACCIONES</v>
          </cell>
          <cell r="C90">
            <v>546011.64</v>
          </cell>
          <cell r="E90">
            <v>37059587.829999998</v>
          </cell>
        </row>
        <row r="91">
          <cell r="A91">
            <v>1502030000</v>
          </cell>
          <cell r="B91" t="str">
            <v>LINEAS TELEFONICAS</v>
          </cell>
          <cell r="C91">
            <v>0</v>
          </cell>
          <cell r="E91">
            <v>261000</v>
          </cell>
        </row>
        <row r="92">
          <cell r="A92">
            <v>1502050000</v>
          </cell>
          <cell r="B92" t="str">
            <v>OTRAS INVERSIONES</v>
          </cell>
          <cell r="C92">
            <v>0</v>
          </cell>
          <cell r="E92">
            <v>139820.01</v>
          </cell>
        </row>
        <row r="94">
          <cell r="A94">
            <v>1600000000</v>
          </cell>
          <cell r="B94" t="str">
            <v>OTROS ACTIVOS</v>
          </cell>
          <cell r="C94">
            <v>-3278610.8</v>
          </cell>
          <cell r="E94">
            <v>201399467.86000001</v>
          </cell>
        </row>
        <row r="95">
          <cell r="A95">
            <v>1601000000</v>
          </cell>
          <cell r="B95" t="str">
            <v>DOCUMENTOS POR COBRAR A LARGO PLAZO</v>
          </cell>
          <cell r="C95">
            <v>-700</v>
          </cell>
          <cell r="E95">
            <v>9550850.3599999994</v>
          </cell>
        </row>
        <row r="96">
          <cell r="A96">
            <v>1601040000</v>
          </cell>
          <cell r="B96" t="str">
            <v>DOCUMENTOS EN EJECUCION</v>
          </cell>
          <cell r="C96">
            <v>-700</v>
          </cell>
          <cell r="E96">
            <v>9550850.3599999994</v>
          </cell>
        </row>
        <row r="97">
          <cell r="A97">
            <v>1601050000</v>
          </cell>
          <cell r="B97" t="str">
            <v>CUENTAS INCOBRABLES</v>
          </cell>
          <cell r="C97">
            <v>0</v>
          </cell>
          <cell r="E97">
            <v>3212209.75</v>
          </cell>
        </row>
        <row r="98">
          <cell r="A98">
            <v>1601060000</v>
          </cell>
          <cell r="B98" t="str">
            <v>(PREVISION CUENTAS INCOBRABLES)</v>
          </cell>
          <cell r="C98">
            <v>0</v>
          </cell>
          <cell r="E98">
            <v>-3212209.75</v>
          </cell>
        </row>
        <row r="99">
          <cell r="A99">
            <v>1602000000</v>
          </cell>
          <cell r="B99" t="str">
            <v>OBRAS EN EJECUCIÓN</v>
          </cell>
          <cell r="C99">
            <v>207993.95</v>
          </cell>
          <cell r="E99">
            <v>14815460.35</v>
          </cell>
        </row>
        <row r="100">
          <cell r="A100">
            <v>1602010000</v>
          </cell>
          <cell r="B100" t="str">
            <v>AMPLIACIONES</v>
          </cell>
          <cell r="C100">
            <v>207993.95</v>
          </cell>
          <cell r="E100">
            <v>14815460.35</v>
          </cell>
        </row>
        <row r="101">
          <cell r="A101">
            <v>1604000000</v>
          </cell>
          <cell r="B101" t="str">
            <v>BIENES ARRENDADOS</v>
          </cell>
          <cell r="C101">
            <v>-178878.16</v>
          </cell>
          <cell r="E101">
            <v>2506992.62</v>
          </cell>
        </row>
        <row r="102">
          <cell r="A102">
            <v>1604010000</v>
          </cell>
          <cell r="B102" t="str">
            <v>VALOR DE ARRENDAMIENTO</v>
          </cell>
          <cell r="C102">
            <v>-178878.16</v>
          </cell>
          <cell r="E102">
            <v>2506992.62</v>
          </cell>
        </row>
        <row r="103">
          <cell r="A103">
            <v>1605000000</v>
          </cell>
          <cell r="B103" t="str">
            <v>DIVERSOS</v>
          </cell>
          <cell r="C103">
            <v>-512136.22</v>
          </cell>
          <cell r="E103">
            <v>17492207.98</v>
          </cell>
        </row>
        <row r="104">
          <cell r="A104">
            <v>1605010000</v>
          </cell>
          <cell r="B104" t="str">
            <v>REPUESTOS EN ALMACEN</v>
          </cell>
          <cell r="C104">
            <v>-512136.22</v>
          </cell>
          <cell r="E104">
            <v>17303187.739999998</v>
          </cell>
        </row>
        <row r="105">
          <cell r="A105">
            <v>1605020000</v>
          </cell>
          <cell r="B105" t="str">
            <v>LIBROS Y BIBLIOTECAS</v>
          </cell>
          <cell r="C105">
            <v>0</v>
          </cell>
          <cell r="E105">
            <v>189020.24</v>
          </cell>
        </row>
        <row r="106">
          <cell r="A106">
            <v>1606000000</v>
          </cell>
          <cell r="B106" t="str">
            <v>CUENTAS CORRIENTES UNIDADES</v>
          </cell>
          <cell r="C106">
            <v>-2794890.37</v>
          </cell>
          <cell r="E106">
            <v>157033956.55000001</v>
          </cell>
        </row>
        <row r="107">
          <cell r="A107">
            <v>1606010000</v>
          </cell>
          <cell r="B107" t="str">
            <v>LIMITADA</v>
          </cell>
          <cell r="C107">
            <v>-3504154.83</v>
          </cell>
          <cell r="E107">
            <v>129127427.05</v>
          </cell>
        </row>
        <row r="108">
          <cell r="A108">
            <v>1606030000</v>
          </cell>
          <cell r="B108" t="str">
            <v>CERAMIL</v>
          </cell>
          <cell r="C108">
            <v>44575.57</v>
          </cell>
          <cell r="E108">
            <v>5976652.4900000002</v>
          </cell>
        </row>
        <row r="109">
          <cell r="A109">
            <v>1606040000</v>
          </cell>
          <cell r="B109" t="str">
            <v>HORMIGON</v>
          </cell>
          <cell r="C109">
            <v>614212.43999999994</v>
          </cell>
          <cell r="E109">
            <v>20425255.899999999</v>
          </cell>
        </row>
        <row r="110">
          <cell r="A110">
            <v>1606050000</v>
          </cell>
          <cell r="B110" t="str">
            <v>CONSTRUCCIONES</v>
          </cell>
          <cell r="C110">
            <v>33165.1</v>
          </cell>
          <cell r="E110">
            <v>572648.06999999995</v>
          </cell>
        </row>
        <row r="111">
          <cell r="A111">
            <v>1606060000</v>
          </cell>
          <cell r="B111" t="str">
            <v>CERAMICA</v>
          </cell>
          <cell r="C111">
            <v>11738.34</v>
          </cell>
          <cell r="E111">
            <v>850938.96</v>
          </cell>
        </row>
        <row r="112">
          <cell r="A112">
            <v>1606070000</v>
          </cell>
          <cell r="B112" t="str">
            <v>METAL</v>
          </cell>
          <cell r="C112">
            <v>5573.01</v>
          </cell>
          <cell r="E112">
            <v>81034.080000000002</v>
          </cell>
        </row>
        <row r="114">
          <cell r="A114">
            <v>1700000000</v>
          </cell>
          <cell r="B114" t="str">
            <v>ACTIVOS DIFERIDOS</v>
          </cell>
          <cell r="C114">
            <v>-56101.71</v>
          </cell>
          <cell r="E114">
            <v>13127108.84</v>
          </cell>
        </row>
        <row r="115">
          <cell r="A115">
            <v>1701000000</v>
          </cell>
          <cell r="B115" t="str">
            <v>ACTIVOS RETIRADOS</v>
          </cell>
          <cell r="C115">
            <v>0</v>
          </cell>
          <cell r="E115">
            <v>3580102.51</v>
          </cell>
        </row>
        <row r="116">
          <cell r="A116">
            <v>1701010000</v>
          </cell>
          <cell r="B116" t="str">
            <v>BIENES DE USO RETIRADOS</v>
          </cell>
          <cell r="C116">
            <v>0</v>
          </cell>
          <cell r="E116">
            <v>3580102.51</v>
          </cell>
        </row>
        <row r="117">
          <cell r="A117">
            <v>1702000000</v>
          </cell>
          <cell r="B117" t="str">
            <v>GASTOS DIFERIDOS</v>
          </cell>
          <cell r="C117">
            <v>-56101.71</v>
          </cell>
          <cell r="E117">
            <v>9547006.3300000001</v>
          </cell>
        </row>
        <row r="118">
          <cell r="A118">
            <v>1702010000</v>
          </cell>
          <cell r="B118" t="str">
            <v>GASTOS DE ORGANIZACION Y PUESTA EN MARCH</v>
          </cell>
          <cell r="C118">
            <v>0</v>
          </cell>
          <cell r="E118">
            <v>4900472.5999999996</v>
          </cell>
        </row>
        <row r="119">
          <cell r="A119">
            <v>1702020000</v>
          </cell>
          <cell r="B119" t="str">
            <v>GASTOS DE PRODUCCIÓN Y MANTENIMIENTO</v>
          </cell>
          <cell r="C119">
            <v>-29372.81</v>
          </cell>
          <cell r="E119">
            <v>52419.1</v>
          </cell>
        </row>
        <row r="120">
          <cell r="A120">
            <v>1702050000</v>
          </cell>
          <cell r="B120" t="str">
            <v>VARIOS</v>
          </cell>
          <cell r="C120">
            <v>-26728.9</v>
          </cell>
          <cell r="E120">
            <v>4594114.63</v>
          </cell>
        </row>
        <row r="122">
          <cell r="A122">
            <v>2000000000</v>
          </cell>
          <cell r="B122" t="str">
            <v>PASIVO</v>
          </cell>
          <cell r="C122">
            <v>-3024697.64</v>
          </cell>
          <cell r="E122">
            <v>-1213044659.45</v>
          </cell>
        </row>
        <row r="125">
          <cell r="A125">
            <v>2100000000</v>
          </cell>
          <cell r="B125" t="str">
            <v>PASIVO CORRIENTE</v>
          </cell>
          <cell r="C125">
            <v>-2874302.33</v>
          </cell>
          <cell r="E125">
            <v>-277439420.77999997</v>
          </cell>
        </row>
        <row r="126">
          <cell r="A126">
            <v>2101000000</v>
          </cell>
          <cell r="B126" t="str">
            <v>DEUDAS COMERCIALES</v>
          </cell>
          <cell r="C126">
            <v>-6680153.5499999998</v>
          </cell>
          <cell r="E126">
            <v>-88003493.219999999</v>
          </cell>
        </row>
        <row r="127">
          <cell r="A127">
            <v>2101010000</v>
          </cell>
          <cell r="B127" t="str">
            <v>PROVEEDORES</v>
          </cell>
          <cell r="C127">
            <v>-3965281.72</v>
          </cell>
          <cell r="E127">
            <v>-80137662</v>
          </cell>
        </row>
        <row r="128">
          <cell r="A128">
            <v>2101030000</v>
          </cell>
          <cell r="B128" t="str">
            <v>TRANSPORTISTAS</v>
          </cell>
          <cell r="C128">
            <v>-2298386.98</v>
          </cell>
          <cell r="E128">
            <v>-2840796.34</v>
          </cell>
        </row>
        <row r="129">
          <cell r="A129">
            <v>2101040000</v>
          </cell>
          <cell r="B129" t="str">
            <v>ACREEDORES VARIOS</v>
          </cell>
          <cell r="C129">
            <v>-413104.37</v>
          </cell>
          <cell r="E129">
            <v>-4704230.54</v>
          </cell>
        </row>
        <row r="130">
          <cell r="A130">
            <v>2101090000</v>
          </cell>
          <cell r="B130" t="str">
            <v>ACREEDORES POR DEPOSITOS EN GARANTIA</v>
          </cell>
          <cell r="C130">
            <v>-3380.48</v>
          </cell>
          <cell r="E130">
            <v>-50956.34</v>
          </cell>
        </row>
        <row r="131">
          <cell r="A131">
            <v>2101650000</v>
          </cell>
          <cell r="B131" t="str">
            <v>PROVEEDORES AEROPUERTO POTOSI</v>
          </cell>
          <cell r="C131">
            <v>0</v>
          </cell>
          <cell r="E131">
            <v>-269848</v>
          </cell>
        </row>
        <row r="132">
          <cell r="A132">
            <v>2102000000</v>
          </cell>
          <cell r="B132" t="str">
            <v>DOCUMENTOS POR PAGAR</v>
          </cell>
          <cell r="C132">
            <v>553429.68999999994</v>
          </cell>
          <cell r="E132">
            <v>-5321590.3</v>
          </cell>
        </row>
        <row r="133">
          <cell r="A133">
            <v>2102020000</v>
          </cell>
          <cell r="B133" t="str">
            <v>BANCARIOS</v>
          </cell>
          <cell r="C133">
            <v>205607.06</v>
          </cell>
          <cell r="E133">
            <v>-2881600.56</v>
          </cell>
        </row>
        <row r="134">
          <cell r="A134">
            <v>2102030000</v>
          </cell>
          <cell r="B134" t="str">
            <v>CONTRATOS</v>
          </cell>
          <cell r="C134">
            <v>247822.63</v>
          </cell>
          <cell r="E134">
            <v>-2280073.56</v>
          </cell>
        </row>
        <row r="135">
          <cell r="A135">
            <v>2102040000</v>
          </cell>
          <cell r="B135" t="str">
            <v>OTROS DOCUMENTOS</v>
          </cell>
          <cell r="C135">
            <v>100000</v>
          </cell>
          <cell r="E135">
            <v>-159916.18</v>
          </cell>
        </row>
        <row r="136">
          <cell r="A136">
            <v>2104000000</v>
          </cell>
          <cell r="B136" t="str">
            <v>OBLIGACIONES FINANCIERAS A CORTO PLAZO</v>
          </cell>
          <cell r="C136">
            <v>313074.71999999997</v>
          </cell>
          <cell r="E136">
            <v>-157301125.74000001</v>
          </cell>
        </row>
        <row r="137">
          <cell r="A137">
            <v>2104010000</v>
          </cell>
          <cell r="B137" t="str">
            <v>OBLIGACIONES POR CAPITAL</v>
          </cell>
          <cell r="C137">
            <v>1448763.2</v>
          </cell>
          <cell r="E137">
            <v>-144296024.22</v>
          </cell>
        </row>
        <row r="138">
          <cell r="A138">
            <v>2104020000</v>
          </cell>
          <cell r="B138" t="str">
            <v>OBLIGACIONES POR INTERESES</v>
          </cell>
          <cell r="C138">
            <v>-1135688.48</v>
          </cell>
          <cell r="E138">
            <v>-13005101.52</v>
          </cell>
        </row>
        <row r="139">
          <cell r="A139">
            <v>2105000000</v>
          </cell>
          <cell r="B139" t="str">
            <v>IMPUESTOS POR PAGAR</v>
          </cell>
          <cell r="C139">
            <v>0</v>
          </cell>
          <cell r="E139">
            <v>0</v>
          </cell>
        </row>
        <row r="140">
          <cell r="A140">
            <v>2105010000</v>
          </cell>
          <cell r="B140" t="str">
            <v>IMPUESTO AL VALOR AGREGADO (DEBITO FISCA</v>
          </cell>
          <cell r="C140">
            <v>0</v>
          </cell>
          <cell r="E140">
            <v>0</v>
          </cell>
        </row>
        <row r="141">
          <cell r="A141">
            <v>2105040000</v>
          </cell>
          <cell r="B141" t="str">
            <v>RETENCION EN LA FUENTE</v>
          </cell>
          <cell r="C141">
            <v>0</v>
          </cell>
          <cell r="E141">
            <v>0</v>
          </cell>
        </row>
        <row r="142">
          <cell r="A142">
            <v>2106000000</v>
          </cell>
          <cell r="B142" t="str">
            <v>OBLIGACIONES POR PAGAR</v>
          </cell>
          <cell r="C142">
            <v>3447560</v>
          </cell>
          <cell r="E142">
            <v>-13727871.6</v>
          </cell>
        </row>
        <row r="143">
          <cell r="A143">
            <v>2106010000</v>
          </cell>
          <cell r="B143" t="str">
            <v>SUELDOS Y JORNALES POR PAGAR</v>
          </cell>
          <cell r="C143">
            <v>-31222.99</v>
          </cell>
          <cell r="E143">
            <v>-6141339.9000000004</v>
          </cell>
        </row>
        <row r="144">
          <cell r="A144">
            <v>2106020000</v>
          </cell>
          <cell r="B144" t="str">
            <v>AGUINALDOS Y PRIMAS POR PAGAR</v>
          </cell>
          <cell r="C144">
            <v>0</v>
          </cell>
          <cell r="E144">
            <v>-100838.3</v>
          </cell>
        </row>
        <row r="145">
          <cell r="A145">
            <v>2106040000</v>
          </cell>
          <cell r="B145" t="str">
            <v>FINIQUITOS POR PAGAR</v>
          </cell>
          <cell r="C145">
            <v>66853.73</v>
          </cell>
          <cell r="E145">
            <v>-706843.59</v>
          </cell>
        </row>
        <row r="146">
          <cell r="A146">
            <v>2106060000</v>
          </cell>
          <cell r="B146" t="str">
            <v>AGUINALDOS Y PRIMAS NO RECLAMADOS</v>
          </cell>
          <cell r="C146">
            <v>0</v>
          </cell>
          <cell r="E146">
            <v>-373944.54</v>
          </cell>
        </row>
        <row r="147">
          <cell r="A147">
            <v>2106070000</v>
          </cell>
          <cell r="B147" t="str">
            <v>APORTES Y RETENCIONES POR PAGAR</v>
          </cell>
          <cell r="C147">
            <v>3411929.26</v>
          </cell>
          <cell r="E147">
            <v>-6072471.6500000004</v>
          </cell>
        </row>
        <row r="148">
          <cell r="A148">
            <v>2106080000</v>
          </cell>
          <cell r="B148" t="str">
            <v>RETENCIONES JUDICIALES</v>
          </cell>
          <cell r="C148">
            <v>0</v>
          </cell>
          <cell r="E148">
            <v>-332433.62</v>
          </cell>
        </row>
        <row r="149">
          <cell r="A149">
            <v>2107000000</v>
          </cell>
          <cell r="B149" t="str">
            <v>PROVISIONES</v>
          </cell>
          <cell r="C149">
            <v>-780501.76</v>
          </cell>
          <cell r="E149">
            <v>-11519713.6</v>
          </cell>
        </row>
        <row r="150">
          <cell r="A150">
            <v>2107010000</v>
          </cell>
          <cell r="B150" t="str">
            <v>AGUINALDOS</v>
          </cell>
          <cell r="C150">
            <v>-780501.76</v>
          </cell>
          <cell r="E150">
            <v>-4655038.16</v>
          </cell>
        </row>
        <row r="151">
          <cell r="A151">
            <v>2107030000</v>
          </cell>
          <cell r="B151" t="str">
            <v>OTROS</v>
          </cell>
          <cell r="C151">
            <v>0</v>
          </cell>
          <cell r="E151">
            <v>-6864675.4400000004</v>
          </cell>
        </row>
        <row r="152">
          <cell r="A152">
            <v>2108000000</v>
          </cell>
          <cell r="B152" t="str">
            <v>COBROS POR ADELANTADO</v>
          </cell>
          <cell r="C152">
            <v>272288.57</v>
          </cell>
          <cell r="E152">
            <v>-1565626.32</v>
          </cell>
        </row>
        <row r="153">
          <cell r="A153">
            <v>2108010000</v>
          </cell>
          <cell r="B153" t="str">
            <v>CLIENTES LOCALES</v>
          </cell>
          <cell r="C153">
            <v>243785.83</v>
          </cell>
          <cell r="E153">
            <v>-996757.73</v>
          </cell>
        </row>
        <row r="154">
          <cell r="A154">
            <v>2108020000</v>
          </cell>
          <cell r="B154" t="str">
            <v>CLIENTES INTERIOR</v>
          </cell>
          <cell r="C154">
            <v>28502.74</v>
          </cell>
          <cell r="E154">
            <v>-568868.59</v>
          </cell>
        </row>
        <row r="156">
          <cell r="A156">
            <v>2200000000</v>
          </cell>
          <cell r="B156" t="str">
            <v>PASIVO NO CORRIENTE</v>
          </cell>
          <cell r="C156">
            <v>1184462.96</v>
          </cell>
          <cell r="E156">
            <v>-470787196.11000001</v>
          </cell>
        </row>
        <row r="157">
          <cell r="A157">
            <v>2201000000</v>
          </cell>
          <cell r="B157" t="str">
            <v>OBLIGACIONES FINANCIERAS A LARGO PLAZO</v>
          </cell>
          <cell r="C157">
            <v>0</v>
          </cell>
          <cell r="E157">
            <v>-164637171.31</v>
          </cell>
        </row>
        <row r="158">
          <cell r="A158">
            <v>2201010000</v>
          </cell>
          <cell r="B158" t="str">
            <v>OBLIGACIONES POR CAPITAL</v>
          </cell>
          <cell r="C158">
            <v>0</v>
          </cell>
          <cell r="E158">
            <v>-162676191.12</v>
          </cell>
        </row>
        <row r="159">
          <cell r="A159">
            <v>2201030000</v>
          </cell>
          <cell r="B159" t="str">
            <v>OBLIGACIONES POR INTERESES LP</v>
          </cell>
          <cell r="C159">
            <v>0</v>
          </cell>
          <cell r="E159">
            <v>-1960980.19</v>
          </cell>
        </row>
        <row r="160">
          <cell r="A160">
            <v>2202000000</v>
          </cell>
          <cell r="B160" t="str">
            <v>PREVISIONES</v>
          </cell>
          <cell r="C160">
            <v>-644268.25</v>
          </cell>
          <cell r="E160">
            <v>-56797273.170000002</v>
          </cell>
        </row>
        <row r="161">
          <cell r="A161">
            <v>2202010000</v>
          </cell>
          <cell r="B161" t="str">
            <v>PREVISIONES BENEFICIOS SOCIALES</v>
          </cell>
          <cell r="C161">
            <v>-644268.25</v>
          </cell>
          <cell r="E161">
            <v>-56740290.490000002</v>
          </cell>
        </row>
        <row r="162">
          <cell r="A162">
            <v>2202020000</v>
          </cell>
          <cell r="B162" t="str">
            <v>OTRAS PREVISIONES</v>
          </cell>
          <cell r="C162">
            <v>0</v>
          </cell>
          <cell r="E162">
            <v>-56982.68</v>
          </cell>
        </row>
        <row r="163">
          <cell r="A163">
            <v>2203000000</v>
          </cell>
          <cell r="B163" t="str">
            <v>OTROS PASIVOS NO CORRIENTES</v>
          </cell>
          <cell r="C163">
            <v>21449.279999999999</v>
          </cell>
          <cell r="E163">
            <v>-705348.99</v>
          </cell>
        </row>
        <row r="164">
          <cell r="A164">
            <v>2203050000</v>
          </cell>
          <cell r="B164" t="str">
            <v>CREDITOS DIFERIDOS</v>
          </cell>
          <cell r="C164">
            <v>21449.279999999999</v>
          </cell>
          <cell r="E164">
            <v>-705348.99</v>
          </cell>
        </row>
        <row r="165">
          <cell r="A165">
            <v>2204000000</v>
          </cell>
          <cell r="B165" t="str">
            <v>CUENTAS CORRIENTES. UNIDADES.</v>
          </cell>
          <cell r="C165">
            <v>1807281.93</v>
          </cell>
          <cell r="E165">
            <v>-248647402.63999999</v>
          </cell>
        </row>
        <row r="166">
          <cell r="A166">
            <v>2204010000</v>
          </cell>
          <cell r="B166" t="str">
            <v>LIMITADA</v>
          </cell>
          <cell r="C166">
            <v>1643686.93</v>
          </cell>
          <cell r="E166">
            <v>-242342734.11000001</v>
          </cell>
        </row>
        <row r="167">
          <cell r="A167">
            <v>2204040000</v>
          </cell>
          <cell r="B167" t="str">
            <v>HORMIGON</v>
          </cell>
          <cell r="C167">
            <v>0</v>
          </cell>
          <cell r="E167">
            <v>-227560.07</v>
          </cell>
        </row>
        <row r="168">
          <cell r="A168">
            <v>2204050000</v>
          </cell>
          <cell r="B168" t="str">
            <v>CONSTRUCCIONES</v>
          </cell>
          <cell r="C168">
            <v>0</v>
          </cell>
          <cell r="E168">
            <v>-4808811.07</v>
          </cell>
        </row>
        <row r="169">
          <cell r="A169">
            <v>2204060000</v>
          </cell>
          <cell r="B169" t="str">
            <v>CERAMICA</v>
          </cell>
          <cell r="C169">
            <v>0</v>
          </cell>
          <cell r="E169">
            <v>-55892.46</v>
          </cell>
        </row>
        <row r="170">
          <cell r="A170">
            <v>2204070000</v>
          </cell>
          <cell r="B170" t="str">
            <v>METAL</v>
          </cell>
          <cell r="C170">
            <v>155800</v>
          </cell>
          <cell r="E170">
            <v>-1200745.43</v>
          </cell>
        </row>
        <row r="171">
          <cell r="A171">
            <v>2204080000</v>
          </cell>
          <cell r="B171" t="str">
            <v>COBOCE EDITORA OPINION</v>
          </cell>
          <cell r="C171">
            <v>7795</v>
          </cell>
          <cell r="E171">
            <v>-11659.5</v>
          </cell>
        </row>
        <row r="173">
          <cell r="A173">
            <v>2400000000</v>
          </cell>
          <cell r="B173" t="str">
            <v>PATRIMONIO</v>
          </cell>
          <cell r="C173">
            <v>-1334858.27</v>
          </cell>
          <cell r="E173">
            <v>-464818042.56</v>
          </cell>
        </row>
        <row r="174">
          <cell r="A174">
            <v>2401000000</v>
          </cell>
          <cell r="B174" t="str">
            <v>FONDO SOCIAL</v>
          </cell>
          <cell r="C174">
            <v>-1334858.27</v>
          </cell>
          <cell r="E174">
            <v>-464818042.56</v>
          </cell>
        </row>
        <row r="175">
          <cell r="A175">
            <v>2401010000</v>
          </cell>
          <cell r="B175" t="str">
            <v>FONDO SOCIAL UNIDADES</v>
          </cell>
          <cell r="C175">
            <v>-1334858.27</v>
          </cell>
          <cell r="E175">
            <v>-464818042.56</v>
          </cell>
        </row>
        <row r="176">
          <cell r="A176">
            <v>2901010000</v>
          </cell>
          <cell r="B176" t="str">
            <v>CUENTAS DE ORDEN DEBITOS</v>
          </cell>
          <cell r="C176">
            <v>0</v>
          </cell>
          <cell r="E176">
            <v>52717423.270000003</v>
          </cell>
        </row>
        <row r="177">
          <cell r="A177">
            <v>2901020000</v>
          </cell>
          <cell r="B177" t="str">
            <v>CUENTAS DE ORDEN CREDITOS</v>
          </cell>
          <cell r="C177">
            <v>0</v>
          </cell>
          <cell r="E177">
            <v>-52717423.270000003</v>
          </cell>
        </row>
        <row r="178">
          <cell r="A178" t="str">
            <v>***TOTAL UTILIDAD(+)/PERDIDA(-)***</v>
          </cell>
          <cell r="C178">
            <v>-8901528.6500000004</v>
          </cell>
          <cell r="E178">
            <v>-9827798.4100000001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-3069611.15</v>
          </cell>
          <cell r="E6">
            <v>1200147249.8900001</v>
          </cell>
        </row>
        <row r="9">
          <cell r="A9">
            <v>1100000000</v>
          </cell>
          <cell r="B9" t="str">
            <v>ACTIVO DISPONIBLE</v>
          </cell>
          <cell r="C9">
            <v>-1372152</v>
          </cell>
          <cell r="E9">
            <v>5096890.55</v>
          </cell>
        </row>
        <row r="10">
          <cell r="A10">
            <v>1101000000</v>
          </cell>
          <cell r="B10" t="str">
            <v>CAJA</v>
          </cell>
          <cell r="C10">
            <v>-672527.74</v>
          </cell>
          <cell r="E10">
            <v>2387852.96</v>
          </cell>
        </row>
        <row r="11">
          <cell r="A11">
            <v>1101010000</v>
          </cell>
          <cell r="B11" t="str">
            <v>CAJA GENERAL MONEDA NACIONAL</v>
          </cell>
          <cell r="C11">
            <v>-689804.6</v>
          </cell>
          <cell r="E11">
            <v>2202876.1</v>
          </cell>
        </row>
        <row r="12">
          <cell r="A12">
            <v>1101030000</v>
          </cell>
          <cell r="B12" t="str">
            <v>CAJA CHICA MONEDA NACIONAL</v>
          </cell>
          <cell r="C12">
            <v>17276.86</v>
          </cell>
          <cell r="E12">
            <v>184976.86</v>
          </cell>
        </row>
        <row r="13">
          <cell r="A13">
            <v>1102000000</v>
          </cell>
          <cell r="B13" t="str">
            <v>BANCOS</v>
          </cell>
          <cell r="C13">
            <v>-699624.26</v>
          </cell>
          <cell r="E13">
            <v>2709037.59</v>
          </cell>
        </row>
        <row r="14">
          <cell r="A14">
            <v>1102010000</v>
          </cell>
          <cell r="B14" t="str">
            <v>BANCO BISA</v>
          </cell>
          <cell r="C14">
            <v>-753098.04</v>
          </cell>
          <cell r="E14">
            <v>97367.47</v>
          </cell>
        </row>
        <row r="15">
          <cell r="A15">
            <v>1102020000</v>
          </cell>
          <cell r="B15" t="str">
            <v>BANCO MERCANTIL</v>
          </cell>
          <cell r="C15">
            <v>-112951.06</v>
          </cell>
          <cell r="E15">
            <v>263997.65000000002</v>
          </cell>
        </row>
        <row r="16">
          <cell r="A16">
            <v>1102040000</v>
          </cell>
          <cell r="B16" t="str">
            <v>BANCO DE CREDITO</v>
          </cell>
          <cell r="C16">
            <v>206464</v>
          </cell>
          <cell r="E16">
            <v>232531.95</v>
          </cell>
        </row>
        <row r="17">
          <cell r="A17">
            <v>1102050000</v>
          </cell>
          <cell r="B17" t="str">
            <v>BANCO ECONÓMICO</v>
          </cell>
          <cell r="C17">
            <v>160979</v>
          </cell>
          <cell r="E17">
            <v>317685.96999999997</v>
          </cell>
        </row>
        <row r="18">
          <cell r="A18">
            <v>1102060000</v>
          </cell>
          <cell r="B18" t="str">
            <v>BANCO GANADERO</v>
          </cell>
          <cell r="C18">
            <v>-632627.84</v>
          </cell>
          <cell r="E18">
            <v>184047.91</v>
          </cell>
        </row>
        <row r="19">
          <cell r="A19">
            <v>1102070000</v>
          </cell>
          <cell r="B19" t="str">
            <v>BANCO UNION</v>
          </cell>
          <cell r="C19">
            <v>-629273.49</v>
          </cell>
          <cell r="E19">
            <v>-115989.5</v>
          </cell>
        </row>
        <row r="20">
          <cell r="A20">
            <v>1102080000</v>
          </cell>
          <cell r="B20" t="str">
            <v>BANCO NACIONAL</v>
          </cell>
          <cell r="C20">
            <v>-79247.92</v>
          </cell>
          <cell r="E20">
            <v>213571.68</v>
          </cell>
        </row>
        <row r="21">
          <cell r="A21">
            <v>1102100000</v>
          </cell>
          <cell r="B21" t="str">
            <v>FONDO DE LA COMUNIDAD</v>
          </cell>
          <cell r="C21">
            <v>3913.89</v>
          </cell>
          <cell r="E21">
            <v>11535.24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1125017.98</v>
          </cell>
          <cell r="E23">
            <v>1304139.76</v>
          </cell>
        </row>
        <row r="24">
          <cell r="A24">
            <v>1102130000</v>
          </cell>
          <cell r="B24" t="str">
            <v>BANCO FIE</v>
          </cell>
          <cell r="C24">
            <v>11199.22</v>
          </cell>
          <cell r="E24">
            <v>196674.47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7927833.4699999997</v>
          </cell>
          <cell r="E27">
            <v>211365020.41999999</v>
          </cell>
        </row>
        <row r="28">
          <cell r="A28">
            <v>1201000000</v>
          </cell>
          <cell r="B28" t="str">
            <v>CUENTAS POR COBRAR</v>
          </cell>
          <cell r="C28">
            <v>6668808.5199999996</v>
          </cell>
          <cell r="E28">
            <v>133532146.31999999</v>
          </cell>
        </row>
        <row r="29">
          <cell r="A29">
            <v>1201010000</v>
          </cell>
          <cell r="B29" t="str">
            <v>DEUDORES POR PRODUCTOS LOCALES M.N.</v>
          </cell>
          <cell r="C29">
            <v>4310110.07</v>
          </cell>
          <cell r="E29">
            <v>46072100.380000003</v>
          </cell>
        </row>
        <row r="30">
          <cell r="A30">
            <v>1201050000</v>
          </cell>
          <cell r="B30" t="str">
            <v>DEUDORES POR PRODUCTOS INTERIOR M.N.</v>
          </cell>
          <cell r="C30">
            <v>2321134.2999999998</v>
          </cell>
          <cell r="E30">
            <v>85142467.609999999</v>
          </cell>
        </row>
        <row r="31">
          <cell r="A31">
            <v>1201130000</v>
          </cell>
          <cell r="B31" t="str">
            <v>DEUDORES VARIOS</v>
          </cell>
          <cell r="C31">
            <v>37564.15</v>
          </cell>
          <cell r="E31">
            <v>2317578.33</v>
          </cell>
        </row>
        <row r="32">
          <cell r="A32">
            <v>1202000000</v>
          </cell>
          <cell r="B32" t="str">
            <v>CUENTAS CORRIENTES</v>
          </cell>
          <cell r="C32">
            <v>1555348.77</v>
          </cell>
          <cell r="E32">
            <v>70295394.920000002</v>
          </cell>
        </row>
        <row r="33">
          <cell r="A33">
            <v>1202010000</v>
          </cell>
          <cell r="B33" t="str">
            <v>PROVEEDORES</v>
          </cell>
          <cell r="C33">
            <v>1555348.77</v>
          </cell>
          <cell r="E33">
            <v>70289340.420000002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64090.34</v>
          </cell>
          <cell r="E36">
            <v>3934213.2</v>
          </cell>
        </row>
        <row r="37">
          <cell r="A37">
            <v>1203030000</v>
          </cell>
          <cell r="B37" t="str">
            <v>RECLAMOS EN CURSO</v>
          </cell>
          <cell r="C37">
            <v>-27333.25</v>
          </cell>
          <cell r="E37">
            <v>106400.01</v>
          </cell>
        </row>
        <row r="38">
          <cell r="A38">
            <v>1203040000</v>
          </cell>
          <cell r="B38" t="str">
            <v>OTROS DOCUMENTOS POR COBRAR</v>
          </cell>
          <cell r="C38">
            <v>91423.59</v>
          </cell>
          <cell r="E38">
            <v>3827813.19</v>
          </cell>
        </row>
        <row r="39">
          <cell r="A39">
            <v>1204000000</v>
          </cell>
          <cell r="B39" t="str">
            <v>ANTICIPOS Y PRESTAMOS</v>
          </cell>
          <cell r="C39">
            <v>-360414.16</v>
          </cell>
          <cell r="E39">
            <v>3603265.98</v>
          </cell>
        </row>
        <row r="40">
          <cell r="A40">
            <v>1204010000</v>
          </cell>
          <cell r="B40" t="str">
            <v>ANTICIPOS AL PERSONAL</v>
          </cell>
          <cell r="C40">
            <v>121.84</v>
          </cell>
          <cell r="E40">
            <v>214.85</v>
          </cell>
        </row>
        <row r="41">
          <cell r="A41">
            <v>1204020000</v>
          </cell>
          <cell r="B41" t="str">
            <v>PRESTAMOS AL PERSONAL M.N.</v>
          </cell>
          <cell r="C41">
            <v>1723.12</v>
          </cell>
          <cell r="E41">
            <v>55784.69</v>
          </cell>
        </row>
        <row r="42">
          <cell r="A42">
            <v>1204040000</v>
          </cell>
          <cell r="B42" t="str">
            <v>PRESTAMOS EN PRODUCTOS O SERVICIOS</v>
          </cell>
          <cell r="C42">
            <v>-7020.32</v>
          </cell>
          <cell r="E42">
            <v>134581.57</v>
          </cell>
        </row>
        <row r="43">
          <cell r="A43">
            <v>1204050000</v>
          </cell>
          <cell r="B43" t="str">
            <v>PRESTAMOS MATERIALES DE ALMACEN</v>
          </cell>
          <cell r="C43">
            <v>-3888.61</v>
          </cell>
          <cell r="E43">
            <v>6005.45</v>
          </cell>
        </row>
        <row r="44">
          <cell r="A44">
            <v>1204060000</v>
          </cell>
          <cell r="B44" t="str">
            <v>PAGOS ANTICIPADOS</v>
          </cell>
          <cell r="C44">
            <v>-288751.89</v>
          </cell>
          <cell r="E44">
            <v>3072130.59</v>
          </cell>
        </row>
        <row r="45">
          <cell r="A45">
            <v>1204080000</v>
          </cell>
          <cell r="B45" t="str">
            <v>DEUDORES CON CARGO DE CUENTA M.N.</v>
          </cell>
          <cell r="C45">
            <v>-62598.3</v>
          </cell>
          <cell r="E45">
            <v>334532.81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-8234533.3399999999</v>
          </cell>
          <cell r="E48">
            <v>157971732.13999999</v>
          </cell>
        </row>
        <row r="49">
          <cell r="A49">
            <v>1301000000</v>
          </cell>
          <cell r="B49" t="str">
            <v>EXISTENCIAS</v>
          </cell>
          <cell r="C49">
            <v>-7663038.4900000002</v>
          </cell>
          <cell r="E49">
            <v>69388455.430000007</v>
          </cell>
        </row>
        <row r="50">
          <cell r="A50">
            <v>1301010000</v>
          </cell>
          <cell r="B50" t="str">
            <v>MATERIA PRIMA E INSUMOS</v>
          </cell>
          <cell r="C50">
            <v>1665406.6</v>
          </cell>
          <cell r="E50">
            <v>16779613.34</v>
          </cell>
        </row>
        <row r="51">
          <cell r="A51">
            <v>1301020000</v>
          </cell>
          <cell r="B51" t="str">
            <v>PRODUCTOS EN PROCESO</v>
          </cell>
          <cell r="C51">
            <v>-8754235.5999999996</v>
          </cell>
          <cell r="E51">
            <v>51023836.159999996</v>
          </cell>
        </row>
        <row r="52">
          <cell r="A52">
            <v>1301030000</v>
          </cell>
          <cell r="B52" t="str">
            <v>PRODUCTOS TERMINADOS</v>
          </cell>
          <cell r="C52">
            <v>-574209.49</v>
          </cell>
          <cell r="E52">
            <v>1585005.93</v>
          </cell>
        </row>
        <row r="53">
          <cell r="A53">
            <v>1304000000</v>
          </cell>
          <cell r="B53" t="str">
            <v>EXISTENCIA DE MATERIALES</v>
          </cell>
          <cell r="C53">
            <v>-571494.85</v>
          </cell>
          <cell r="E53">
            <v>88583276.709999993</v>
          </cell>
        </row>
        <row r="54">
          <cell r="A54">
            <v>1304010000</v>
          </cell>
          <cell r="B54" t="str">
            <v>MATERIALES EN ALMACEN</v>
          </cell>
          <cell r="C54">
            <v>762796.52</v>
          </cell>
          <cell r="E54">
            <v>56557662.32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8500984.3599999994</v>
          </cell>
        </row>
        <row r="56">
          <cell r="A56">
            <v>1304030000</v>
          </cell>
          <cell r="B56" t="str">
            <v>PULPERIA IRPA - IRPA</v>
          </cell>
          <cell r="C56">
            <v>-64145.14</v>
          </cell>
          <cell r="E56">
            <v>109508.15</v>
          </cell>
        </row>
        <row r="57">
          <cell r="A57">
            <v>1304040000</v>
          </cell>
          <cell r="B57" t="str">
            <v>MERCADERIAS EN TRANSITO</v>
          </cell>
          <cell r="C57">
            <v>-1270146.23</v>
          </cell>
          <cell r="E57">
            <v>23415121.879999999</v>
          </cell>
        </row>
        <row r="59">
          <cell r="A59">
            <v>1400000000</v>
          </cell>
          <cell r="B59" t="str">
            <v>ACTIVO FIJO</v>
          </cell>
          <cell r="C59">
            <v>-605656.77</v>
          </cell>
          <cell r="E59">
            <v>574511724.75</v>
          </cell>
        </row>
        <row r="60">
          <cell r="A60">
            <v>1401000000</v>
          </cell>
          <cell r="B60" t="str">
            <v>BIENES DE USO</v>
          </cell>
          <cell r="C60">
            <v>3585553.96</v>
          </cell>
          <cell r="E60">
            <v>1813102208.72</v>
          </cell>
        </row>
        <row r="61">
          <cell r="A61">
            <v>1401010000</v>
          </cell>
          <cell r="B61" t="str">
            <v>TERRENOS</v>
          </cell>
          <cell r="C61">
            <v>132408.81</v>
          </cell>
          <cell r="E61">
            <v>43636241.780000001</v>
          </cell>
        </row>
        <row r="62">
          <cell r="A62">
            <v>1401020000</v>
          </cell>
          <cell r="B62" t="str">
            <v>EDIFICIOS</v>
          </cell>
          <cell r="C62">
            <v>1113612.79</v>
          </cell>
          <cell r="E62">
            <v>372657203.27999997</v>
          </cell>
        </row>
        <row r="63">
          <cell r="A63">
            <v>1401030000</v>
          </cell>
          <cell r="B63" t="str">
            <v>MUEBLES Y ENSERES DE OFICINA</v>
          </cell>
          <cell r="C63">
            <v>455.81</v>
          </cell>
          <cell r="E63">
            <v>5167374.5</v>
          </cell>
        </row>
        <row r="64">
          <cell r="A64">
            <v>1401040000</v>
          </cell>
          <cell r="B64" t="str">
            <v>MAQUINARIA Y EQUIPO</v>
          </cell>
          <cell r="C64">
            <v>1343611.66</v>
          </cell>
          <cell r="E64">
            <v>695587689.30999994</v>
          </cell>
        </row>
        <row r="65">
          <cell r="A65">
            <v>1401050000</v>
          </cell>
          <cell r="B65" t="str">
            <v>VEHICULOS</v>
          </cell>
          <cell r="C65">
            <v>5277.18</v>
          </cell>
          <cell r="E65">
            <v>35311903.079999998</v>
          </cell>
        </row>
        <row r="66">
          <cell r="A66">
            <v>1401060000</v>
          </cell>
          <cell r="B66" t="str">
            <v>MAQUINARIA DE CONSTRUCCION</v>
          </cell>
          <cell r="C66">
            <v>3156.93</v>
          </cell>
          <cell r="E66">
            <v>17578941.66</v>
          </cell>
        </row>
        <row r="67">
          <cell r="A67">
            <v>1401070000</v>
          </cell>
          <cell r="B67" t="str">
            <v>EQUIPO PESADO</v>
          </cell>
          <cell r="C67">
            <v>14955.72</v>
          </cell>
          <cell r="E67">
            <v>123712821.3</v>
          </cell>
        </row>
        <row r="68">
          <cell r="A68">
            <v>1401080000</v>
          </cell>
          <cell r="B68" t="str">
            <v>INSTALACIONES INDUSTRIALES</v>
          </cell>
          <cell r="C68">
            <v>940223.63</v>
          </cell>
          <cell r="E68">
            <v>468395882.36000001</v>
          </cell>
        </row>
        <row r="69">
          <cell r="A69">
            <v>1401090000</v>
          </cell>
          <cell r="B69" t="str">
            <v>HERRAMIENTAS E IMPLEMENTOS</v>
          </cell>
          <cell r="C69">
            <v>659.89</v>
          </cell>
          <cell r="E69">
            <v>19200659.989999998</v>
          </cell>
        </row>
        <row r="70">
          <cell r="A70">
            <v>1401100000</v>
          </cell>
          <cell r="B70" t="str">
            <v>TINGLADOS</v>
          </cell>
          <cell r="C70">
            <v>10086.01</v>
          </cell>
          <cell r="E70">
            <v>14339395.15</v>
          </cell>
        </row>
        <row r="71">
          <cell r="A71">
            <v>1401110000</v>
          </cell>
          <cell r="B71" t="str">
            <v>EQUIPOS DE COMPUTACION</v>
          </cell>
          <cell r="C71">
            <v>10423.56</v>
          </cell>
          <cell r="E71">
            <v>8074987.5</v>
          </cell>
        </row>
        <row r="72">
          <cell r="A72">
            <v>1401120000</v>
          </cell>
          <cell r="B72" t="str">
            <v>EQUIPOS DE LABORATORIO</v>
          </cell>
          <cell r="C72">
            <v>10681.97</v>
          </cell>
          <cell r="E72">
            <v>9273005.4900000002</v>
          </cell>
        </row>
        <row r="73">
          <cell r="A73">
            <v>1401150000</v>
          </cell>
          <cell r="B73" t="str">
            <v>CANALES DE RIEGO Y POZOS</v>
          </cell>
          <cell r="C73">
            <v>0</v>
          </cell>
          <cell r="E73">
            <v>166103.32</v>
          </cell>
        </row>
        <row r="74">
          <cell r="A74">
            <v>1402000000</v>
          </cell>
          <cell r="B74" t="str">
            <v>DEPRECIACION ACUMULADA</v>
          </cell>
          <cell r="C74">
            <v>-4191210.73</v>
          </cell>
          <cell r="E74">
            <v>-1238590483.97</v>
          </cell>
        </row>
        <row r="75">
          <cell r="A75">
            <v>1402020000</v>
          </cell>
          <cell r="B75" t="str">
            <v>EDIFICIOS</v>
          </cell>
          <cell r="C75">
            <v>-1067818.8500000001</v>
          </cell>
          <cell r="E75">
            <v>-105437758.51000001</v>
          </cell>
        </row>
        <row r="76">
          <cell r="A76">
            <v>1402030000</v>
          </cell>
          <cell r="B76" t="str">
            <v>MUEBLES Y ENSERES DE OFICINA</v>
          </cell>
          <cell r="C76">
            <v>-1592.78</v>
          </cell>
          <cell r="E76">
            <v>-5130676.7300000004</v>
          </cell>
        </row>
        <row r="77">
          <cell r="A77">
            <v>1402040000</v>
          </cell>
          <cell r="B77" t="str">
            <v>MAQUINARIA Y EQUIPO</v>
          </cell>
          <cell r="C77">
            <v>-1409063.89</v>
          </cell>
          <cell r="E77">
            <v>-565298908.95000005</v>
          </cell>
        </row>
        <row r="78">
          <cell r="A78">
            <v>1402050000</v>
          </cell>
          <cell r="B78" t="str">
            <v>VEHICULOS</v>
          </cell>
          <cell r="C78">
            <v>-32468.32</v>
          </cell>
          <cell r="E78">
            <v>-34749546.770000003</v>
          </cell>
        </row>
        <row r="79">
          <cell r="A79">
            <v>1402060000</v>
          </cell>
          <cell r="B79" t="str">
            <v>MAQUINARIA DE CONSTRUCCION</v>
          </cell>
          <cell r="C79">
            <v>-13101.97</v>
          </cell>
          <cell r="E79">
            <v>-17295723.960000001</v>
          </cell>
        </row>
        <row r="80">
          <cell r="A80">
            <v>1402070000</v>
          </cell>
          <cell r="B80" t="str">
            <v>EQUIPO PESADO</v>
          </cell>
          <cell r="C80">
            <v>-61381.96</v>
          </cell>
          <cell r="E80">
            <v>-122144364.45999999</v>
          </cell>
        </row>
        <row r="81">
          <cell r="A81">
            <v>1402080000</v>
          </cell>
          <cell r="B81" t="str">
            <v>INSTALACIONES INDUSTRIALES</v>
          </cell>
          <cell r="C81">
            <v>-1503850.04</v>
          </cell>
          <cell r="E81">
            <v>-340243488.41000003</v>
          </cell>
        </row>
        <row r="82">
          <cell r="A82">
            <v>1402090000</v>
          </cell>
          <cell r="B82" t="str">
            <v>HERRAMIENTAS E IMPLEMENTOS</v>
          </cell>
          <cell r="C82">
            <v>-4882.78</v>
          </cell>
          <cell r="E82">
            <v>-19103781.629999999</v>
          </cell>
        </row>
        <row r="83">
          <cell r="A83">
            <v>1402100000</v>
          </cell>
          <cell r="B83" t="str">
            <v>TINGLADOS</v>
          </cell>
          <cell r="C83">
            <v>-35626.47</v>
          </cell>
          <cell r="E83">
            <v>-13655637.52</v>
          </cell>
        </row>
        <row r="84">
          <cell r="A84">
            <v>1402110000</v>
          </cell>
          <cell r="B84" t="str">
            <v>EQUIPOS DE COMPUTACION</v>
          </cell>
          <cell r="C84">
            <v>-19152.2</v>
          </cell>
          <cell r="E84">
            <v>-7729128.6600000001</v>
          </cell>
        </row>
        <row r="85">
          <cell r="A85">
            <v>1402120000</v>
          </cell>
          <cell r="B85" t="str">
            <v>EQUIPOS DE LABORATORIO</v>
          </cell>
          <cell r="C85">
            <v>-42271.47</v>
          </cell>
          <cell r="E85">
            <v>-7635365.0499999998</v>
          </cell>
        </row>
        <row r="86">
          <cell r="A86">
            <v>1402150000</v>
          </cell>
          <cell r="B86" t="str">
            <v>CANALES DE RIEGO Y POZOS</v>
          </cell>
          <cell r="C86">
            <v>0</v>
          </cell>
          <cell r="E86">
            <v>-166103.32</v>
          </cell>
        </row>
        <row r="88">
          <cell r="A88">
            <v>1500000000</v>
          </cell>
          <cell r="B88" t="str">
            <v>INVERSIONES</v>
          </cell>
          <cell r="C88">
            <v>-7143689.2999999998</v>
          </cell>
          <cell r="E88">
            <v>30316718.539999999</v>
          </cell>
        </row>
        <row r="89">
          <cell r="A89">
            <v>1502000000</v>
          </cell>
          <cell r="B89" t="str">
            <v>OTRAS INVERSIONES</v>
          </cell>
          <cell r="C89">
            <v>-7143689.2999999998</v>
          </cell>
          <cell r="E89">
            <v>30316718.539999999</v>
          </cell>
        </row>
        <row r="90">
          <cell r="A90">
            <v>1502010000</v>
          </cell>
          <cell r="B90" t="str">
            <v>ACCIONES</v>
          </cell>
          <cell r="C90">
            <v>-7143689.2999999998</v>
          </cell>
          <cell r="E90">
            <v>29915898.530000001</v>
          </cell>
        </row>
        <row r="91">
          <cell r="A91">
            <v>1502030000</v>
          </cell>
          <cell r="B91" t="str">
            <v>LINEAS TELEFONICAS</v>
          </cell>
          <cell r="C91">
            <v>0</v>
          </cell>
          <cell r="E91">
            <v>261000</v>
          </cell>
        </row>
        <row r="92">
          <cell r="A92">
            <v>1502050000</v>
          </cell>
          <cell r="B92" t="str">
            <v>OTRAS INVERSIONES</v>
          </cell>
          <cell r="C92">
            <v>0</v>
          </cell>
          <cell r="E92">
            <v>139820.01</v>
          </cell>
        </row>
        <row r="94">
          <cell r="A94">
            <v>1600000000</v>
          </cell>
          <cell r="B94" t="str">
            <v>OTROS ACTIVOS</v>
          </cell>
          <cell r="C94">
            <v>6334085.2800000003</v>
          </cell>
          <cell r="E94">
            <v>207733553.13999999</v>
          </cell>
        </row>
        <row r="95">
          <cell r="A95">
            <v>1601000000</v>
          </cell>
          <cell r="B95" t="str">
            <v>DOCUMENTOS POR COBRAR A LARGO PLAZO</v>
          </cell>
          <cell r="C95">
            <v>-700</v>
          </cell>
          <cell r="E95">
            <v>9550150.3599999994</v>
          </cell>
        </row>
        <row r="96">
          <cell r="A96">
            <v>1601040000</v>
          </cell>
          <cell r="B96" t="str">
            <v>DOCUMENTOS EN EJECUCION</v>
          </cell>
          <cell r="C96">
            <v>-700</v>
          </cell>
          <cell r="E96">
            <v>9550150.3599999994</v>
          </cell>
        </row>
        <row r="97">
          <cell r="A97">
            <v>1601050000</v>
          </cell>
          <cell r="B97" t="str">
            <v>CUENTAS INCOBRABLES</v>
          </cell>
          <cell r="C97">
            <v>0</v>
          </cell>
          <cell r="E97">
            <v>3212209.75</v>
          </cell>
        </row>
        <row r="98">
          <cell r="A98">
            <v>1601060000</v>
          </cell>
          <cell r="B98" t="str">
            <v>(PREVISION CUENTAS INCOBRABLES)</v>
          </cell>
          <cell r="C98">
            <v>0</v>
          </cell>
          <cell r="E98">
            <v>-3212209.75</v>
          </cell>
        </row>
        <row r="99">
          <cell r="A99">
            <v>1602000000</v>
          </cell>
          <cell r="B99" t="str">
            <v>OBRAS EN EJECUCIÓN</v>
          </cell>
          <cell r="C99">
            <v>216542.22</v>
          </cell>
          <cell r="E99">
            <v>15032002.57</v>
          </cell>
        </row>
        <row r="100">
          <cell r="A100">
            <v>1602010000</v>
          </cell>
          <cell r="B100" t="str">
            <v>AMPLIACIONES</v>
          </cell>
          <cell r="C100">
            <v>216542.22</v>
          </cell>
          <cell r="E100">
            <v>15032002.57</v>
          </cell>
        </row>
        <row r="101">
          <cell r="A101">
            <v>1604000000</v>
          </cell>
          <cell r="B101" t="str">
            <v>BIENES ARRENDADOS</v>
          </cell>
          <cell r="C101">
            <v>0</v>
          </cell>
          <cell r="E101">
            <v>2506992.62</v>
          </cell>
        </row>
        <row r="102">
          <cell r="A102">
            <v>1604010000</v>
          </cell>
          <cell r="B102" t="str">
            <v>VALOR DE ARRENDAMIENTO</v>
          </cell>
          <cell r="C102">
            <v>0</v>
          </cell>
          <cell r="E102">
            <v>2506992.62</v>
          </cell>
        </row>
        <row r="103">
          <cell r="A103">
            <v>1605000000</v>
          </cell>
          <cell r="B103" t="str">
            <v>DIVERSOS</v>
          </cell>
          <cell r="C103">
            <v>1058723.32</v>
          </cell>
          <cell r="E103">
            <v>18550931.300000001</v>
          </cell>
        </row>
        <row r="104">
          <cell r="A104">
            <v>1605010000</v>
          </cell>
          <cell r="B104" t="str">
            <v>REPUESTOS EN ALMACEN</v>
          </cell>
          <cell r="C104">
            <v>1058723.32</v>
          </cell>
          <cell r="E104">
            <v>18361911.059999999</v>
          </cell>
        </row>
        <row r="105">
          <cell r="A105">
            <v>1605020000</v>
          </cell>
          <cell r="B105" t="str">
            <v>LIBROS Y BIBLIOTECAS</v>
          </cell>
          <cell r="C105">
            <v>0</v>
          </cell>
          <cell r="E105">
            <v>189020.24</v>
          </cell>
        </row>
        <row r="106">
          <cell r="A106">
            <v>1606000000</v>
          </cell>
          <cell r="B106" t="str">
            <v>CUENTAS CORRIENTES UNIDADES</v>
          </cell>
          <cell r="C106">
            <v>5059519.74</v>
          </cell>
          <cell r="E106">
            <v>162093476.28999999</v>
          </cell>
        </row>
        <row r="107">
          <cell r="A107">
            <v>1606010000</v>
          </cell>
          <cell r="B107" t="str">
            <v>LIMITADA</v>
          </cell>
          <cell r="C107">
            <v>4473915.76</v>
          </cell>
          <cell r="E107">
            <v>133601342.81</v>
          </cell>
        </row>
        <row r="108">
          <cell r="A108">
            <v>1606030000</v>
          </cell>
          <cell r="B108" t="str">
            <v>CERAMIL</v>
          </cell>
          <cell r="C108">
            <v>338111.51</v>
          </cell>
          <cell r="E108">
            <v>6314764</v>
          </cell>
        </row>
        <row r="109">
          <cell r="A109">
            <v>1606040000</v>
          </cell>
          <cell r="B109" t="str">
            <v>HORMIGON</v>
          </cell>
          <cell r="C109">
            <v>79471.740000000005</v>
          </cell>
          <cell r="E109">
            <v>20504727.640000001</v>
          </cell>
        </row>
        <row r="110">
          <cell r="A110">
            <v>1606050000</v>
          </cell>
          <cell r="B110" t="str">
            <v>CONSTRUCCIONES</v>
          </cell>
          <cell r="C110">
            <v>37547.949999999997</v>
          </cell>
          <cell r="E110">
            <v>610196.02</v>
          </cell>
        </row>
        <row r="111">
          <cell r="A111">
            <v>1606060000</v>
          </cell>
          <cell r="B111" t="str">
            <v>CERAMICA</v>
          </cell>
          <cell r="C111">
            <v>117566</v>
          </cell>
          <cell r="E111">
            <v>968504.96</v>
          </cell>
        </row>
        <row r="112">
          <cell r="A112">
            <v>1606070000</v>
          </cell>
          <cell r="B112" t="str">
            <v>METAL</v>
          </cell>
          <cell r="C112">
            <v>3091.92</v>
          </cell>
          <cell r="E112">
            <v>84126</v>
          </cell>
        </row>
        <row r="113">
          <cell r="A113">
            <v>1606080000</v>
          </cell>
          <cell r="B113" t="str">
            <v>COBOCE EDITORA OPINION</v>
          </cell>
          <cell r="C113">
            <v>9814.86</v>
          </cell>
          <cell r="E113">
            <v>9814.86</v>
          </cell>
        </row>
        <row r="115">
          <cell r="A115">
            <v>1700000000</v>
          </cell>
          <cell r="B115" t="str">
            <v>ACTIVOS DIFERIDOS</v>
          </cell>
          <cell r="C115">
            <v>24501.51</v>
          </cell>
          <cell r="E115">
            <v>13151610.35</v>
          </cell>
        </row>
        <row r="116">
          <cell r="A116">
            <v>1701000000</v>
          </cell>
          <cell r="B116" t="str">
            <v>ACTIVOS RETIRADOS</v>
          </cell>
          <cell r="C116">
            <v>0</v>
          </cell>
          <cell r="E116">
            <v>3580102.51</v>
          </cell>
        </row>
        <row r="117">
          <cell r="A117">
            <v>1701010000</v>
          </cell>
          <cell r="B117" t="str">
            <v>BIENES DE USO RETIRADOS</v>
          </cell>
          <cell r="C117">
            <v>0</v>
          </cell>
          <cell r="E117">
            <v>3580102.51</v>
          </cell>
        </row>
        <row r="118">
          <cell r="A118">
            <v>1702000000</v>
          </cell>
          <cell r="B118" t="str">
            <v>GASTOS DIFERIDOS</v>
          </cell>
          <cell r="C118">
            <v>24501.51</v>
          </cell>
          <cell r="E118">
            <v>9571507.8399999999</v>
          </cell>
        </row>
        <row r="119">
          <cell r="A119">
            <v>1702010000</v>
          </cell>
          <cell r="B119" t="str">
            <v>GASTOS DE ORGANIZACION Y PUESTA EN MARCH</v>
          </cell>
          <cell r="C119">
            <v>0</v>
          </cell>
          <cell r="E119">
            <v>4900472.5999999996</v>
          </cell>
        </row>
        <row r="120">
          <cell r="A120">
            <v>1702020000</v>
          </cell>
          <cell r="B120" t="str">
            <v>GASTOS DE PRODUCCIÓN Y MANTENIMIENTO</v>
          </cell>
          <cell r="C120">
            <v>24501.51</v>
          </cell>
          <cell r="E120">
            <v>76920.61</v>
          </cell>
        </row>
        <row r="121">
          <cell r="A121">
            <v>1702050000</v>
          </cell>
          <cell r="B121" t="str">
            <v>VARIOS</v>
          </cell>
          <cell r="C121">
            <v>0</v>
          </cell>
          <cell r="E121">
            <v>4594114.63</v>
          </cell>
        </row>
        <row r="123">
          <cell r="A123">
            <v>2000000000</v>
          </cell>
          <cell r="B123" t="str">
            <v>PASIVO</v>
          </cell>
          <cell r="C123">
            <v>-15989948.83</v>
          </cell>
          <cell r="E123">
            <v>-1229034608.28</v>
          </cell>
        </row>
        <row r="126">
          <cell r="A126">
            <v>2100000000</v>
          </cell>
          <cell r="B126" t="str">
            <v>PASIVO CORRIENTE</v>
          </cell>
          <cell r="C126">
            <v>-15225749.699999999</v>
          </cell>
          <cell r="E126">
            <v>-292665170.48000002</v>
          </cell>
        </row>
        <row r="127">
          <cell r="A127">
            <v>2101000000</v>
          </cell>
          <cell r="B127" t="str">
            <v>DEUDAS COMERCIALES</v>
          </cell>
          <cell r="C127">
            <v>-7514069.4500000002</v>
          </cell>
          <cell r="E127">
            <v>-95517562.670000002</v>
          </cell>
        </row>
        <row r="128">
          <cell r="A128">
            <v>2101010000</v>
          </cell>
          <cell r="B128" t="str">
            <v>PROVEEDORES</v>
          </cell>
          <cell r="C128">
            <v>-5534392.4699999997</v>
          </cell>
          <cell r="E128">
            <v>-85672054.469999999</v>
          </cell>
        </row>
        <row r="129">
          <cell r="A129">
            <v>2101030000</v>
          </cell>
          <cell r="B129" t="str">
            <v>TRANSPORTISTAS</v>
          </cell>
          <cell r="C129">
            <v>-2086597.3</v>
          </cell>
          <cell r="E129">
            <v>-4927393.6399999997</v>
          </cell>
        </row>
        <row r="130">
          <cell r="A130">
            <v>2101040000</v>
          </cell>
          <cell r="B130" t="str">
            <v>ACREEDORES VARIOS</v>
          </cell>
          <cell r="C130">
            <v>103539.84</v>
          </cell>
          <cell r="E130">
            <v>-4600690.7</v>
          </cell>
        </row>
        <row r="131">
          <cell r="A131">
            <v>2101090000</v>
          </cell>
          <cell r="B131" t="str">
            <v>ACREEDORES POR DEPOSITOS EN GARANTIA</v>
          </cell>
          <cell r="C131">
            <v>3380.48</v>
          </cell>
          <cell r="E131">
            <v>-47575.86</v>
          </cell>
        </row>
        <row r="132">
          <cell r="A132">
            <v>2101650000</v>
          </cell>
          <cell r="B132" t="str">
            <v>PROVEEDORES AEROPUERTO POTOSI</v>
          </cell>
          <cell r="C132">
            <v>0</v>
          </cell>
          <cell r="E132">
            <v>-269848</v>
          </cell>
        </row>
        <row r="133">
          <cell r="A133">
            <v>2102000000</v>
          </cell>
          <cell r="B133" t="str">
            <v>DOCUMENTOS POR PAGAR</v>
          </cell>
          <cell r="C133">
            <v>372728.12</v>
          </cell>
          <cell r="E133">
            <v>-4948862.18</v>
          </cell>
        </row>
        <row r="134">
          <cell r="A134">
            <v>2102020000</v>
          </cell>
          <cell r="B134" t="str">
            <v>BANCARIOS</v>
          </cell>
          <cell r="C134">
            <v>0</v>
          </cell>
          <cell r="E134">
            <v>-2881600.56</v>
          </cell>
        </row>
        <row r="135">
          <cell r="A135">
            <v>2102030000</v>
          </cell>
          <cell r="B135" t="str">
            <v>CONTRATOS</v>
          </cell>
          <cell r="C135">
            <v>372728.12</v>
          </cell>
          <cell r="E135">
            <v>-1907345.44</v>
          </cell>
        </row>
        <row r="136">
          <cell r="A136">
            <v>2102040000</v>
          </cell>
          <cell r="B136" t="str">
            <v>OTROS DOCUMENTOS</v>
          </cell>
          <cell r="C136">
            <v>0</v>
          </cell>
          <cell r="E136">
            <v>-159916.18</v>
          </cell>
        </row>
        <row r="137">
          <cell r="A137">
            <v>2104000000</v>
          </cell>
          <cell r="B137" t="str">
            <v>OBLIGACIONES FINANCIERAS A CORTO PLAZO</v>
          </cell>
          <cell r="C137">
            <v>1576695.61</v>
          </cell>
          <cell r="E137">
            <v>-155724430.13</v>
          </cell>
        </row>
        <row r="138">
          <cell r="A138">
            <v>2104010000</v>
          </cell>
          <cell r="B138" t="str">
            <v>OBLIGACIONES POR CAPITAL</v>
          </cell>
          <cell r="C138">
            <v>879368.06</v>
          </cell>
          <cell r="E138">
            <v>-143416656.16</v>
          </cell>
        </row>
        <row r="139">
          <cell r="A139">
            <v>2104020000</v>
          </cell>
          <cell r="B139" t="str">
            <v>OBLIGACIONES POR INTERESES</v>
          </cell>
          <cell r="C139">
            <v>697327.55</v>
          </cell>
          <cell r="E139">
            <v>-12307773.970000001</v>
          </cell>
        </row>
        <row r="140">
          <cell r="A140">
            <v>2105000000</v>
          </cell>
          <cell r="B140" t="str">
            <v>IMPUESTOS POR PAGAR</v>
          </cell>
          <cell r="C140">
            <v>0</v>
          </cell>
          <cell r="E140">
            <v>0</v>
          </cell>
        </row>
        <row r="141">
          <cell r="A141">
            <v>2105010000</v>
          </cell>
          <cell r="B141" t="str">
            <v>IMPUESTO AL VALOR AGREGADO (DEBITO FISCA</v>
          </cell>
          <cell r="C141">
            <v>0</v>
          </cell>
          <cell r="E141">
            <v>0</v>
          </cell>
        </row>
        <row r="142">
          <cell r="A142">
            <v>2105040000</v>
          </cell>
          <cell r="B142" t="str">
            <v>RETENCION EN LA FUENTE</v>
          </cell>
          <cell r="C142">
            <v>0</v>
          </cell>
          <cell r="E142">
            <v>0</v>
          </cell>
        </row>
        <row r="143">
          <cell r="A143">
            <v>2106000000</v>
          </cell>
          <cell r="B143" t="str">
            <v>OBLIGACIONES POR PAGAR</v>
          </cell>
          <cell r="C143">
            <v>-9042407.4399999995</v>
          </cell>
          <cell r="E143">
            <v>-22770279.039999999</v>
          </cell>
        </row>
        <row r="144">
          <cell r="A144">
            <v>2106010000</v>
          </cell>
          <cell r="B144" t="str">
            <v>SUELDOS Y JORNALES POR PAGAR</v>
          </cell>
          <cell r="C144">
            <v>-5305507.3899999997</v>
          </cell>
          <cell r="E144">
            <v>-11446847.289999999</v>
          </cell>
        </row>
        <row r="145">
          <cell r="A145">
            <v>2106020000</v>
          </cell>
          <cell r="B145" t="str">
            <v>AGUINALDOS Y PRIMAS POR PAGAR</v>
          </cell>
          <cell r="C145">
            <v>0</v>
          </cell>
          <cell r="E145">
            <v>-100838.3</v>
          </cell>
        </row>
        <row r="146">
          <cell r="A146">
            <v>2106040000</v>
          </cell>
          <cell r="B146" t="str">
            <v>FINIQUITOS POR PAGAR</v>
          </cell>
          <cell r="C146">
            <v>-2194953.9500000002</v>
          </cell>
          <cell r="E146">
            <v>-2901797.54</v>
          </cell>
        </row>
        <row r="147">
          <cell r="A147">
            <v>2106060000</v>
          </cell>
          <cell r="B147" t="str">
            <v>AGUINALDOS Y PRIMAS NO RECLAMADOS</v>
          </cell>
          <cell r="C147">
            <v>0</v>
          </cell>
          <cell r="E147">
            <v>-373944.54</v>
          </cell>
        </row>
        <row r="148">
          <cell r="A148">
            <v>2106070000</v>
          </cell>
          <cell r="B148" t="str">
            <v>APORTES Y RETENCIONES POR PAGAR</v>
          </cell>
          <cell r="C148">
            <v>-1541879.1</v>
          </cell>
          <cell r="E148">
            <v>-7614350.75</v>
          </cell>
        </row>
        <row r="149">
          <cell r="A149">
            <v>2106080000</v>
          </cell>
          <cell r="B149" t="str">
            <v>RETENCIONES JUDICIALES</v>
          </cell>
          <cell r="C149">
            <v>-67</v>
          </cell>
          <cell r="E149">
            <v>-332500.62</v>
          </cell>
        </row>
        <row r="150">
          <cell r="A150">
            <v>2107000000</v>
          </cell>
          <cell r="B150" t="str">
            <v>PROVISIONES</v>
          </cell>
          <cell r="C150">
            <v>-689141.25</v>
          </cell>
          <cell r="E150">
            <v>-12208854.85</v>
          </cell>
        </row>
        <row r="151">
          <cell r="A151">
            <v>2107010000</v>
          </cell>
          <cell r="B151" t="str">
            <v>AGUINALDOS</v>
          </cell>
          <cell r="C151">
            <v>-689141.25</v>
          </cell>
          <cell r="E151">
            <v>-5344179.41</v>
          </cell>
        </row>
        <row r="152">
          <cell r="A152">
            <v>2107030000</v>
          </cell>
          <cell r="B152" t="str">
            <v>OTROS</v>
          </cell>
          <cell r="C152">
            <v>0</v>
          </cell>
          <cell r="E152">
            <v>-6864675.4400000004</v>
          </cell>
        </row>
        <row r="153">
          <cell r="A153">
            <v>2108000000</v>
          </cell>
          <cell r="B153" t="str">
            <v>COBROS POR ADELANTADO</v>
          </cell>
          <cell r="C153">
            <v>70444.710000000006</v>
          </cell>
          <cell r="E153">
            <v>-1495181.61</v>
          </cell>
        </row>
        <row r="154">
          <cell r="A154">
            <v>2108010000</v>
          </cell>
          <cell r="B154" t="str">
            <v>CLIENTES LOCALES</v>
          </cell>
          <cell r="C154">
            <v>47588.81</v>
          </cell>
          <cell r="E154">
            <v>-949168.92</v>
          </cell>
        </row>
        <row r="155">
          <cell r="A155">
            <v>2108020000</v>
          </cell>
          <cell r="B155" t="str">
            <v>CLIENTES INTERIOR</v>
          </cell>
          <cell r="C155">
            <v>22855.9</v>
          </cell>
          <cell r="E155">
            <v>-546012.68999999994</v>
          </cell>
        </row>
        <row r="157">
          <cell r="A157">
            <v>2200000000</v>
          </cell>
          <cell r="B157" t="str">
            <v>PASIVO NO CORRIENTE</v>
          </cell>
          <cell r="C157">
            <v>650379.84</v>
          </cell>
          <cell r="E157">
            <v>-470136816.26999998</v>
          </cell>
        </row>
        <row r="158">
          <cell r="A158">
            <v>2201000000</v>
          </cell>
          <cell r="B158" t="str">
            <v>OBLIGACIONES FINANCIERAS A LARGO PLAZO</v>
          </cell>
          <cell r="C158">
            <v>0</v>
          </cell>
          <cell r="E158">
            <v>-164637171.31</v>
          </cell>
        </row>
        <row r="159">
          <cell r="A159">
            <v>2201010000</v>
          </cell>
          <cell r="B159" t="str">
            <v>OBLIGACIONES POR CAPITAL</v>
          </cell>
          <cell r="C159">
            <v>0</v>
          </cell>
          <cell r="E159">
            <v>-162676191.12</v>
          </cell>
        </row>
        <row r="160">
          <cell r="A160">
            <v>2201030000</v>
          </cell>
          <cell r="B160" t="str">
            <v>OBLIGACIONES POR INTERESES LP</v>
          </cell>
          <cell r="C160">
            <v>0</v>
          </cell>
          <cell r="E160">
            <v>-1960980.19</v>
          </cell>
        </row>
        <row r="161">
          <cell r="A161">
            <v>2202000000</v>
          </cell>
          <cell r="B161" t="str">
            <v>PREVISIONES</v>
          </cell>
          <cell r="C161">
            <v>1685043.26</v>
          </cell>
          <cell r="E161">
            <v>-55112229.909999996</v>
          </cell>
        </row>
        <row r="162">
          <cell r="A162">
            <v>2202010000</v>
          </cell>
          <cell r="B162" t="str">
            <v>PREVISIONES BENEFICIOS SOCIALES</v>
          </cell>
          <cell r="C162">
            <v>1685043.26</v>
          </cell>
          <cell r="E162">
            <v>-55055247.229999997</v>
          </cell>
        </row>
        <row r="163">
          <cell r="A163">
            <v>2202020000</v>
          </cell>
          <cell r="B163" t="str">
            <v>OTRAS PREVISIONES</v>
          </cell>
          <cell r="C163">
            <v>0</v>
          </cell>
          <cell r="E163">
            <v>-56982.68</v>
          </cell>
        </row>
        <row r="164">
          <cell r="A164">
            <v>2203000000</v>
          </cell>
          <cell r="B164" t="str">
            <v>OTROS PASIVOS NO CORRIENTES</v>
          </cell>
          <cell r="C164">
            <v>-21461.17</v>
          </cell>
          <cell r="E164">
            <v>-726810.16</v>
          </cell>
        </row>
        <row r="165">
          <cell r="A165">
            <v>2203050000</v>
          </cell>
          <cell r="B165" t="str">
            <v>CREDITOS DIFERIDOS</v>
          </cell>
          <cell r="C165">
            <v>-21461.17</v>
          </cell>
          <cell r="E165">
            <v>-726810.16</v>
          </cell>
        </row>
        <row r="166">
          <cell r="A166">
            <v>2204000000</v>
          </cell>
          <cell r="B166" t="str">
            <v>CUENTAS CORRIENTES. UNIDADES.</v>
          </cell>
          <cell r="C166">
            <v>-1013202.25</v>
          </cell>
          <cell r="E166">
            <v>-249660604.88999999</v>
          </cell>
        </row>
        <row r="167">
          <cell r="A167">
            <v>2204010000</v>
          </cell>
          <cell r="B167" t="str">
            <v>LIMITADA</v>
          </cell>
          <cell r="C167">
            <v>-957062.25</v>
          </cell>
          <cell r="E167">
            <v>-243299796.36000001</v>
          </cell>
        </row>
        <row r="168">
          <cell r="A168">
            <v>2204040000</v>
          </cell>
          <cell r="B168" t="str">
            <v>HORMIGON</v>
          </cell>
          <cell r="C168">
            <v>4350</v>
          </cell>
          <cell r="E168">
            <v>-223210.07</v>
          </cell>
        </row>
        <row r="169">
          <cell r="A169">
            <v>2204050000</v>
          </cell>
          <cell r="B169" t="str">
            <v>CONSTRUCCIONES</v>
          </cell>
          <cell r="C169">
            <v>28000</v>
          </cell>
          <cell r="E169">
            <v>-4780811.07</v>
          </cell>
        </row>
        <row r="170">
          <cell r="A170">
            <v>2204060000</v>
          </cell>
          <cell r="B170" t="str">
            <v>CERAMICA</v>
          </cell>
          <cell r="C170">
            <v>-18200</v>
          </cell>
          <cell r="E170">
            <v>-74092.460000000006</v>
          </cell>
        </row>
        <row r="171">
          <cell r="A171">
            <v>2204070000</v>
          </cell>
          <cell r="B171" t="str">
            <v>METAL</v>
          </cell>
          <cell r="C171">
            <v>-55800</v>
          </cell>
          <cell r="E171">
            <v>-1256545.43</v>
          </cell>
        </row>
        <row r="172">
          <cell r="A172">
            <v>2204080000</v>
          </cell>
          <cell r="B172" t="str">
            <v>COBOCE EDITORA OPINION</v>
          </cell>
          <cell r="C172">
            <v>-14490</v>
          </cell>
          <cell r="E172">
            <v>-26149.5</v>
          </cell>
        </row>
        <row r="174">
          <cell r="A174">
            <v>2400000000</v>
          </cell>
          <cell r="B174" t="str">
            <v>PATRIMONIO</v>
          </cell>
          <cell r="C174">
            <v>-1414578.97</v>
          </cell>
          <cell r="E174">
            <v>-466232621.52999997</v>
          </cell>
        </row>
        <row r="175">
          <cell r="A175">
            <v>2401000000</v>
          </cell>
          <cell r="B175" t="str">
            <v>FONDO SOCIAL</v>
          </cell>
          <cell r="C175">
            <v>-1414578.97</v>
          </cell>
          <cell r="E175">
            <v>-466232621.52999997</v>
          </cell>
        </row>
        <row r="176">
          <cell r="A176">
            <v>2401010000</v>
          </cell>
          <cell r="B176" t="str">
            <v>FONDO SOCIAL UNIDADES</v>
          </cell>
          <cell r="C176">
            <v>-1414578.97</v>
          </cell>
          <cell r="E176">
            <v>-466232621.52999997</v>
          </cell>
        </row>
        <row r="177">
          <cell r="A177">
            <v>2901010000</v>
          </cell>
          <cell r="B177" t="str">
            <v>CUENTAS DE ORDEN DEBITOS</v>
          </cell>
          <cell r="C177">
            <v>0</v>
          </cell>
          <cell r="E177">
            <v>52717423.270000003</v>
          </cell>
        </row>
        <row r="178">
          <cell r="A178">
            <v>2901020000</v>
          </cell>
          <cell r="B178" t="str">
            <v>CUENTAS DE ORDEN CREDITOS</v>
          </cell>
          <cell r="C178">
            <v>0</v>
          </cell>
          <cell r="E178">
            <v>-52717423.270000003</v>
          </cell>
        </row>
        <row r="179">
          <cell r="A179" t="str">
            <v>***TOTAL UTILIDAD(+)/PERDIDA(-)***</v>
          </cell>
          <cell r="C179">
            <v>-19059559.98</v>
          </cell>
          <cell r="E179">
            <v>-28887358.390000001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-6785407.1299999999</v>
          </cell>
          <cell r="E6">
            <v>1193361842.76</v>
          </cell>
        </row>
        <row r="9">
          <cell r="A9">
            <v>1100000000</v>
          </cell>
          <cell r="B9" t="str">
            <v>ACTIVO DISPONIBLE</v>
          </cell>
          <cell r="C9">
            <v>4465200.9400000004</v>
          </cell>
          <cell r="E9">
            <v>9562091.4900000002</v>
          </cell>
        </row>
        <row r="10">
          <cell r="A10">
            <v>1101000000</v>
          </cell>
          <cell r="B10" t="str">
            <v>CAJA</v>
          </cell>
          <cell r="C10">
            <v>-248407.92</v>
          </cell>
          <cell r="E10">
            <v>2139445.04</v>
          </cell>
        </row>
        <row r="11">
          <cell r="A11">
            <v>1101010000</v>
          </cell>
          <cell r="B11" t="str">
            <v>CAJA GENERAL MONEDA NACIONAL</v>
          </cell>
          <cell r="C11">
            <v>-251131</v>
          </cell>
          <cell r="E11">
            <v>1951745.1</v>
          </cell>
        </row>
        <row r="12">
          <cell r="A12">
            <v>1101030000</v>
          </cell>
          <cell r="B12" t="str">
            <v>CAJA CHICA MONEDA NACIONAL</v>
          </cell>
          <cell r="C12">
            <v>2723.08</v>
          </cell>
          <cell r="E12">
            <v>187699.94</v>
          </cell>
        </row>
        <row r="13">
          <cell r="A13">
            <v>1102000000</v>
          </cell>
          <cell r="B13" t="str">
            <v>BANCOS</v>
          </cell>
          <cell r="C13">
            <v>4713608.8600000003</v>
          </cell>
          <cell r="E13">
            <v>7422646.4500000002</v>
          </cell>
        </row>
        <row r="14">
          <cell r="A14">
            <v>1102010000</v>
          </cell>
          <cell r="B14" t="str">
            <v>BANCO BISA</v>
          </cell>
          <cell r="C14">
            <v>1418063.46</v>
          </cell>
          <cell r="E14">
            <v>1515430.93</v>
          </cell>
        </row>
        <row r="15">
          <cell r="A15">
            <v>1102020000</v>
          </cell>
          <cell r="B15" t="str">
            <v>BANCO MERCANTIL</v>
          </cell>
          <cell r="C15">
            <v>329725.31</v>
          </cell>
          <cell r="E15">
            <v>593722.96</v>
          </cell>
        </row>
        <row r="16">
          <cell r="A16">
            <v>1102040000</v>
          </cell>
          <cell r="B16" t="str">
            <v>BANCO DE CREDITO</v>
          </cell>
          <cell r="C16">
            <v>68909.2</v>
          </cell>
          <cell r="E16">
            <v>301441.15000000002</v>
          </cell>
        </row>
        <row r="17">
          <cell r="A17">
            <v>1102050000</v>
          </cell>
          <cell r="B17" t="str">
            <v>BANCO ECONÓMICO</v>
          </cell>
          <cell r="C17">
            <v>95564.56</v>
          </cell>
          <cell r="E17">
            <v>413250.53</v>
          </cell>
        </row>
        <row r="18">
          <cell r="A18">
            <v>1102060000</v>
          </cell>
          <cell r="B18" t="str">
            <v>BANCO GANADERO</v>
          </cell>
          <cell r="C18">
            <v>-5669.4</v>
          </cell>
          <cell r="E18">
            <v>178378.51</v>
          </cell>
        </row>
        <row r="19">
          <cell r="A19">
            <v>1102070000</v>
          </cell>
          <cell r="B19" t="str">
            <v>BANCO UNION</v>
          </cell>
          <cell r="C19">
            <v>412353.09</v>
          </cell>
          <cell r="E19">
            <v>296363.59000000003</v>
          </cell>
        </row>
        <row r="20">
          <cell r="A20">
            <v>1102080000</v>
          </cell>
          <cell r="B20" t="str">
            <v>BANCO NACIONAL</v>
          </cell>
          <cell r="C20">
            <v>-139819.07</v>
          </cell>
          <cell r="E20">
            <v>73752.61</v>
          </cell>
        </row>
        <row r="21">
          <cell r="A21">
            <v>1102100000</v>
          </cell>
          <cell r="B21" t="str">
            <v>FONDO DE LA COMUNIDAD</v>
          </cell>
          <cell r="C21">
            <v>4015.3</v>
          </cell>
          <cell r="E21">
            <v>15550.54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1040082.58</v>
          </cell>
          <cell r="E23">
            <v>2344222.34</v>
          </cell>
        </row>
        <row r="24">
          <cell r="A24">
            <v>1102130000</v>
          </cell>
          <cell r="B24" t="str">
            <v>BANCO FIE</v>
          </cell>
          <cell r="C24">
            <v>1490383.83</v>
          </cell>
          <cell r="E24">
            <v>1687058.3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-1491805</v>
          </cell>
          <cell r="E27">
            <v>209873215.41999999</v>
          </cell>
        </row>
        <row r="28">
          <cell r="A28">
            <v>1201000000</v>
          </cell>
          <cell r="B28" t="str">
            <v>CUENTAS POR COBRAR</v>
          </cell>
          <cell r="C28">
            <v>-1244592.18</v>
          </cell>
          <cell r="E28">
            <v>132287554.14</v>
          </cell>
        </row>
        <row r="29">
          <cell r="A29">
            <v>1201010000</v>
          </cell>
          <cell r="B29" t="str">
            <v>DEUDORES POR PRODUCTOS LOCALES M.N.</v>
          </cell>
          <cell r="C29">
            <v>-2785921.07</v>
          </cell>
          <cell r="E29">
            <v>43286179.310000002</v>
          </cell>
        </row>
        <row r="30">
          <cell r="A30">
            <v>1201050000</v>
          </cell>
          <cell r="B30" t="str">
            <v>DEUDORES POR PRODUCTOS INTERIOR M.N.</v>
          </cell>
          <cell r="C30">
            <v>1638848.32</v>
          </cell>
          <cell r="E30">
            <v>86781315.930000007</v>
          </cell>
        </row>
        <row r="31">
          <cell r="A31">
            <v>1201130000</v>
          </cell>
          <cell r="B31" t="str">
            <v>DEUDORES VARIOS</v>
          </cell>
          <cell r="C31">
            <v>-97519.43</v>
          </cell>
          <cell r="E31">
            <v>2220058.9</v>
          </cell>
        </row>
        <row r="32">
          <cell r="A32">
            <v>1202000000</v>
          </cell>
          <cell r="B32" t="str">
            <v>CUENTAS CORRIENTES</v>
          </cell>
          <cell r="C32">
            <v>-79437.94</v>
          </cell>
          <cell r="E32">
            <v>70215956.980000004</v>
          </cell>
        </row>
        <row r="33">
          <cell r="A33">
            <v>1202010000</v>
          </cell>
          <cell r="B33" t="str">
            <v>PROVEEDORES</v>
          </cell>
          <cell r="C33">
            <v>-79437.94</v>
          </cell>
          <cell r="E33">
            <v>70209902.480000004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37223.019999999997</v>
          </cell>
          <cell r="E36">
            <v>3971436.22</v>
          </cell>
        </row>
        <row r="37">
          <cell r="A37">
            <v>1203030000</v>
          </cell>
          <cell r="B37" t="str">
            <v>RECLAMOS EN CURSO</v>
          </cell>
          <cell r="C37">
            <v>-57989.27</v>
          </cell>
          <cell r="E37">
            <v>48410.74</v>
          </cell>
        </row>
        <row r="38">
          <cell r="A38">
            <v>1203040000</v>
          </cell>
          <cell r="B38" t="str">
            <v>OTROS DOCUMENTOS POR COBRAR</v>
          </cell>
          <cell r="C38">
            <v>95212.29</v>
          </cell>
          <cell r="E38">
            <v>3923025.48</v>
          </cell>
        </row>
        <row r="39">
          <cell r="A39">
            <v>1204000000</v>
          </cell>
          <cell r="B39" t="str">
            <v>ANTICIPOS Y PRESTAMOS</v>
          </cell>
          <cell r="C39">
            <v>-204997.9</v>
          </cell>
          <cell r="E39">
            <v>3398268.08</v>
          </cell>
        </row>
        <row r="40">
          <cell r="A40">
            <v>1204010000</v>
          </cell>
          <cell r="B40" t="str">
            <v>ANTICIPOS AL PERSONAL</v>
          </cell>
          <cell r="C40">
            <v>0</v>
          </cell>
          <cell r="E40">
            <v>214.85</v>
          </cell>
        </row>
        <row r="41">
          <cell r="A41">
            <v>1204020000</v>
          </cell>
          <cell r="B41" t="str">
            <v>PRESTAMOS AL PERSONAL M.N.</v>
          </cell>
          <cell r="C41">
            <v>-5753.6</v>
          </cell>
          <cell r="E41">
            <v>50031.09</v>
          </cell>
        </row>
        <row r="42">
          <cell r="A42">
            <v>1204040000</v>
          </cell>
          <cell r="B42" t="str">
            <v>PRESTAMOS EN PRODUCTOS O SERVICIOS</v>
          </cell>
          <cell r="C42">
            <v>1731.3</v>
          </cell>
          <cell r="E42">
            <v>136312.87</v>
          </cell>
        </row>
        <row r="43">
          <cell r="A43">
            <v>1204050000</v>
          </cell>
          <cell r="B43" t="str">
            <v>PRESTAMOS MATERIALES DE ALMACEN</v>
          </cell>
          <cell r="C43">
            <v>-602.19000000000005</v>
          </cell>
          <cell r="E43">
            <v>5403.26</v>
          </cell>
        </row>
        <row r="44">
          <cell r="A44">
            <v>1204060000</v>
          </cell>
          <cell r="B44" t="str">
            <v>PAGOS ANTICIPADOS</v>
          </cell>
          <cell r="C44">
            <v>-310775.40999999997</v>
          </cell>
          <cell r="E44">
            <v>2761355.18</v>
          </cell>
        </row>
        <row r="45">
          <cell r="A45">
            <v>1204080000</v>
          </cell>
          <cell r="B45" t="str">
            <v>DEUDORES CON CARGO DE CUENTA M.N.</v>
          </cell>
          <cell r="C45">
            <v>110402</v>
          </cell>
          <cell r="E45">
            <v>444934.81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-6786268.3399999999</v>
          </cell>
          <cell r="E48">
            <v>151185463.80000001</v>
          </cell>
        </row>
        <row r="49">
          <cell r="A49">
            <v>1301000000</v>
          </cell>
          <cell r="B49" t="str">
            <v>EXISTENCIAS</v>
          </cell>
          <cell r="C49">
            <v>-5776844.6900000004</v>
          </cell>
          <cell r="E49">
            <v>63611610.740000002</v>
          </cell>
        </row>
        <row r="50">
          <cell r="A50">
            <v>1301010000</v>
          </cell>
          <cell r="B50" t="str">
            <v>MATERIA PRIMA E INSUMOS</v>
          </cell>
          <cell r="C50">
            <v>-1753048.95</v>
          </cell>
          <cell r="E50">
            <v>15026564.390000001</v>
          </cell>
        </row>
        <row r="51">
          <cell r="A51">
            <v>1301020000</v>
          </cell>
          <cell r="B51" t="str">
            <v>PRODUCTOS EN PROCESO</v>
          </cell>
          <cell r="C51">
            <v>-3790358.37</v>
          </cell>
          <cell r="E51">
            <v>47233477.789999999</v>
          </cell>
        </row>
        <row r="52">
          <cell r="A52">
            <v>1301030000</v>
          </cell>
          <cell r="B52" t="str">
            <v>PRODUCTOS TERMINADOS</v>
          </cell>
          <cell r="C52">
            <v>-233437.37</v>
          </cell>
          <cell r="E52">
            <v>1351568.56</v>
          </cell>
        </row>
        <row r="53">
          <cell r="A53">
            <v>1304000000</v>
          </cell>
          <cell r="B53" t="str">
            <v>EXISTENCIA DE MATERIALES</v>
          </cell>
          <cell r="C53">
            <v>-1009423.65</v>
          </cell>
          <cell r="E53">
            <v>87573853.060000002</v>
          </cell>
        </row>
        <row r="54">
          <cell r="A54">
            <v>1304010000</v>
          </cell>
          <cell r="B54" t="str">
            <v>MATERIALES EN ALMACEN</v>
          </cell>
          <cell r="C54">
            <v>-859122.61</v>
          </cell>
          <cell r="E54">
            <v>55698539.710000001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8500984.3599999994</v>
          </cell>
        </row>
        <row r="56">
          <cell r="A56">
            <v>1304030000</v>
          </cell>
          <cell r="B56" t="str">
            <v>PULPERIA IRPA - IRPA</v>
          </cell>
          <cell r="C56">
            <v>-28994.7</v>
          </cell>
          <cell r="E56">
            <v>80513.45</v>
          </cell>
        </row>
        <row r="57">
          <cell r="A57">
            <v>1304040000</v>
          </cell>
          <cell r="B57" t="str">
            <v>MERCADERIAS EN TRANSITO</v>
          </cell>
          <cell r="C57">
            <v>-121306.34</v>
          </cell>
          <cell r="E57">
            <v>23293815.539999999</v>
          </cell>
        </row>
        <row r="59">
          <cell r="A59">
            <v>1400000000</v>
          </cell>
          <cell r="B59" t="str">
            <v>ACTIVO FIJO</v>
          </cell>
          <cell r="C59">
            <v>-775698.95</v>
          </cell>
          <cell r="E59">
            <v>573736025.79999995</v>
          </cell>
        </row>
        <row r="60">
          <cell r="A60">
            <v>1401000000</v>
          </cell>
          <cell r="B60" t="str">
            <v>BIENES DE USO</v>
          </cell>
          <cell r="C60">
            <v>2928358.28</v>
          </cell>
          <cell r="E60">
            <v>1816030567</v>
          </cell>
        </row>
        <row r="61">
          <cell r="A61">
            <v>1401010000</v>
          </cell>
          <cell r="B61" t="str">
            <v>TERRENOS</v>
          </cell>
          <cell r="C61">
            <v>139831.92000000001</v>
          </cell>
          <cell r="E61">
            <v>43776073.700000003</v>
          </cell>
        </row>
        <row r="62">
          <cell r="A62">
            <v>1401020000</v>
          </cell>
          <cell r="B62" t="str">
            <v>EDIFICIOS</v>
          </cell>
          <cell r="C62">
            <v>1176044.8700000001</v>
          </cell>
          <cell r="E62">
            <v>373833248.14999998</v>
          </cell>
        </row>
        <row r="63">
          <cell r="A63">
            <v>1401030000</v>
          </cell>
          <cell r="B63" t="str">
            <v>MUEBLES Y ENSERES DE OFICINA</v>
          </cell>
          <cell r="C63">
            <v>-5750.26</v>
          </cell>
          <cell r="E63">
            <v>5161624.24</v>
          </cell>
        </row>
        <row r="64">
          <cell r="A64">
            <v>1401040000</v>
          </cell>
          <cell r="B64" t="str">
            <v>MAQUINARIA Y EQUIPO</v>
          </cell>
          <cell r="C64">
            <v>970126.17</v>
          </cell>
          <cell r="E64">
            <v>696557815.48000002</v>
          </cell>
        </row>
        <row r="65">
          <cell r="A65">
            <v>1401050000</v>
          </cell>
          <cell r="B65" t="str">
            <v>VEHICULOS</v>
          </cell>
          <cell r="C65">
            <v>-547076.99</v>
          </cell>
          <cell r="E65">
            <v>34764826.090000004</v>
          </cell>
        </row>
        <row r="66">
          <cell r="A66">
            <v>1401060000</v>
          </cell>
          <cell r="B66" t="str">
            <v>MAQUINARIA DE CONSTRUCCION</v>
          </cell>
          <cell r="C66">
            <v>2843.55</v>
          </cell>
          <cell r="E66">
            <v>17581785.210000001</v>
          </cell>
        </row>
        <row r="67">
          <cell r="A67">
            <v>1401070000</v>
          </cell>
          <cell r="B67" t="str">
            <v>EQUIPO PESADO</v>
          </cell>
          <cell r="C67">
            <v>10299.99</v>
          </cell>
          <cell r="E67">
            <v>123723121.29000001</v>
          </cell>
        </row>
        <row r="68">
          <cell r="A68">
            <v>1401080000</v>
          </cell>
          <cell r="B68" t="str">
            <v>INSTALACIONES INDUSTRIALES</v>
          </cell>
          <cell r="C68">
            <v>992935</v>
          </cell>
          <cell r="E68">
            <v>469388817.36000001</v>
          </cell>
        </row>
        <row r="69">
          <cell r="A69">
            <v>1401090000</v>
          </cell>
          <cell r="B69" t="str">
            <v>HERRAMIENTAS E IMPLEMENTOS</v>
          </cell>
          <cell r="C69">
            <v>574.03</v>
          </cell>
          <cell r="E69">
            <v>19201234.02</v>
          </cell>
        </row>
        <row r="70">
          <cell r="A70">
            <v>1401100000</v>
          </cell>
          <cell r="B70" t="str">
            <v>TINGLADOS</v>
          </cell>
          <cell r="C70">
            <v>10651.46</v>
          </cell>
          <cell r="E70">
            <v>14350046.609999999</v>
          </cell>
        </row>
        <row r="71">
          <cell r="A71">
            <v>1401110000</v>
          </cell>
          <cell r="B71" t="str">
            <v>EQUIPOS DE COMPUTACION</v>
          </cell>
          <cell r="C71">
            <v>166597.72</v>
          </cell>
          <cell r="E71">
            <v>8241585.2199999997</v>
          </cell>
        </row>
        <row r="72">
          <cell r="A72">
            <v>1401120000</v>
          </cell>
          <cell r="B72" t="str">
            <v>EQUIPOS DE LABORATORIO</v>
          </cell>
          <cell r="C72">
            <v>11280.82</v>
          </cell>
          <cell r="E72">
            <v>9284286.3100000005</v>
          </cell>
        </row>
        <row r="73">
          <cell r="A73">
            <v>1401150000</v>
          </cell>
          <cell r="B73" t="str">
            <v>CANALES DE RIEGO Y POZOS</v>
          </cell>
          <cell r="C73">
            <v>0</v>
          </cell>
          <cell r="E73">
            <v>166103.32</v>
          </cell>
        </row>
        <row r="74">
          <cell r="A74">
            <v>1402000000</v>
          </cell>
          <cell r="B74" t="str">
            <v>DEPRECIACION ACUMULADA</v>
          </cell>
          <cell r="C74">
            <v>-3704057.23</v>
          </cell>
          <cell r="E74">
            <v>-1242294541.2</v>
          </cell>
        </row>
        <row r="75">
          <cell r="A75">
            <v>1402020000</v>
          </cell>
          <cell r="B75" t="str">
            <v>EDIFICIOS</v>
          </cell>
          <cell r="C75">
            <v>-1089580.43</v>
          </cell>
          <cell r="E75">
            <v>-106527338.94</v>
          </cell>
        </row>
        <row r="76">
          <cell r="A76">
            <v>1402030000</v>
          </cell>
          <cell r="B76" t="str">
            <v>MUEBLES Y ENSERES DE OFICINA</v>
          </cell>
          <cell r="C76">
            <v>4611.99</v>
          </cell>
          <cell r="E76">
            <v>-5126064.74</v>
          </cell>
        </row>
        <row r="77">
          <cell r="A77">
            <v>1402040000</v>
          </cell>
          <cell r="B77" t="str">
            <v>MAQUINARIA Y EQUIPO</v>
          </cell>
          <cell r="C77">
            <v>-1440751.63</v>
          </cell>
          <cell r="E77">
            <v>-566739660.58000004</v>
          </cell>
        </row>
        <row r="78">
          <cell r="A78">
            <v>1402050000</v>
          </cell>
          <cell r="B78" t="str">
            <v>VEHICULOS</v>
          </cell>
          <cell r="C78">
            <v>519800.66</v>
          </cell>
          <cell r="E78">
            <v>-34229746.109999999</v>
          </cell>
        </row>
        <row r="79">
          <cell r="A79">
            <v>1402060000</v>
          </cell>
          <cell r="B79" t="str">
            <v>MAQUINARIA DE CONSTRUCCION</v>
          </cell>
          <cell r="C79">
            <v>-12808.05</v>
          </cell>
          <cell r="E79">
            <v>-17308532.010000002</v>
          </cell>
        </row>
        <row r="80">
          <cell r="A80">
            <v>1402070000</v>
          </cell>
          <cell r="B80" t="str">
            <v>EQUIPO PESADO</v>
          </cell>
          <cell r="C80">
            <v>-38862.81</v>
          </cell>
          <cell r="E80">
            <v>-122183227.27</v>
          </cell>
        </row>
        <row r="81">
          <cell r="A81">
            <v>1402080000</v>
          </cell>
          <cell r="B81" t="str">
            <v>INSTALACIONES INDUSTRIALES</v>
          </cell>
          <cell r="C81">
            <v>-1540721.21</v>
          </cell>
          <cell r="E81">
            <v>-341784209.62</v>
          </cell>
        </row>
        <row r="82">
          <cell r="A82">
            <v>1402090000</v>
          </cell>
          <cell r="B82" t="str">
            <v>HERRAMIENTAS E IMPLEMENTOS</v>
          </cell>
          <cell r="C82">
            <v>-4007.35</v>
          </cell>
          <cell r="E82">
            <v>-19107788.98</v>
          </cell>
        </row>
        <row r="83">
          <cell r="A83">
            <v>1402100000</v>
          </cell>
          <cell r="B83" t="str">
            <v>TINGLADOS</v>
          </cell>
          <cell r="C83">
            <v>-36248.42</v>
          </cell>
          <cell r="E83">
            <v>-13691885.939999999</v>
          </cell>
        </row>
        <row r="84">
          <cell r="A84">
            <v>1402110000</v>
          </cell>
          <cell r="B84" t="str">
            <v>EQUIPOS DE COMPUTACION</v>
          </cell>
          <cell r="C84">
            <v>-22669.5</v>
          </cell>
          <cell r="E84">
            <v>-7751798.1600000001</v>
          </cell>
        </row>
        <row r="85">
          <cell r="A85">
            <v>1402120000</v>
          </cell>
          <cell r="B85" t="str">
            <v>EQUIPOS DE LABORATORIO</v>
          </cell>
          <cell r="C85">
            <v>-42820.480000000003</v>
          </cell>
          <cell r="E85">
            <v>-7678185.5300000003</v>
          </cell>
        </row>
        <row r="86">
          <cell r="A86">
            <v>1402150000</v>
          </cell>
          <cell r="B86" t="str">
            <v>CANALES DE RIEGO Y POZOS</v>
          </cell>
          <cell r="C86">
            <v>0</v>
          </cell>
          <cell r="E86">
            <v>-166103.32</v>
          </cell>
        </row>
        <row r="88">
          <cell r="A88">
            <v>1500000000</v>
          </cell>
          <cell r="B88" t="str">
            <v>INVERSIONES</v>
          </cell>
          <cell r="C88">
            <v>-852429.9</v>
          </cell>
          <cell r="E88">
            <v>29464288.640000001</v>
          </cell>
        </row>
        <row r="89">
          <cell r="A89">
            <v>1502000000</v>
          </cell>
          <cell r="B89" t="str">
            <v>OTRAS INVERSIONES</v>
          </cell>
          <cell r="C89">
            <v>-852429.9</v>
          </cell>
          <cell r="E89">
            <v>29464288.640000001</v>
          </cell>
        </row>
        <row r="90">
          <cell r="A90">
            <v>1502010000</v>
          </cell>
          <cell r="B90" t="str">
            <v>ACCIONES</v>
          </cell>
          <cell r="C90">
            <v>-852429.9</v>
          </cell>
          <cell r="E90">
            <v>29063468.629999999</v>
          </cell>
        </row>
        <row r="91">
          <cell r="A91">
            <v>1502030000</v>
          </cell>
          <cell r="B91" t="str">
            <v>LINEAS TELEFONICAS</v>
          </cell>
          <cell r="C91">
            <v>0</v>
          </cell>
          <cell r="E91">
            <v>261000</v>
          </cell>
        </row>
        <row r="92">
          <cell r="A92">
            <v>1502050000</v>
          </cell>
          <cell r="B92" t="str">
            <v>OTRAS INVERSIONES</v>
          </cell>
          <cell r="C92">
            <v>0</v>
          </cell>
          <cell r="E92">
            <v>139820.01</v>
          </cell>
        </row>
        <row r="94">
          <cell r="A94">
            <v>1600000000</v>
          </cell>
          <cell r="B94" t="str">
            <v>OTROS ACTIVOS</v>
          </cell>
          <cell r="C94">
            <v>-1287359.97</v>
          </cell>
          <cell r="E94">
            <v>206446193.16999999</v>
          </cell>
        </row>
        <row r="95">
          <cell r="A95">
            <v>1601000000</v>
          </cell>
          <cell r="B95" t="str">
            <v>DOCUMENTOS POR COBRAR A LARGO PLAZO</v>
          </cell>
          <cell r="C95">
            <v>-700</v>
          </cell>
          <cell r="E95">
            <v>9549450.3599999994</v>
          </cell>
        </row>
        <row r="96">
          <cell r="A96">
            <v>1601040000</v>
          </cell>
          <cell r="B96" t="str">
            <v>DOCUMENTOS EN EJECUCION</v>
          </cell>
          <cell r="C96">
            <v>-700</v>
          </cell>
          <cell r="E96">
            <v>9549450.3599999994</v>
          </cell>
        </row>
        <row r="97">
          <cell r="A97">
            <v>1601050000</v>
          </cell>
          <cell r="B97" t="str">
            <v>CUENTAS INCOBRABLES</v>
          </cell>
          <cell r="C97">
            <v>0</v>
          </cell>
          <cell r="E97">
            <v>3212209.75</v>
          </cell>
        </row>
        <row r="98">
          <cell r="A98">
            <v>1601060000</v>
          </cell>
          <cell r="B98" t="str">
            <v>(PREVISION CUENTAS INCOBRABLES)</v>
          </cell>
          <cell r="C98">
            <v>0</v>
          </cell>
          <cell r="E98">
            <v>-3212209.75</v>
          </cell>
        </row>
        <row r="99">
          <cell r="A99">
            <v>1602000000</v>
          </cell>
          <cell r="B99" t="str">
            <v>OBRAS EN EJECUCIÓN</v>
          </cell>
          <cell r="C99">
            <v>219632.74</v>
          </cell>
          <cell r="E99">
            <v>15251635.310000001</v>
          </cell>
        </row>
        <row r="100">
          <cell r="A100">
            <v>1602010000</v>
          </cell>
          <cell r="B100" t="str">
            <v>AMPLIACIONES</v>
          </cell>
          <cell r="C100">
            <v>219632.74</v>
          </cell>
          <cell r="E100">
            <v>15251635.310000001</v>
          </cell>
        </row>
        <row r="101">
          <cell r="A101">
            <v>1604000000</v>
          </cell>
          <cell r="B101" t="str">
            <v>BIENES ARRENDADOS</v>
          </cell>
          <cell r="C101">
            <v>0</v>
          </cell>
          <cell r="E101">
            <v>2506992.62</v>
          </cell>
        </row>
        <row r="102">
          <cell r="A102">
            <v>1604010000</v>
          </cell>
          <cell r="B102" t="str">
            <v>VALOR DE ARRENDAMIENTO</v>
          </cell>
          <cell r="C102">
            <v>0</v>
          </cell>
          <cell r="E102">
            <v>2506992.62</v>
          </cell>
        </row>
        <row r="103">
          <cell r="A103">
            <v>1605000000</v>
          </cell>
          <cell r="B103" t="str">
            <v>DIVERSOS</v>
          </cell>
          <cell r="C103">
            <v>-14261.73</v>
          </cell>
          <cell r="E103">
            <v>18536669.57</v>
          </cell>
        </row>
        <row r="104">
          <cell r="A104">
            <v>1605010000</v>
          </cell>
          <cell r="B104" t="str">
            <v>REPUESTOS EN ALMACEN</v>
          </cell>
          <cell r="C104">
            <v>-14261.73</v>
          </cell>
          <cell r="E104">
            <v>18347649.329999998</v>
          </cell>
        </row>
        <row r="105">
          <cell r="A105">
            <v>1605020000</v>
          </cell>
          <cell r="B105" t="str">
            <v>LIBROS Y BIBLIOTECAS</v>
          </cell>
          <cell r="C105">
            <v>0</v>
          </cell>
          <cell r="E105">
            <v>189020.24</v>
          </cell>
        </row>
        <row r="106">
          <cell r="A106">
            <v>1606000000</v>
          </cell>
          <cell r="B106" t="str">
            <v>CUENTAS CORRIENTES UNIDADES</v>
          </cell>
          <cell r="C106">
            <v>-1492030.98</v>
          </cell>
          <cell r="E106">
            <v>160601445.31</v>
          </cell>
        </row>
        <row r="107">
          <cell r="A107">
            <v>1606010000</v>
          </cell>
          <cell r="B107" t="str">
            <v>LIMITADA</v>
          </cell>
          <cell r="C107">
            <v>-1211993.6299999999</v>
          </cell>
          <cell r="E107">
            <v>132389349.18000001</v>
          </cell>
        </row>
        <row r="108">
          <cell r="A108">
            <v>1606030000</v>
          </cell>
          <cell r="B108" t="str">
            <v>CERAMIL</v>
          </cell>
          <cell r="C108">
            <v>42026.720000000001</v>
          </cell>
          <cell r="E108">
            <v>6356790.7199999997</v>
          </cell>
        </row>
        <row r="109">
          <cell r="A109">
            <v>1606040000</v>
          </cell>
          <cell r="B109" t="str">
            <v>HORMIGON</v>
          </cell>
          <cell r="C109">
            <v>-140130.23000000001</v>
          </cell>
          <cell r="E109">
            <v>20364597.41</v>
          </cell>
        </row>
        <row r="110">
          <cell r="A110">
            <v>1606050000</v>
          </cell>
          <cell r="B110" t="str">
            <v>CONSTRUCCIONES</v>
          </cell>
          <cell r="C110">
            <v>273146.15999999997</v>
          </cell>
          <cell r="E110">
            <v>883342.18</v>
          </cell>
        </row>
        <row r="111">
          <cell r="A111">
            <v>1606060000</v>
          </cell>
          <cell r="B111" t="str">
            <v>CERAMICA</v>
          </cell>
          <cell r="C111">
            <v>-461352.3</v>
          </cell>
          <cell r="E111">
            <v>507152.66</v>
          </cell>
        </row>
        <row r="112">
          <cell r="A112">
            <v>1606070000</v>
          </cell>
          <cell r="B112" t="str">
            <v>METAL</v>
          </cell>
          <cell r="C112">
            <v>3130.11</v>
          </cell>
          <cell r="E112">
            <v>87256.11</v>
          </cell>
        </row>
        <row r="113">
          <cell r="A113">
            <v>1606080000</v>
          </cell>
          <cell r="B113" t="str">
            <v>COBOCE EDITORA OPINION</v>
          </cell>
          <cell r="C113">
            <v>3142.19</v>
          </cell>
          <cell r="E113">
            <v>12957.05</v>
          </cell>
        </row>
        <row r="115">
          <cell r="A115">
            <v>1700000000</v>
          </cell>
          <cell r="B115" t="str">
            <v>ACTIVOS DIFERIDOS</v>
          </cell>
          <cell r="C115">
            <v>-57045.91</v>
          </cell>
          <cell r="E115">
            <v>13094564.439999999</v>
          </cell>
        </row>
        <row r="116">
          <cell r="A116">
            <v>1701000000</v>
          </cell>
          <cell r="B116" t="str">
            <v>ACTIVOS RETIRADOS</v>
          </cell>
          <cell r="C116">
            <v>0</v>
          </cell>
          <cell r="E116">
            <v>3580102.51</v>
          </cell>
        </row>
        <row r="117">
          <cell r="A117">
            <v>1701010000</v>
          </cell>
          <cell r="B117" t="str">
            <v>BIENES DE USO RETIRADOS</v>
          </cell>
          <cell r="C117">
            <v>0</v>
          </cell>
          <cell r="E117">
            <v>3580102.51</v>
          </cell>
        </row>
        <row r="118">
          <cell r="A118">
            <v>1702000000</v>
          </cell>
          <cell r="B118" t="str">
            <v>GASTOS DIFERIDOS</v>
          </cell>
          <cell r="C118">
            <v>-57045.91</v>
          </cell>
          <cell r="E118">
            <v>9514461.9299999997</v>
          </cell>
        </row>
        <row r="119">
          <cell r="A119">
            <v>1702010000</v>
          </cell>
          <cell r="B119" t="str">
            <v>GASTOS DE ORGANIZACION Y PUESTA EN MARCH</v>
          </cell>
          <cell r="C119">
            <v>0</v>
          </cell>
          <cell r="E119">
            <v>4900472.5999999996</v>
          </cell>
        </row>
        <row r="120">
          <cell r="A120">
            <v>1702020000</v>
          </cell>
          <cell r="B120" t="str">
            <v>GASTOS DE PRODUCCIÓN Y MANTENIMIENTO</v>
          </cell>
          <cell r="C120">
            <v>-57045.91</v>
          </cell>
          <cell r="E120">
            <v>19874.7</v>
          </cell>
        </row>
        <row r="121">
          <cell r="A121">
            <v>1702050000</v>
          </cell>
          <cell r="B121" t="str">
            <v>VARIOS</v>
          </cell>
          <cell r="C121">
            <v>0</v>
          </cell>
          <cell r="E121">
            <v>4594114.63</v>
          </cell>
        </row>
        <row r="123">
          <cell r="A123">
            <v>2000000000</v>
          </cell>
          <cell r="B123" t="str">
            <v>PASIVO</v>
          </cell>
          <cell r="C123">
            <v>1908457.49</v>
          </cell>
          <cell r="E123">
            <v>-1227126150.79</v>
          </cell>
        </row>
        <row r="126">
          <cell r="A126">
            <v>2100000000</v>
          </cell>
          <cell r="B126" t="str">
            <v>PASIVO CORRIENTE</v>
          </cell>
          <cell r="C126">
            <v>118480937.04000001</v>
          </cell>
          <cell r="E126">
            <v>-174184233.44</v>
          </cell>
        </row>
        <row r="127">
          <cell r="A127">
            <v>2101000000</v>
          </cell>
          <cell r="B127" t="str">
            <v>DEUDAS COMERCIALES</v>
          </cell>
          <cell r="C127">
            <v>2233845.0699999998</v>
          </cell>
          <cell r="E127">
            <v>-93283717.599999994</v>
          </cell>
        </row>
        <row r="128">
          <cell r="A128">
            <v>2101010000</v>
          </cell>
          <cell r="B128" t="str">
            <v>PROVEEDORES</v>
          </cell>
          <cell r="C128">
            <v>1378894.34</v>
          </cell>
          <cell r="E128">
            <v>-84293160.129999995</v>
          </cell>
        </row>
        <row r="129">
          <cell r="A129">
            <v>2101030000</v>
          </cell>
          <cell r="B129" t="str">
            <v>TRANSPORTISTAS</v>
          </cell>
          <cell r="C129">
            <v>967158.92</v>
          </cell>
          <cell r="E129">
            <v>-3960234.72</v>
          </cell>
        </row>
        <row r="130">
          <cell r="A130">
            <v>2101040000</v>
          </cell>
          <cell r="B130" t="str">
            <v>ACREEDORES VARIOS</v>
          </cell>
          <cell r="C130">
            <v>-112208.19</v>
          </cell>
          <cell r="E130">
            <v>-4712898.8899999997</v>
          </cell>
        </row>
        <row r="131">
          <cell r="A131">
            <v>2101090000</v>
          </cell>
          <cell r="B131" t="str">
            <v>ACREEDORES POR DEPOSITOS EN GARANTIA</v>
          </cell>
          <cell r="C131">
            <v>0</v>
          </cell>
          <cell r="E131">
            <v>-47575.86</v>
          </cell>
        </row>
        <row r="132">
          <cell r="A132">
            <v>2101650000</v>
          </cell>
          <cell r="B132" t="str">
            <v>PROVEEDORES AEROPUERTO POTOSI</v>
          </cell>
          <cell r="C132">
            <v>0</v>
          </cell>
          <cell r="E132">
            <v>-269848</v>
          </cell>
        </row>
        <row r="133">
          <cell r="A133">
            <v>2102000000</v>
          </cell>
          <cell r="B133" t="str">
            <v>DOCUMENTOS POR PAGAR</v>
          </cell>
          <cell r="C133">
            <v>-839276.27</v>
          </cell>
          <cell r="E133">
            <v>-5788138.4500000002</v>
          </cell>
        </row>
        <row r="134">
          <cell r="A134">
            <v>2102020000</v>
          </cell>
          <cell r="B134" t="str">
            <v>BANCARIOS</v>
          </cell>
          <cell r="C134">
            <v>0</v>
          </cell>
          <cell r="E134">
            <v>-2881600.56</v>
          </cell>
        </row>
        <row r="135">
          <cell r="A135">
            <v>2102030000</v>
          </cell>
          <cell r="B135" t="str">
            <v>CONTRATOS</v>
          </cell>
          <cell r="C135">
            <v>-261.20999999999998</v>
          </cell>
          <cell r="E135">
            <v>-1907606.65</v>
          </cell>
        </row>
        <row r="136">
          <cell r="A136">
            <v>2102040000</v>
          </cell>
          <cell r="B136" t="str">
            <v>OTROS DOCUMENTOS</v>
          </cell>
          <cell r="C136">
            <v>-839015.06</v>
          </cell>
          <cell r="E136">
            <v>-998931.24</v>
          </cell>
        </row>
        <row r="137">
          <cell r="A137">
            <v>2104000000</v>
          </cell>
          <cell r="B137" t="str">
            <v>OBLIGACIONES FINANCIERAS A CORTO PLAZO</v>
          </cell>
          <cell r="C137">
            <v>117710805.67</v>
          </cell>
          <cell r="E137">
            <v>-38013624.460000001</v>
          </cell>
        </row>
        <row r="138">
          <cell r="A138">
            <v>2104010000</v>
          </cell>
          <cell r="B138" t="str">
            <v>OBLIGACIONES POR CAPITAL</v>
          </cell>
          <cell r="C138">
            <v>108387645.56</v>
          </cell>
          <cell r="E138">
            <v>-35029010.600000001</v>
          </cell>
        </row>
        <row r="139">
          <cell r="A139">
            <v>2104020000</v>
          </cell>
          <cell r="B139" t="str">
            <v>OBLIGACIONES POR INTERESES</v>
          </cell>
          <cell r="C139">
            <v>9323160.1099999994</v>
          </cell>
          <cell r="E139">
            <v>-2984613.86</v>
          </cell>
        </row>
        <row r="140">
          <cell r="A140">
            <v>2105000000</v>
          </cell>
          <cell r="B140" t="str">
            <v>IMPUESTOS POR PAGAR</v>
          </cell>
          <cell r="C140">
            <v>0</v>
          </cell>
          <cell r="E140">
            <v>0</v>
          </cell>
        </row>
        <row r="141">
          <cell r="A141">
            <v>2105010000</v>
          </cell>
          <cell r="B141" t="str">
            <v>IMPUESTO AL VALOR AGREGADO (DEBITO FISCA</v>
          </cell>
          <cell r="C141">
            <v>0</v>
          </cell>
          <cell r="E141">
            <v>0</v>
          </cell>
        </row>
        <row r="142">
          <cell r="A142">
            <v>2105040000</v>
          </cell>
          <cell r="B142" t="str">
            <v>RETENCION EN LA FUENTE</v>
          </cell>
          <cell r="C142">
            <v>0</v>
          </cell>
          <cell r="E142">
            <v>0</v>
          </cell>
        </row>
        <row r="143">
          <cell r="A143">
            <v>2106000000</v>
          </cell>
          <cell r="B143" t="str">
            <v>OBLIGACIONES POR PAGAR</v>
          </cell>
          <cell r="C143">
            <v>119609.83</v>
          </cell>
          <cell r="E143">
            <v>-22650669.210000001</v>
          </cell>
        </row>
        <row r="144">
          <cell r="A144">
            <v>2106010000</v>
          </cell>
          <cell r="B144" t="str">
            <v>SUELDOS Y JORNALES POR PAGAR</v>
          </cell>
          <cell r="C144">
            <v>676723.65</v>
          </cell>
          <cell r="E144">
            <v>-10770123.640000001</v>
          </cell>
        </row>
        <row r="145">
          <cell r="A145">
            <v>2106020000</v>
          </cell>
          <cell r="B145" t="str">
            <v>AGUINALDOS Y PRIMAS POR PAGAR</v>
          </cell>
          <cell r="C145">
            <v>0</v>
          </cell>
          <cell r="E145">
            <v>-100838.3</v>
          </cell>
        </row>
        <row r="146">
          <cell r="A146">
            <v>2106040000</v>
          </cell>
          <cell r="B146" t="str">
            <v>FINIQUITOS POR PAGAR</v>
          </cell>
          <cell r="C146">
            <v>1194282.58</v>
          </cell>
          <cell r="E146">
            <v>-1707514.96</v>
          </cell>
        </row>
        <row r="147">
          <cell r="A147">
            <v>2106060000</v>
          </cell>
          <cell r="B147" t="str">
            <v>AGUINALDOS Y PRIMAS NO RECLAMADOS</v>
          </cell>
          <cell r="C147">
            <v>0</v>
          </cell>
          <cell r="E147">
            <v>-373944.54</v>
          </cell>
        </row>
        <row r="148">
          <cell r="A148">
            <v>2106070000</v>
          </cell>
          <cell r="B148" t="str">
            <v>APORTES Y RETENCIONES POR PAGAR</v>
          </cell>
          <cell r="C148">
            <v>-1637860.4</v>
          </cell>
          <cell r="E148">
            <v>-9252211.1500000004</v>
          </cell>
        </row>
        <row r="149">
          <cell r="A149">
            <v>2106080000</v>
          </cell>
          <cell r="B149" t="str">
            <v>RETENCIONES JUDICIALES</v>
          </cell>
          <cell r="C149">
            <v>-113536</v>
          </cell>
          <cell r="E149">
            <v>-446036.62</v>
          </cell>
        </row>
        <row r="150">
          <cell r="A150">
            <v>2107000000</v>
          </cell>
          <cell r="B150" t="str">
            <v>PROVISIONES</v>
          </cell>
          <cell r="C150">
            <v>-593129.93000000005</v>
          </cell>
          <cell r="E150">
            <v>-12801984.779999999</v>
          </cell>
        </row>
        <row r="151">
          <cell r="A151">
            <v>2107010000</v>
          </cell>
          <cell r="B151" t="str">
            <v>AGUINALDOS</v>
          </cell>
          <cell r="C151">
            <v>-593129.93000000005</v>
          </cell>
          <cell r="E151">
            <v>-5937309.3399999999</v>
          </cell>
        </row>
        <row r="152">
          <cell r="A152">
            <v>2107030000</v>
          </cell>
          <cell r="B152" t="str">
            <v>OTROS</v>
          </cell>
          <cell r="C152">
            <v>0</v>
          </cell>
          <cell r="E152">
            <v>-6864675.4400000004</v>
          </cell>
        </row>
        <row r="153">
          <cell r="A153">
            <v>2108000000</v>
          </cell>
          <cell r="B153" t="str">
            <v>COBROS POR ADELANTADO</v>
          </cell>
          <cell r="C153">
            <v>-150917.32999999999</v>
          </cell>
          <cell r="E153">
            <v>-1646098.94</v>
          </cell>
        </row>
        <row r="154">
          <cell r="A154">
            <v>2108010000</v>
          </cell>
          <cell r="B154" t="str">
            <v>CLIENTES LOCALES</v>
          </cell>
          <cell r="C154">
            <v>-158696.9</v>
          </cell>
          <cell r="E154">
            <v>-1107865.82</v>
          </cell>
        </row>
        <row r="155">
          <cell r="A155">
            <v>2108020000</v>
          </cell>
          <cell r="B155" t="str">
            <v>CLIENTES INTERIOR</v>
          </cell>
          <cell r="C155">
            <v>7779.57</v>
          </cell>
          <cell r="E155">
            <v>-538233.12</v>
          </cell>
        </row>
        <row r="157">
          <cell r="A157">
            <v>2200000000</v>
          </cell>
          <cell r="B157" t="str">
            <v>PASIVO NO CORRIENTE</v>
          </cell>
          <cell r="C157">
            <v>-115078179.88</v>
          </cell>
          <cell r="E157">
            <v>-585214996.14999998</v>
          </cell>
        </row>
        <row r="158">
          <cell r="A158">
            <v>2201000000</v>
          </cell>
          <cell r="B158" t="str">
            <v>OBLIGACIONES FINANCIERAS A LARGO PLAZO</v>
          </cell>
          <cell r="C158">
            <v>-115944785.53</v>
          </cell>
          <cell r="E158">
            <v>-280581956.83999997</v>
          </cell>
        </row>
        <row r="159">
          <cell r="A159">
            <v>2201010000</v>
          </cell>
          <cell r="B159" t="str">
            <v>OBLIGACIONES POR CAPITAL</v>
          </cell>
          <cell r="C159">
            <v>-107456903.05</v>
          </cell>
          <cell r="E159">
            <v>-270133094.17000002</v>
          </cell>
        </row>
        <row r="160">
          <cell r="A160">
            <v>2201030000</v>
          </cell>
          <cell r="B160" t="str">
            <v>OBLIGACIONES POR INTERESES LP</v>
          </cell>
          <cell r="C160">
            <v>-8487882.4800000004</v>
          </cell>
          <cell r="E160">
            <v>-10448862.67</v>
          </cell>
        </row>
        <row r="161">
          <cell r="A161">
            <v>2202000000</v>
          </cell>
          <cell r="B161" t="str">
            <v>PREVISIONES</v>
          </cell>
          <cell r="C161">
            <v>1590148.22</v>
          </cell>
          <cell r="E161">
            <v>-53522081.689999998</v>
          </cell>
        </row>
        <row r="162">
          <cell r="A162">
            <v>2202010000</v>
          </cell>
          <cell r="B162" t="str">
            <v>PREVISIONES BENEFICIOS SOCIALES</v>
          </cell>
          <cell r="C162">
            <v>1590148.22</v>
          </cell>
          <cell r="E162">
            <v>-53465099.009999998</v>
          </cell>
        </row>
        <row r="163">
          <cell r="A163">
            <v>2202020000</v>
          </cell>
          <cell r="B163" t="str">
            <v>OTRAS PREVISIONES</v>
          </cell>
          <cell r="C163">
            <v>0</v>
          </cell>
          <cell r="E163">
            <v>-56982.68</v>
          </cell>
        </row>
        <row r="164">
          <cell r="A164">
            <v>2203000000</v>
          </cell>
          <cell r="B164" t="str">
            <v>OTROS PASIVOS NO CORRIENTES</v>
          </cell>
          <cell r="C164">
            <v>-5762.16</v>
          </cell>
          <cell r="E164">
            <v>-732572.32</v>
          </cell>
        </row>
        <row r="165">
          <cell r="A165">
            <v>2203050000</v>
          </cell>
          <cell r="B165" t="str">
            <v>CREDITOS DIFERIDOS</v>
          </cell>
          <cell r="C165">
            <v>-5762.16</v>
          </cell>
          <cell r="E165">
            <v>-732572.32</v>
          </cell>
        </row>
        <row r="166">
          <cell r="A166">
            <v>2204000000</v>
          </cell>
          <cell r="B166" t="str">
            <v>CUENTAS CORRIENTES. UNIDADES.</v>
          </cell>
          <cell r="C166">
            <v>-717780.41</v>
          </cell>
          <cell r="E166">
            <v>-250378385.30000001</v>
          </cell>
        </row>
        <row r="167">
          <cell r="A167">
            <v>2204010000</v>
          </cell>
          <cell r="B167" t="str">
            <v>LIMITADA</v>
          </cell>
          <cell r="C167">
            <v>-655059.01</v>
          </cell>
          <cell r="E167">
            <v>-243954855.37</v>
          </cell>
        </row>
        <row r="168">
          <cell r="A168">
            <v>2204040000</v>
          </cell>
          <cell r="B168" t="str">
            <v>HORMIGON</v>
          </cell>
          <cell r="C168">
            <v>0</v>
          </cell>
          <cell r="E168">
            <v>-223210.07</v>
          </cell>
        </row>
        <row r="169">
          <cell r="A169">
            <v>2204050000</v>
          </cell>
          <cell r="B169" t="str">
            <v>CONSTRUCCIONES</v>
          </cell>
          <cell r="C169">
            <v>0</v>
          </cell>
          <cell r="E169">
            <v>-4780811.07</v>
          </cell>
        </row>
        <row r="170">
          <cell r="A170">
            <v>2204060000</v>
          </cell>
          <cell r="B170" t="str">
            <v>CERAMICA</v>
          </cell>
          <cell r="C170">
            <v>0</v>
          </cell>
          <cell r="E170">
            <v>-74092.460000000006</v>
          </cell>
        </row>
        <row r="171">
          <cell r="A171">
            <v>2204070000</v>
          </cell>
          <cell r="B171" t="str">
            <v>METAL</v>
          </cell>
          <cell r="C171">
            <v>-51000</v>
          </cell>
          <cell r="E171">
            <v>-1307545.43</v>
          </cell>
        </row>
        <row r="172">
          <cell r="A172">
            <v>2204080000</v>
          </cell>
          <cell r="B172" t="str">
            <v>COBOCE EDITORA OPINION</v>
          </cell>
          <cell r="C172">
            <v>-11721.4</v>
          </cell>
          <cell r="E172">
            <v>-37870.9</v>
          </cell>
        </row>
        <row r="174">
          <cell r="A174">
            <v>2400000000</v>
          </cell>
          <cell r="B174" t="str">
            <v>PATRIMONIO</v>
          </cell>
          <cell r="C174">
            <v>-1494299.67</v>
          </cell>
          <cell r="E174">
            <v>-467726921.19999999</v>
          </cell>
        </row>
        <row r="175">
          <cell r="A175">
            <v>2401000000</v>
          </cell>
          <cell r="B175" t="str">
            <v>FONDO SOCIAL</v>
          </cell>
          <cell r="C175">
            <v>-1494299.67</v>
          </cell>
          <cell r="E175">
            <v>-467726921.19999999</v>
          </cell>
        </row>
        <row r="176">
          <cell r="A176">
            <v>2401010000</v>
          </cell>
          <cell r="B176" t="str">
            <v>FONDO SOCIAL UNIDADES</v>
          </cell>
          <cell r="C176">
            <v>-1494299.67</v>
          </cell>
          <cell r="E176">
            <v>-467726921.19999999</v>
          </cell>
        </row>
        <row r="177">
          <cell r="A177">
            <v>2901010000</v>
          </cell>
          <cell r="B177" t="str">
            <v>CUENTAS DE ORDEN DEBITOS</v>
          </cell>
          <cell r="C177">
            <v>10989.26</v>
          </cell>
          <cell r="E177">
            <v>52728412.530000001</v>
          </cell>
        </row>
        <row r="178">
          <cell r="A178">
            <v>2901020000</v>
          </cell>
          <cell r="B178" t="str">
            <v>CUENTAS DE ORDEN CREDITOS</v>
          </cell>
          <cell r="C178">
            <v>-10989.26</v>
          </cell>
          <cell r="E178">
            <v>-52728412.530000001</v>
          </cell>
        </row>
        <row r="179">
          <cell r="A179" t="str">
            <v>***TOTAL UTILIDAD(+)/PERDIDA(-)***</v>
          </cell>
          <cell r="C179">
            <v>-4876949.6399999997</v>
          </cell>
          <cell r="E179">
            <v>-33764308.030000001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6994344.7599999998</v>
          </cell>
          <cell r="E6">
            <v>1200356187.52</v>
          </cell>
        </row>
        <row r="9">
          <cell r="A9">
            <v>1100000000</v>
          </cell>
          <cell r="B9" t="str">
            <v>ACTIVO DISPONIBLE</v>
          </cell>
          <cell r="C9">
            <v>877863.64</v>
          </cell>
          <cell r="E9">
            <v>10439955.130000001</v>
          </cell>
        </row>
        <row r="10">
          <cell r="A10">
            <v>1101000000</v>
          </cell>
          <cell r="B10" t="str">
            <v>CAJA</v>
          </cell>
          <cell r="C10">
            <v>1276489.8999999999</v>
          </cell>
          <cell r="E10">
            <v>3415934.94</v>
          </cell>
        </row>
        <row r="11">
          <cell r="A11">
            <v>1101010000</v>
          </cell>
          <cell r="B11" t="str">
            <v>CAJA GENERAL MONEDA NACIONAL</v>
          </cell>
          <cell r="C11">
            <v>1276489.8999999999</v>
          </cell>
          <cell r="E11">
            <v>3228235</v>
          </cell>
        </row>
        <row r="12">
          <cell r="A12">
            <v>1101030000</v>
          </cell>
          <cell r="B12" t="str">
            <v>CAJA CHICA MONEDA NACIONAL</v>
          </cell>
          <cell r="C12">
            <v>0</v>
          </cell>
          <cell r="E12">
            <v>187699.94</v>
          </cell>
        </row>
        <row r="13">
          <cell r="A13">
            <v>1102000000</v>
          </cell>
          <cell r="B13" t="str">
            <v>BANCOS</v>
          </cell>
          <cell r="C13">
            <v>-398626.26</v>
          </cell>
          <cell r="E13">
            <v>7024020.1900000004</v>
          </cell>
        </row>
        <row r="14">
          <cell r="A14">
            <v>1102010000</v>
          </cell>
          <cell r="B14" t="str">
            <v>BANCO BISA</v>
          </cell>
          <cell r="C14">
            <v>293304.61</v>
          </cell>
          <cell r="E14">
            <v>1808735.54</v>
          </cell>
        </row>
        <row r="15">
          <cell r="A15">
            <v>1102020000</v>
          </cell>
          <cell r="B15" t="str">
            <v>BANCO MERCANTIL</v>
          </cell>
          <cell r="C15">
            <v>-421901.95</v>
          </cell>
          <cell r="E15">
            <v>171821.01</v>
          </cell>
        </row>
        <row r="16">
          <cell r="A16">
            <v>1102040000</v>
          </cell>
          <cell r="B16" t="str">
            <v>BANCO DE CREDITO</v>
          </cell>
          <cell r="C16">
            <v>-161882.1</v>
          </cell>
          <cell r="E16">
            <v>139559.04999999999</v>
          </cell>
        </row>
        <row r="17">
          <cell r="A17">
            <v>1102050000</v>
          </cell>
          <cell r="B17" t="str">
            <v>BANCO ECONÓMICO</v>
          </cell>
          <cell r="C17">
            <v>-260246.92</v>
          </cell>
          <cell r="E17">
            <v>153003.60999999999</v>
          </cell>
        </row>
        <row r="18">
          <cell r="A18">
            <v>1102060000</v>
          </cell>
          <cell r="B18" t="str">
            <v>BANCO GANADERO</v>
          </cell>
          <cell r="C18">
            <v>155439.48000000001</v>
          </cell>
          <cell r="E18">
            <v>333817.99</v>
          </cell>
        </row>
        <row r="19">
          <cell r="A19">
            <v>1102070000</v>
          </cell>
          <cell r="B19" t="str">
            <v>BANCO UNION</v>
          </cell>
          <cell r="C19">
            <v>-3386.9</v>
          </cell>
          <cell r="E19">
            <v>292976.69</v>
          </cell>
        </row>
        <row r="20">
          <cell r="A20">
            <v>1102080000</v>
          </cell>
          <cell r="B20" t="str">
            <v>BANCO NACIONAL</v>
          </cell>
          <cell r="C20">
            <v>86836.68</v>
          </cell>
          <cell r="E20">
            <v>160589.29</v>
          </cell>
        </row>
        <row r="21">
          <cell r="A21">
            <v>1102100000</v>
          </cell>
          <cell r="B21" t="str">
            <v>FONDO DE LA COMUNIDAD</v>
          </cell>
          <cell r="C21">
            <v>32.32</v>
          </cell>
          <cell r="E21">
            <v>15582.86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-1510984.61</v>
          </cell>
          <cell r="E23">
            <v>833237.73</v>
          </cell>
        </row>
        <row r="24">
          <cell r="A24">
            <v>1102130000</v>
          </cell>
          <cell r="B24" t="str">
            <v>BANCO FIE</v>
          </cell>
          <cell r="C24">
            <v>1424163.13</v>
          </cell>
          <cell r="E24">
            <v>3111221.43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-2760925.73</v>
          </cell>
          <cell r="E27">
            <v>207112289.69</v>
          </cell>
        </row>
        <row r="28">
          <cell r="A28">
            <v>1201000000</v>
          </cell>
          <cell r="B28" t="str">
            <v>CUENTAS POR COBRAR</v>
          </cell>
          <cell r="C28">
            <v>-2708756.96</v>
          </cell>
          <cell r="E28">
            <v>129578797.18000001</v>
          </cell>
        </row>
        <row r="29">
          <cell r="A29">
            <v>1201010000</v>
          </cell>
          <cell r="B29" t="str">
            <v>DEUDORES POR PRODUCTOS LOCALES M.N.</v>
          </cell>
          <cell r="C29">
            <v>-7087253.0499999998</v>
          </cell>
          <cell r="E29">
            <v>36198926.259999998</v>
          </cell>
        </row>
        <row r="30">
          <cell r="A30">
            <v>1201050000</v>
          </cell>
          <cell r="B30" t="str">
            <v>DEUDORES POR PRODUCTOS INTERIOR M.N.</v>
          </cell>
          <cell r="C30">
            <v>4371683.42</v>
          </cell>
          <cell r="E30">
            <v>91152999.349999994</v>
          </cell>
        </row>
        <row r="31">
          <cell r="A31">
            <v>1201130000</v>
          </cell>
          <cell r="B31" t="str">
            <v>DEUDORES VARIOS</v>
          </cell>
          <cell r="C31">
            <v>6812.67</v>
          </cell>
          <cell r="E31">
            <v>2226871.5699999998</v>
          </cell>
        </row>
        <row r="32">
          <cell r="A32">
            <v>1202000000</v>
          </cell>
          <cell r="B32" t="str">
            <v>CUENTAS CORRIENTES</v>
          </cell>
          <cell r="C32">
            <v>-132779.62</v>
          </cell>
          <cell r="E32">
            <v>70083177.359999999</v>
          </cell>
        </row>
        <row r="33">
          <cell r="A33">
            <v>1202010000</v>
          </cell>
          <cell r="B33" t="str">
            <v>PROVEEDORES</v>
          </cell>
          <cell r="C33">
            <v>-132779.62</v>
          </cell>
          <cell r="E33">
            <v>70077122.859999999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123920.03</v>
          </cell>
          <cell r="E36">
            <v>4095356.25</v>
          </cell>
        </row>
        <row r="37">
          <cell r="A37">
            <v>1203030000</v>
          </cell>
          <cell r="B37" t="str">
            <v>RECLAMOS EN CURSO</v>
          </cell>
          <cell r="C37">
            <v>48392.21</v>
          </cell>
          <cell r="E37">
            <v>96802.95</v>
          </cell>
        </row>
        <row r="38">
          <cell r="A38">
            <v>1203040000</v>
          </cell>
          <cell r="B38" t="str">
            <v>OTROS DOCUMENTOS POR COBRAR</v>
          </cell>
          <cell r="C38">
            <v>75527.820000000007</v>
          </cell>
          <cell r="E38">
            <v>3998553.3</v>
          </cell>
        </row>
        <row r="39">
          <cell r="A39">
            <v>1204000000</v>
          </cell>
          <cell r="B39" t="str">
            <v>ANTICIPOS Y PRESTAMOS</v>
          </cell>
          <cell r="C39">
            <v>-43309.18</v>
          </cell>
          <cell r="E39">
            <v>3354958.9</v>
          </cell>
        </row>
        <row r="40">
          <cell r="A40">
            <v>1204010000</v>
          </cell>
          <cell r="B40" t="str">
            <v>ANTICIPOS AL PERSONAL</v>
          </cell>
          <cell r="C40">
            <v>0</v>
          </cell>
          <cell r="E40">
            <v>214.85</v>
          </cell>
        </row>
        <row r="41">
          <cell r="A41">
            <v>1204020000</v>
          </cell>
          <cell r="B41" t="str">
            <v>PRESTAMOS AL PERSONAL M.N.</v>
          </cell>
          <cell r="C41">
            <v>2148.61</v>
          </cell>
          <cell r="E41">
            <v>52179.7</v>
          </cell>
        </row>
        <row r="42">
          <cell r="A42">
            <v>1204040000</v>
          </cell>
          <cell r="B42" t="str">
            <v>PRESTAMOS EN PRODUCTOS O SERVICIOS</v>
          </cell>
          <cell r="C42">
            <v>-6884.96</v>
          </cell>
          <cell r="E42">
            <v>129427.91</v>
          </cell>
        </row>
        <row r="43">
          <cell r="A43">
            <v>1204050000</v>
          </cell>
          <cell r="B43" t="str">
            <v>PRESTAMOS MATERIALES DE ALMACEN</v>
          </cell>
          <cell r="C43">
            <v>-2180.3200000000002</v>
          </cell>
          <cell r="E43">
            <v>3222.94</v>
          </cell>
        </row>
        <row r="44">
          <cell r="A44">
            <v>1204060000</v>
          </cell>
          <cell r="B44" t="str">
            <v>PAGOS ANTICIPADOS</v>
          </cell>
          <cell r="C44">
            <v>-307716.01</v>
          </cell>
          <cell r="E44">
            <v>2453639.17</v>
          </cell>
        </row>
        <row r="45">
          <cell r="A45">
            <v>1204080000</v>
          </cell>
          <cell r="B45" t="str">
            <v>DEUDORES CON CARGO DE CUENTA M.N.</v>
          </cell>
          <cell r="C45">
            <v>271323.5</v>
          </cell>
          <cell r="E45">
            <v>716258.31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10865483.689999999</v>
          </cell>
          <cell r="E48">
            <v>162050947.49000001</v>
          </cell>
        </row>
        <row r="49">
          <cell r="A49">
            <v>1301000000</v>
          </cell>
          <cell r="B49" t="str">
            <v>EXISTENCIAS</v>
          </cell>
          <cell r="C49">
            <v>10471911.880000001</v>
          </cell>
          <cell r="E49">
            <v>74083522.620000005</v>
          </cell>
        </row>
        <row r="50">
          <cell r="A50">
            <v>1301010000</v>
          </cell>
          <cell r="B50" t="str">
            <v>MATERIA PRIMA E INSUMOS</v>
          </cell>
          <cell r="C50">
            <v>1728440.52</v>
          </cell>
          <cell r="E50">
            <v>16755004.91</v>
          </cell>
        </row>
        <row r="51">
          <cell r="A51">
            <v>1301020000</v>
          </cell>
          <cell r="B51" t="str">
            <v>PRODUCTOS EN PROCESO</v>
          </cell>
          <cell r="C51">
            <v>8914025.5700000003</v>
          </cell>
          <cell r="E51">
            <v>56147503.359999999</v>
          </cell>
        </row>
        <row r="52">
          <cell r="A52">
            <v>1301030000</v>
          </cell>
          <cell r="B52" t="str">
            <v>PRODUCTOS TERMINADOS</v>
          </cell>
          <cell r="C52">
            <v>-170554.21</v>
          </cell>
          <cell r="E52">
            <v>1181014.3500000001</v>
          </cell>
        </row>
        <row r="53">
          <cell r="A53">
            <v>1304000000</v>
          </cell>
          <cell r="B53" t="str">
            <v>EXISTENCIA DE MATERIALES</v>
          </cell>
          <cell r="C53">
            <v>393571.81</v>
          </cell>
          <cell r="E53">
            <v>87967424.870000005</v>
          </cell>
        </row>
        <row r="54">
          <cell r="A54">
            <v>1304010000</v>
          </cell>
          <cell r="B54" t="str">
            <v>MATERIALES EN ALMACEN</v>
          </cell>
          <cell r="C54">
            <v>-568595.93999999994</v>
          </cell>
          <cell r="E54">
            <v>55129943.770000003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8500984.3599999994</v>
          </cell>
        </row>
        <row r="56">
          <cell r="A56">
            <v>1304030000</v>
          </cell>
          <cell r="B56" t="str">
            <v>PULPERIA IRPA - IRPA</v>
          </cell>
          <cell r="C56">
            <v>-14521.14</v>
          </cell>
          <cell r="E56">
            <v>65992.31</v>
          </cell>
        </row>
        <row r="57">
          <cell r="A57">
            <v>1304040000</v>
          </cell>
          <cell r="B57" t="str">
            <v>MERCADERIAS EN TRANSITO</v>
          </cell>
          <cell r="C57">
            <v>976688.89</v>
          </cell>
          <cell r="E57">
            <v>24270504.43</v>
          </cell>
        </row>
        <row r="59">
          <cell r="A59">
            <v>1400000000</v>
          </cell>
          <cell r="B59" t="str">
            <v>ACTIVO FIJO</v>
          </cell>
          <cell r="C59">
            <v>141348.97</v>
          </cell>
          <cell r="E59">
            <v>573877374.76999998</v>
          </cell>
        </row>
        <row r="60">
          <cell r="A60">
            <v>1401000000</v>
          </cell>
          <cell r="B60" t="str">
            <v>BIENES DE USO</v>
          </cell>
          <cell r="C60">
            <v>3308390.48</v>
          </cell>
          <cell r="E60">
            <v>1819338957.48</v>
          </cell>
        </row>
        <row r="61">
          <cell r="A61">
            <v>1401010000</v>
          </cell>
          <cell r="B61" t="str">
            <v>TERRENOS</v>
          </cell>
          <cell r="C61">
            <v>171812.04</v>
          </cell>
          <cell r="E61">
            <v>43947885.740000002</v>
          </cell>
        </row>
        <row r="62">
          <cell r="A62">
            <v>1401020000</v>
          </cell>
          <cell r="B62" t="str">
            <v>EDIFICIOS</v>
          </cell>
          <cell r="C62">
            <v>1445010.61</v>
          </cell>
          <cell r="E62">
            <v>375278258.75999999</v>
          </cell>
        </row>
        <row r="63">
          <cell r="A63">
            <v>1401030000</v>
          </cell>
          <cell r="B63" t="str">
            <v>MUEBLES Y ENSERES DE OFICINA</v>
          </cell>
          <cell r="C63">
            <v>-65151.92</v>
          </cell>
          <cell r="E63">
            <v>5096472.32</v>
          </cell>
        </row>
        <row r="64">
          <cell r="A64">
            <v>1401040000</v>
          </cell>
          <cell r="B64" t="str">
            <v>MAQUINARIA Y EQUIPO</v>
          </cell>
          <cell r="C64">
            <v>1113091.07</v>
          </cell>
          <cell r="E64">
            <v>697670906.54999995</v>
          </cell>
        </row>
        <row r="65">
          <cell r="A65">
            <v>1401050000</v>
          </cell>
          <cell r="B65" t="str">
            <v>VEHICULOS</v>
          </cell>
          <cell r="C65">
            <v>6847.6</v>
          </cell>
          <cell r="E65">
            <v>34771673.689999998</v>
          </cell>
        </row>
        <row r="66">
          <cell r="A66">
            <v>1401060000</v>
          </cell>
          <cell r="B66" t="str">
            <v>MAQUINARIA DE CONSTRUCCION</v>
          </cell>
          <cell r="C66">
            <v>17313.22</v>
          </cell>
          <cell r="E66">
            <v>17599098.43</v>
          </cell>
        </row>
        <row r="67">
          <cell r="A67">
            <v>1401070000</v>
          </cell>
          <cell r="B67" t="str">
            <v>EQUIPO PESADO</v>
          </cell>
          <cell r="C67">
            <v>12655.65</v>
          </cell>
          <cell r="E67">
            <v>123735776.94</v>
          </cell>
        </row>
        <row r="68">
          <cell r="A68">
            <v>1401080000</v>
          </cell>
          <cell r="B68" t="str">
            <v>INSTALACIONES INDUSTRIALES</v>
          </cell>
          <cell r="C68">
            <v>1085722.26</v>
          </cell>
          <cell r="E68">
            <v>470474539.62</v>
          </cell>
        </row>
        <row r="69">
          <cell r="A69">
            <v>1401090000</v>
          </cell>
          <cell r="B69" t="str">
            <v>HERRAMIENTAS E IMPLEMENTOS</v>
          </cell>
          <cell r="C69">
            <v>5751.28</v>
          </cell>
          <cell r="E69">
            <v>19206985.300000001</v>
          </cell>
        </row>
        <row r="70">
          <cell r="A70">
            <v>1401100000</v>
          </cell>
          <cell r="B70" t="str">
            <v>TINGLADOS</v>
          </cell>
          <cell r="C70">
            <v>13087.47</v>
          </cell>
          <cell r="E70">
            <v>14363134.08</v>
          </cell>
        </row>
        <row r="71">
          <cell r="A71">
            <v>1401110000</v>
          </cell>
          <cell r="B71" t="str">
            <v>EQUIPOS DE COMPUTACION</v>
          </cell>
          <cell r="C71">
            <v>-330414.73</v>
          </cell>
          <cell r="E71">
            <v>7911170.4900000002</v>
          </cell>
        </row>
        <row r="72">
          <cell r="A72">
            <v>1401120000</v>
          </cell>
          <cell r="B72" t="str">
            <v>EQUIPOS DE LABORATORIO</v>
          </cell>
          <cell r="C72">
            <v>-167334.07</v>
          </cell>
          <cell r="E72">
            <v>9116952.2400000002</v>
          </cell>
        </row>
        <row r="73">
          <cell r="A73">
            <v>1401150000</v>
          </cell>
          <cell r="B73" t="str">
            <v>CANALES DE RIEGO Y POZOS</v>
          </cell>
          <cell r="C73">
            <v>0</v>
          </cell>
          <cell r="E73">
            <v>166103.32</v>
          </cell>
        </row>
        <row r="74">
          <cell r="A74">
            <v>1402000000</v>
          </cell>
          <cell r="B74" t="str">
            <v>DEPRECIACION ACUMULADA</v>
          </cell>
          <cell r="C74">
            <v>-3167041.51</v>
          </cell>
          <cell r="E74">
            <v>-1245461582.71</v>
          </cell>
        </row>
        <row r="75">
          <cell r="A75">
            <v>1402020000</v>
          </cell>
          <cell r="B75" t="str">
            <v>EDIFICIOS</v>
          </cell>
          <cell r="C75">
            <v>-1168749.69</v>
          </cell>
          <cell r="E75">
            <v>-107696088.63</v>
          </cell>
        </row>
        <row r="76">
          <cell r="A76">
            <v>1402030000</v>
          </cell>
          <cell r="B76" t="str">
            <v>MUEBLES Y ENSERES DE OFICINA</v>
          </cell>
          <cell r="C76">
            <v>64030.44</v>
          </cell>
          <cell r="E76">
            <v>-5062034.3</v>
          </cell>
        </row>
        <row r="77">
          <cell r="A77">
            <v>1402040000</v>
          </cell>
          <cell r="B77" t="str">
            <v>MAQUINARIA Y EQUIPO</v>
          </cell>
          <cell r="C77">
            <v>-1284960.3899999999</v>
          </cell>
          <cell r="E77">
            <v>-568024620.97000003</v>
          </cell>
        </row>
        <row r="78">
          <cell r="A78">
            <v>1402050000</v>
          </cell>
          <cell r="B78" t="str">
            <v>VEHICULOS</v>
          </cell>
          <cell r="C78">
            <v>-33940.04</v>
          </cell>
          <cell r="E78">
            <v>-34263686.149999999</v>
          </cell>
        </row>
        <row r="79">
          <cell r="A79">
            <v>1402060000</v>
          </cell>
          <cell r="B79" t="str">
            <v>MAQUINARIA DE CONSTRUCCION</v>
          </cell>
          <cell r="C79">
            <v>-11027.82</v>
          </cell>
          <cell r="E79">
            <v>-17319559.829999998</v>
          </cell>
        </row>
        <row r="80">
          <cell r="A80">
            <v>1402070000</v>
          </cell>
          <cell r="B80" t="str">
            <v>EQUIPO PESADO</v>
          </cell>
          <cell r="C80">
            <v>-40332.629999999997</v>
          </cell>
          <cell r="E80">
            <v>-122223559.90000001</v>
          </cell>
        </row>
        <row r="81">
          <cell r="A81">
            <v>1402080000</v>
          </cell>
          <cell r="B81" t="str">
            <v>INSTALACIONES INDUSTRIALES</v>
          </cell>
          <cell r="C81">
            <v>-1188237.6200000001</v>
          </cell>
          <cell r="E81">
            <v>-342972447.24000001</v>
          </cell>
        </row>
        <row r="82">
          <cell r="A82">
            <v>1402090000</v>
          </cell>
          <cell r="B82" t="str">
            <v>HERRAMIENTAS E IMPLEMENTOS</v>
          </cell>
          <cell r="C82">
            <v>-4202.1899999999996</v>
          </cell>
          <cell r="E82">
            <v>-19111991.170000002</v>
          </cell>
        </row>
        <row r="83">
          <cell r="A83">
            <v>1402100000</v>
          </cell>
          <cell r="B83" t="str">
            <v>TINGLADOS</v>
          </cell>
          <cell r="C83">
            <v>-38401.449999999997</v>
          </cell>
          <cell r="E83">
            <v>-13730287.390000001</v>
          </cell>
        </row>
        <row r="84">
          <cell r="A84">
            <v>1402110000</v>
          </cell>
          <cell r="B84" t="str">
            <v>EQUIPOS DE COMPUTACION</v>
          </cell>
          <cell r="C84">
            <v>402074.07</v>
          </cell>
          <cell r="E84">
            <v>-7349724.0899999999</v>
          </cell>
        </row>
        <row r="85">
          <cell r="A85">
            <v>1402120000</v>
          </cell>
          <cell r="B85" t="str">
            <v>EQUIPOS DE LABORATORIO</v>
          </cell>
          <cell r="C85">
            <v>136705.81</v>
          </cell>
          <cell r="E85">
            <v>-7541479.7199999997</v>
          </cell>
        </row>
        <row r="86">
          <cell r="A86">
            <v>1402150000</v>
          </cell>
          <cell r="B86" t="str">
            <v>CANALES DE RIEGO Y POZOS</v>
          </cell>
          <cell r="C86">
            <v>0</v>
          </cell>
          <cell r="E86">
            <v>-166103.32</v>
          </cell>
        </row>
        <row r="88">
          <cell r="A88">
            <v>1500000000</v>
          </cell>
          <cell r="B88" t="str">
            <v>INVERSIONES</v>
          </cell>
          <cell r="C88">
            <v>-2532600.83</v>
          </cell>
          <cell r="E88">
            <v>26931687.809999999</v>
          </cell>
        </row>
        <row r="89">
          <cell r="A89">
            <v>1502000000</v>
          </cell>
          <cell r="B89" t="str">
            <v>OTRAS INVERSIONES</v>
          </cell>
          <cell r="C89">
            <v>-2532600.83</v>
          </cell>
          <cell r="E89">
            <v>26931687.809999999</v>
          </cell>
        </row>
        <row r="90">
          <cell r="A90">
            <v>1502010000</v>
          </cell>
          <cell r="B90" t="str">
            <v>ACCIONES</v>
          </cell>
          <cell r="C90">
            <v>-2532600.83</v>
          </cell>
          <cell r="E90">
            <v>26530867.800000001</v>
          </cell>
        </row>
        <row r="91">
          <cell r="A91">
            <v>1502030000</v>
          </cell>
          <cell r="B91" t="str">
            <v>LINEAS TELEFONICAS</v>
          </cell>
          <cell r="C91">
            <v>0</v>
          </cell>
          <cell r="E91">
            <v>261000</v>
          </cell>
        </row>
        <row r="92">
          <cell r="A92">
            <v>1502050000</v>
          </cell>
          <cell r="B92" t="str">
            <v>OTRAS INVERSIONES</v>
          </cell>
          <cell r="C92">
            <v>0</v>
          </cell>
          <cell r="E92">
            <v>139820.01</v>
          </cell>
        </row>
        <row r="94">
          <cell r="A94">
            <v>1600000000</v>
          </cell>
          <cell r="B94" t="str">
            <v>OTROS ACTIVOS</v>
          </cell>
          <cell r="C94">
            <v>447714.3</v>
          </cell>
          <cell r="E94">
            <v>206893907.47</v>
          </cell>
        </row>
        <row r="95">
          <cell r="A95">
            <v>1601000000</v>
          </cell>
          <cell r="B95" t="str">
            <v>DOCUMENTOS POR COBRAR A LARGO PLAZO</v>
          </cell>
          <cell r="C95">
            <v>0</v>
          </cell>
          <cell r="E95">
            <v>9549450.3599999994</v>
          </cell>
        </row>
        <row r="96">
          <cell r="A96">
            <v>1601040000</v>
          </cell>
          <cell r="B96" t="str">
            <v>DOCUMENTOS EN EJECUCION</v>
          </cell>
          <cell r="C96">
            <v>0</v>
          </cell>
          <cell r="E96">
            <v>9549450.3599999994</v>
          </cell>
        </row>
        <row r="97">
          <cell r="A97">
            <v>1601050000</v>
          </cell>
          <cell r="B97" t="str">
            <v>CUENTAS INCOBRABLES</v>
          </cell>
          <cell r="C97">
            <v>0</v>
          </cell>
          <cell r="E97">
            <v>3212209.75</v>
          </cell>
        </row>
        <row r="98">
          <cell r="A98">
            <v>1601060000</v>
          </cell>
          <cell r="B98" t="str">
            <v>(PREVISION CUENTAS INCOBRABLES)</v>
          </cell>
          <cell r="C98">
            <v>0</v>
          </cell>
          <cell r="E98">
            <v>-3212209.75</v>
          </cell>
        </row>
        <row r="99">
          <cell r="A99">
            <v>1602000000</v>
          </cell>
          <cell r="B99" t="str">
            <v>OBRAS EN EJECUCIÓN</v>
          </cell>
          <cell r="C99">
            <v>225773.28</v>
          </cell>
          <cell r="E99">
            <v>15477408.59</v>
          </cell>
        </row>
        <row r="100">
          <cell r="A100">
            <v>1602010000</v>
          </cell>
          <cell r="B100" t="str">
            <v>AMPLIACIONES</v>
          </cell>
          <cell r="C100">
            <v>225773.28</v>
          </cell>
          <cell r="E100">
            <v>15477408.59</v>
          </cell>
        </row>
        <row r="101">
          <cell r="A101">
            <v>1604000000</v>
          </cell>
          <cell r="B101" t="str">
            <v>BIENES ARRENDADOS</v>
          </cell>
          <cell r="C101">
            <v>-182679.32</v>
          </cell>
          <cell r="E101">
            <v>2324313.2999999998</v>
          </cell>
        </row>
        <row r="102">
          <cell r="A102">
            <v>1604010000</v>
          </cell>
          <cell r="B102" t="str">
            <v>VALOR DE ARRENDAMIENTO</v>
          </cell>
          <cell r="C102">
            <v>-182679.32</v>
          </cell>
          <cell r="E102">
            <v>2324313.2999999998</v>
          </cell>
        </row>
        <row r="103">
          <cell r="A103">
            <v>1605000000</v>
          </cell>
          <cell r="B103" t="str">
            <v>DIVERSOS</v>
          </cell>
          <cell r="C103">
            <v>-146333.79999999999</v>
          </cell>
          <cell r="E103">
            <v>18390335.77</v>
          </cell>
        </row>
        <row r="104">
          <cell r="A104">
            <v>1605010000</v>
          </cell>
          <cell r="B104" t="str">
            <v>REPUESTOS EN ALMACEN</v>
          </cell>
          <cell r="C104">
            <v>-146333.79999999999</v>
          </cell>
          <cell r="E104">
            <v>18201315.530000001</v>
          </cell>
        </row>
        <row r="105">
          <cell r="A105">
            <v>1605020000</v>
          </cell>
          <cell r="B105" t="str">
            <v>LIBROS Y BIBLIOTECAS</v>
          </cell>
          <cell r="C105">
            <v>0</v>
          </cell>
          <cell r="E105">
            <v>189020.24</v>
          </cell>
        </row>
        <row r="106">
          <cell r="A106">
            <v>1606000000</v>
          </cell>
          <cell r="B106" t="str">
            <v>CUENTAS CORRIENTES UNIDADES</v>
          </cell>
          <cell r="C106">
            <v>550954.14</v>
          </cell>
          <cell r="E106">
            <v>161152399.44999999</v>
          </cell>
        </row>
        <row r="107">
          <cell r="A107">
            <v>1606010000</v>
          </cell>
          <cell r="B107" t="str">
            <v>LIMITADA</v>
          </cell>
          <cell r="C107">
            <v>402817</v>
          </cell>
          <cell r="E107">
            <v>132792166.18000001</v>
          </cell>
        </row>
        <row r="108">
          <cell r="A108">
            <v>1606030000</v>
          </cell>
          <cell r="B108" t="str">
            <v>CERAMIL</v>
          </cell>
          <cell r="C108">
            <v>51604.68</v>
          </cell>
          <cell r="E108">
            <v>6408395.4000000004</v>
          </cell>
        </row>
        <row r="109">
          <cell r="A109">
            <v>1606040000</v>
          </cell>
          <cell r="B109" t="str">
            <v>HORMIGON</v>
          </cell>
          <cell r="C109">
            <v>3438.08</v>
          </cell>
          <cell r="E109">
            <v>20368035.489999998</v>
          </cell>
        </row>
        <row r="110">
          <cell r="A110">
            <v>1606050000</v>
          </cell>
          <cell r="B110" t="str">
            <v>CONSTRUCCIONES</v>
          </cell>
          <cell r="C110">
            <v>1146.0899999999999</v>
          </cell>
          <cell r="E110">
            <v>884488.27</v>
          </cell>
        </row>
        <row r="111">
          <cell r="A111">
            <v>1606060000</v>
          </cell>
          <cell r="B111" t="str">
            <v>CERAMICA</v>
          </cell>
          <cell r="C111">
            <v>78305.899999999994</v>
          </cell>
          <cell r="E111">
            <v>585458.56000000006</v>
          </cell>
        </row>
        <row r="112">
          <cell r="A112">
            <v>1606070000</v>
          </cell>
          <cell r="B112" t="str">
            <v>METAL</v>
          </cell>
          <cell r="C112">
            <v>5536.49</v>
          </cell>
          <cell r="E112">
            <v>92792.6</v>
          </cell>
        </row>
        <row r="113">
          <cell r="A113">
            <v>1606080000</v>
          </cell>
          <cell r="B113" t="str">
            <v>COBOCE EDITORA OPINION</v>
          </cell>
          <cell r="C113">
            <v>8105.9</v>
          </cell>
          <cell r="E113">
            <v>21062.95</v>
          </cell>
        </row>
        <row r="115">
          <cell r="A115">
            <v>1700000000</v>
          </cell>
          <cell r="B115" t="str">
            <v>ACTIVOS DIFERIDOS</v>
          </cell>
          <cell r="C115">
            <v>-44539.28</v>
          </cell>
          <cell r="E115">
            <v>13050025.16</v>
          </cell>
        </row>
        <row r="116">
          <cell r="A116">
            <v>1701000000</v>
          </cell>
          <cell r="B116" t="str">
            <v>ACTIVOS RETIRADOS</v>
          </cell>
          <cell r="C116">
            <v>0</v>
          </cell>
          <cell r="E116">
            <v>3580102.51</v>
          </cell>
        </row>
        <row r="117">
          <cell r="A117">
            <v>1701010000</v>
          </cell>
          <cell r="B117" t="str">
            <v>BIENES DE USO RETIRADOS</v>
          </cell>
          <cell r="C117">
            <v>0</v>
          </cell>
          <cell r="E117">
            <v>3580102.51</v>
          </cell>
        </row>
        <row r="118">
          <cell r="A118">
            <v>1702000000</v>
          </cell>
          <cell r="B118" t="str">
            <v>GASTOS DIFERIDOS</v>
          </cell>
          <cell r="C118">
            <v>-44539.28</v>
          </cell>
          <cell r="E118">
            <v>9469922.6500000004</v>
          </cell>
        </row>
        <row r="119">
          <cell r="A119">
            <v>1702010000</v>
          </cell>
          <cell r="B119" t="str">
            <v>GASTOS DE ORGANIZACION Y PUESTA EN MARCH</v>
          </cell>
          <cell r="C119">
            <v>0</v>
          </cell>
          <cell r="E119">
            <v>4900472.5999999996</v>
          </cell>
        </row>
        <row r="120">
          <cell r="A120">
            <v>1702020000</v>
          </cell>
          <cell r="B120" t="str">
            <v>GASTOS DE PRODUCCIÓN Y MANTENIMIENTO</v>
          </cell>
          <cell r="C120">
            <v>-17242.38</v>
          </cell>
          <cell r="E120">
            <v>2632.32</v>
          </cell>
        </row>
        <row r="121">
          <cell r="A121">
            <v>1702050000</v>
          </cell>
          <cell r="B121" t="str">
            <v>VARIOS</v>
          </cell>
          <cell r="C121">
            <v>-27296.9</v>
          </cell>
          <cell r="E121">
            <v>4566817.7300000004</v>
          </cell>
        </row>
        <row r="123">
          <cell r="A123">
            <v>2000000000</v>
          </cell>
          <cell r="B123" t="str">
            <v>PASIVO</v>
          </cell>
          <cell r="C123">
            <v>-6000352.8799999999</v>
          </cell>
          <cell r="E123">
            <v>-1233126503.6700001</v>
          </cell>
        </row>
        <row r="126">
          <cell r="A126">
            <v>2100000000</v>
          </cell>
          <cell r="B126" t="str">
            <v>PASIVO CORRIENTE</v>
          </cell>
          <cell r="C126">
            <v>-4919211.22</v>
          </cell>
          <cell r="E126">
            <v>-179103444.66</v>
          </cell>
        </row>
        <row r="127">
          <cell r="A127">
            <v>2101000000</v>
          </cell>
          <cell r="B127" t="str">
            <v>DEUDAS COMERCIALES</v>
          </cell>
          <cell r="C127">
            <v>-1463880.35</v>
          </cell>
          <cell r="E127">
            <v>-94747597.950000003</v>
          </cell>
        </row>
        <row r="128">
          <cell r="A128">
            <v>2101010000</v>
          </cell>
          <cell r="B128" t="str">
            <v>PROVEEDORES</v>
          </cell>
          <cell r="C128">
            <v>1130928.33</v>
          </cell>
          <cell r="E128">
            <v>-83162231.799999997</v>
          </cell>
        </row>
        <row r="129">
          <cell r="A129">
            <v>2101030000</v>
          </cell>
          <cell r="B129" t="str">
            <v>TRANSPORTISTAS</v>
          </cell>
          <cell r="C129">
            <v>-2350814.09</v>
          </cell>
          <cell r="E129">
            <v>-6311048.8099999996</v>
          </cell>
        </row>
        <row r="130">
          <cell r="A130">
            <v>2101040000</v>
          </cell>
          <cell r="B130" t="str">
            <v>ACREEDORES VARIOS</v>
          </cell>
          <cell r="C130">
            <v>-243994.59</v>
          </cell>
          <cell r="E130">
            <v>-4956893.4800000004</v>
          </cell>
        </row>
        <row r="131">
          <cell r="A131">
            <v>2101090000</v>
          </cell>
          <cell r="B131" t="str">
            <v>ACREEDORES POR DEPOSITOS EN GARANTIA</v>
          </cell>
          <cell r="C131">
            <v>0</v>
          </cell>
          <cell r="E131">
            <v>-47575.86</v>
          </cell>
        </row>
        <row r="132">
          <cell r="A132">
            <v>2101650000</v>
          </cell>
          <cell r="B132" t="str">
            <v>PROVEEDORES AEROPUERTO POTOSI</v>
          </cell>
          <cell r="C132">
            <v>0</v>
          </cell>
          <cell r="E132">
            <v>-269848</v>
          </cell>
        </row>
        <row r="133">
          <cell r="A133">
            <v>2102000000</v>
          </cell>
          <cell r="B133" t="str">
            <v>DOCUMENTOS POR PAGAR</v>
          </cell>
          <cell r="C133">
            <v>541498.06999999995</v>
          </cell>
          <cell r="E133">
            <v>-5246640.38</v>
          </cell>
        </row>
        <row r="134">
          <cell r="A134">
            <v>2102020000</v>
          </cell>
          <cell r="B134" t="str">
            <v>BANCARIOS</v>
          </cell>
          <cell r="C134">
            <v>209976.22</v>
          </cell>
          <cell r="E134">
            <v>-2671624.34</v>
          </cell>
        </row>
        <row r="135">
          <cell r="A135">
            <v>2102030000</v>
          </cell>
          <cell r="B135" t="str">
            <v>CONTRATOS</v>
          </cell>
          <cell r="C135">
            <v>277777.36</v>
          </cell>
          <cell r="E135">
            <v>-1629829.29</v>
          </cell>
        </row>
        <row r="136">
          <cell r="A136">
            <v>2102040000</v>
          </cell>
          <cell r="B136" t="str">
            <v>OTROS DOCUMENTOS</v>
          </cell>
          <cell r="C136">
            <v>53744.49</v>
          </cell>
          <cell r="E136">
            <v>-945186.75</v>
          </cell>
        </row>
        <row r="137">
          <cell r="A137">
            <v>2104000000</v>
          </cell>
          <cell r="B137" t="str">
            <v>OBLIGACIONES FINANCIERAS A CORTO PLAZO</v>
          </cell>
          <cell r="C137">
            <v>615792.51</v>
          </cell>
          <cell r="E137">
            <v>-37397831.950000003</v>
          </cell>
        </row>
        <row r="138">
          <cell r="A138">
            <v>2104010000</v>
          </cell>
          <cell r="B138" t="str">
            <v>OBLIGACIONES POR CAPITAL</v>
          </cell>
          <cell r="C138">
            <v>1633787.53</v>
          </cell>
          <cell r="E138">
            <v>-33395223.07</v>
          </cell>
        </row>
        <row r="139">
          <cell r="A139">
            <v>2104020000</v>
          </cell>
          <cell r="B139" t="str">
            <v>OBLIGACIONES POR INTERESES</v>
          </cell>
          <cell r="C139">
            <v>-1017995.02</v>
          </cell>
          <cell r="E139">
            <v>-4002608.88</v>
          </cell>
        </row>
        <row r="140">
          <cell r="A140">
            <v>2105000000</v>
          </cell>
          <cell r="B140" t="str">
            <v>IMPUESTOS POR PAGAR</v>
          </cell>
          <cell r="C140">
            <v>0</v>
          </cell>
          <cell r="E140">
            <v>0</v>
          </cell>
        </row>
        <row r="141">
          <cell r="A141">
            <v>2105010000</v>
          </cell>
          <cell r="B141" t="str">
            <v>IMPUESTO AL VALOR AGREGADO (DEBITO FISCA</v>
          </cell>
          <cell r="C141">
            <v>0</v>
          </cell>
          <cell r="E141">
            <v>0</v>
          </cell>
        </row>
        <row r="142">
          <cell r="A142">
            <v>2105040000</v>
          </cell>
          <cell r="B142" t="str">
            <v>RETENCION EN LA FUENTE</v>
          </cell>
          <cell r="C142">
            <v>0</v>
          </cell>
          <cell r="E142">
            <v>0</v>
          </cell>
        </row>
        <row r="143">
          <cell r="A143">
            <v>2105090000</v>
          </cell>
          <cell r="B143" t="str">
            <v>REGALIAS MINERAS</v>
          </cell>
          <cell r="C143">
            <v>0</v>
          </cell>
          <cell r="E143">
            <v>0</v>
          </cell>
        </row>
        <row r="144">
          <cell r="A144">
            <v>2106000000</v>
          </cell>
          <cell r="B144" t="str">
            <v>OBLIGACIONES POR PAGAR</v>
          </cell>
          <cell r="C144">
            <v>-2350417.36</v>
          </cell>
          <cell r="E144">
            <v>-25001086.57</v>
          </cell>
        </row>
        <row r="145">
          <cell r="A145">
            <v>2106010000</v>
          </cell>
          <cell r="B145" t="str">
            <v>SUELDOS Y JORNALES POR PAGAR</v>
          </cell>
          <cell r="C145">
            <v>-309298.83</v>
          </cell>
          <cell r="E145">
            <v>-11079422.470000001</v>
          </cell>
        </row>
        <row r="146">
          <cell r="A146">
            <v>2106020000</v>
          </cell>
          <cell r="B146" t="str">
            <v>AGUINALDOS Y PRIMAS POR PAGAR</v>
          </cell>
          <cell r="C146">
            <v>0</v>
          </cell>
          <cell r="E146">
            <v>-100838.3</v>
          </cell>
        </row>
        <row r="147">
          <cell r="A147">
            <v>2106040000</v>
          </cell>
          <cell r="B147" t="str">
            <v>FINIQUITOS POR PAGAR</v>
          </cell>
          <cell r="C147">
            <v>-390559.23</v>
          </cell>
          <cell r="E147">
            <v>-2098074.19</v>
          </cell>
        </row>
        <row r="148">
          <cell r="A148">
            <v>2106060000</v>
          </cell>
          <cell r="B148" t="str">
            <v>AGUINALDOS Y PRIMAS NO RECLAMADOS</v>
          </cell>
          <cell r="C148">
            <v>0</v>
          </cell>
          <cell r="E148">
            <v>-373944.54</v>
          </cell>
        </row>
        <row r="149">
          <cell r="A149">
            <v>2106070000</v>
          </cell>
          <cell r="B149" t="str">
            <v>APORTES Y RETENCIONES POR PAGAR</v>
          </cell>
          <cell r="C149">
            <v>-1763628.3</v>
          </cell>
          <cell r="E149">
            <v>-11015839.449999999</v>
          </cell>
        </row>
        <row r="150">
          <cell r="A150">
            <v>2106080000</v>
          </cell>
          <cell r="B150" t="str">
            <v>RETENCIONES JUDICIALES</v>
          </cell>
          <cell r="C150">
            <v>113069</v>
          </cell>
          <cell r="E150">
            <v>-332967.62</v>
          </cell>
        </row>
        <row r="151">
          <cell r="A151">
            <v>2107000000</v>
          </cell>
          <cell r="B151" t="str">
            <v>PROVISIONES</v>
          </cell>
          <cell r="C151">
            <v>-723209.49</v>
          </cell>
          <cell r="E151">
            <v>-13525194.27</v>
          </cell>
        </row>
        <row r="152">
          <cell r="A152">
            <v>2107010000</v>
          </cell>
          <cell r="B152" t="str">
            <v>AGUINALDOS</v>
          </cell>
          <cell r="C152">
            <v>-723209.49</v>
          </cell>
          <cell r="E152">
            <v>-6660518.8300000001</v>
          </cell>
        </row>
        <row r="153">
          <cell r="A153">
            <v>2107030000</v>
          </cell>
          <cell r="B153" t="str">
            <v>OTROS</v>
          </cell>
          <cell r="C153">
            <v>0</v>
          </cell>
          <cell r="E153">
            <v>-6864675.4400000004</v>
          </cell>
        </row>
        <row r="154">
          <cell r="A154">
            <v>2108000000</v>
          </cell>
          <cell r="B154" t="str">
            <v>COBROS POR ADELANTADO</v>
          </cell>
          <cell r="C154">
            <v>-1538994.6</v>
          </cell>
          <cell r="E154">
            <v>-3185093.54</v>
          </cell>
        </row>
        <row r="155">
          <cell r="A155">
            <v>2108010000</v>
          </cell>
          <cell r="B155" t="str">
            <v>CLIENTES LOCALES</v>
          </cell>
          <cell r="C155">
            <v>-1502500.06</v>
          </cell>
          <cell r="E155">
            <v>-2610365.88</v>
          </cell>
        </row>
        <row r="156">
          <cell r="A156">
            <v>2108020000</v>
          </cell>
          <cell r="B156" t="str">
            <v>CLIENTES INTERIOR</v>
          </cell>
          <cell r="C156">
            <v>-36494.54</v>
          </cell>
          <cell r="E156">
            <v>-574727.66</v>
          </cell>
        </row>
        <row r="158">
          <cell r="A158">
            <v>2200000000</v>
          </cell>
          <cell r="B158" t="str">
            <v>PASIVO NO CORRIENTE</v>
          </cell>
          <cell r="C158">
            <v>754288.46</v>
          </cell>
          <cell r="E158">
            <v>-584460707.69000006</v>
          </cell>
        </row>
        <row r="159">
          <cell r="A159">
            <v>2201000000</v>
          </cell>
          <cell r="B159" t="str">
            <v>OBLIGACIONES FINANCIERAS A LARGO PLAZO</v>
          </cell>
          <cell r="C159">
            <v>0.31</v>
          </cell>
          <cell r="E159">
            <v>-280581956.52999997</v>
          </cell>
        </row>
        <row r="160">
          <cell r="A160">
            <v>2201010000</v>
          </cell>
          <cell r="B160" t="str">
            <v>OBLIGACIONES POR CAPITAL</v>
          </cell>
          <cell r="C160">
            <v>0.31</v>
          </cell>
          <cell r="E160">
            <v>-270133093.86000001</v>
          </cell>
        </row>
        <row r="161">
          <cell r="A161">
            <v>2201030000</v>
          </cell>
          <cell r="B161" t="str">
            <v>OBLIGACIONES POR INTERESES LP</v>
          </cell>
          <cell r="C161">
            <v>0</v>
          </cell>
          <cell r="E161">
            <v>-10448862.67</v>
          </cell>
        </row>
        <row r="162">
          <cell r="A162">
            <v>2202000000</v>
          </cell>
          <cell r="B162" t="str">
            <v>PREVISIONES</v>
          </cell>
          <cell r="C162">
            <v>3550776.06</v>
          </cell>
          <cell r="E162">
            <v>-49971305.630000003</v>
          </cell>
        </row>
        <row r="163">
          <cell r="A163">
            <v>2202010000</v>
          </cell>
          <cell r="B163" t="str">
            <v>PREVISIONES BENEFICIOS SOCIALES</v>
          </cell>
          <cell r="C163">
            <v>3550776.06</v>
          </cell>
          <cell r="E163">
            <v>-49914322.950000003</v>
          </cell>
        </row>
        <row r="164">
          <cell r="A164">
            <v>2202020000</v>
          </cell>
          <cell r="B164" t="str">
            <v>OTRAS PREVISIONES</v>
          </cell>
          <cell r="C164">
            <v>0</v>
          </cell>
          <cell r="E164">
            <v>-56982.68</v>
          </cell>
        </row>
        <row r="165">
          <cell r="A165">
            <v>2203000000</v>
          </cell>
          <cell r="B165" t="str">
            <v>OTROS PASIVOS NO CORRIENTES</v>
          </cell>
          <cell r="C165">
            <v>-9.24</v>
          </cell>
          <cell r="E165">
            <v>-732581.56</v>
          </cell>
        </row>
        <row r="166">
          <cell r="A166">
            <v>2203050000</v>
          </cell>
          <cell r="B166" t="str">
            <v>CREDITOS DIFERIDOS</v>
          </cell>
          <cell r="C166">
            <v>-9.24</v>
          </cell>
          <cell r="E166">
            <v>-732581.56</v>
          </cell>
        </row>
        <row r="167">
          <cell r="A167">
            <v>2204000000</v>
          </cell>
          <cell r="B167" t="str">
            <v>CUENTAS CORRIENTES. UNIDADES.</v>
          </cell>
          <cell r="C167">
            <v>-2796478.67</v>
          </cell>
          <cell r="E167">
            <v>-253174863.97</v>
          </cell>
        </row>
        <row r="168">
          <cell r="A168">
            <v>2204010000</v>
          </cell>
          <cell r="B168" t="str">
            <v>LIMITADA</v>
          </cell>
          <cell r="C168">
            <v>-2423727.66</v>
          </cell>
          <cell r="E168">
            <v>-246378583.03</v>
          </cell>
        </row>
        <row r="169">
          <cell r="A169">
            <v>2204040000</v>
          </cell>
          <cell r="B169" t="str">
            <v>HORMIGON</v>
          </cell>
          <cell r="C169">
            <v>-1380</v>
          </cell>
          <cell r="E169">
            <v>-224590.07</v>
          </cell>
        </row>
        <row r="170">
          <cell r="A170">
            <v>2204050000</v>
          </cell>
          <cell r="B170" t="str">
            <v>CONSTRUCCIONES</v>
          </cell>
          <cell r="C170">
            <v>0</v>
          </cell>
          <cell r="E170">
            <v>-4780811.07</v>
          </cell>
        </row>
        <row r="171">
          <cell r="A171">
            <v>2204060000</v>
          </cell>
          <cell r="B171" t="str">
            <v>CERAMICA</v>
          </cell>
          <cell r="C171">
            <v>-356221.51</v>
          </cell>
          <cell r="E171">
            <v>-430313.97</v>
          </cell>
        </row>
        <row r="172">
          <cell r="A172">
            <v>2204070000</v>
          </cell>
          <cell r="B172" t="str">
            <v>METAL</v>
          </cell>
          <cell r="C172">
            <v>-4585</v>
          </cell>
          <cell r="E172">
            <v>-1312130.43</v>
          </cell>
        </row>
        <row r="173">
          <cell r="A173">
            <v>2204080000</v>
          </cell>
          <cell r="B173" t="str">
            <v>COBOCE EDITORA OPINION</v>
          </cell>
          <cell r="C173">
            <v>-10564.5</v>
          </cell>
          <cell r="E173">
            <v>-48435.4</v>
          </cell>
        </row>
        <row r="175">
          <cell r="A175">
            <v>2400000000</v>
          </cell>
          <cell r="B175" t="str">
            <v>PATRIMONIO</v>
          </cell>
          <cell r="C175">
            <v>-1835430.12</v>
          </cell>
          <cell r="E175">
            <v>-469562351.31999999</v>
          </cell>
        </row>
        <row r="176">
          <cell r="A176">
            <v>2401000000</v>
          </cell>
          <cell r="B176" t="str">
            <v>FONDO SOCIAL</v>
          </cell>
          <cell r="C176">
            <v>-1835430.12</v>
          </cell>
          <cell r="E176">
            <v>-469562351.31999999</v>
          </cell>
        </row>
        <row r="177">
          <cell r="A177">
            <v>2401010000</v>
          </cell>
          <cell r="B177" t="str">
            <v>FONDO SOCIAL UNIDADES</v>
          </cell>
          <cell r="C177">
            <v>-1835430.12</v>
          </cell>
          <cell r="E177">
            <v>-469562351.31999999</v>
          </cell>
        </row>
        <row r="178">
          <cell r="A178">
            <v>2901010000</v>
          </cell>
          <cell r="B178" t="str">
            <v>CUENTAS DE ORDEN DEBITOS</v>
          </cell>
          <cell r="C178">
            <v>0</v>
          </cell>
          <cell r="E178">
            <v>52728412.530000001</v>
          </cell>
        </row>
        <row r="179">
          <cell r="A179">
            <v>2901020000</v>
          </cell>
          <cell r="B179" t="str">
            <v>CUENTAS DE ORDEN CREDITOS</v>
          </cell>
          <cell r="C179">
            <v>0</v>
          </cell>
          <cell r="E179">
            <v>-52728412.530000001</v>
          </cell>
        </row>
        <row r="180">
          <cell r="A180" t="str">
            <v>***TOTAL UTILIDAD(+)/PERDIDA(-)***</v>
          </cell>
          <cell r="C180">
            <v>993991.88</v>
          </cell>
          <cell r="E180">
            <v>-32770316.149999999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-1575855.71</v>
          </cell>
          <cell r="E6">
            <v>1198780331.8099999</v>
          </cell>
        </row>
        <row r="9">
          <cell r="A9">
            <v>1100000000</v>
          </cell>
          <cell r="B9" t="str">
            <v>ACTIVO DISPONIBLE</v>
          </cell>
          <cell r="C9">
            <v>-1759417.59</v>
          </cell>
          <cell r="E9">
            <v>8680537.5399999991</v>
          </cell>
        </row>
        <row r="10">
          <cell r="A10">
            <v>1101000000</v>
          </cell>
          <cell r="B10" t="str">
            <v>CAJA</v>
          </cell>
          <cell r="C10">
            <v>-1098355</v>
          </cell>
          <cell r="E10">
            <v>2317579.94</v>
          </cell>
        </row>
        <row r="11">
          <cell r="A11">
            <v>1101010000</v>
          </cell>
          <cell r="B11" t="str">
            <v>CAJA GENERAL MONEDA NACIONAL</v>
          </cell>
          <cell r="C11">
            <v>-1096392.2</v>
          </cell>
          <cell r="E11">
            <v>2131842.7999999998</v>
          </cell>
        </row>
        <row r="12">
          <cell r="A12">
            <v>1101030000</v>
          </cell>
          <cell r="B12" t="str">
            <v>CAJA CHICA MONEDA NACIONAL</v>
          </cell>
          <cell r="C12">
            <v>-1962.8</v>
          </cell>
          <cell r="E12">
            <v>185737.14</v>
          </cell>
        </row>
        <row r="13">
          <cell r="A13">
            <v>1102000000</v>
          </cell>
          <cell r="B13" t="str">
            <v>BANCOS</v>
          </cell>
          <cell r="C13">
            <v>-661062.59</v>
          </cell>
          <cell r="E13">
            <v>6362957.5999999996</v>
          </cell>
        </row>
        <row r="14">
          <cell r="A14">
            <v>1102010000</v>
          </cell>
          <cell r="B14" t="str">
            <v>BANCO BISA</v>
          </cell>
          <cell r="C14">
            <v>-1564546.16</v>
          </cell>
          <cell r="E14">
            <v>244189.38</v>
          </cell>
        </row>
        <row r="15">
          <cell r="A15">
            <v>1102020000</v>
          </cell>
          <cell r="B15" t="str">
            <v>BANCO MERCANTIL</v>
          </cell>
          <cell r="C15">
            <v>500436.24</v>
          </cell>
          <cell r="E15">
            <v>672257.25</v>
          </cell>
        </row>
        <row r="16">
          <cell r="A16">
            <v>1102040000</v>
          </cell>
          <cell r="B16" t="str">
            <v>BANCO DE CREDITO</v>
          </cell>
          <cell r="C16">
            <v>-46937.8</v>
          </cell>
          <cell r="E16">
            <v>92621.25</v>
          </cell>
        </row>
        <row r="17">
          <cell r="A17">
            <v>1102050000</v>
          </cell>
          <cell r="B17" t="str">
            <v>BANCO ECONÓMICO</v>
          </cell>
          <cell r="C17">
            <v>-97084.64</v>
          </cell>
          <cell r="E17">
            <v>55918.97</v>
          </cell>
        </row>
        <row r="18">
          <cell r="A18">
            <v>1102060000</v>
          </cell>
          <cell r="B18" t="str">
            <v>BANCO GANADERO</v>
          </cell>
          <cell r="C18">
            <v>445752.17</v>
          </cell>
          <cell r="E18">
            <v>779570.16</v>
          </cell>
        </row>
        <row r="19">
          <cell r="A19">
            <v>1102070000</v>
          </cell>
          <cell r="B19" t="str">
            <v>BANCO UNION</v>
          </cell>
          <cell r="C19">
            <v>-3959.95</v>
          </cell>
          <cell r="E19">
            <v>289016.74</v>
          </cell>
        </row>
        <row r="20">
          <cell r="A20">
            <v>1102080000</v>
          </cell>
          <cell r="B20" t="str">
            <v>BANCO NACIONAL</v>
          </cell>
          <cell r="C20">
            <v>-72407.91</v>
          </cell>
          <cell r="E20">
            <v>88181.38</v>
          </cell>
        </row>
        <row r="21">
          <cell r="A21">
            <v>1102100000</v>
          </cell>
          <cell r="B21" t="str">
            <v>FONDO DE LA COMUNIDAD</v>
          </cell>
          <cell r="C21">
            <v>33.46</v>
          </cell>
          <cell r="E21">
            <v>15616.32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-600719.73</v>
          </cell>
          <cell r="E23">
            <v>232518</v>
          </cell>
        </row>
        <row r="24">
          <cell r="A24">
            <v>1102130000</v>
          </cell>
          <cell r="B24" t="str">
            <v>BANCO FIE</v>
          </cell>
          <cell r="C24">
            <v>778371.73</v>
          </cell>
          <cell r="E24">
            <v>3889593.16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-52730165.43</v>
          </cell>
          <cell r="E27">
            <v>154382124.25999999</v>
          </cell>
        </row>
        <row r="28">
          <cell r="A28">
            <v>1201000000</v>
          </cell>
          <cell r="B28" t="str">
            <v>CUENTAS POR COBRAR</v>
          </cell>
          <cell r="C28">
            <v>-52710145.689999998</v>
          </cell>
          <cell r="E28">
            <v>76868651.489999995</v>
          </cell>
        </row>
        <row r="29">
          <cell r="A29">
            <v>1201010000</v>
          </cell>
          <cell r="B29" t="str">
            <v>DEUDORES POR PRODUCTOS LOCALES M.N.</v>
          </cell>
          <cell r="C29">
            <v>-3441565.97</v>
          </cell>
          <cell r="E29">
            <v>32757360.289999999</v>
          </cell>
        </row>
        <row r="30">
          <cell r="A30">
            <v>1201050000</v>
          </cell>
          <cell r="B30" t="str">
            <v>DEUDORES POR PRODUCTOS INTERIOR M.N.</v>
          </cell>
          <cell r="C30">
            <v>-49321698.979999997</v>
          </cell>
          <cell r="E30">
            <v>41831300.369999997</v>
          </cell>
        </row>
        <row r="31">
          <cell r="A31">
            <v>1201130000</v>
          </cell>
          <cell r="B31" t="str">
            <v>DEUDORES VARIOS</v>
          </cell>
          <cell r="C31">
            <v>53119.26</v>
          </cell>
          <cell r="E31">
            <v>2279990.83</v>
          </cell>
        </row>
        <row r="32">
          <cell r="A32">
            <v>1202000000</v>
          </cell>
          <cell r="B32" t="str">
            <v>CUENTAS CORRIENTES</v>
          </cell>
          <cell r="C32">
            <v>48090.91</v>
          </cell>
          <cell r="E32">
            <v>70131268.269999996</v>
          </cell>
        </row>
        <row r="33">
          <cell r="A33">
            <v>1202010000</v>
          </cell>
          <cell r="B33" t="str">
            <v>PROVEEDORES</v>
          </cell>
          <cell r="C33">
            <v>48090.91</v>
          </cell>
          <cell r="E33">
            <v>70125213.769999996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128546.76</v>
          </cell>
          <cell r="E36">
            <v>4223903.01</v>
          </cell>
        </row>
        <row r="37">
          <cell r="A37">
            <v>1203030000</v>
          </cell>
          <cell r="B37" t="str">
            <v>RECLAMOS EN CURSO</v>
          </cell>
          <cell r="C37">
            <v>10819.51</v>
          </cell>
          <cell r="E37">
            <v>107622.46</v>
          </cell>
        </row>
        <row r="38">
          <cell r="A38">
            <v>1203040000</v>
          </cell>
          <cell r="B38" t="str">
            <v>OTROS DOCUMENTOS POR COBRAR</v>
          </cell>
          <cell r="C38">
            <v>117727.25</v>
          </cell>
          <cell r="E38">
            <v>4116280.55</v>
          </cell>
        </row>
        <row r="39">
          <cell r="A39">
            <v>1204000000</v>
          </cell>
          <cell r="B39" t="str">
            <v>ANTICIPOS Y PRESTAMOS</v>
          </cell>
          <cell r="C39">
            <v>-196657.41</v>
          </cell>
          <cell r="E39">
            <v>3158301.49</v>
          </cell>
        </row>
        <row r="40">
          <cell r="A40">
            <v>1204010000</v>
          </cell>
          <cell r="B40" t="str">
            <v>ANTICIPOS AL PERSONAL</v>
          </cell>
          <cell r="C40">
            <v>0</v>
          </cell>
          <cell r="E40">
            <v>214.85</v>
          </cell>
        </row>
        <row r="41">
          <cell r="A41">
            <v>1204020000</v>
          </cell>
          <cell r="B41" t="str">
            <v>PRESTAMOS AL PERSONAL M.N.</v>
          </cell>
          <cell r="C41">
            <v>-5626.93</v>
          </cell>
          <cell r="E41">
            <v>46552.77</v>
          </cell>
        </row>
        <row r="42">
          <cell r="A42">
            <v>1204040000</v>
          </cell>
          <cell r="B42" t="str">
            <v>PRESTAMOS EN PRODUCTOS O SERVICIOS</v>
          </cell>
          <cell r="C42">
            <v>-21511.1</v>
          </cell>
          <cell r="E42">
            <v>107916.81</v>
          </cell>
        </row>
        <row r="43">
          <cell r="A43">
            <v>1204050000</v>
          </cell>
          <cell r="B43" t="str">
            <v>PRESTAMOS MATERIALES DE ALMACEN</v>
          </cell>
          <cell r="C43">
            <v>1144.67</v>
          </cell>
          <cell r="E43">
            <v>4367.6099999999997</v>
          </cell>
        </row>
        <row r="44">
          <cell r="A44">
            <v>1204060000</v>
          </cell>
          <cell r="B44" t="str">
            <v>PAGOS ANTICIPADOS</v>
          </cell>
          <cell r="C44">
            <v>-320351.05</v>
          </cell>
          <cell r="E44">
            <v>2133288.12</v>
          </cell>
        </row>
        <row r="45">
          <cell r="A45">
            <v>1204080000</v>
          </cell>
          <cell r="B45" t="str">
            <v>DEUDORES CON CARGO DE CUENTA M.N.</v>
          </cell>
          <cell r="C45">
            <v>149687</v>
          </cell>
          <cell r="E45">
            <v>865945.31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3620235.51</v>
          </cell>
          <cell r="E48">
            <v>165671183</v>
          </cell>
        </row>
        <row r="49">
          <cell r="A49">
            <v>1301000000</v>
          </cell>
          <cell r="B49" t="str">
            <v>EXISTENCIAS</v>
          </cell>
          <cell r="C49">
            <v>5060615.71</v>
          </cell>
          <cell r="E49">
            <v>79144138.329999998</v>
          </cell>
        </row>
        <row r="50">
          <cell r="A50">
            <v>1301010000</v>
          </cell>
          <cell r="B50" t="str">
            <v>MATERIA PRIMA E INSUMOS</v>
          </cell>
          <cell r="C50">
            <v>698388.06</v>
          </cell>
          <cell r="E50">
            <v>17453392.969999999</v>
          </cell>
        </row>
        <row r="51">
          <cell r="A51">
            <v>1301020000</v>
          </cell>
          <cell r="B51" t="str">
            <v>PRODUCTOS EN PROCESO</v>
          </cell>
          <cell r="C51">
            <v>4688060.7699999996</v>
          </cell>
          <cell r="E51">
            <v>60835564.130000003</v>
          </cell>
        </row>
        <row r="52">
          <cell r="A52">
            <v>1301030000</v>
          </cell>
          <cell r="B52" t="str">
            <v>PRODUCTOS TERMINADOS</v>
          </cell>
          <cell r="C52">
            <v>-325833.12</v>
          </cell>
          <cell r="E52">
            <v>855181.23</v>
          </cell>
        </row>
        <row r="53">
          <cell r="A53">
            <v>1304000000</v>
          </cell>
          <cell r="B53" t="str">
            <v>EXISTENCIA DE MATERIALES</v>
          </cell>
          <cell r="C53">
            <v>-1440380.2</v>
          </cell>
          <cell r="E53">
            <v>86527044.670000002</v>
          </cell>
        </row>
        <row r="54">
          <cell r="A54">
            <v>1304010000</v>
          </cell>
          <cell r="B54" t="str">
            <v>MATERIALES EN ALMACEN</v>
          </cell>
          <cell r="C54">
            <v>-630961.19999999995</v>
          </cell>
          <cell r="E54">
            <v>54498982.57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8500984.3599999994</v>
          </cell>
        </row>
        <row r="56">
          <cell r="A56">
            <v>1304030000</v>
          </cell>
          <cell r="B56" t="str">
            <v>PULPERIA IRPA - IRPA</v>
          </cell>
          <cell r="C56">
            <v>-12737.41</v>
          </cell>
          <cell r="E56">
            <v>53254.9</v>
          </cell>
        </row>
        <row r="57">
          <cell r="A57">
            <v>1304040000</v>
          </cell>
          <cell r="B57" t="str">
            <v>MERCADERIAS EN TRANSITO</v>
          </cell>
          <cell r="C57">
            <v>-796681.59</v>
          </cell>
          <cell r="E57">
            <v>23473822.84</v>
          </cell>
        </row>
        <row r="59">
          <cell r="A59">
            <v>1400000000</v>
          </cell>
          <cell r="B59" t="str">
            <v>ACTIVO FIJO</v>
          </cell>
          <cell r="C59">
            <v>20101216.210000001</v>
          </cell>
          <cell r="E59">
            <v>593978590.98000002</v>
          </cell>
        </row>
        <row r="60">
          <cell r="A60">
            <v>1401000000</v>
          </cell>
          <cell r="B60" t="str">
            <v>BIENES DE USO</v>
          </cell>
          <cell r="C60">
            <v>24410088.120000001</v>
          </cell>
          <cell r="E60">
            <v>1843749045.5999999</v>
          </cell>
        </row>
        <row r="61">
          <cell r="A61">
            <v>1401010000</v>
          </cell>
          <cell r="B61" t="str">
            <v>TERRENOS</v>
          </cell>
          <cell r="C61">
            <v>19795271.100000001</v>
          </cell>
          <cell r="E61">
            <v>63743156.840000004</v>
          </cell>
        </row>
        <row r="62">
          <cell r="A62">
            <v>1401020000</v>
          </cell>
          <cell r="B62" t="str">
            <v>EDIFICIOS</v>
          </cell>
          <cell r="C62">
            <v>1759711.52</v>
          </cell>
          <cell r="E62">
            <v>377037970.27999997</v>
          </cell>
        </row>
        <row r="63">
          <cell r="A63">
            <v>1401030000</v>
          </cell>
          <cell r="B63" t="str">
            <v>MUEBLES Y ENSERES DE OFICINA</v>
          </cell>
          <cell r="C63">
            <v>720.32</v>
          </cell>
          <cell r="E63">
            <v>5097192.6399999997</v>
          </cell>
        </row>
        <row r="64">
          <cell r="A64">
            <v>1401040000</v>
          </cell>
          <cell r="B64" t="str">
            <v>MAQUINARIA Y EQUIPO</v>
          </cell>
          <cell r="C64">
            <v>1355505.63</v>
          </cell>
          <cell r="E64">
            <v>699026412.17999995</v>
          </cell>
        </row>
        <row r="65">
          <cell r="A65">
            <v>1401050000</v>
          </cell>
          <cell r="B65" t="str">
            <v>VEHICULOS</v>
          </cell>
          <cell r="C65">
            <v>8338.9</v>
          </cell>
          <cell r="E65">
            <v>34780012.590000004</v>
          </cell>
        </row>
        <row r="66">
          <cell r="A66">
            <v>1401060000</v>
          </cell>
          <cell r="B66" t="str">
            <v>MAQUINARIA DE CONSTRUCCION</v>
          </cell>
          <cell r="C66">
            <v>4039.46</v>
          </cell>
          <cell r="E66">
            <v>17603137.890000001</v>
          </cell>
        </row>
        <row r="67">
          <cell r="A67">
            <v>1401070000</v>
          </cell>
          <cell r="B67" t="str">
            <v>EQUIPO PESADO</v>
          </cell>
          <cell r="C67">
            <v>15411.85</v>
          </cell>
          <cell r="E67">
            <v>123751188.79000001</v>
          </cell>
        </row>
        <row r="68">
          <cell r="A68">
            <v>1401080000</v>
          </cell>
          <cell r="B68" t="str">
            <v>INSTALACIONES INDUSTRIALES</v>
          </cell>
          <cell r="C68">
            <v>1322175.67</v>
          </cell>
          <cell r="E68">
            <v>471796715.29000002</v>
          </cell>
        </row>
        <row r="69">
          <cell r="A69">
            <v>1401090000</v>
          </cell>
          <cell r="B69" t="str">
            <v>HERRAMIENTAS E IMPLEMENTOS</v>
          </cell>
          <cell r="C69">
            <v>882.94</v>
          </cell>
          <cell r="E69">
            <v>19207868.239999998</v>
          </cell>
        </row>
        <row r="70">
          <cell r="A70">
            <v>1401100000</v>
          </cell>
          <cell r="B70" t="str">
            <v>TINGLADOS</v>
          </cell>
          <cell r="C70">
            <v>125982.07</v>
          </cell>
          <cell r="E70">
            <v>14489116.15</v>
          </cell>
        </row>
        <row r="71">
          <cell r="A71">
            <v>1401110000</v>
          </cell>
          <cell r="B71" t="str">
            <v>EQUIPOS DE COMPUTACION</v>
          </cell>
          <cell r="C71">
            <v>5169.21</v>
          </cell>
          <cell r="E71">
            <v>7916339.7000000002</v>
          </cell>
        </row>
        <row r="72">
          <cell r="A72">
            <v>1401120000</v>
          </cell>
          <cell r="B72" t="str">
            <v>EQUIPOS DE LABORATORIO</v>
          </cell>
          <cell r="C72">
            <v>16879.45</v>
          </cell>
          <cell r="E72">
            <v>9133831.6899999995</v>
          </cell>
        </row>
        <row r="73">
          <cell r="A73">
            <v>1401150000</v>
          </cell>
          <cell r="B73" t="str">
            <v>CANALES DE RIEGO Y POZOS</v>
          </cell>
          <cell r="C73">
            <v>0</v>
          </cell>
          <cell r="E73">
            <v>166103.32</v>
          </cell>
        </row>
        <row r="74">
          <cell r="A74">
            <v>1402000000</v>
          </cell>
          <cell r="B74" t="str">
            <v>DEPRECIACION ACUMULADA</v>
          </cell>
          <cell r="C74">
            <v>-4308871.91</v>
          </cell>
          <cell r="E74">
            <v>-1249770454.6199999</v>
          </cell>
        </row>
        <row r="75">
          <cell r="A75">
            <v>1402020000</v>
          </cell>
          <cell r="B75" t="str">
            <v>EDIFICIOS</v>
          </cell>
          <cell r="C75">
            <v>-1262327.29</v>
          </cell>
          <cell r="E75">
            <v>-108958415.92</v>
          </cell>
        </row>
        <row r="76">
          <cell r="A76">
            <v>1402030000</v>
          </cell>
          <cell r="B76" t="str">
            <v>MUEBLES Y ENSERES DE OFICINA</v>
          </cell>
          <cell r="C76">
            <v>-1823.17</v>
          </cell>
          <cell r="E76">
            <v>-5063857.47</v>
          </cell>
        </row>
        <row r="77">
          <cell r="A77">
            <v>1402040000</v>
          </cell>
          <cell r="B77" t="str">
            <v>MAQUINARIA Y EQUIPO</v>
          </cell>
          <cell r="C77">
            <v>-1422899.18</v>
          </cell>
          <cell r="E77">
            <v>-569447520.14999998</v>
          </cell>
        </row>
        <row r="78">
          <cell r="A78">
            <v>1402050000</v>
          </cell>
          <cell r="B78" t="str">
            <v>VEHICULOS</v>
          </cell>
          <cell r="C78">
            <v>-35251.97</v>
          </cell>
          <cell r="E78">
            <v>-34298938.119999997</v>
          </cell>
        </row>
        <row r="79">
          <cell r="A79">
            <v>1402060000</v>
          </cell>
          <cell r="B79" t="str">
            <v>MAQUINARIA DE CONSTRUCCION</v>
          </cell>
          <cell r="C79">
            <v>-11588.89</v>
          </cell>
          <cell r="E79">
            <v>-17331148.719999999</v>
          </cell>
        </row>
        <row r="80">
          <cell r="A80">
            <v>1402070000</v>
          </cell>
          <cell r="B80" t="str">
            <v>EQUIPO PESADO</v>
          </cell>
          <cell r="C80">
            <v>-42093.67</v>
          </cell>
          <cell r="E80">
            <v>-122265653.56999999</v>
          </cell>
        </row>
        <row r="81">
          <cell r="A81">
            <v>1402080000</v>
          </cell>
          <cell r="B81" t="str">
            <v>INSTALACIONES INDUSTRIALES</v>
          </cell>
          <cell r="C81">
            <v>-1321364.7</v>
          </cell>
          <cell r="E81">
            <v>-344293811.94</v>
          </cell>
        </row>
        <row r="82">
          <cell r="A82">
            <v>1402090000</v>
          </cell>
          <cell r="B82" t="str">
            <v>HERRAMIENTAS E IMPLEMENTOS</v>
          </cell>
          <cell r="C82">
            <v>-4312.6400000000003</v>
          </cell>
          <cell r="E82">
            <v>-19116303.809999999</v>
          </cell>
        </row>
        <row r="83">
          <cell r="A83">
            <v>1402100000</v>
          </cell>
          <cell r="B83" t="str">
            <v>TINGLADOS</v>
          </cell>
          <cell r="C83">
            <v>-135499.34</v>
          </cell>
          <cell r="E83">
            <v>-13865786.73</v>
          </cell>
        </row>
        <row r="84">
          <cell r="A84">
            <v>1402110000</v>
          </cell>
          <cell r="B84" t="str">
            <v>EQUIPOS DE COMPUTACION</v>
          </cell>
          <cell r="C84">
            <v>-25224.52</v>
          </cell>
          <cell r="E84">
            <v>-7374948.6100000003</v>
          </cell>
        </row>
        <row r="85">
          <cell r="A85">
            <v>1402120000</v>
          </cell>
          <cell r="B85" t="str">
            <v>EQUIPOS DE LABORATORIO</v>
          </cell>
          <cell r="C85">
            <v>-46486.54</v>
          </cell>
          <cell r="E85">
            <v>-7587966.2599999998</v>
          </cell>
        </row>
        <row r="86">
          <cell r="A86">
            <v>1402150000</v>
          </cell>
          <cell r="B86" t="str">
            <v>CANALES DE RIEGO Y POZOS</v>
          </cell>
          <cell r="C86">
            <v>0</v>
          </cell>
          <cell r="E86">
            <v>-166103.32</v>
          </cell>
        </row>
        <row r="88">
          <cell r="A88">
            <v>1500000000</v>
          </cell>
          <cell r="B88" t="str">
            <v>INVERSIONES</v>
          </cell>
          <cell r="C88">
            <v>554540.25</v>
          </cell>
          <cell r="E88">
            <v>27486228.059999999</v>
          </cell>
        </row>
        <row r="89">
          <cell r="A89">
            <v>1502000000</v>
          </cell>
          <cell r="B89" t="str">
            <v>OTRAS INVERSIONES</v>
          </cell>
          <cell r="C89">
            <v>554540.25</v>
          </cell>
          <cell r="E89">
            <v>27486228.059999999</v>
          </cell>
        </row>
        <row r="90">
          <cell r="A90">
            <v>1502010000</v>
          </cell>
          <cell r="B90" t="str">
            <v>ACCIONES</v>
          </cell>
          <cell r="C90">
            <v>554540.25</v>
          </cell>
          <cell r="E90">
            <v>27085408.050000001</v>
          </cell>
        </row>
        <row r="91">
          <cell r="A91">
            <v>1502030000</v>
          </cell>
          <cell r="B91" t="str">
            <v>LINEAS TELEFONICAS</v>
          </cell>
          <cell r="C91">
            <v>0</v>
          </cell>
          <cell r="E91">
            <v>261000</v>
          </cell>
        </row>
        <row r="92">
          <cell r="A92">
            <v>1502050000</v>
          </cell>
          <cell r="B92" t="str">
            <v>OTRAS INVERSIONES</v>
          </cell>
          <cell r="C92">
            <v>0</v>
          </cell>
          <cell r="E92">
            <v>139820.01</v>
          </cell>
        </row>
        <row r="94">
          <cell r="A94">
            <v>1600000000</v>
          </cell>
          <cell r="B94" t="str">
            <v>OTROS ACTIVOS</v>
          </cell>
          <cell r="C94">
            <v>28574099.309999999</v>
          </cell>
          <cell r="E94">
            <v>235468006.78</v>
          </cell>
        </row>
        <row r="95">
          <cell r="A95">
            <v>1601000000</v>
          </cell>
          <cell r="B95" t="str">
            <v>DOCUMENTOS POR COBRAR A LARGO PLAZO</v>
          </cell>
          <cell r="C95">
            <v>46973028.759999998</v>
          </cell>
          <cell r="E95">
            <v>56522479.119999997</v>
          </cell>
        </row>
        <row r="96">
          <cell r="A96">
            <v>1601020000</v>
          </cell>
          <cell r="B96" t="str">
            <v>CREDITOS M.E.</v>
          </cell>
          <cell r="C96">
            <v>46973728.759999998</v>
          </cell>
          <cell r="E96">
            <v>46973728.759999998</v>
          </cell>
        </row>
        <row r="97">
          <cell r="A97">
            <v>1601040000</v>
          </cell>
          <cell r="B97" t="str">
            <v>DOCUMENTOS EN EJECUCION</v>
          </cell>
          <cell r="C97">
            <v>-700</v>
          </cell>
          <cell r="E97">
            <v>9548750.3599999994</v>
          </cell>
        </row>
        <row r="98">
          <cell r="A98">
            <v>1601050000</v>
          </cell>
          <cell r="B98" t="str">
            <v>CUENTAS INCOBRABLES</v>
          </cell>
          <cell r="C98">
            <v>0</v>
          </cell>
          <cell r="E98">
            <v>3212209.75</v>
          </cell>
        </row>
        <row r="99">
          <cell r="A99">
            <v>1601060000</v>
          </cell>
          <cell r="B99" t="str">
            <v>(PREVISION CUENTAS INCOBRABLES)</v>
          </cell>
          <cell r="C99">
            <v>0</v>
          </cell>
          <cell r="E99">
            <v>-3212209.75</v>
          </cell>
        </row>
        <row r="100">
          <cell r="A100">
            <v>1602000000</v>
          </cell>
          <cell r="B100" t="str">
            <v>OBRAS EN EJECUCIÓN</v>
          </cell>
          <cell r="C100">
            <v>245152.26</v>
          </cell>
          <cell r="E100">
            <v>15722560.85</v>
          </cell>
        </row>
        <row r="101">
          <cell r="A101">
            <v>1602010000</v>
          </cell>
          <cell r="B101" t="str">
            <v>AMPLIACIONES</v>
          </cell>
          <cell r="C101">
            <v>245152.26</v>
          </cell>
          <cell r="E101">
            <v>15722560.85</v>
          </cell>
        </row>
        <row r="102">
          <cell r="A102">
            <v>1604000000</v>
          </cell>
          <cell r="B102" t="str">
            <v>BIENES ARRENDADOS</v>
          </cell>
          <cell r="C102">
            <v>0</v>
          </cell>
          <cell r="E102">
            <v>2324313.2999999998</v>
          </cell>
        </row>
        <row r="103">
          <cell r="A103">
            <v>1604010000</v>
          </cell>
          <cell r="B103" t="str">
            <v>VALOR DE ARRENDAMIENTO</v>
          </cell>
          <cell r="C103">
            <v>0</v>
          </cell>
          <cell r="E103">
            <v>2324313.2999999998</v>
          </cell>
        </row>
        <row r="104">
          <cell r="A104">
            <v>1605000000</v>
          </cell>
          <cell r="B104" t="str">
            <v>DIVERSOS</v>
          </cell>
          <cell r="C104">
            <v>-38940.800000000003</v>
          </cell>
          <cell r="E104">
            <v>18351394.969999999</v>
          </cell>
        </row>
        <row r="105">
          <cell r="A105">
            <v>1605010000</v>
          </cell>
          <cell r="B105" t="str">
            <v>REPUESTOS EN ALMACEN</v>
          </cell>
          <cell r="C105">
            <v>-38940.800000000003</v>
          </cell>
          <cell r="E105">
            <v>18162374.73</v>
          </cell>
        </row>
        <row r="106">
          <cell r="A106">
            <v>1605020000</v>
          </cell>
          <cell r="B106" t="str">
            <v>LIBROS Y BIBLIOTECAS</v>
          </cell>
          <cell r="C106">
            <v>0</v>
          </cell>
          <cell r="E106">
            <v>189020.24</v>
          </cell>
        </row>
        <row r="107">
          <cell r="A107">
            <v>1606000000</v>
          </cell>
          <cell r="B107" t="str">
            <v>CUENTAS CORRIENTES UNIDADES</v>
          </cell>
          <cell r="C107">
            <v>-18605140.91</v>
          </cell>
          <cell r="E107">
            <v>142547258.53999999</v>
          </cell>
        </row>
        <row r="108">
          <cell r="A108">
            <v>1606010000</v>
          </cell>
          <cell r="B108" t="str">
            <v>LIMITADA</v>
          </cell>
          <cell r="C108">
            <v>-318116.96000000002</v>
          </cell>
          <cell r="E108">
            <v>132474049.22</v>
          </cell>
        </row>
        <row r="109">
          <cell r="A109">
            <v>1606030000</v>
          </cell>
          <cell r="B109" t="str">
            <v>CERAMIL</v>
          </cell>
          <cell r="C109">
            <v>387864.63</v>
          </cell>
          <cell r="E109">
            <v>6796260.0300000003</v>
          </cell>
        </row>
        <row r="110">
          <cell r="A110">
            <v>1606040000</v>
          </cell>
          <cell r="B110" t="str">
            <v>HORMIGON</v>
          </cell>
          <cell r="C110">
            <v>-18999168.469999999</v>
          </cell>
          <cell r="E110">
            <v>1368867.02</v>
          </cell>
        </row>
        <row r="111">
          <cell r="A111">
            <v>1606050000</v>
          </cell>
          <cell r="B111" t="str">
            <v>CONSTRUCCIONES</v>
          </cell>
          <cell r="C111">
            <v>301229.06</v>
          </cell>
          <cell r="E111">
            <v>1185717.33</v>
          </cell>
        </row>
        <row r="112">
          <cell r="A112">
            <v>1606060000</v>
          </cell>
          <cell r="B112" t="str">
            <v>CERAMICA</v>
          </cell>
          <cell r="C112">
            <v>-4327.67</v>
          </cell>
          <cell r="E112">
            <v>581130.89</v>
          </cell>
        </row>
        <row r="113">
          <cell r="A113">
            <v>1606070000</v>
          </cell>
          <cell r="B113" t="str">
            <v>METAL</v>
          </cell>
          <cell r="C113">
            <v>7845.2</v>
          </cell>
          <cell r="E113">
            <v>100637.8</v>
          </cell>
        </row>
        <row r="114">
          <cell r="A114">
            <v>1606080000</v>
          </cell>
          <cell r="B114" t="str">
            <v>COBOCE EDITORA OPINION</v>
          </cell>
          <cell r="C114">
            <v>19533.3</v>
          </cell>
          <cell r="E114">
            <v>40596.25</v>
          </cell>
        </row>
        <row r="116">
          <cell r="A116">
            <v>1700000000</v>
          </cell>
          <cell r="B116" t="str">
            <v>ACTIVOS DIFERIDOS</v>
          </cell>
          <cell r="C116">
            <v>63636.03</v>
          </cell>
          <cell r="E116">
            <v>13113661.189999999</v>
          </cell>
        </row>
        <row r="117">
          <cell r="A117">
            <v>1701000000</v>
          </cell>
          <cell r="B117" t="str">
            <v>ACTIVOS RETIRADOS</v>
          </cell>
          <cell r="C117">
            <v>0</v>
          </cell>
          <cell r="E117">
            <v>3580102.51</v>
          </cell>
        </row>
        <row r="118">
          <cell r="A118">
            <v>1701010000</v>
          </cell>
          <cell r="B118" t="str">
            <v>BIENES DE USO RETIRADOS</v>
          </cell>
          <cell r="C118">
            <v>0</v>
          </cell>
          <cell r="E118">
            <v>3580102.51</v>
          </cell>
        </row>
        <row r="119">
          <cell r="A119">
            <v>1702000000</v>
          </cell>
          <cell r="B119" t="str">
            <v>GASTOS DIFERIDOS</v>
          </cell>
          <cell r="C119">
            <v>63636.03</v>
          </cell>
          <cell r="E119">
            <v>9533558.6799999997</v>
          </cell>
        </row>
        <row r="120">
          <cell r="A120">
            <v>1702010000</v>
          </cell>
          <cell r="B120" t="str">
            <v>GASTOS DE ORGANIZACION Y PUESTA EN MARCH</v>
          </cell>
          <cell r="C120">
            <v>0</v>
          </cell>
          <cell r="E120">
            <v>4900472.5999999996</v>
          </cell>
        </row>
        <row r="121">
          <cell r="A121">
            <v>1702020000</v>
          </cell>
          <cell r="B121" t="str">
            <v>GASTOS DE PRODUCCIÓN Y MANTENIMIENTO</v>
          </cell>
          <cell r="C121">
            <v>63636.03</v>
          </cell>
          <cell r="E121">
            <v>66268.350000000006</v>
          </cell>
        </row>
        <row r="122">
          <cell r="A122">
            <v>1702050000</v>
          </cell>
          <cell r="B122" t="str">
            <v>VARIOS</v>
          </cell>
          <cell r="C122">
            <v>0</v>
          </cell>
          <cell r="E122">
            <v>4566817.7300000004</v>
          </cell>
        </row>
        <row r="124">
          <cell r="A124">
            <v>2000000000</v>
          </cell>
          <cell r="B124" t="str">
            <v>PASIVO</v>
          </cell>
          <cell r="C124">
            <v>4014683.39</v>
          </cell>
          <cell r="E124">
            <v>-1229111820.28</v>
          </cell>
        </row>
        <row r="127">
          <cell r="A127">
            <v>2100000000</v>
          </cell>
          <cell r="B127" t="str">
            <v>PASIVO CORRIENTE</v>
          </cell>
          <cell r="C127">
            <v>2918638.37</v>
          </cell>
          <cell r="E127">
            <v>-176184806.28999999</v>
          </cell>
        </row>
        <row r="128">
          <cell r="A128">
            <v>2101000000</v>
          </cell>
          <cell r="B128" t="str">
            <v>DEUDAS COMERCIALES</v>
          </cell>
          <cell r="C128">
            <v>610439.61</v>
          </cell>
          <cell r="E128">
            <v>-94137158.340000004</v>
          </cell>
        </row>
        <row r="129">
          <cell r="A129">
            <v>2101010000</v>
          </cell>
          <cell r="B129" t="str">
            <v>PROVEEDORES</v>
          </cell>
          <cell r="C129">
            <v>2133474.6800000002</v>
          </cell>
          <cell r="E129">
            <v>-81028757.120000005</v>
          </cell>
        </row>
        <row r="130">
          <cell r="A130">
            <v>2101030000</v>
          </cell>
          <cell r="B130" t="str">
            <v>TRANSPORTISTAS</v>
          </cell>
          <cell r="C130">
            <v>-1222719.75</v>
          </cell>
          <cell r="E130">
            <v>-7533768.5599999996</v>
          </cell>
        </row>
        <row r="131">
          <cell r="A131">
            <v>2101040000</v>
          </cell>
          <cell r="B131" t="str">
            <v>ACREEDORES VARIOS</v>
          </cell>
          <cell r="C131">
            <v>-300315.32</v>
          </cell>
          <cell r="E131">
            <v>-5257208.8</v>
          </cell>
        </row>
        <row r="132">
          <cell r="A132">
            <v>2101090000</v>
          </cell>
          <cell r="B132" t="str">
            <v>ACREEDORES POR DEPOSITOS EN GARANTIA</v>
          </cell>
          <cell r="C132">
            <v>0</v>
          </cell>
          <cell r="E132">
            <v>-47575.86</v>
          </cell>
        </row>
        <row r="133">
          <cell r="A133">
            <v>2101650000</v>
          </cell>
          <cell r="B133" t="str">
            <v>PROVEEDORES AEROPUERTO POTOSI</v>
          </cell>
          <cell r="C133">
            <v>0</v>
          </cell>
          <cell r="E133">
            <v>-269848</v>
          </cell>
        </row>
        <row r="134">
          <cell r="A134">
            <v>2102000000</v>
          </cell>
          <cell r="B134" t="str">
            <v>DOCUMENTOS POR PAGAR</v>
          </cell>
          <cell r="C134">
            <v>602160.65</v>
          </cell>
          <cell r="E134">
            <v>-4644479.7300000004</v>
          </cell>
        </row>
        <row r="135">
          <cell r="A135">
            <v>2102020000</v>
          </cell>
          <cell r="B135" t="str">
            <v>BANCARIOS</v>
          </cell>
          <cell r="C135">
            <v>0</v>
          </cell>
          <cell r="E135">
            <v>-2671624.34</v>
          </cell>
        </row>
        <row r="136">
          <cell r="A136">
            <v>2102030000</v>
          </cell>
          <cell r="B136" t="str">
            <v>CONTRATOS</v>
          </cell>
          <cell r="C136">
            <v>423048.91</v>
          </cell>
          <cell r="E136">
            <v>-1206780.3799999999</v>
          </cell>
        </row>
        <row r="137">
          <cell r="A137">
            <v>2102040000</v>
          </cell>
          <cell r="B137" t="str">
            <v>OTROS DOCUMENTOS</v>
          </cell>
          <cell r="C137">
            <v>179111.74</v>
          </cell>
          <cell r="E137">
            <v>-766075.01</v>
          </cell>
        </row>
        <row r="138">
          <cell r="A138">
            <v>2104000000</v>
          </cell>
          <cell r="B138" t="str">
            <v>OBLIGACIONES FINANCIERAS A CORTO PLAZO</v>
          </cell>
          <cell r="C138">
            <v>23004646.629999999</v>
          </cell>
          <cell r="E138">
            <v>-14393185.32</v>
          </cell>
        </row>
        <row r="139">
          <cell r="A139">
            <v>2104010000</v>
          </cell>
          <cell r="B139" t="str">
            <v>OBLIGACIONES POR CAPITAL</v>
          </cell>
          <cell r="C139">
            <v>23000668.789999999</v>
          </cell>
          <cell r="E139">
            <v>-10394554.279999999</v>
          </cell>
        </row>
        <row r="140">
          <cell r="A140">
            <v>2104020000</v>
          </cell>
          <cell r="B140" t="str">
            <v>OBLIGACIONES POR INTERESES</v>
          </cell>
          <cell r="C140">
            <v>3977.84</v>
          </cell>
          <cell r="E140">
            <v>-3998631.04</v>
          </cell>
        </row>
        <row r="141">
          <cell r="A141">
            <v>2105000000</v>
          </cell>
          <cell r="B141" t="str">
            <v>IMPUESTOS POR PAGAR</v>
          </cell>
          <cell r="C141">
            <v>0</v>
          </cell>
          <cell r="E141">
            <v>0</v>
          </cell>
        </row>
        <row r="142">
          <cell r="A142">
            <v>2105010000</v>
          </cell>
          <cell r="B142" t="str">
            <v>IMPUESTO AL VALOR AGREGADO (DEBITO FISCA</v>
          </cell>
          <cell r="C142">
            <v>0</v>
          </cell>
          <cell r="E142">
            <v>0</v>
          </cell>
        </row>
        <row r="143">
          <cell r="A143">
            <v>2105040000</v>
          </cell>
          <cell r="B143" t="str">
            <v>RETENCION EN LA FUENTE</v>
          </cell>
          <cell r="C143">
            <v>0</v>
          </cell>
          <cell r="E143">
            <v>0</v>
          </cell>
        </row>
        <row r="144">
          <cell r="A144">
            <v>2105090000</v>
          </cell>
          <cell r="B144" t="str">
            <v>REGALIAS MINERAS</v>
          </cell>
          <cell r="C144">
            <v>0</v>
          </cell>
          <cell r="E144">
            <v>0</v>
          </cell>
        </row>
        <row r="145">
          <cell r="A145">
            <v>2106000000</v>
          </cell>
          <cell r="B145" t="str">
            <v>OBLIGACIONES POR PAGAR</v>
          </cell>
          <cell r="C145">
            <v>-1368252.69</v>
          </cell>
          <cell r="E145">
            <v>-26369339.260000002</v>
          </cell>
        </row>
        <row r="146">
          <cell r="A146">
            <v>2106010000</v>
          </cell>
          <cell r="B146" t="str">
            <v>SUELDOS Y JORNALES POR PAGAR</v>
          </cell>
          <cell r="C146">
            <v>-2622514.5099999998</v>
          </cell>
          <cell r="E146">
            <v>-13701936.98</v>
          </cell>
        </row>
        <row r="147">
          <cell r="A147">
            <v>2106020000</v>
          </cell>
          <cell r="B147" t="str">
            <v>AGUINALDOS Y PRIMAS POR PAGAR</v>
          </cell>
          <cell r="C147">
            <v>0</v>
          </cell>
          <cell r="E147">
            <v>-100838.3</v>
          </cell>
        </row>
        <row r="148">
          <cell r="A148">
            <v>2106040000</v>
          </cell>
          <cell r="B148" t="str">
            <v>FINIQUITOS POR PAGAR</v>
          </cell>
          <cell r="C148">
            <v>1020477.32</v>
          </cell>
          <cell r="E148">
            <v>-1077596.8700000001</v>
          </cell>
        </row>
        <row r="149">
          <cell r="A149">
            <v>2106060000</v>
          </cell>
          <cell r="B149" t="str">
            <v>AGUINALDOS Y PRIMAS NO RECLAMADOS</v>
          </cell>
          <cell r="C149">
            <v>0</v>
          </cell>
          <cell r="E149">
            <v>-373944.54</v>
          </cell>
        </row>
        <row r="150">
          <cell r="A150">
            <v>2106070000</v>
          </cell>
          <cell r="B150" t="str">
            <v>APORTES Y RETENCIONES POR PAGAR</v>
          </cell>
          <cell r="C150">
            <v>340220.5</v>
          </cell>
          <cell r="E150">
            <v>-10675618.949999999</v>
          </cell>
        </row>
        <row r="151">
          <cell r="A151">
            <v>2106080000</v>
          </cell>
          <cell r="B151" t="str">
            <v>RETENCIONES JUDICIALES</v>
          </cell>
          <cell r="C151">
            <v>-106436</v>
          </cell>
          <cell r="E151">
            <v>-439403.62</v>
          </cell>
        </row>
        <row r="152">
          <cell r="A152">
            <v>2107000000</v>
          </cell>
          <cell r="B152" t="str">
            <v>PROVISIONES</v>
          </cell>
          <cell r="C152">
            <v>-668301.13</v>
          </cell>
          <cell r="E152">
            <v>-14193495.4</v>
          </cell>
        </row>
        <row r="153">
          <cell r="A153">
            <v>2107010000</v>
          </cell>
          <cell r="B153" t="str">
            <v>AGUINALDOS</v>
          </cell>
          <cell r="C153">
            <v>-668301.13</v>
          </cell>
          <cell r="E153">
            <v>-7328819.96</v>
          </cell>
        </row>
        <row r="154">
          <cell r="A154">
            <v>2107030000</v>
          </cell>
          <cell r="B154" t="str">
            <v>OTROS</v>
          </cell>
          <cell r="C154">
            <v>0</v>
          </cell>
          <cell r="E154">
            <v>-6864675.4400000004</v>
          </cell>
        </row>
        <row r="155">
          <cell r="A155">
            <v>2108000000</v>
          </cell>
          <cell r="B155" t="str">
            <v>COBROS POR ADELANTADO</v>
          </cell>
          <cell r="C155">
            <v>-19262054.699999999</v>
          </cell>
          <cell r="E155">
            <v>-22447148.239999998</v>
          </cell>
        </row>
        <row r="156">
          <cell r="A156">
            <v>2108010000</v>
          </cell>
          <cell r="B156" t="str">
            <v>CLIENTES LOCALES</v>
          </cell>
          <cell r="C156">
            <v>673585.47</v>
          </cell>
          <cell r="E156">
            <v>-1936780.41</v>
          </cell>
        </row>
        <row r="157">
          <cell r="A157">
            <v>2108020000</v>
          </cell>
          <cell r="B157" t="str">
            <v>CLIENTES INTERIOR</v>
          </cell>
          <cell r="C157">
            <v>-19935640.170000002</v>
          </cell>
          <cell r="E157">
            <v>-20510367.829999998</v>
          </cell>
        </row>
        <row r="159">
          <cell r="A159">
            <v>2200000000</v>
          </cell>
          <cell r="B159" t="str">
            <v>PASIVO NO CORRIENTE</v>
          </cell>
          <cell r="C159">
            <v>3331932.62</v>
          </cell>
          <cell r="E159">
            <v>-581128775.07000005</v>
          </cell>
        </row>
        <row r="160">
          <cell r="A160">
            <v>2201000000</v>
          </cell>
          <cell r="B160" t="str">
            <v>OBLIGACIONES FINANCIERAS A LARGO PLAZO</v>
          </cell>
          <cell r="C160">
            <v>3462016.42</v>
          </cell>
          <cell r="E160">
            <v>-277119940.11000001</v>
          </cell>
        </row>
        <row r="161">
          <cell r="A161">
            <v>2201010000</v>
          </cell>
          <cell r="B161" t="str">
            <v>OBLIGACIONES POR CAPITAL</v>
          </cell>
          <cell r="C161">
            <v>3462016.42</v>
          </cell>
          <cell r="E161">
            <v>-266671077.44</v>
          </cell>
        </row>
        <row r="162">
          <cell r="A162">
            <v>2201030000</v>
          </cell>
          <cell r="B162" t="str">
            <v>OBLIGACIONES POR INTERESES LP</v>
          </cell>
          <cell r="C162">
            <v>0</v>
          </cell>
          <cell r="E162">
            <v>-10448862.67</v>
          </cell>
        </row>
        <row r="163">
          <cell r="A163">
            <v>2202000000</v>
          </cell>
          <cell r="B163" t="str">
            <v>PREVISIONES</v>
          </cell>
          <cell r="C163">
            <v>198992.5</v>
          </cell>
          <cell r="E163">
            <v>-49772313.130000003</v>
          </cell>
        </row>
        <row r="164">
          <cell r="A164">
            <v>2202010000</v>
          </cell>
          <cell r="B164" t="str">
            <v>PREVISIONES BENEFICIOS SOCIALES</v>
          </cell>
          <cell r="C164">
            <v>198992.5</v>
          </cell>
          <cell r="E164">
            <v>-49715330.450000003</v>
          </cell>
        </row>
        <row r="165">
          <cell r="A165">
            <v>2202020000</v>
          </cell>
          <cell r="B165" t="str">
            <v>OTRAS PREVISIONES</v>
          </cell>
          <cell r="C165">
            <v>0</v>
          </cell>
          <cell r="E165">
            <v>-56982.68</v>
          </cell>
        </row>
        <row r="166">
          <cell r="A166">
            <v>2203000000</v>
          </cell>
          <cell r="B166" t="str">
            <v>OTROS PASIVOS NO CORRIENTES</v>
          </cell>
          <cell r="C166">
            <v>-103.04</v>
          </cell>
          <cell r="E166">
            <v>-732684.6</v>
          </cell>
        </row>
        <row r="167">
          <cell r="A167">
            <v>2203050000</v>
          </cell>
          <cell r="B167" t="str">
            <v>CREDITOS DIFERIDOS</v>
          </cell>
          <cell r="C167">
            <v>-103.04</v>
          </cell>
          <cell r="E167">
            <v>-732684.6</v>
          </cell>
        </row>
        <row r="168">
          <cell r="A168">
            <v>2204000000</v>
          </cell>
          <cell r="B168" t="str">
            <v>CUENTAS CORRIENTES. UNIDADES.</v>
          </cell>
          <cell r="C168">
            <v>-328973.26</v>
          </cell>
          <cell r="E168">
            <v>-253503837.22999999</v>
          </cell>
        </row>
        <row r="169">
          <cell r="A169">
            <v>2204010000</v>
          </cell>
          <cell r="B169" t="str">
            <v>LIMITADA</v>
          </cell>
          <cell r="C169">
            <v>-540852.26</v>
          </cell>
          <cell r="E169">
            <v>-246919435.28999999</v>
          </cell>
        </row>
        <row r="170">
          <cell r="A170">
            <v>2204040000</v>
          </cell>
          <cell r="B170" t="str">
            <v>HORMIGON</v>
          </cell>
          <cell r="C170">
            <v>224590.07</v>
          </cell>
          <cell r="E170">
            <v>0</v>
          </cell>
        </row>
        <row r="171">
          <cell r="A171">
            <v>2204050000</v>
          </cell>
          <cell r="B171" t="str">
            <v>CONSTRUCCIONES</v>
          </cell>
          <cell r="C171">
            <v>24106.32</v>
          </cell>
          <cell r="E171">
            <v>-4756704.75</v>
          </cell>
        </row>
        <row r="172">
          <cell r="A172">
            <v>2204060000</v>
          </cell>
          <cell r="B172" t="str">
            <v>CERAMICA</v>
          </cell>
          <cell r="C172">
            <v>0</v>
          </cell>
          <cell r="E172">
            <v>-430313.97</v>
          </cell>
        </row>
        <row r="173">
          <cell r="A173">
            <v>2204070000</v>
          </cell>
          <cell r="B173" t="str">
            <v>METAL</v>
          </cell>
          <cell r="C173">
            <v>-27517</v>
          </cell>
          <cell r="E173">
            <v>-1339647.43</v>
          </cell>
        </row>
        <row r="174">
          <cell r="A174">
            <v>2204080000</v>
          </cell>
          <cell r="B174" t="str">
            <v>COBOCE EDITORA OPINION</v>
          </cell>
          <cell r="C174">
            <v>-9300.39</v>
          </cell>
          <cell r="E174">
            <v>-57735.79</v>
          </cell>
        </row>
        <row r="176">
          <cell r="A176">
            <v>2400000000</v>
          </cell>
          <cell r="B176" t="str">
            <v>PATRIMONIO</v>
          </cell>
          <cell r="C176">
            <v>-2235887.6</v>
          </cell>
          <cell r="E176">
            <v>-471798238.92000002</v>
          </cell>
        </row>
        <row r="177">
          <cell r="A177">
            <v>2401000000</v>
          </cell>
          <cell r="B177" t="str">
            <v>FONDO SOCIAL</v>
          </cell>
          <cell r="C177">
            <v>-2235887.6</v>
          </cell>
          <cell r="E177">
            <v>-471798238.92000002</v>
          </cell>
        </row>
        <row r="178">
          <cell r="A178">
            <v>2401010000</v>
          </cell>
          <cell r="B178" t="str">
            <v>FONDO SOCIAL UNIDADES</v>
          </cell>
          <cell r="C178">
            <v>-2235887.6</v>
          </cell>
          <cell r="E178">
            <v>-471798238.92000002</v>
          </cell>
        </row>
        <row r="179">
          <cell r="A179">
            <v>2901010000</v>
          </cell>
          <cell r="B179" t="str">
            <v>CUENTAS DE ORDEN DEBITOS</v>
          </cell>
          <cell r="C179">
            <v>0</v>
          </cell>
          <cell r="E179">
            <v>52728412.530000001</v>
          </cell>
        </row>
        <row r="180">
          <cell r="A180">
            <v>2901020000</v>
          </cell>
          <cell r="B180" t="str">
            <v>CUENTAS DE ORDEN CREDITOS</v>
          </cell>
          <cell r="C180">
            <v>0</v>
          </cell>
          <cell r="E180">
            <v>-52728412.530000001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-18282285.82</v>
          </cell>
          <cell r="E6">
            <v>1180498045.99</v>
          </cell>
        </row>
        <row r="9">
          <cell r="A9">
            <v>1100000000</v>
          </cell>
          <cell r="B9" t="str">
            <v>ACTIVO DISPONIBLE</v>
          </cell>
          <cell r="C9">
            <v>4282333.17</v>
          </cell>
          <cell r="E9">
            <v>12962870.710000001</v>
          </cell>
        </row>
        <row r="10">
          <cell r="A10">
            <v>1101000000</v>
          </cell>
          <cell r="B10" t="str">
            <v>CAJA</v>
          </cell>
          <cell r="C10">
            <v>-178109.34</v>
          </cell>
          <cell r="E10">
            <v>2139470.6</v>
          </cell>
        </row>
        <row r="11">
          <cell r="A11">
            <v>1101010000</v>
          </cell>
          <cell r="B11" t="str">
            <v>CAJA GENERAL MONEDA NACIONAL</v>
          </cell>
          <cell r="C11">
            <v>-181072.14</v>
          </cell>
          <cell r="E11">
            <v>1950770.66</v>
          </cell>
        </row>
        <row r="12">
          <cell r="A12">
            <v>1101030000</v>
          </cell>
          <cell r="B12" t="str">
            <v>CAJA CHICA MONEDA NACIONAL</v>
          </cell>
          <cell r="C12">
            <v>2962.8</v>
          </cell>
          <cell r="E12">
            <v>188699.94</v>
          </cell>
        </row>
        <row r="13">
          <cell r="A13">
            <v>1102000000</v>
          </cell>
          <cell r="B13" t="str">
            <v>BANCOS</v>
          </cell>
          <cell r="C13">
            <v>4460442.51</v>
          </cell>
          <cell r="E13">
            <v>10823400.109999999</v>
          </cell>
        </row>
        <row r="14">
          <cell r="A14">
            <v>1102010000</v>
          </cell>
          <cell r="B14" t="str">
            <v>BANCO BISA</v>
          </cell>
          <cell r="C14">
            <v>2694187.96</v>
          </cell>
          <cell r="E14">
            <v>2938377.34</v>
          </cell>
        </row>
        <row r="15">
          <cell r="A15">
            <v>1102020000</v>
          </cell>
          <cell r="B15" t="str">
            <v>BANCO MERCANTIL</v>
          </cell>
          <cell r="C15">
            <v>181140.11</v>
          </cell>
          <cell r="E15">
            <v>853397.36</v>
          </cell>
        </row>
        <row r="16">
          <cell r="A16">
            <v>1102040000</v>
          </cell>
          <cell r="B16" t="str">
            <v>BANCO DE CREDITO</v>
          </cell>
          <cell r="C16">
            <v>11537</v>
          </cell>
          <cell r="E16">
            <v>104158.25</v>
          </cell>
        </row>
        <row r="17">
          <cell r="A17">
            <v>1102050000</v>
          </cell>
          <cell r="B17" t="str">
            <v>BANCO ECONÓMICO</v>
          </cell>
          <cell r="C17">
            <v>425069.15</v>
          </cell>
          <cell r="E17">
            <v>480988.12</v>
          </cell>
        </row>
        <row r="18">
          <cell r="A18">
            <v>1102060000</v>
          </cell>
          <cell r="B18" t="str">
            <v>BANCO GANADERO</v>
          </cell>
          <cell r="C18">
            <v>323822.46999999997</v>
          </cell>
          <cell r="E18">
            <v>1103392.6299999999</v>
          </cell>
        </row>
        <row r="19">
          <cell r="A19">
            <v>1102070000</v>
          </cell>
          <cell r="B19" t="str">
            <v>BANCO UNION</v>
          </cell>
          <cell r="C19">
            <v>-365182.51</v>
          </cell>
          <cell r="E19">
            <v>-76165.77</v>
          </cell>
        </row>
        <row r="20">
          <cell r="A20">
            <v>1102080000</v>
          </cell>
          <cell r="B20" t="str">
            <v>BANCO NACIONAL</v>
          </cell>
          <cell r="C20">
            <v>151174</v>
          </cell>
          <cell r="E20">
            <v>239355.38</v>
          </cell>
        </row>
        <row r="21">
          <cell r="A21">
            <v>1102100000</v>
          </cell>
          <cell r="B21" t="str">
            <v>FONDO DE LA COMUNIDAD</v>
          </cell>
          <cell r="C21">
            <v>24934.9</v>
          </cell>
          <cell r="E21">
            <v>40551.22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35739.11</v>
          </cell>
          <cell r="E23">
            <v>268257.11</v>
          </cell>
        </row>
        <row r="24">
          <cell r="A24">
            <v>1102130000</v>
          </cell>
          <cell r="B24" t="str">
            <v>BANCO FIE</v>
          </cell>
          <cell r="C24">
            <v>978020.32</v>
          </cell>
          <cell r="E24">
            <v>4867613.4800000004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-5449089.0899999999</v>
          </cell>
          <cell r="E27">
            <v>148933035.16999999</v>
          </cell>
        </row>
        <row r="28">
          <cell r="A28">
            <v>1201000000</v>
          </cell>
          <cell r="B28" t="str">
            <v>CUENTAS POR COBRAR</v>
          </cell>
          <cell r="C28">
            <v>-2023901.67</v>
          </cell>
          <cell r="E28">
            <v>74844749.819999993</v>
          </cell>
        </row>
        <row r="29">
          <cell r="A29">
            <v>1201010000</v>
          </cell>
          <cell r="B29" t="str">
            <v>DEUDORES POR PRODUCTOS LOCALES M.N.</v>
          </cell>
          <cell r="C29">
            <v>-2972339.84</v>
          </cell>
          <cell r="E29">
            <v>29785020.449999999</v>
          </cell>
        </row>
        <row r="30">
          <cell r="A30">
            <v>1201050000</v>
          </cell>
          <cell r="B30" t="str">
            <v>DEUDORES POR PRODUCTOS INTERIOR M.N.</v>
          </cell>
          <cell r="C30">
            <v>-618684.92000000004</v>
          </cell>
          <cell r="E30">
            <v>41212615.450000003</v>
          </cell>
        </row>
        <row r="31">
          <cell r="A31">
            <v>1201130000</v>
          </cell>
          <cell r="B31" t="str">
            <v>DEUDORES VARIOS</v>
          </cell>
          <cell r="C31">
            <v>1567123.09</v>
          </cell>
          <cell r="E31">
            <v>3847113.92</v>
          </cell>
        </row>
        <row r="32">
          <cell r="A32">
            <v>1202000000</v>
          </cell>
          <cell r="B32" t="str">
            <v>CUENTAS CORRIENTES</v>
          </cell>
          <cell r="C32">
            <v>-2955436.09</v>
          </cell>
          <cell r="E32">
            <v>67175832.180000007</v>
          </cell>
        </row>
        <row r="33">
          <cell r="A33">
            <v>1202010000</v>
          </cell>
          <cell r="B33" t="str">
            <v>PROVEEDORES</v>
          </cell>
          <cell r="C33">
            <v>-2955436.09</v>
          </cell>
          <cell r="E33">
            <v>67169777.680000007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-180630.94</v>
          </cell>
          <cell r="E36">
            <v>4043272.07</v>
          </cell>
        </row>
        <row r="37">
          <cell r="A37">
            <v>1203030000</v>
          </cell>
          <cell r="B37" t="str">
            <v>RECLAMOS EN CURSO</v>
          </cell>
          <cell r="C37">
            <v>-100779.05</v>
          </cell>
          <cell r="E37">
            <v>6843.41</v>
          </cell>
        </row>
        <row r="38">
          <cell r="A38">
            <v>1203040000</v>
          </cell>
          <cell r="B38" t="str">
            <v>OTROS DOCUMENTOS POR COBRAR</v>
          </cell>
          <cell r="C38">
            <v>-79851.89</v>
          </cell>
          <cell r="E38">
            <v>4036428.66</v>
          </cell>
        </row>
        <row r="39">
          <cell r="A39">
            <v>1204000000</v>
          </cell>
          <cell r="B39" t="str">
            <v>ANTICIPOS Y PRESTAMOS</v>
          </cell>
          <cell r="C39">
            <v>-289120.39</v>
          </cell>
          <cell r="E39">
            <v>2869181.1</v>
          </cell>
        </row>
        <row r="40">
          <cell r="A40">
            <v>1204010000</v>
          </cell>
          <cell r="B40" t="str">
            <v>ANTICIPOS AL PERSONAL</v>
          </cell>
          <cell r="C40">
            <v>0</v>
          </cell>
          <cell r="E40">
            <v>214.85</v>
          </cell>
        </row>
        <row r="41">
          <cell r="A41">
            <v>1204020000</v>
          </cell>
          <cell r="B41" t="str">
            <v>PRESTAMOS AL PERSONAL M.N.</v>
          </cell>
          <cell r="C41">
            <v>19949.900000000001</v>
          </cell>
          <cell r="E41">
            <v>66502.67</v>
          </cell>
        </row>
        <row r="42">
          <cell r="A42">
            <v>1204040000</v>
          </cell>
          <cell r="B42" t="str">
            <v>PRESTAMOS EN PRODUCTOS O SERVICIOS</v>
          </cell>
          <cell r="C42">
            <v>-12557.06</v>
          </cell>
          <cell r="E42">
            <v>95359.75</v>
          </cell>
        </row>
        <row r="43">
          <cell r="A43">
            <v>1204050000</v>
          </cell>
          <cell r="B43" t="str">
            <v>PRESTAMOS MATERIALES DE ALMACEN</v>
          </cell>
          <cell r="C43">
            <v>-298.63</v>
          </cell>
          <cell r="E43">
            <v>4068.98</v>
          </cell>
        </row>
        <row r="44">
          <cell r="A44">
            <v>1204060000</v>
          </cell>
          <cell r="B44" t="str">
            <v>PAGOS ANTICIPADOS</v>
          </cell>
          <cell r="C44">
            <v>-289961.96000000002</v>
          </cell>
          <cell r="E44">
            <v>1843326.16</v>
          </cell>
        </row>
        <row r="45">
          <cell r="A45">
            <v>1204080000</v>
          </cell>
          <cell r="B45" t="str">
            <v>DEUDORES CON CARGO DE CUENTA M.N.</v>
          </cell>
          <cell r="C45">
            <v>-6252.64</v>
          </cell>
          <cell r="E45">
            <v>859692.67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-11473035.789999999</v>
          </cell>
          <cell r="E48">
            <v>154198147.21000001</v>
          </cell>
        </row>
        <row r="49">
          <cell r="A49">
            <v>1301000000</v>
          </cell>
          <cell r="B49" t="str">
            <v>EXISTENCIAS</v>
          </cell>
          <cell r="C49">
            <v>-8430294.3599999994</v>
          </cell>
          <cell r="E49">
            <v>70713843.969999999</v>
          </cell>
        </row>
        <row r="50">
          <cell r="A50">
            <v>1301010000</v>
          </cell>
          <cell r="B50" t="str">
            <v>MATERIA PRIMA E INSUMOS</v>
          </cell>
          <cell r="C50">
            <v>1528391.6</v>
          </cell>
          <cell r="E50">
            <v>18981784.57</v>
          </cell>
        </row>
        <row r="51">
          <cell r="A51">
            <v>1301020000</v>
          </cell>
          <cell r="B51" t="str">
            <v>PRODUCTOS EN PROCESO</v>
          </cell>
          <cell r="C51">
            <v>-11749255.210000001</v>
          </cell>
          <cell r="E51">
            <v>49086308.920000002</v>
          </cell>
        </row>
        <row r="52">
          <cell r="A52">
            <v>1301030000</v>
          </cell>
          <cell r="B52" t="str">
            <v>PRODUCTOS TERMINADOS</v>
          </cell>
          <cell r="C52">
            <v>1790569.25</v>
          </cell>
          <cell r="E52">
            <v>2645750.48</v>
          </cell>
        </row>
        <row r="53">
          <cell r="A53">
            <v>1304000000</v>
          </cell>
          <cell r="B53" t="str">
            <v>EXISTENCIA DE MATERIALES</v>
          </cell>
          <cell r="C53">
            <v>-3042741.43</v>
          </cell>
          <cell r="E53">
            <v>83484303.239999995</v>
          </cell>
        </row>
        <row r="54">
          <cell r="A54">
            <v>1304010000</v>
          </cell>
          <cell r="B54" t="str">
            <v>MATERIALES EN ALMACEN</v>
          </cell>
          <cell r="C54">
            <v>-2987405.7</v>
          </cell>
          <cell r="E54">
            <v>51511576.869999997</v>
          </cell>
        </row>
        <row r="55">
          <cell r="A55">
            <v>1304020000</v>
          </cell>
          <cell r="B55" t="str">
            <v>ALMACEN - AUXILIAR</v>
          </cell>
          <cell r="C55">
            <v>-27741.52</v>
          </cell>
          <cell r="E55">
            <v>8473242.8399999999</v>
          </cell>
        </row>
        <row r="56">
          <cell r="A56">
            <v>1304030000</v>
          </cell>
          <cell r="B56" t="str">
            <v>PULPERIA IRPA - IRPA</v>
          </cell>
          <cell r="C56">
            <v>6241.46</v>
          </cell>
          <cell r="E56">
            <v>59496.36</v>
          </cell>
        </row>
        <row r="57">
          <cell r="A57">
            <v>1304040000</v>
          </cell>
          <cell r="B57" t="str">
            <v>MERCADERIAS EN TRANSITO</v>
          </cell>
          <cell r="C57">
            <v>-195236.59</v>
          </cell>
          <cell r="E57">
            <v>23278586.25</v>
          </cell>
        </row>
        <row r="58">
          <cell r="A58">
            <v>1304660000</v>
          </cell>
          <cell r="B58" t="str">
            <v>CONST. CANAL EMISARIO 8VO. ANILLO SUR</v>
          </cell>
          <cell r="C58">
            <v>161400.92000000001</v>
          </cell>
          <cell r="E58">
            <v>161400.92000000001</v>
          </cell>
        </row>
        <row r="60">
          <cell r="A60">
            <v>1400000000</v>
          </cell>
          <cell r="B60" t="str">
            <v>ACTIVO FIJO</v>
          </cell>
          <cell r="C60">
            <v>1310649.3899999999</v>
          </cell>
          <cell r="E60">
            <v>595289240.37</v>
          </cell>
        </row>
        <row r="61">
          <cell r="A61">
            <v>1401000000</v>
          </cell>
          <cell r="B61" t="str">
            <v>BIENES DE USO</v>
          </cell>
          <cell r="C61">
            <v>4919899.4000000004</v>
          </cell>
          <cell r="E61">
            <v>1848668945</v>
          </cell>
        </row>
        <row r="62">
          <cell r="A62">
            <v>1401010000</v>
          </cell>
          <cell r="B62" t="str">
            <v>TERRENOS</v>
          </cell>
          <cell r="C62">
            <v>375736.69</v>
          </cell>
          <cell r="E62">
            <v>64118893.530000001</v>
          </cell>
        </row>
        <row r="63">
          <cell r="A63">
            <v>1401020000</v>
          </cell>
          <cell r="B63" t="str">
            <v>EDIFICIOS</v>
          </cell>
          <cell r="C63">
            <v>2189113.09</v>
          </cell>
          <cell r="E63">
            <v>379227083.37</v>
          </cell>
        </row>
        <row r="64">
          <cell r="A64">
            <v>1401030000</v>
          </cell>
          <cell r="B64" t="str">
            <v>MUEBLES Y ENSERES DE OFICINA</v>
          </cell>
          <cell r="C64">
            <v>-1561.97</v>
          </cell>
          <cell r="E64">
            <v>5095630.67</v>
          </cell>
        </row>
        <row r="65">
          <cell r="A65">
            <v>1401040000</v>
          </cell>
          <cell r="B65" t="str">
            <v>MAQUINARIA Y EQUIPO</v>
          </cell>
          <cell r="C65">
            <v>1686273.85</v>
          </cell>
          <cell r="E65">
            <v>700712686.02999997</v>
          </cell>
        </row>
        <row r="66">
          <cell r="A66">
            <v>1401050000</v>
          </cell>
          <cell r="B66" t="str">
            <v>VEHICULOS</v>
          </cell>
          <cell r="C66">
            <v>10373.75</v>
          </cell>
          <cell r="E66">
            <v>34790386.340000004</v>
          </cell>
        </row>
        <row r="67">
          <cell r="A67">
            <v>1401060000</v>
          </cell>
          <cell r="B67" t="str">
            <v>MAQUINARIA DE CONSTRUCCION</v>
          </cell>
          <cell r="C67">
            <v>-99300.44</v>
          </cell>
          <cell r="E67">
            <v>17503837.449999999</v>
          </cell>
        </row>
        <row r="68">
          <cell r="A68">
            <v>1401070000</v>
          </cell>
          <cell r="B68" t="str">
            <v>EQUIPO PESADO</v>
          </cell>
          <cell r="C68">
            <v>-990423.85</v>
          </cell>
          <cell r="E68">
            <v>122760764.94</v>
          </cell>
        </row>
        <row r="69">
          <cell r="A69">
            <v>1401080000</v>
          </cell>
          <cell r="B69" t="str">
            <v>INSTALACIONES INDUSTRIALES</v>
          </cell>
          <cell r="C69">
            <v>1644810.6</v>
          </cell>
          <cell r="E69">
            <v>473441525.88999999</v>
          </cell>
        </row>
        <row r="70">
          <cell r="A70">
            <v>1401090000</v>
          </cell>
          <cell r="B70" t="str">
            <v>HERRAMIENTAS E IMPLEMENTOS</v>
          </cell>
          <cell r="C70">
            <v>1064.31</v>
          </cell>
          <cell r="E70">
            <v>19208932.550000001</v>
          </cell>
        </row>
        <row r="71">
          <cell r="A71">
            <v>1401100000</v>
          </cell>
          <cell r="B71" t="str">
            <v>TINGLADOS</v>
          </cell>
          <cell r="C71">
            <v>20475.509999999998</v>
          </cell>
          <cell r="E71">
            <v>14509591.66</v>
          </cell>
        </row>
        <row r="72">
          <cell r="A72">
            <v>1401110000</v>
          </cell>
          <cell r="B72" t="str">
            <v>EQUIPOS DE COMPUTACION</v>
          </cell>
          <cell r="C72">
            <v>62339.49</v>
          </cell>
          <cell r="E72">
            <v>7978679.1900000004</v>
          </cell>
        </row>
        <row r="73">
          <cell r="A73">
            <v>1401120000</v>
          </cell>
          <cell r="B73" t="str">
            <v>EQUIPOS DE LABORATORIO</v>
          </cell>
          <cell r="C73">
            <v>20998.37</v>
          </cell>
          <cell r="E73">
            <v>9154830.0600000005</v>
          </cell>
        </row>
        <row r="74">
          <cell r="A74">
            <v>1401150000</v>
          </cell>
          <cell r="B74" t="str">
            <v>CANALES DE RIEGO Y POZOS</v>
          </cell>
          <cell r="C74">
            <v>0</v>
          </cell>
          <cell r="E74">
            <v>166103.32</v>
          </cell>
        </row>
        <row r="75">
          <cell r="A75">
            <v>1402000000</v>
          </cell>
          <cell r="B75" t="str">
            <v>DEPRECIACION ACUMULADA</v>
          </cell>
          <cell r="C75">
            <v>-3609250.01</v>
          </cell>
          <cell r="E75">
            <v>-1253379704.6300001</v>
          </cell>
        </row>
        <row r="76">
          <cell r="A76">
            <v>1402020000</v>
          </cell>
          <cell r="B76" t="str">
            <v>EDIFICIOS</v>
          </cell>
          <cell r="C76">
            <v>-1390023.26</v>
          </cell>
          <cell r="E76">
            <v>-110348439.18000001</v>
          </cell>
        </row>
        <row r="77">
          <cell r="A77">
            <v>1402030000</v>
          </cell>
          <cell r="B77" t="str">
            <v>MUEBLES Y ENSERES DE OFICINA</v>
          </cell>
          <cell r="C77">
            <v>484.05</v>
          </cell>
          <cell r="E77">
            <v>-5063373.42</v>
          </cell>
        </row>
        <row r="78">
          <cell r="A78">
            <v>1402040000</v>
          </cell>
          <cell r="B78" t="str">
            <v>MAQUINARIA Y EQUIPO</v>
          </cell>
          <cell r="C78">
            <v>-1611123.17</v>
          </cell>
          <cell r="E78">
            <v>-571058643.32000005</v>
          </cell>
        </row>
        <row r="79">
          <cell r="A79">
            <v>1402050000</v>
          </cell>
          <cell r="B79" t="str">
            <v>VEHICULOS</v>
          </cell>
          <cell r="C79">
            <v>-37042.42</v>
          </cell>
          <cell r="E79">
            <v>-34335980.539999999</v>
          </cell>
        </row>
        <row r="80">
          <cell r="A80">
            <v>1402060000</v>
          </cell>
          <cell r="B80" t="str">
            <v>MAQUINARIA DE CONSTRUCCION</v>
          </cell>
          <cell r="C80">
            <v>92489.71</v>
          </cell>
          <cell r="E80">
            <v>-17238659.010000002</v>
          </cell>
        </row>
        <row r="81">
          <cell r="A81">
            <v>1402070000</v>
          </cell>
          <cell r="B81" t="str">
            <v>EQUIPO PESADO</v>
          </cell>
          <cell r="C81">
            <v>965099.39</v>
          </cell>
          <cell r="E81">
            <v>-121300554.18000001</v>
          </cell>
        </row>
        <row r="82">
          <cell r="A82">
            <v>1402080000</v>
          </cell>
          <cell r="B82" t="str">
            <v>INSTALACIONES INDUSTRIALES</v>
          </cell>
          <cell r="C82">
            <v>-1503022.21</v>
          </cell>
          <cell r="E82">
            <v>-345796834.14999998</v>
          </cell>
        </row>
        <row r="83">
          <cell r="A83">
            <v>1402090000</v>
          </cell>
          <cell r="B83" t="str">
            <v>HERRAMIENTAS E IMPLEMENTOS</v>
          </cell>
          <cell r="C83">
            <v>-4308.46</v>
          </cell>
          <cell r="E83">
            <v>-19120612.27</v>
          </cell>
        </row>
        <row r="84">
          <cell r="A84">
            <v>1402100000</v>
          </cell>
          <cell r="B84" t="str">
            <v>TINGLADOS</v>
          </cell>
          <cell r="C84">
            <v>-45970.86</v>
          </cell>
          <cell r="E84">
            <v>-13911757.59</v>
          </cell>
        </row>
        <row r="85">
          <cell r="A85">
            <v>1402110000</v>
          </cell>
          <cell r="B85" t="str">
            <v>EQUIPOS DE COMPUTACION</v>
          </cell>
          <cell r="C85">
            <v>-26620.17</v>
          </cell>
          <cell r="E85">
            <v>-7401568.7800000003</v>
          </cell>
        </row>
        <row r="86">
          <cell r="A86">
            <v>1402120000</v>
          </cell>
          <cell r="B86" t="str">
            <v>EQUIPOS DE LABORATORIO</v>
          </cell>
          <cell r="C86">
            <v>-49212.61</v>
          </cell>
          <cell r="E86">
            <v>-7637178.8700000001</v>
          </cell>
        </row>
        <row r="87">
          <cell r="A87">
            <v>1402150000</v>
          </cell>
          <cell r="B87" t="str">
            <v>CANALES DE RIEGO Y POZOS</v>
          </cell>
          <cell r="C87">
            <v>0</v>
          </cell>
          <cell r="E87">
            <v>-166103.32</v>
          </cell>
        </row>
        <row r="89">
          <cell r="A89">
            <v>1500000000</v>
          </cell>
          <cell r="B89" t="str">
            <v>INVERSIONES</v>
          </cell>
          <cell r="C89">
            <v>199152.43</v>
          </cell>
          <cell r="E89">
            <v>27685380.489999998</v>
          </cell>
        </row>
        <row r="90">
          <cell r="A90">
            <v>1502000000</v>
          </cell>
          <cell r="B90" t="str">
            <v>OTRAS INVERSIONES</v>
          </cell>
          <cell r="C90">
            <v>199152.43</v>
          </cell>
          <cell r="E90">
            <v>27685380.489999998</v>
          </cell>
        </row>
        <row r="91">
          <cell r="A91">
            <v>1502010000</v>
          </cell>
          <cell r="B91" t="str">
            <v>ACCIONES</v>
          </cell>
          <cell r="C91">
            <v>199152.43</v>
          </cell>
          <cell r="E91">
            <v>27284560.48</v>
          </cell>
        </row>
        <row r="92">
          <cell r="A92">
            <v>1502030000</v>
          </cell>
          <cell r="B92" t="str">
            <v>LINEAS TELEFONICAS</v>
          </cell>
          <cell r="C92">
            <v>0</v>
          </cell>
          <cell r="E92">
            <v>261000</v>
          </cell>
        </row>
        <row r="93">
          <cell r="A93">
            <v>1502050000</v>
          </cell>
          <cell r="B93" t="str">
            <v>OTRAS INVERSIONES</v>
          </cell>
          <cell r="C93">
            <v>0</v>
          </cell>
          <cell r="E93">
            <v>139820.01</v>
          </cell>
        </row>
        <row r="95">
          <cell r="A95">
            <v>1600000000</v>
          </cell>
          <cell r="B95" t="str">
            <v>OTROS ACTIVOS</v>
          </cell>
          <cell r="C95">
            <v>-13039250.060000001</v>
          </cell>
          <cell r="E95">
            <v>222428756.72</v>
          </cell>
        </row>
        <row r="96">
          <cell r="A96">
            <v>1601000000</v>
          </cell>
          <cell r="B96" t="str">
            <v>DOCUMENTOS POR COBRAR A LARGO PLAZO</v>
          </cell>
          <cell r="C96">
            <v>-13026044.48</v>
          </cell>
          <cell r="E96">
            <v>43496434.640000001</v>
          </cell>
        </row>
        <row r="97">
          <cell r="A97">
            <v>1601020000</v>
          </cell>
          <cell r="B97" t="str">
            <v>CREDITOS M.E.</v>
          </cell>
          <cell r="C97">
            <v>-13025344.48</v>
          </cell>
          <cell r="E97">
            <v>33948384.280000001</v>
          </cell>
        </row>
        <row r="98">
          <cell r="A98">
            <v>1601040000</v>
          </cell>
          <cell r="B98" t="str">
            <v>DOCUMENTOS EN EJECUCION</v>
          </cell>
          <cell r="C98">
            <v>-700</v>
          </cell>
          <cell r="E98">
            <v>9548050.3599999994</v>
          </cell>
        </row>
        <row r="99">
          <cell r="A99">
            <v>1601050000</v>
          </cell>
          <cell r="B99" t="str">
            <v>CUENTAS INCOBRABLES</v>
          </cell>
          <cell r="C99">
            <v>0</v>
          </cell>
          <cell r="E99">
            <v>3212209.75</v>
          </cell>
        </row>
        <row r="100">
          <cell r="A100">
            <v>1601060000</v>
          </cell>
          <cell r="B100" t="str">
            <v>(PREVISION CUENTAS INCOBRABLES)</v>
          </cell>
          <cell r="C100">
            <v>0</v>
          </cell>
          <cell r="E100">
            <v>-3212209.75</v>
          </cell>
        </row>
        <row r="101">
          <cell r="A101">
            <v>1602000000</v>
          </cell>
          <cell r="B101" t="str">
            <v>OBRAS EN EJECUCIÓN</v>
          </cell>
          <cell r="C101">
            <v>258598.25</v>
          </cell>
          <cell r="E101">
            <v>15981159.1</v>
          </cell>
        </row>
        <row r="102">
          <cell r="A102">
            <v>1602010000</v>
          </cell>
          <cell r="B102" t="str">
            <v>AMPLIACIONES</v>
          </cell>
          <cell r="C102">
            <v>258598.25</v>
          </cell>
          <cell r="E102">
            <v>15981159.1</v>
          </cell>
        </row>
        <row r="103">
          <cell r="A103">
            <v>1604000000</v>
          </cell>
          <cell r="B103" t="str">
            <v>BIENES ARRENDADOS</v>
          </cell>
          <cell r="C103">
            <v>0</v>
          </cell>
          <cell r="E103">
            <v>2324313.2999999998</v>
          </cell>
        </row>
        <row r="104">
          <cell r="A104">
            <v>1604010000</v>
          </cell>
          <cell r="B104" t="str">
            <v>VALOR DE ARRENDAMIENTO</v>
          </cell>
          <cell r="C104">
            <v>0</v>
          </cell>
          <cell r="E104">
            <v>2324313.2999999998</v>
          </cell>
        </row>
        <row r="105">
          <cell r="A105">
            <v>1605000000</v>
          </cell>
          <cell r="B105" t="str">
            <v>DIVERSOS</v>
          </cell>
          <cell r="C105">
            <v>-196382.23</v>
          </cell>
          <cell r="E105">
            <v>18155012.739999998</v>
          </cell>
        </row>
        <row r="106">
          <cell r="A106">
            <v>1605010000</v>
          </cell>
          <cell r="B106" t="str">
            <v>REPUESTOS EN ALMACEN</v>
          </cell>
          <cell r="C106">
            <v>-196382.23</v>
          </cell>
          <cell r="E106">
            <v>17965992.5</v>
          </cell>
        </row>
        <row r="107">
          <cell r="A107">
            <v>1605020000</v>
          </cell>
          <cell r="B107" t="str">
            <v>LIBROS Y BIBLIOTECAS</v>
          </cell>
          <cell r="C107">
            <v>0</v>
          </cell>
          <cell r="E107">
            <v>189020.24</v>
          </cell>
        </row>
        <row r="108">
          <cell r="A108">
            <v>1606000000</v>
          </cell>
          <cell r="B108" t="str">
            <v>CUENTAS CORRIENTES UNIDADES</v>
          </cell>
          <cell r="C108">
            <v>-75421.600000000006</v>
          </cell>
          <cell r="E108">
            <v>142471836.94</v>
          </cell>
        </row>
        <row r="109">
          <cell r="A109">
            <v>1606010000</v>
          </cell>
          <cell r="B109" t="str">
            <v>LIMITADA</v>
          </cell>
          <cell r="C109">
            <v>108872.83</v>
          </cell>
          <cell r="E109">
            <v>132582922.05</v>
          </cell>
        </row>
        <row r="110">
          <cell r="A110">
            <v>1606030000</v>
          </cell>
          <cell r="B110" t="str">
            <v>CERAMIL</v>
          </cell>
          <cell r="C110">
            <v>-47711.49</v>
          </cell>
          <cell r="E110">
            <v>6748548.54</v>
          </cell>
        </row>
        <row r="111">
          <cell r="A111">
            <v>1606040000</v>
          </cell>
          <cell r="B111" t="str">
            <v>HORMIGON</v>
          </cell>
          <cell r="C111">
            <v>-174386.44</v>
          </cell>
          <cell r="E111">
            <v>1194480.58</v>
          </cell>
        </row>
        <row r="112">
          <cell r="A112">
            <v>1606050000</v>
          </cell>
          <cell r="B112" t="str">
            <v>CONSTRUCCIONES</v>
          </cell>
          <cell r="C112">
            <v>1156.45</v>
          </cell>
          <cell r="E112">
            <v>1186873.78</v>
          </cell>
        </row>
        <row r="113">
          <cell r="A113">
            <v>1606060000</v>
          </cell>
          <cell r="B113" t="str">
            <v>CERAMICA</v>
          </cell>
          <cell r="C113">
            <v>39487.839999999997</v>
          </cell>
          <cell r="E113">
            <v>620618.73</v>
          </cell>
        </row>
        <row r="114">
          <cell r="A114">
            <v>1606070000</v>
          </cell>
          <cell r="B114" t="str">
            <v>METAL</v>
          </cell>
          <cell r="C114">
            <v>5515.92</v>
          </cell>
          <cell r="E114">
            <v>106153.72</v>
          </cell>
        </row>
        <row r="115">
          <cell r="A115">
            <v>1606080000</v>
          </cell>
          <cell r="B115" t="str">
            <v>COBOCE EDITORA OPINION</v>
          </cell>
          <cell r="C115">
            <v>-8356.7099999999991</v>
          </cell>
          <cell r="E115">
            <v>32239.54</v>
          </cell>
        </row>
        <row r="117">
          <cell r="A117">
            <v>1700000000</v>
          </cell>
          <cell r="B117" t="str">
            <v>ACTIVOS DIFERIDOS</v>
          </cell>
          <cell r="C117">
            <v>5886954.1299999999</v>
          </cell>
          <cell r="E117">
            <v>19000615.32</v>
          </cell>
        </row>
        <row r="118">
          <cell r="A118">
            <v>1701000000</v>
          </cell>
          <cell r="B118" t="str">
            <v>ACTIVOS RETIRADOS</v>
          </cell>
          <cell r="C118">
            <v>0</v>
          </cell>
          <cell r="E118">
            <v>3580102.51</v>
          </cell>
        </row>
        <row r="119">
          <cell r="A119">
            <v>1701010000</v>
          </cell>
          <cell r="B119" t="str">
            <v>BIENES DE USO RETIRADOS</v>
          </cell>
          <cell r="C119">
            <v>0</v>
          </cell>
          <cell r="E119">
            <v>3580102.51</v>
          </cell>
        </row>
        <row r="120">
          <cell r="A120">
            <v>1702000000</v>
          </cell>
          <cell r="B120" t="str">
            <v>GASTOS DIFERIDOS</v>
          </cell>
          <cell r="C120">
            <v>5886954.1299999999</v>
          </cell>
          <cell r="E120">
            <v>15420512.810000001</v>
          </cell>
        </row>
        <row r="121">
          <cell r="A121">
            <v>1702010000</v>
          </cell>
          <cell r="B121" t="str">
            <v>GASTOS DE ORGANIZACION Y PUESTA EN MARCH</v>
          </cell>
          <cell r="C121">
            <v>0</v>
          </cell>
          <cell r="E121">
            <v>4900472.5999999996</v>
          </cell>
        </row>
        <row r="122">
          <cell r="A122">
            <v>1702020000</v>
          </cell>
          <cell r="B122" t="str">
            <v>GASTOS DE PRODUCCIÓN Y MANTENIMIENTO</v>
          </cell>
          <cell r="C122">
            <v>5886954.1299999999</v>
          </cell>
          <cell r="E122">
            <v>5953222.4800000004</v>
          </cell>
        </row>
        <row r="123">
          <cell r="A123">
            <v>1702050000</v>
          </cell>
          <cell r="B123" t="str">
            <v>VARIOS</v>
          </cell>
          <cell r="C123">
            <v>0</v>
          </cell>
          <cell r="E123">
            <v>4566817.7300000004</v>
          </cell>
        </row>
        <row r="125">
          <cell r="A125">
            <v>2000000000</v>
          </cell>
          <cell r="B125" t="str">
            <v>PASIVO</v>
          </cell>
          <cell r="C125">
            <v>28353949.91</v>
          </cell>
          <cell r="E125">
            <v>-1200757870.3699999</v>
          </cell>
        </row>
        <row r="128">
          <cell r="A128">
            <v>2100000000</v>
          </cell>
          <cell r="B128" t="str">
            <v>PASIVO CORRIENTE</v>
          </cell>
          <cell r="C128">
            <v>24255481.09</v>
          </cell>
          <cell r="E128">
            <v>-151929325.19999999</v>
          </cell>
        </row>
        <row r="129">
          <cell r="A129">
            <v>2101000000</v>
          </cell>
          <cell r="B129" t="str">
            <v>DEUDAS COMERCIALES</v>
          </cell>
          <cell r="C129">
            <v>9187161.1400000006</v>
          </cell>
          <cell r="E129">
            <v>-84949997.200000003</v>
          </cell>
        </row>
        <row r="130">
          <cell r="A130">
            <v>2101010000</v>
          </cell>
          <cell r="B130" t="str">
            <v>PROVEEDORES</v>
          </cell>
          <cell r="C130">
            <v>9462929.8300000001</v>
          </cell>
          <cell r="E130">
            <v>-71565827.290000007</v>
          </cell>
        </row>
        <row r="131">
          <cell r="A131">
            <v>2101030000</v>
          </cell>
          <cell r="B131" t="str">
            <v>TRANSPORTISTAS</v>
          </cell>
          <cell r="C131">
            <v>-256068.53</v>
          </cell>
          <cell r="E131">
            <v>-7789837.0899999999</v>
          </cell>
        </row>
        <row r="132">
          <cell r="A132">
            <v>2101040000</v>
          </cell>
          <cell r="B132" t="str">
            <v>ACREEDORES VARIOS</v>
          </cell>
          <cell r="C132">
            <v>165818.16</v>
          </cell>
          <cell r="E132">
            <v>-5091390.6399999997</v>
          </cell>
        </row>
        <row r="133">
          <cell r="A133">
            <v>2101090000</v>
          </cell>
          <cell r="B133" t="str">
            <v>ACREEDORES POR DEPOSITOS EN GARANTIA</v>
          </cell>
          <cell r="C133">
            <v>0</v>
          </cell>
          <cell r="E133">
            <v>-47575.86</v>
          </cell>
        </row>
        <row r="134">
          <cell r="A134">
            <v>2101650000</v>
          </cell>
          <cell r="B134" t="str">
            <v>PROVEEDORES AEROPUERTO POTOSI</v>
          </cell>
          <cell r="C134">
            <v>0</v>
          </cell>
          <cell r="E134">
            <v>-269848</v>
          </cell>
        </row>
        <row r="135">
          <cell r="A135">
            <v>2101680000</v>
          </cell>
          <cell r="B135" t="str">
            <v>PROVEEDORES - CONST. CANAL EMISARIO 8VO ANILLO SUR</v>
          </cell>
          <cell r="C135">
            <v>-185518.32</v>
          </cell>
          <cell r="E135">
            <v>-185518.32</v>
          </cell>
        </row>
        <row r="136">
          <cell r="A136">
            <v>2102000000</v>
          </cell>
          <cell r="B136" t="str">
            <v>DOCUMENTOS POR PAGAR</v>
          </cell>
          <cell r="C136">
            <v>577294.62</v>
          </cell>
          <cell r="E136">
            <v>-4067185.11</v>
          </cell>
        </row>
        <row r="137">
          <cell r="A137">
            <v>2102020000</v>
          </cell>
          <cell r="B137" t="str">
            <v>BANCARIOS</v>
          </cell>
          <cell r="C137">
            <v>0</v>
          </cell>
          <cell r="E137">
            <v>-2671624.34</v>
          </cell>
        </row>
        <row r="138">
          <cell r="A138">
            <v>2102030000</v>
          </cell>
          <cell r="B138" t="str">
            <v>CONTRATOS</v>
          </cell>
          <cell r="C138">
            <v>367190.18</v>
          </cell>
          <cell r="E138">
            <v>-839590.2</v>
          </cell>
        </row>
        <row r="139">
          <cell r="A139">
            <v>2102040000</v>
          </cell>
          <cell r="B139" t="str">
            <v>OTROS DOCUMENTOS</v>
          </cell>
          <cell r="C139">
            <v>210104.44</v>
          </cell>
          <cell r="E139">
            <v>-555970.56999999995</v>
          </cell>
        </row>
        <row r="140">
          <cell r="A140">
            <v>2104000000</v>
          </cell>
          <cell r="B140" t="str">
            <v>OBLIGACIONES FINANCIERAS A CORTO PLAZO</v>
          </cell>
          <cell r="C140">
            <v>271041.46000000002</v>
          </cell>
          <cell r="E140">
            <v>-14122143.859999999</v>
          </cell>
        </row>
        <row r="141">
          <cell r="A141">
            <v>2104010000</v>
          </cell>
          <cell r="B141" t="str">
            <v>OBLIGACIONES POR CAPITAL</v>
          </cell>
          <cell r="C141">
            <v>840375.69</v>
          </cell>
          <cell r="E141">
            <v>-9554178.5899999999</v>
          </cell>
        </row>
        <row r="142">
          <cell r="A142">
            <v>2104020000</v>
          </cell>
          <cell r="B142" t="str">
            <v>OBLIGACIONES POR INTERESES</v>
          </cell>
          <cell r="C142">
            <v>-569334.23</v>
          </cell>
          <cell r="E142">
            <v>-4567965.2699999996</v>
          </cell>
        </row>
        <row r="143">
          <cell r="A143">
            <v>2105000000</v>
          </cell>
          <cell r="B143" t="str">
            <v>IMPUESTOS POR PAGAR</v>
          </cell>
          <cell r="C143">
            <v>0</v>
          </cell>
          <cell r="E143">
            <v>0</v>
          </cell>
        </row>
        <row r="144">
          <cell r="A144">
            <v>2105010000</v>
          </cell>
          <cell r="B144" t="str">
            <v>IMPUESTO AL VALOR AGREGADO (DEBITO FISCA</v>
          </cell>
          <cell r="C144">
            <v>0</v>
          </cell>
          <cell r="E144">
            <v>0</v>
          </cell>
        </row>
        <row r="145">
          <cell r="A145">
            <v>2105040000</v>
          </cell>
          <cell r="B145" t="str">
            <v>RETENCION EN LA FUENTE</v>
          </cell>
          <cell r="C145">
            <v>0</v>
          </cell>
          <cell r="E145">
            <v>0</v>
          </cell>
        </row>
        <row r="146">
          <cell r="A146">
            <v>2105090000</v>
          </cell>
          <cell r="B146" t="str">
            <v>REGALIAS MINERAS</v>
          </cell>
          <cell r="C146">
            <v>0</v>
          </cell>
          <cell r="E146">
            <v>0</v>
          </cell>
        </row>
        <row r="147">
          <cell r="A147">
            <v>2106000000</v>
          </cell>
          <cell r="B147" t="str">
            <v>OBLIGACIONES POR PAGAR</v>
          </cell>
          <cell r="C147">
            <v>-1198316.4099999999</v>
          </cell>
          <cell r="E147">
            <v>-27567655.670000002</v>
          </cell>
        </row>
        <row r="148">
          <cell r="A148">
            <v>2106010000</v>
          </cell>
          <cell r="B148" t="str">
            <v>SUELDOS Y JORNALES POR PAGAR</v>
          </cell>
          <cell r="C148">
            <v>179055.06</v>
          </cell>
          <cell r="E148">
            <v>-13522881.92</v>
          </cell>
        </row>
        <row r="149">
          <cell r="A149">
            <v>2106020000</v>
          </cell>
          <cell r="B149" t="str">
            <v>AGUINALDOS Y PRIMAS POR PAGAR</v>
          </cell>
          <cell r="C149">
            <v>0</v>
          </cell>
          <cell r="E149">
            <v>-100838.3</v>
          </cell>
        </row>
        <row r="150">
          <cell r="A150">
            <v>2106040000</v>
          </cell>
          <cell r="B150" t="str">
            <v>FINIQUITOS POR PAGAR</v>
          </cell>
          <cell r="C150">
            <v>160405.84</v>
          </cell>
          <cell r="E150">
            <v>-917191.03</v>
          </cell>
        </row>
        <row r="151">
          <cell r="A151">
            <v>2106060000</v>
          </cell>
          <cell r="B151" t="str">
            <v>AGUINALDOS Y PRIMAS NO RECLAMADOS</v>
          </cell>
          <cell r="C151">
            <v>0</v>
          </cell>
          <cell r="E151">
            <v>-373944.54</v>
          </cell>
        </row>
        <row r="152">
          <cell r="A152">
            <v>2106070000</v>
          </cell>
          <cell r="B152" t="str">
            <v>APORTES Y RETENCIONES POR PAGAR</v>
          </cell>
          <cell r="C152">
            <v>-1552277.31</v>
          </cell>
          <cell r="E152">
            <v>-12227896.26</v>
          </cell>
        </row>
        <row r="153">
          <cell r="A153">
            <v>2106080000</v>
          </cell>
          <cell r="B153" t="str">
            <v>RETENCIONES JUDICIALES</v>
          </cell>
          <cell r="C153">
            <v>14500</v>
          </cell>
          <cell r="E153">
            <v>-424903.62</v>
          </cell>
        </row>
        <row r="154">
          <cell r="A154">
            <v>2107000000</v>
          </cell>
          <cell r="B154" t="str">
            <v>PROVISIONES</v>
          </cell>
          <cell r="C154">
            <v>-688866.82</v>
          </cell>
          <cell r="E154">
            <v>-14882362.220000001</v>
          </cell>
        </row>
        <row r="155">
          <cell r="A155">
            <v>2107010000</v>
          </cell>
          <cell r="B155" t="str">
            <v>AGUINALDOS</v>
          </cell>
          <cell r="C155">
            <v>-688866.82</v>
          </cell>
          <cell r="E155">
            <v>-8017686.7800000003</v>
          </cell>
        </row>
        <row r="156">
          <cell r="A156">
            <v>2107030000</v>
          </cell>
          <cell r="B156" t="str">
            <v>OTROS</v>
          </cell>
          <cell r="C156">
            <v>0</v>
          </cell>
          <cell r="E156">
            <v>-6864675.4400000004</v>
          </cell>
        </row>
        <row r="157">
          <cell r="A157">
            <v>2108000000</v>
          </cell>
          <cell r="B157" t="str">
            <v>COBROS POR ADELANTADO</v>
          </cell>
          <cell r="C157">
            <v>16107167.1</v>
          </cell>
          <cell r="E157">
            <v>-6339981.1399999997</v>
          </cell>
        </row>
        <row r="158">
          <cell r="A158">
            <v>2108010000</v>
          </cell>
          <cell r="B158" t="str">
            <v>CLIENTES LOCALES</v>
          </cell>
          <cell r="C158">
            <v>827023.25</v>
          </cell>
          <cell r="E158">
            <v>-1109757.1599999999</v>
          </cell>
        </row>
        <row r="159">
          <cell r="A159">
            <v>2108020000</v>
          </cell>
          <cell r="B159" t="str">
            <v>CLIENTES INTERIOR</v>
          </cell>
          <cell r="C159">
            <v>15280143.85</v>
          </cell>
          <cell r="E159">
            <v>-5230223.9800000004</v>
          </cell>
        </row>
        <row r="161">
          <cell r="A161">
            <v>2200000000</v>
          </cell>
          <cell r="B161" t="str">
            <v>PASIVO NO CORRIENTE</v>
          </cell>
          <cell r="C161">
            <v>6879423.54</v>
          </cell>
          <cell r="E161">
            <v>-574249351.52999997</v>
          </cell>
        </row>
        <row r="162">
          <cell r="A162">
            <v>2201000000</v>
          </cell>
          <cell r="B162" t="str">
            <v>OBLIGACIONES FINANCIERAS A LARGO PLAZO</v>
          </cell>
          <cell r="C162">
            <v>12075298.74</v>
          </cell>
          <cell r="E162">
            <v>-265044641.37</v>
          </cell>
        </row>
        <row r="163">
          <cell r="A163">
            <v>2201010000</v>
          </cell>
          <cell r="B163" t="str">
            <v>OBLIGACIONES POR CAPITAL</v>
          </cell>
          <cell r="C163">
            <v>12075298.74</v>
          </cell>
          <cell r="E163">
            <v>-254595778.69999999</v>
          </cell>
        </row>
        <row r="164">
          <cell r="A164">
            <v>2201030000</v>
          </cell>
          <cell r="B164" t="str">
            <v>OBLIGACIONES POR INTERESES LP</v>
          </cell>
          <cell r="C164">
            <v>0</v>
          </cell>
          <cell r="E164">
            <v>-10448862.67</v>
          </cell>
        </row>
        <row r="165">
          <cell r="A165">
            <v>2202000000</v>
          </cell>
          <cell r="B165" t="str">
            <v>PREVISIONES</v>
          </cell>
          <cell r="C165">
            <v>-220435.64</v>
          </cell>
          <cell r="E165">
            <v>-49992748.770000003</v>
          </cell>
        </row>
        <row r="166">
          <cell r="A166">
            <v>2202010000</v>
          </cell>
          <cell r="B166" t="str">
            <v>PREVISIONES BENEFICIOS SOCIALES</v>
          </cell>
          <cell r="C166">
            <v>-220435.64</v>
          </cell>
          <cell r="E166">
            <v>-49935766.090000004</v>
          </cell>
        </row>
        <row r="167">
          <cell r="A167">
            <v>2202020000</v>
          </cell>
          <cell r="B167" t="str">
            <v>OTRAS PREVISIONES</v>
          </cell>
          <cell r="C167">
            <v>0</v>
          </cell>
          <cell r="E167">
            <v>-56982.68</v>
          </cell>
        </row>
        <row r="168">
          <cell r="A168">
            <v>2203000000</v>
          </cell>
          <cell r="B168" t="str">
            <v>OTROS PASIVOS NO CORRIENTES</v>
          </cell>
          <cell r="C168">
            <v>19001.86</v>
          </cell>
          <cell r="E168">
            <v>-713682.74</v>
          </cell>
        </row>
        <row r="169">
          <cell r="A169">
            <v>2203050000</v>
          </cell>
          <cell r="B169" t="str">
            <v>CREDITOS DIFERIDOS</v>
          </cell>
          <cell r="C169">
            <v>19001.86</v>
          </cell>
          <cell r="E169">
            <v>-713682.74</v>
          </cell>
        </row>
        <row r="170">
          <cell r="A170">
            <v>2204000000</v>
          </cell>
          <cell r="B170" t="str">
            <v>CUENTAS CORRIENTES. UNIDADES.</v>
          </cell>
          <cell r="C170">
            <v>-4994441.42</v>
          </cell>
          <cell r="E170">
            <v>-258498278.65000001</v>
          </cell>
        </row>
        <row r="171">
          <cell r="A171">
            <v>2204010000</v>
          </cell>
          <cell r="B171" t="str">
            <v>LIMITADA</v>
          </cell>
          <cell r="C171">
            <v>-4998992.8600000003</v>
          </cell>
          <cell r="E171">
            <v>-251918428.15000001</v>
          </cell>
        </row>
        <row r="172">
          <cell r="A172">
            <v>2204040000</v>
          </cell>
          <cell r="B172" t="str">
            <v>HORMIGON</v>
          </cell>
          <cell r="C172">
            <v>0</v>
          </cell>
          <cell r="E172">
            <v>0</v>
          </cell>
        </row>
        <row r="173">
          <cell r="A173">
            <v>2204050000</v>
          </cell>
          <cell r="B173" t="str">
            <v>CONSTRUCCIONES</v>
          </cell>
          <cell r="C173">
            <v>7378.8</v>
          </cell>
          <cell r="E173">
            <v>-4749325.95</v>
          </cell>
        </row>
        <row r="174">
          <cell r="A174">
            <v>2204060000</v>
          </cell>
          <cell r="B174" t="str">
            <v>CERAMICA</v>
          </cell>
          <cell r="C174">
            <v>-6647.36</v>
          </cell>
          <cell r="E174">
            <v>-436961.33</v>
          </cell>
        </row>
        <row r="175">
          <cell r="A175">
            <v>2204070000</v>
          </cell>
          <cell r="B175" t="str">
            <v>METAL</v>
          </cell>
          <cell r="C175">
            <v>13203</v>
          </cell>
          <cell r="E175">
            <v>-1326444.43</v>
          </cell>
        </row>
        <row r="176">
          <cell r="A176">
            <v>2204080000</v>
          </cell>
          <cell r="B176" t="str">
            <v>COBOCE EDITORA OPINION</v>
          </cell>
          <cell r="C176">
            <v>-9383</v>
          </cell>
          <cell r="E176">
            <v>-67118.789999999994</v>
          </cell>
        </row>
        <row r="178">
          <cell r="A178">
            <v>2400000000</v>
          </cell>
          <cell r="B178" t="str">
            <v>PATRIMONIO</v>
          </cell>
          <cell r="C178">
            <v>-2780954.72</v>
          </cell>
          <cell r="E178">
            <v>-474579193.63999999</v>
          </cell>
        </row>
        <row r="179">
          <cell r="A179">
            <v>2401000000</v>
          </cell>
          <cell r="B179" t="str">
            <v>FONDO SOCIAL</v>
          </cell>
          <cell r="C179">
            <v>-2780954.72</v>
          </cell>
          <cell r="E179">
            <v>-474579193.63999999</v>
          </cell>
        </row>
        <row r="180">
          <cell r="A180">
            <v>2401010000</v>
          </cell>
          <cell r="B180" t="str">
            <v>FONDO SOCIAL UNIDADES</v>
          </cell>
          <cell r="C180">
            <v>-2780954.72</v>
          </cell>
          <cell r="E180">
            <v>-474579193.63999999</v>
          </cell>
        </row>
        <row r="181">
          <cell r="A181">
            <v>2901010000</v>
          </cell>
          <cell r="B181" t="str">
            <v>CUENTAS DE ORDEN DEBITOS</v>
          </cell>
          <cell r="C181">
            <v>0</v>
          </cell>
          <cell r="E181">
            <v>52728412.530000001</v>
          </cell>
        </row>
        <row r="182">
          <cell r="A182">
            <v>2901020000</v>
          </cell>
          <cell r="B182" t="str">
            <v>CUENTAS DE ORDEN CREDITOS</v>
          </cell>
          <cell r="C182">
            <v>0</v>
          </cell>
          <cell r="E182">
            <v>-52728412.530000001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-5710614.8700000001</v>
          </cell>
          <cell r="E6">
            <v>1174787431.1199999</v>
          </cell>
        </row>
        <row r="9">
          <cell r="A9">
            <v>1100000000</v>
          </cell>
          <cell r="B9" t="str">
            <v>ACTIVO DISPONIBLE</v>
          </cell>
          <cell r="C9">
            <v>-5051809.17</v>
          </cell>
          <cell r="E9">
            <v>7911061.54</v>
          </cell>
        </row>
        <row r="10">
          <cell r="A10">
            <v>1101000000</v>
          </cell>
          <cell r="B10" t="str">
            <v>CAJA</v>
          </cell>
          <cell r="C10">
            <v>226710.84</v>
          </cell>
          <cell r="E10">
            <v>2366181.44</v>
          </cell>
        </row>
        <row r="11">
          <cell r="A11">
            <v>1101010000</v>
          </cell>
          <cell r="B11" t="str">
            <v>CAJA GENERAL MONEDA NACIONAL</v>
          </cell>
          <cell r="C11">
            <v>229710.84</v>
          </cell>
          <cell r="E11">
            <v>2180481.5</v>
          </cell>
        </row>
        <row r="12">
          <cell r="A12">
            <v>1101030000</v>
          </cell>
          <cell r="B12" t="str">
            <v>CAJA CHICA MONEDA NACIONAL</v>
          </cell>
          <cell r="C12">
            <v>-3000</v>
          </cell>
          <cell r="E12">
            <v>185699.94</v>
          </cell>
        </row>
        <row r="13">
          <cell r="A13">
            <v>1102000000</v>
          </cell>
          <cell r="B13" t="str">
            <v>BANCOS</v>
          </cell>
          <cell r="C13">
            <v>-5278520.01</v>
          </cell>
          <cell r="E13">
            <v>5544880.0999999996</v>
          </cell>
        </row>
        <row r="14">
          <cell r="A14">
            <v>1102010000</v>
          </cell>
          <cell r="B14" t="str">
            <v>BANCO BISA</v>
          </cell>
          <cell r="C14">
            <v>-2729107.4</v>
          </cell>
          <cell r="E14">
            <v>209269.94</v>
          </cell>
        </row>
        <row r="15">
          <cell r="A15">
            <v>1102020000</v>
          </cell>
          <cell r="B15" t="str">
            <v>BANCO MERCANTIL</v>
          </cell>
          <cell r="C15">
            <v>384605.22</v>
          </cell>
          <cell r="E15">
            <v>1238002.58</v>
          </cell>
        </row>
        <row r="16">
          <cell r="A16">
            <v>1102040000</v>
          </cell>
          <cell r="B16" t="str">
            <v>BANCO DE CREDITO</v>
          </cell>
          <cell r="C16">
            <v>-69570.8</v>
          </cell>
          <cell r="E16">
            <v>34587.449999999997</v>
          </cell>
        </row>
        <row r="17">
          <cell r="A17">
            <v>1102050000</v>
          </cell>
          <cell r="B17" t="str">
            <v>BANCO ECONÓMICO</v>
          </cell>
          <cell r="C17">
            <v>267126.83</v>
          </cell>
          <cell r="E17">
            <v>748114.95</v>
          </cell>
        </row>
        <row r="18">
          <cell r="A18">
            <v>1102060000</v>
          </cell>
          <cell r="B18" t="str">
            <v>BANCO GANADERO</v>
          </cell>
          <cell r="C18">
            <v>-401556.55</v>
          </cell>
          <cell r="E18">
            <v>701836.08</v>
          </cell>
        </row>
        <row r="19">
          <cell r="A19">
            <v>1102070000</v>
          </cell>
          <cell r="B19" t="str">
            <v>BANCO UNION</v>
          </cell>
          <cell r="C19">
            <v>1306645.31</v>
          </cell>
          <cell r="E19">
            <v>1230479.54</v>
          </cell>
        </row>
        <row r="20">
          <cell r="A20">
            <v>1102080000</v>
          </cell>
          <cell r="B20" t="str">
            <v>BANCO NACIONAL</v>
          </cell>
          <cell r="C20">
            <v>325270.37</v>
          </cell>
          <cell r="E20">
            <v>564625.75</v>
          </cell>
        </row>
        <row r="21">
          <cell r="A21">
            <v>1102100000</v>
          </cell>
          <cell r="B21" t="str">
            <v>FONDO DE LA COMUNIDAD</v>
          </cell>
          <cell r="C21">
            <v>4477.82</v>
          </cell>
          <cell r="E21">
            <v>45029.04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156831.82999999999</v>
          </cell>
          <cell r="E23">
            <v>425088.94</v>
          </cell>
        </row>
        <row r="24">
          <cell r="A24">
            <v>1102130000</v>
          </cell>
          <cell r="B24" t="str">
            <v>BANCO FIE</v>
          </cell>
          <cell r="C24">
            <v>-4523242.6399999997</v>
          </cell>
          <cell r="E24">
            <v>344370.84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-690757.97</v>
          </cell>
          <cell r="E27">
            <v>148242277.19999999</v>
          </cell>
        </row>
        <row r="28">
          <cell r="A28">
            <v>1201000000</v>
          </cell>
          <cell r="B28" t="str">
            <v>CUENTAS POR COBRAR</v>
          </cell>
          <cell r="C28">
            <v>-1882308.51</v>
          </cell>
          <cell r="E28">
            <v>72962441.310000002</v>
          </cell>
        </row>
        <row r="29">
          <cell r="A29">
            <v>1201010000</v>
          </cell>
          <cell r="B29" t="str">
            <v>DEUDORES POR PRODUCTOS LOCALES M.N.</v>
          </cell>
          <cell r="C29">
            <v>-686179.93</v>
          </cell>
          <cell r="E29">
            <v>29098840.52</v>
          </cell>
        </row>
        <row r="30">
          <cell r="A30">
            <v>1201050000</v>
          </cell>
          <cell r="B30" t="str">
            <v>DEUDORES POR PRODUCTOS INTERIOR M.N.</v>
          </cell>
          <cell r="C30">
            <v>-312711.96000000002</v>
          </cell>
          <cell r="E30">
            <v>40899903.490000002</v>
          </cell>
        </row>
        <row r="31">
          <cell r="A31">
            <v>1201130000</v>
          </cell>
          <cell r="B31" t="str">
            <v>DEUDORES VARIOS</v>
          </cell>
          <cell r="C31">
            <v>-883416.62</v>
          </cell>
          <cell r="E31">
            <v>2963697.3</v>
          </cell>
        </row>
        <row r="32">
          <cell r="A32">
            <v>1202000000</v>
          </cell>
          <cell r="B32" t="str">
            <v>CUENTAS CORRIENTES</v>
          </cell>
          <cell r="C32">
            <v>958296.42</v>
          </cell>
          <cell r="E32">
            <v>68134128.599999994</v>
          </cell>
        </row>
        <row r="33">
          <cell r="A33">
            <v>1202010000</v>
          </cell>
          <cell r="B33" t="str">
            <v>PROVEEDORES</v>
          </cell>
          <cell r="C33">
            <v>958296.42</v>
          </cell>
          <cell r="E33">
            <v>68128074.099999994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-126081.60000000001</v>
          </cell>
          <cell r="E36">
            <v>3917190.47</v>
          </cell>
        </row>
        <row r="37">
          <cell r="A37">
            <v>1203030000</v>
          </cell>
          <cell r="B37" t="str">
            <v>RECLAMOS EN CURSO</v>
          </cell>
          <cell r="C37">
            <v>61379.25</v>
          </cell>
          <cell r="E37">
            <v>68222.66</v>
          </cell>
        </row>
        <row r="38">
          <cell r="A38">
            <v>1203040000</v>
          </cell>
          <cell r="B38" t="str">
            <v>OTROS DOCUMENTOS POR COBRAR</v>
          </cell>
          <cell r="C38">
            <v>-187460.85</v>
          </cell>
          <cell r="E38">
            <v>3848967.81</v>
          </cell>
        </row>
        <row r="39">
          <cell r="A39">
            <v>1204000000</v>
          </cell>
          <cell r="B39" t="str">
            <v>ANTICIPOS Y PRESTAMOS</v>
          </cell>
          <cell r="C39">
            <v>359335.72</v>
          </cell>
          <cell r="E39">
            <v>3228516.82</v>
          </cell>
        </row>
        <row r="40">
          <cell r="A40">
            <v>1204010000</v>
          </cell>
          <cell r="B40" t="str">
            <v>ANTICIPOS AL PERSONAL</v>
          </cell>
          <cell r="C40">
            <v>80</v>
          </cell>
          <cell r="E40">
            <v>294.85000000000002</v>
          </cell>
        </row>
        <row r="41">
          <cell r="A41">
            <v>1204020000</v>
          </cell>
          <cell r="B41" t="str">
            <v>PRESTAMOS AL PERSONAL M.N.</v>
          </cell>
          <cell r="C41">
            <v>-19297.89</v>
          </cell>
          <cell r="E41">
            <v>47204.78</v>
          </cell>
        </row>
        <row r="42">
          <cell r="A42">
            <v>1204040000</v>
          </cell>
          <cell r="B42" t="str">
            <v>PRESTAMOS EN PRODUCTOS O SERVICIOS</v>
          </cell>
          <cell r="C42">
            <v>-19849.009999999998</v>
          </cell>
          <cell r="E42">
            <v>75510.740000000005</v>
          </cell>
        </row>
        <row r="43">
          <cell r="A43">
            <v>1204050000</v>
          </cell>
          <cell r="B43" t="str">
            <v>PRESTAMOS MATERIALES DE ALMACEN</v>
          </cell>
          <cell r="C43">
            <v>935.95</v>
          </cell>
          <cell r="E43">
            <v>5004.93</v>
          </cell>
        </row>
        <row r="44">
          <cell r="A44">
            <v>1204060000</v>
          </cell>
          <cell r="B44" t="str">
            <v>PAGOS ANTICIPADOS</v>
          </cell>
          <cell r="C44">
            <v>-70428.509999999995</v>
          </cell>
          <cell r="E44">
            <v>1772897.65</v>
          </cell>
        </row>
        <row r="45">
          <cell r="A45">
            <v>1204080000</v>
          </cell>
          <cell r="B45" t="str">
            <v>DEUDORES CON CARGO DE CUENTA M.N.</v>
          </cell>
          <cell r="C45">
            <v>467895.18</v>
          </cell>
          <cell r="E45">
            <v>1327587.8500000001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-955829.88</v>
          </cell>
          <cell r="E48">
            <v>153242317.33000001</v>
          </cell>
        </row>
        <row r="49">
          <cell r="A49">
            <v>1301000000</v>
          </cell>
          <cell r="B49" t="str">
            <v>EXISTENCIAS</v>
          </cell>
          <cell r="C49">
            <v>-1814908.31</v>
          </cell>
          <cell r="E49">
            <v>68898935.659999996</v>
          </cell>
        </row>
        <row r="50">
          <cell r="A50">
            <v>1301010000</v>
          </cell>
          <cell r="B50" t="str">
            <v>MATERIA PRIMA E INSUMOS</v>
          </cell>
          <cell r="C50">
            <v>975957.59</v>
          </cell>
          <cell r="E50">
            <v>19957742.16</v>
          </cell>
        </row>
        <row r="51">
          <cell r="A51">
            <v>1301020000</v>
          </cell>
          <cell r="B51" t="str">
            <v>PRODUCTOS EN PROCESO</v>
          </cell>
          <cell r="C51">
            <v>-2181327.5499999998</v>
          </cell>
          <cell r="E51">
            <v>46904981.369999997</v>
          </cell>
        </row>
        <row r="52">
          <cell r="A52">
            <v>1301030000</v>
          </cell>
          <cell r="B52" t="str">
            <v>PRODUCTOS TERMINADOS</v>
          </cell>
          <cell r="C52">
            <v>-609538.35</v>
          </cell>
          <cell r="E52">
            <v>2036212.13</v>
          </cell>
        </row>
        <row r="53">
          <cell r="A53">
            <v>1304000000</v>
          </cell>
          <cell r="B53" t="str">
            <v>EXISTENCIA DE MATERIALES</v>
          </cell>
          <cell r="C53">
            <v>859078.43</v>
          </cell>
          <cell r="E53">
            <v>84343381.670000002</v>
          </cell>
        </row>
        <row r="54">
          <cell r="A54">
            <v>1304010000</v>
          </cell>
          <cell r="B54" t="str">
            <v>MATERIALES EN ALMACEN</v>
          </cell>
          <cell r="C54">
            <v>601030.11</v>
          </cell>
          <cell r="E54">
            <v>52112606.979999997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8473242.8399999999</v>
          </cell>
        </row>
        <row r="56">
          <cell r="A56">
            <v>1304030000</v>
          </cell>
          <cell r="B56" t="str">
            <v>PULPERIA IRPA - IRPA</v>
          </cell>
          <cell r="C56">
            <v>23395.26</v>
          </cell>
          <cell r="E56">
            <v>82891.62</v>
          </cell>
        </row>
        <row r="57">
          <cell r="A57">
            <v>1304040000</v>
          </cell>
          <cell r="B57" t="str">
            <v>MERCADERIAS EN TRANSITO</v>
          </cell>
          <cell r="C57">
            <v>194302.83</v>
          </cell>
          <cell r="E57">
            <v>23472889.079999998</v>
          </cell>
        </row>
        <row r="58">
          <cell r="A58">
            <v>1304660000</v>
          </cell>
          <cell r="B58" t="str">
            <v>CONST. CANAL EMISARIO 8VO. ANILLO SUR</v>
          </cell>
          <cell r="C58">
            <v>40350.230000000003</v>
          </cell>
          <cell r="E58">
            <v>201751.15</v>
          </cell>
        </row>
        <row r="60">
          <cell r="A60">
            <v>1400000000</v>
          </cell>
          <cell r="B60" t="str">
            <v>ACTIVO FIJO</v>
          </cell>
          <cell r="C60">
            <v>2066175.43</v>
          </cell>
          <cell r="E60">
            <v>597355415.79999995</v>
          </cell>
        </row>
        <row r="61">
          <cell r="A61">
            <v>1401000000</v>
          </cell>
          <cell r="B61" t="str">
            <v>BIENES DE USO</v>
          </cell>
          <cell r="C61">
            <v>7378807.8600000003</v>
          </cell>
          <cell r="E61">
            <v>1856047752.8599999</v>
          </cell>
        </row>
        <row r="62">
          <cell r="A62">
            <v>1401010000</v>
          </cell>
          <cell r="B62" t="str">
            <v>TERRENOS</v>
          </cell>
          <cell r="C62">
            <v>464141.61</v>
          </cell>
          <cell r="E62">
            <v>64583035.140000001</v>
          </cell>
        </row>
        <row r="63">
          <cell r="A63">
            <v>1401020000</v>
          </cell>
          <cell r="B63" t="str">
            <v>EDIFICIOS</v>
          </cell>
          <cell r="C63">
            <v>2704177.17</v>
          </cell>
          <cell r="E63">
            <v>381931260.54000002</v>
          </cell>
        </row>
        <row r="64">
          <cell r="A64">
            <v>1401030000</v>
          </cell>
          <cell r="B64" t="str">
            <v>MUEBLES Y ENSERES DE OFICINA</v>
          </cell>
          <cell r="C64">
            <v>1107.06</v>
          </cell>
          <cell r="E64">
            <v>5096737.7300000004</v>
          </cell>
        </row>
        <row r="65">
          <cell r="A65">
            <v>1401040000</v>
          </cell>
          <cell r="B65" t="str">
            <v>MAQUINARIA Y EQUIPO</v>
          </cell>
          <cell r="C65">
            <v>2083027.48</v>
          </cell>
          <cell r="E65">
            <v>702795713.50999999</v>
          </cell>
        </row>
        <row r="66">
          <cell r="A66">
            <v>1401050000</v>
          </cell>
          <cell r="B66" t="str">
            <v>VEHICULOS</v>
          </cell>
          <cell r="C66">
            <v>5495.42</v>
          </cell>
          <cell r="E66">
            <v>34795881.759999998</v>
          </cell>
        </row>
        <row r="67">
          <cell r="A67">
            <v>1401060000</v>
          </cell>
          <cell r="B67" t="str">
            <v>MAQUINARIA DE CONSTRUCCION</v>
          </cell>
          <cell r="C67">
            <v>5475.5</v>
          </cell>
          <cell r="E67">
            <v>17509312.949999999</v>
          </cell>
        </row>
        <row r="68">
          <cell r="A68">
            <v>1401070000</v>
          </cell>
          <cell r="B68" t="str">
            <v>EQUIPO PESADO</v>
          </cell>
          <cell r="C68">
            <v>23683.63</v>
          </cell>
          <cell r="E68">
            <v>122784448.56999999</v>
          </cell>
        </row>
        <row r="69">
          <cell r="A69">
            <v>1401080000</v>
          </cell>
          <cell r="B69" t="str">
            <v>INSTALACIONES INDUSTRIALES</v>
          </cell>
          <cell r="C69">
            <v>2031808.8</v>
          </cell>
          <cell r="E69">
            <v>475473334.69</v>
          </cell>
        </row>
        <row r="70">
          <cell r="A70">
            <v>1401090000</v>
          </cell>
          <cell r="B70" t="str">
            <v>HERRAMIENTAS E IMPLEMENTOS</v>
          </cell>
          <cell r="C70">
            <v>1314.76</v>
          </cell>
          <cell r="E70">
            <v>19210247.309999999</v>
          </cell>
        </row>
        <row r="71">
          <cell r="A71">
            <v>1401100000</v>
          </cell>
          <cell r="B71" t="str">
            <v>TINGLADOS</v>
          </cell>
          <cell r="C71">
            <v>25293.040000000001</v>
          </cell>
          <cell r="E71">
            <v>14534884.699999999</v>
          </cell>
        </row>
        <row r="72">
          <cell r="A72">
            <v>1401110000</v>
          </cell>
          <cell r="B72" t="str">
            <v>EQUIPOS DE COMPUTACION</v>
          </cell>
          <cell r="C72">
            <v>7344.45</v>
          </cell>
          <cell r="E72">
            <v>7986023.6399999997</v>
          </cell>
        </row>
        <row r="73">
          <cell r="A73">
            <v>1401120000</v>
          </cell>
          <cell r="B73" t="str">
            <v>EQUIPOS DE LABORATORIO</v>
          </cell>
          <cell r="C73">
            <v>25938.94</v>
          </cell>
          <cell r="E73">
            <v>9180769</v>
          </cell>
        </row>
        <row r="74">
          <cell r="A74">
            <v>1401150000</v>
          </cell>
          <cell r="B74" t="str">
            <v>CANALES DE RIEGO Y POZOS</v>
          </cell>
          <cell r="C74">
            <v>0</v>
          </cell>
          <cell r="E74">
            <v>166103.32</v>
          </cell>
        </row>
        <row r="75">
          <cell r="A75">
            <v>1402000000</v>
          </cell>
          <cell r="B75" t="str">
            <v>DEPRECIACION ACUMULADA</v>
          </cell>
          <cell r="C75">
            <v>-5312632.43</v>
          </cell>
          <cell r="E75">
            <v>-1258692337.0599999</v>
          </cell>
        </row>
        <row r="76">
          <cell r="A76">
            <v>1402020000</v>
          </cell>
          <cell r="B76" t="str">
            <v>EDIFICIOS</v>
          </cell>
          <cell r="C76">
            <v>-1544598.16</v>
          </cell>
          <cell r="E76">
            <v>-111893037.34</v>
          </cell>
        </row>
        <row r="77">
          <cell r="A77">
            <v>1402030000</v>
          </cell>
          <cell r="B77" t="str">
            <v>MUEBLES Y ENSERES DE OFICINA</v>
          </cell>
          <cell r="C77">
            <v>-2157.5</v>
          </cell>
          <cell r="E77">
            <v>-5065530.92</v>
          </cell>
        </row>
        <row r="78">
          <cell r="A78">
            <v>1402040000</v>
          </cell>
          <cell r="B78" t="str">
            <v>MAQUINARIA Y EQUIPO</v>
          </cell>
          <cell r="C78">
            <v>-1838135.08</v>
          </cell>
          <cell r="E78">
            <v>-572896778.39999998</v>
          </cell>
        </row>
        <row r="79">
          <cell r="A79">
            <v>1402050000</v>
          </cell>
          <cell r="B79" t="str">
            <v>VEHICULOS</v>
          </cell>
          <cell r="C79">
            <v>-14950.42</v>
          </cell>
          <cell r="E79">
            <v>-34350930.960000001</v>
          </cell>
        </row>
        <row r="80">
          <cell r="A80">
            <v>1402060000</v>
          </cell>
          <cell r="B80" t="str">
            <v>MAQUINARIA DE CONSTRUCCION</v>
          </cell>
          <cell r="C80">
            <v>-11492.27</v>
          </cell>
          <cell r="E80">
            <v>-17250151.280000001</v>
          </cell>
        </row>
        <row r="81">
          <cell r="A81">
            <v>1402070000</v>
          </cell>
          <cell r="B81" t="str">
            <v>EQUIPO PESADO</v>
          </cell>
          <cell r="C81">
            <v>-47441.22</v>
          </cell>
          <cell r="E81">
            <v>-121347995.40000001</v>
          </cell>
        </row>
        <row r="82">
          <cell r="A82">
            <v>1402080000</v>
          </cell>
          <cell r="B82" t="str">
            <v>INSTALACIONES INDUSTRIALES</v>
          </cell>
          <cell r="C82">
            <v>-1722015.6</v>
          </cell>
          <cell r="E82">
            <v>-347518849.75</v>
          </cell>
        </row>
        <row r="83">
          <cell r="A83">
            <v>1402090000</v>
          </cell>
          <cell r="B83" t="str">
            <v>HERRAMIENTAS E IMPLEMENTOS</v>
          </cell>
          <cell r="C83">
            <v>-4486.68</v>
          </cell>
          <cell r="E83">
            <v>-19125098.949999999</v>
          </cell>
        </row>
        <row r="84">
          <cell r="A84">
            <v>1402100000</v>
          </cell>
          <cell r="B84" t="str">
            <v>TINGLADOS</v>
          </cell>
          <cell r="C84">
            <v>-50346.23</v>
          </cell>
          <cell r="E84">
            <v>-13962103.82</v>
          </cell>
        </row>
        <row r="85">
          <cell r="A85">
            <v>1402110000</v>
          </cell>
          <cell r="B85" t="str">
            <v>EQUIPOS DE COMPUTACION</v>
          </cell>
          <cell r="C85">
            <v>-24459.63</v>
          </cell>
          <cell r="E85">
            <v>-7426028.4100000001</v>
          </cell>
        </row>
        <row r="86">
          <cell r="A86">
            <v>1402120000</v>
          </cell>
          <cell r="B86" t="str">
            <v>EQUIPOS DE LABORATORIO</v>
          </cell>
          <cell r="C86">
            <v>-52549.64</v>
          </cell>
          <cell r="E86">
            <v>-7689728.5099999998</v>
          </cell>
        </row>
        <row r="87">
          <cell r="A87">
            <v>1402150000</v>
          </cell>
          <cell r="B87" t="str">
            <v>CANALES DE RIEGO Y POZOS</v>
          </cell>
          <cell r="C87">
            <v>0</v>
          </cell>
          <cell r="E87">
            <v>-166103.32</v>
          </cell>
        </row>
        <row r="89">
          <cell r="A89">
            <v>1500000000</v>
          </cell>
          <cell r="B89" t="str">
            <v>INVERSIONES</v>
          </cell>
          <cell r="C89">
            <v>1291344.51</v>
          </cell>
          <cell r="E89">
            <v>28976725</v>
          </cell>
        </row>
        <row r="90">
          <cell r="A90">
            <v>1502000000</v>
          </cell>
          <cell r="B90" t="str">
            <v>OTRAS INVERSIONES</v>
          </cell>
          <cell r="C90">
            <v>1291344.51</v>
          </cell>
          <cell r="E90">
            <v>28976725</v>
          </cell>
        </row>
        <row r="91">
          <cell r="A91">
            <v>1502010000</v>
          </cell>
          <cell r="B91" t="str">
            <v>ACCIONES</v>
          </cell>
          <cell r="C91">
            <v>1291344.51</v>
          </cell>
          <cell r="E91">
            <v>28575904.989999998</v>
          </cell>
        </row>
        <row r="92">
          <cell r="A92">
            <v>1502030000</v>
          </cell>
          <cell r="B92" t="str">
            <v>LINEAS TELEFONICAS</v>
          </cell>
          <cell r="C92">
            <v>0</v>
          </cell>
          <cell r="E92">
            <v>261000</v>
          </cell>
        </row>
        <row r="93">
          <cell r="A93">
            <v>1502050000</v>
          </cell>
          <cell r="B93" t="str">
            <v>OTRAS INVERSIONES</v>
          </cell>
          <cell r="C93">
            <v>0</v>
          </cell>
          <cell r="E93">
            <v>139820.01</v>
          </cell>
        </row>
        <row r="95">
          <cell r="A95">
            <v>1600000000</v>
          </cell>
          <cell r="B95" t="str">
            <v>OTROS ACTIVOS</v>
          </cell>
          <cell r="C95">
            <v>-941174.64</v>
          </cell>
          <cell r="E95">
            <v>221487582.08000001</v>
          </cell>
        </row>
        <row r="96">
          <cell r="A96">
            <v>1601000000</v>
          </cell>
          <cell r="B96" t="str">
            <v>DOCUMENTOS POR COBRAR A LARGO PLAZO</v>
          </cell>
          <cell r="C96">
            <v>-700</v>
          </cell>
          <cell r="E96">
            <v>43495734.640000001</v>
          </cell>
        </row>
        <row r="97">
          <cell r="A97">
            <v>1601020000</v>
          </cell>
          <cell r="B97" t="str">
            <v>CREDITOS M.E.</v>
          </cell>
          <cell r="C97">
            <v>0</v>
          </cell>
          <cell r="E97">
            <v>33948384.280000001</v>
          </cell>
        </row>
        <row r="98">
          <cell r="A98">
            <v>1601040000</v>
          </cell>
          <cell r="B98" t="str">
            <v>DOCUMENTOS EN EJECUCION</v>
          </cell>
          <cell r="C98">
            <v>-700</v>
          </cell>
          <cell r="E98">
            <v>9547350.3599999994</v>
          </cell>
        </row>
        <row r="99">
          <cell r="A99">
            <v>1601050000</v>
          </cell>
          <cell r="B99" t="str">
            <v>CUENTAS INCOBRABLES</v>
          </cell>
          <cell r="C99">
            <v>0</v>
          </cell>
          <cell r="E99">
            <v>3212209.75</v>
          </cell>
        </row>
        <row r="100">
          <cell r="A100">
            <v>1601060000</v>
          </cell>
          <cell r="B100" t="str">
            <v>(PREVISION CUENTAS INCOBRABLES)</v>
          </cell>
          <cell r="C100">
            <v>0</v>
          </cell>
          <cell r="E100">
            <v>-3212209.75</v>
          </cell>
        </row>
        <row r="101">
          <cell r="A101">
            <v>1602000000</v>
          </cell>
          <cell r="B101" t="str">
            <v>OBRAS EN EJECUCIÓN</v>
          </cell>
          <cell r="C101">
            <v>287139.56</v>
          </cell>
          <cell r="E101">
            <v>16268298.66</v>
          </cell>
        </row>
        <row r="102">
          <cell r="A102">
            <v>1602010000</v>
          </cell>
          <cell r="B102" t="str">
            <v>AMPLIACIONES</v>
          </cell>
          <cell r="C102">
            <v>287139.56</v>
          </cell>
          <cell r="E102">
            <v>16268298.66</v>
          </cell>
        </row>
        <row r="103">
          <cell r="A103">
            <v>1604000000</v>
          </cell>
          <cell r="B103" t="str">
            <v>BIENES ARRENDADOS</v>
          </cell>
          <cell r="C103">
            <v>-155772.68</v>
          </cell>
          <cell r="E103">
            <v>2168540.62</v>
          </cell>
        </row>
        <row r="104">
          <cell r="A104">
            <v>1604010000</v>
          </cell>
          <cell r="B104" t="str">
            <v>VALOR DE ARRENDAMIENTO</v>
          </cell>
          <cell r="C104">
            <v>-155772.68</v>
          </cell>
          <cell r="E104">
            <v>2168540.62</v>
          </cell>
        </row>
        <row r="105">
          <cell r="A105">
            <v>1605000000</v>
          </cell>
          <cell r="B105" t="str">
            <v>DIVERSOS</v>
          </cell>
          <cell r="C105">
            <v>-83798.210000000006</v>
          </cell>
          <cell r="E105">
            <v>18071214.530000001</v>
          </cell>
        </row>
        <row r="106">
          <cell r="A106">
            <v>1605010000</v>
          </cell>
          <cell r="B106" t="str">
            <v>REPUESTOS EN ALMACEN</v>
          </cell>
          <cell r="C106">
            <v>-83798.210000000006</v>
          </cell>
          <cell r="E106">
            <v>17882194.289999999</v>
          </cell>
        </row>
        <row r="107">
          <cell r="A107">
            <v>1605020000</v>
          </cell>
          <cell r="B107" t="str">
            <v>LIBROS Y BIBLIOTECAS</v>
          </cell>
          <cell r="C107">
            <v>0</v>
          </cell>
          <cell r="E107">
            <v>189020.24</v>
          </cell>
        </row>
        <row r="108">
          <cell r="A108">
            <v>1606000000</v>
          </cell>
          <cell r="B108" t="str">
            <v>CUENTAS CORRIENTES UNIDADES</v>
          </cell>
          <cell r="C108">
            <v>-988043.31</v>
          </cell>
          <cell r="E108">
            <v>141483793.63</v>
          </cell>
        </row>
        <row r="109">
          <cell r="A109">
            <v>1606010000</v>
          </cell>
          <cell r="B109" t="str">
            <v>LIMITADA</v>
          </cell>
          <cell r="C109">
            <v>-1762607.45</v>
          </cell>
          <cell r="E109">
            <v>130820314.59999999</v>
          </cell>
        </row>
        <row r="110">
          <cell r="A110">
            <v>1606030000</v>
          </cell>
          <cell r="B110" t="str">
            <v>CERAMIL</v>
          </cell>
          <cell r="C110">
            <v>257329.35</v>
          </cell>
          <cell r="E110">
            <v>7005877.8899999997</v>
          </cell>
        </row>
        <row r="111">
          <cell r="A111">
            <v>1606040000</v>
          </cell>
          <cell r="B111" t="str">
            <v>HORMIGON</v>
          </cell>
          <cell r="C111">
            <v>99446.91</v>
          </cell>
          <cell r="E111">
            <v>1293927.49</v>
          </cell>
        </row>
        <row r="112">
          <cell r="A112">
            <v>1606050000</v>
          </cell>
          <cell r="B112" t="str">
            <v>CONSTRUCCIONES</v>
          </cell>
          <cell r="C112">
            <v>284194.07</v>
          </cell>
          <cell r="E112">
            <v>1471067.85</v>
          </cell>
        </row>
        <row r="113">
          <cell r="A113">
            <v>1606060000</v>
          </cell>
          <cell r="B113" t="str">
            <v>CERAMICA</v>
          </cell>
          <cell r="C113">
            <v>14525.5</v>
          </cell>
          <cell r="E113">
            <v>635144.23</v>
          </cell>
        </row>
        <row r="114">
          <cell r="A114">
            <v>1606070000</v>
          </cell>
          <cell r="B114" t="str">
            <v>METAL</v>
          </cell>
          <cell r="C114">
            <v>109305.51</v>
          </cell>
          <cell r="E114">
            <v>215459.23</v>
          </cell>
        </row>
        <row r="115">
          <cell r="A115">
            <v>1606080000</v>
          </cell>
          <cell r="B115" t="str">
            <v>COBOCE EDITORA OPINION</v>
          </cell>
          <cell r="C115">
            <v>9762.7999999999993</v>
          </cell>
          <cell r="E115">
            <v>42002.34</v>
          </cell>
        </row>
        <row r="117">
          <cell r="A117">
            <v>1700000000</v>
          </cell>
          <cell r="B117" t="str">
            <v>ACTIVOS DIFERIDOS</v>
          </cell>
          <cell r="C117">
            <v>-1428563.15</v>
          </cell>
          <cell r="E117">
            <v>17572052.170000002</v>
          </cell>
        </row>
        <row r="118">
          <cell r="A118">
            <v>1701000000</v>
          </cell>
          <cell r="B118" t="str">
            <v>ACTIVOS RETIRADOS</v>
          </cell>
          <cell r="C118">
            <v>0</v>
          </cell>
          <cell r="E118">
            <v>3580102.51</v>
          </cell>
        </row>
        <row r="119">
          <cell r="A119">
            <v>1701010000</v>
          </cell>
          <cell r="B119" t="str">
            <v>BIENES DE USO RETIRADOS</v>
          </cell>
          <cell r="C119">
            <v>0</v>
          </cell>
          <cell r="E119">
            <v>3580102.51</v>
          </cell>
        </row>
        <row r="120">
          <cell r="A120">
            <v>1702000000</v>
          </cell>
          <cell r="B120" t="str">
            <v>GASTOS DIFERIDOS</v>
          </cell>
          <cell r="C120">
            <v>-1428563.15</v>
          </cell>
          <cell r="E120">
            <v>13991949.66</v>
          </cell>
        </row>
        <row r="121">
          <cell r="A121">
            <v>1702010000</v>
          </cell>
          <cell r="B121" t="str">
            <v>GASTOS DE ORGANIZACION Y PUESTA EN MARCH</v>
          </cell>
          <cell r="C121">
            <v>0</v>
          </cell>
          <cell r="E121">
            <v>4900472.5999999996</v>
          </cell>
        </row>
        <row r="122">
          <cell r="A122">
            <v>1702020000</v>
          </cell>
          <cell r="B122" t="str">
            <v>GASTOS DE PRODUCCIÓN Y MANTENIMIENTO</v>
          </cell>
          <cell r="C122">
            <v>-1400686.19</v>
          </cell>
          <cell r="E122">
            <v>4552536.29</v>
          </cell>
        </row>
        <row r="123">
          <cell r="A123">
            <v>1702050000</v>
          </cell>
          <cell r="B123" t="str">
            <v>VARIOS</v>
          </cell>
          <cell r="C123">
            <v>-27876.959999999999</v>
          </cell>
          <cell r="E123">
            <v>4538940.7699999996</v>
          </cell>
        </row>
        <row r="125">
          <cell r="A125">
            <v>2000000000</v>
          </cell>
          <cell r="B125" t="str">
            <v>PASIVO</v>
          </cell>
          <cell r="C125">
            <v>3758082.62</v>
          </cell>
          <cell r="E125">
            <v>-1196999787.75</v>
          </cell>
        </row>
        <row r="128">
          <cell r="A128">
            <v>2100000000</v>
          </cell>
          <cell r="B128" t="str">
            <v>PASIVO CORRIENTE</v>
          </cell>
          <cell r="C128">
            <v>11484801.439999999</v>
          </cell>
          <cell r="E128">
            <v>-140444523.75999999</v>
          </cell>
        </row>
        <row r="129">
          <cell r="A129">
            <v>2101000000</v>
          </cell>
          <cell r="B129" t="str">
            <v>DEUDAS COMERCIALES</v>
          </cell>
          <cell r="C129">
            <v>-1712852.21</v>
          </cell>
          <cell r="E129">
            <v>-86662849.409999996</v>
          </cell>
        </row>
        <row r="130">
          <cell r="A130">
            <v>2101010000</v>
          </cell>
          <cell r="B130" t="str">
            <v>PROVEEDORES</v>
          </cell>
          <cell r="C130">
            <v>-4597450.37</v>
          </cell>
          <cell r="E130">
            <v>-76163277.659999996</v>
          </cell>
        </row>
        <row r="131">
          <cell r="A131">
            <v>2101030000</v>
          </cell>
          <cell r="B131" t="str">
            <v>TRANSPORTISTAS</v>
          </cell>
          <cell r="C131">
            <v>1996510.93</v>
          </cell>
          <cell r="E131">
            <v>-5793326.1600000001</v>
          </cell>
        </row>
        <row r="132">
          <cell r="A132">
            <v>2101040000</v>
          </cell>
          <cell r="B132" t="str">
            <v>ACREEDORES VARIOS</v>
          </cell>
          <cell r="C132">
            <v>934466.81</v>
          </cell>
          <cell r="E132">
            <v>-4156923.83</v>
          </cell>
        </row>
        <row r="133">
          <cell r="A133">
            <v>2101090000</v>
          </cell>
          <cell r="B133" t="str">
            <v>ACREEDORES POR DEPOSITOS EN GARANTIA</v>
          </cell>
          <cell r="C133">
            <v>0</v>
          </cell>
          <cell r="E133">
            <v>-47575.86</v>
          </cell>
        </row>
        <row r="134">
          <cell r="A134">
            <v>2101650000</v>
          </cell>
          <cell r="B134" t="str">
            <v>PROVEEDORES AEROPUERTO POTOSI</v>
          </cell>
          <cell r="C134">
            <v>0</v>
          </cell>
          <cell r="E134">
            <v>-269848</v>
          </cell>
        </row>
        <row r="135">
          <cell r="A135">
            <v>2101680000</v>
          </cell>
          <cell r="B135" t="str">
            <v>PROVEEDORES - CONST. CANAL EMISARIO 8VO ANILLO SUR</v>
          </cell>
          <cell r="C135">
            <v>-46379.58</v>
          </cell>
          <cell r="E135">
            <v>-231897.9</v>
          </cell>
        </row>
        <row r="136">
          <cell r="A136">
            <v>2102000000</v>
          </cell>
          <cell r="B136" t="str">
            <v>DOCUMENTOS POR PAGAR</v>
          </cell>
          <cell r="C136">
            <v>1286134.02</v>
          </cell>
          <cell r="E136">
            <v>-2781051.09</v>
          </cell>
        </row>
        <row r="137">
          <cell r="A137">
            <v>2102020000</v>
          </cell>
          <cell r="B137" t="str">
            <v>BANCARIOS</v>
          </cell>
          <cell r="C137">
            <v>214438.2</v>
          </cell>
          <cell r="E137">
            <v>-2457186.14</v>
          </cell>
        </row>
        <row r="138">
          <cell r="A138">
            <v>2102030000</v>
          </cell>
          <cell r="B138" t="str">
            <v>CONTRATOS</v>
          </cell>
          <cell r="C138">
            <v>884295.77</v>
          </cell>
          <cell r="E138">
            <v>44705.57</v>
          </cell>
        </row>
        <row r="139">
          <cell r="A139">
            <v>2102040000</v>
          </cell>
          <cell r="B139" t="str">
            <v>OTROS DOCUMENTOS</v>
          </cell>
          <cell r="C139">
            <v>187400.05</v>
          </cell>
          <cell r="E139">
            <v>-368570.52</v>
          </cell>
        </row>
        <row r="140">
          <cell r="A140">
            <v>2104000000</v>
          </cell>
          <cell r="B140" t="str">
            <v>OBLIGACIONES FINANCIERAS A CORTO PLAZO</v>
          </cell>
          <cell r="C140">
            <v>2802384.5</v>
          </cell>
          <cell r="E140">
            <v>-11319759.359999999</v>
          </cell>
        </row>
        <row r="141">
          <cell r="A141">
            <v>2104010000</v>
          </cell>
          <cell r="B141" t="str">
            <v>OBLIGACIONES POR CAPITAL</v>
          </cell>
          <cell r="C141">
            <v>2938873.42</v>
          </cell>
          <cell r="E141">
            <v>-6615305.1699999999</v>
          </cell>
        </row>
        <row r="142">
          <cell r="A142">
            <v>2104020000</v>
          </cell>
          <cell r="B142" t="str">
            <v>OBLIGACIONES POR INTERESES</v>
          </cell>
          <cell r="C142">
            <v>-136488.92000000001</v>
          </cell>
          <cell r="E142">
            <v>-4704454.1900000004</v>
          </cell>
        </row>
        <row r="143">
          <cell r="A143">
            <v>2105000000</v>
          </cell>
          <cell r="B143" t="str">
            <v>IMPUESTOS POR PAGAR</v>
          </cell>
          <cell r="C143">
            <v>0</v>
          </cell>
          <cell r="E143">
            <v>0</v>
          </cell>
        </row>
        <row r="144">
          <cell r="A144">
            <v>2105010000</v>
          </cell>
          <cell r="B144" t="str">
            <v>IMPUESTO AL VALOR AGREGADO (DEBITO FISCA</v>
          </cell>
          <cell r="C144">
            <v>0</v>
          </cell>
          <cell r="E144">
            <v>0</v>
          </cell>
        </row>
        <row r="145">
          <cell r="A145">
            <v>2105040000</v>
          </cell>
          <cell r="B145" t="str">
            <v>RETENCION EN LA FUENTE</v>
          </cell>
          <cell r="C145">
            <v>0</v>
          </cell>
          <cell r="E145">
            <v>0</v>
          </cell>
        </row>
        <row r="146">
          <cell r="A146">
            <v>2105090000</v>
          </cell>
          <cell r="B146" t="str">
            <v>REGALIAS MINERAS</v>
          </cell>
          <cell r="C146">
            <v>0</v>
          </cell>
          <cell r="E146">
            <v>0</v>
          </cell>
        </row>
        <row r="147">
          <cell r="A147">
            <v>2106000000</v>
          </cell>
          <cell r="B147" t="str">
            <v>OBLIGACIONES POR PAGAR</v>
          </cell>
          <cell r="C147">
            <v>-478288.33</v>
          </cell>
          <cell r="E147">
            <v>-28045944</v>
          </cell>
        </row>
        <row r="148">
          <cell r="A148">
            <v>2106010000</v>
          </cell>
          <cell r="B148" t="str">
            <v>SUELDOS Y JORNALES POR PAGAR</v>
          </cell>
          <cell r="C148">
            <v>-2582829.9300000002</v>
          </cell>
          <cell r="E148">
            <v>-16105711.85</v>
          </cell>
        </row>
        <row r="149">
          <cell r="A149">
            <v>2106020000</v>
          </cell>
          <cell r="B149" t="str">
            <v>AGUINALDOS Y PRIMAS POR PAGAR</v>
          </cell>
          <cell r="C149">
            <v>0</v>
          </cell>
          <cell r="E149">
            <v>-100838.3</v>
          </cell>
        </row>
        <row r="150">
          <cell r="A150">
            <v>2106040000</v>
          </cell>
          <cell r="B150" t="str">
            <v>FINIQUITOS POR PAGAR</v>
          </cell>
          <cell r="C150">
            <v>304155.15999999997</v>
          </cell>
          <cell r="E150">
            <v>-613035.87</v>
          </cell>
        </row>
        <row r="151">
          <cell r="A151">
            <v>2106060000</v>
          </cell>
          <cell r="B151" t="str">
            <v>AGUINALDOS Y PRIMAS NO RECLAMADOS</v>
          </cell>
          <cell r="C151">
            <v>0</v>
          </cell>
          <cell r="E151">
            <v>-373944.54</v>
          </cell>
        </row>
        <row r="152">
          <cell r="A152">
            <v>2106070000</v>
          </cell>
          <cell r="B152" t="str">
            <v>APORTES Y RETENCIONES POR PAGAR</v>
          </cell>
          <cell r="C152">
            <v>1797286.44</v>
          </cell>
          <cell r="E152">
            <v>-10430609.82</v>
          </cell>
        </row>
        <row r="153">
          <cell r="A153">
            <v>2106080000</v>
          </cell>
          <cell r="B153" t="str">
            <v>RETENCIONES JUDICIALES</v>
          </cell>
          <cell r="C153">
            <v>3100</v>
          </cell>
          <cell r="E153">
            <v>-421803.62</v>
          </cell>
        </row>
        <row r="154">
          <cell r="A154">
            <v>2107000000</v>
          </cell>
          <cell r="B154" t="str">
            <v>PROVISIONES</v>
          </cell>
          <cell r="C154">
            <v>7647863.7599999998</v>
          </cell>
          <cell r="E154">
            <v>-7234498.46</v>
          </cell>
        </row>
        <row r="155">
          <cell r="A155">
            <v>2107010000</v>
          </cell>
          <cell r="B155" t="str">
            <v>AGUINALDOS</v>
          </cell>
          <cell r="C155">
            <v>7647863.7599999998</v>
          </cell>
          <cell r="E155">
            <v>-369823.02</v>
          </cell>
        </row>
        <row r="156">
          <cell r="A156">
            <v>2107030000</v>
          </cell>
          <cell r="B156" t="str">
            <v>OTROS</v>
          </cell>
          <cell r="C156">
            <v>0</v>
          </cell>
          <cell r="E156">
            <v>-6864675.4400000004</v>
          </cell>
        </row>
        <row r="157">
          <cell r="A157">
            <v>2108000000</v>
          </cell>
          <cell r="B157" t="str">
            <v>COBROS POR ADELANTADO</v>
          </cell>
          <cell r="C157">
            <v>1939559.7</v>
          </cell>
          <cell r="E157">
            <v>-4400421.4400000004</v>
          </cell>
        </row>
        <row r="158">
          <cell r="A158">
            <v>2108010000</v>
          </cell>
          <cell r="B158" t="str">
            <v>CLIENTES LOCALES</v>
          </cell>
          <cell r="C158">
            <v>254623.93</v>
          </cell>
          <cell r="E158">
            <v>-855133.23</v>
          </cell>
        </row>
        <row r="159">
          <cell r="A159">
            <v>2108020000</v>
          </cell>
          <cell r="B159" t="str">
            <v>CLIENTES INTERIOR</v>
          </cell>
          <cell r="C159">
            <v>1684935.77</v>
          </cell>
          <cell r="E159">
            <v>-3545288.21</v>
          </cell>
        </row>
        <row r="161">
          <cell r="A161">
            <v>2200000000</v>
          </cell>
          <cell r="B161" t="str">
            <v>PASIVO NO CORRIENTE</v>
          </cell>
          <cell r="C161">
            <v>-4291312.75</v>
          </cell>
          <cell r="E161">
            <v>-578540664.27999997</v>
          </cell>
        </row>
        <row r="162">
          <cell r="A162">
            <v>2201000000</v>
          </cell>
          <cell r="B162" t="str">
            <v>OBLIGACIONES FINANCIERAS A LARGO PLAZO</v>
          </cell>
          <cell r="C162">
            <v>-1108793.28</v>
          </cell>
          <cell r="E162">
            <v>-266153434.65000001</v>
          </cell>
        </row>
        <row r="163">
          <cell r="A163">
            <v>2201010000</v>
          </cell>
          <cell r="B163" t="str">
            <v>OBLIGACIONES POR CAPITAL</v>
          </cell>
          <cell r="C163">
            <v>-1158404.48</v>
          </cell>
          <cell r="E163">
            <v>-255754183.18000001</v>
          </cell>
        </row>
        <row r="164">
          <cell r="A164">
            <v>2201030000</v>
          </cell>
          <cell r="B164" t="str">
            <v>OBLIGACIONES POR INTERESES LP</v>
          </cell>
          <cell r="C164">
            <v>49611.199999999997</v>
          </cell>
          <cell r="E164">
            <v>-10399251.470000001</v>
          </cell>
        </row>
        <row r="165">
          <cell r="A165">
            <v>2202000000</v>
          </cell>
          <cell r="B165" t="str">
            <v>PREVISIONES</v>
          </cell>
          <cell r="C165">
            <v>-1295368.1599999999</v>
          </cell>
          <cell r="E165">
            <v>-51288116.93</v>
          </cell>
        </row>
        <row r="166">
          <cell r="A166">
            <v>2202010000</v>
          </cell>
          <cell r="B166" t="str">
            <v>PREVISIONES BENEFICIOS SOCIALES</v>
          </cell>
          <cell r="C166">
            <v>-1295368.1599999999</v>
          </cell>
          <cell r="E166">
            <v>-51231134.25</v>
          </cell>
        </row>
        <row r="167">
          <cell r="A167">
            <v>2202020000</v>
          </cell>
          <cell r="B167" t="str">
            <v>OTRAS PREVISIONES</v>
          </cell>
          <cell r="C167">
            <v>0</v>
          </cell>
          <cell r="E167">
            <v>-56982.68</v>
          </cell>
        </row>
        <row r="168">
          <cell r="A168">
            <v>2203000000</v>
          </cell>
          <cell r="B168" t="str">
            <v>OTROS PASIVOS NO CORRIENTES</v>
          </cell>
          <cell r="C168">
            <v>-19040.79</v>
          </cell>
          <cell r="E168">
            <v>-732723.53</v>
          </cell>
        </row>
        <row r="169">
          <cell r="A169">
            <v>2203050000</v>
          </cell>
          <cell r="B169" t="str">
            <v>CREDITOS DIFERIDOS</v>
          </cell>
          <cell r="C169">
            <v>-19040.79</v>
          </cell>
          <cell r="E169">
            <v>-732723.53</v>
          </cell>
        </row>
        <row r="170">
          <cell r="A170">
            <v>2204000000</v>
          </cell>
          <cell r="B170" t="str">
            <v>CUENTAS CORRIENTES. UNIDADES.</v>
          </cell>
          <cell r="C170">
            <v>-1868110.52</v>
          </cell>
          <cell r="E170">
            <v>-260366389.16999999</v>
          </cell>
        </row>
        <row r="171">
          <cell r="A171">
            <v>2204010000</v>
          </cell>
          <cell r="B171" t="str">
            <v>LIMITADA</v>
          </cell>
          <cell r="C171">
            <v>-1877781.52</v>
          </cell>
          <cell r="E171">
            <v>-253796209.66999999</v>
          </cell>
        </row>
        <row r="172">
          <cell r="A172">
            <v>2204040000</v>
          </cell>
          <cell r="B172" t="str">
            <v>HORMIGON</v>
          </cell>
          <cell r="C172">
            <v>0</v>
          </cell>
          <cell r="E172">
            <v>0</v>
          </cell>
        </row>
        <row r="173">
          <cell r="A173">
            <v>2204050000</v>
          </cell>
          <cell r="B173" t="str">
            <v>CONSTRUCCIONES</v>
          </cell>
          <cell r="C173">
            <v>0</v>
          </cell>
          <cell r="E173">
            <v>-4749325.95</v>
          </cell>
        </row>
        <row r="174">
          <cell r="A174">
            <v>2204060000</v>
          </cell>
          <cell r="B174" t="str">
            <v>CERAMICA</v>
          </cell>
          <cell r="C174">
            <v>0</v>
          </cell>
          <cell r="E174">
            <v>-436961.33</v>
          </cell>
        </row>
        <row r="175">
          <cell r="A175">
            <v>2204070000</v>
          </cell>
          <cell r="B175" t="str">
            <v>METAL</v>
          </cell>
          <cell r="C175">
            <v>19083</v>
          </cell>
          <cell r="E175">
            <v>-1307361.43</v>
          </cell>
        </row>
        <row r="176">
          <cell r="A176">
            <v>2204080000</v>
          </cell>
          <cell r="B176" t="str">
            <v>COBOCE EDITORA OPINION</v>
          </cell>
          <cell r="C176">
            <v>-9412</v>
          </cell>
          <cell r="E176">
            <v>-76530.789999999994</v>
          </cell>
        </row>
        <row r="178">
          <cell r="A178">
            <v>2400000000</v>
          </cell>
          <cell r="B178" t="str">
            <v>PATRIMONIO</v>
          </cell>
          <cell r="C178">
            <v>-3435406.07</v>
          </cell>
          <cell r="E178">
            <v>-478014599.70999998</v>
          </cell>
        </row>
        <row r="179">
          <cell r="A179">
            <v>2401000000</v>
          </cell>
          <cell r="B179" t="str">
            <v>FONDO SOCIAL</v>
          </cell>
          <cell r="C179">
            <v>-3435406.07</v>
          </cell>
          <cell r="E179">
            <v>-478014599.70999998</v>
          </cell>
        </row>
        <row r="180">
          <cell r="A180">
            <v>2401010000</v>
          </cell>
          <cell r="B180" t="str">
            <v>FONDO SOCIAL UNIDADES</v>
          </cell>
          <cell r="C180">
            <v>-3435406.07</v>
          </cell>
          <cell r="E180">
            <v>-478014599.70999998</v>
          </cell>
        </row>
        <row r="181">
          <cell r="A181">
            <v>2901010000</v>
          </cell>
          <cell r="B181" t="str">
            <v>CUENTAS DE ORDEN DEBITOS</v>
          </cell>
          <cell r="C181">
            <v>0</v>
          </cell>
          <cell r="E181">
            <v>52728412.530000001</v>
          </cell>
        </row>
        <row r="182">
          <cell r="A182">
            <v>2901020000</v>
          </cell>
          <cell r="B182" t="str">
            <v>CUENTAS DE ORDEN CREDITOS</v>
          </cell>
          <cell r="C182">
            <v>0</v>
          </cell>
          <cell r="E182">
            <v>-52728412.530000001</v>
          </cell>
        </row>
        <row r="183">
          <cell r="A183" t="str">
            <v>***TOTAL UTILIDAD(+)/PERDIDA(-)***</v>
          </cell>
          <cell r="C183">
            <v>-1952532.25</v>
          </cell>
          <cell r="E183">
            <v>-22212356.629999999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19318643.969999999</v>
          </cell>
          <cell r="E6">
            <v>1194106075.0899999</v>
          </cell>
        </row>
        <row r="9">
          <cell r="A9">
            <v>1100000000</v>
          </cell>
          <cell r="B9" t="str">
            <v>ACTIVO DISPONIBLE</v>
          </cell>
          <cell r="C9">
            <v>2298455.58</v>
          </cell>
          <cell r="E9">
            <v>10209517.119999999</v>
          </cell>
        </row>
        <row r="10">
          <cell r="A10">
            <v>1101000000</v>
          </cell>
          <cell r="B10" t="str">
            <v>CAJA</v>
          </cell>
          <cell r="C10">
            <v>195.6</v>
          </cell>
          <cell r="E10">
            <v>2366377.04</v>
          </cell>
        </row>
        <row r="11">
          <cell r="A11">
            <v>1101010000</v>
          </cell>
          <cell r="B11" t="str">
            <v>CAJA GENERAL MONEDA NACIONAL</v>
          </cell>
          <cell r="C11">
            <v>-3804.4</v>
          </cell>
          <cell r="E11">
            <v>2176677.1</v>
          </cell>
        </row>
        <row r="12">
          <cell r="A12">
            <v>1101030000</v>
          </cell>
          <cell r="B12" t="str">
            <v>CAJA CHICA MONEDA NACIONAL</v>
          </cell>
          <cell r="C12">
            <v>4000</v>
          </cell>
          <cell r="E12">
            <v>189699.94</v>
          </cell>
        </row>
        <row r="13">
          <cell r="A13">
            <v>1102000000</v>
          </cell>
          <cell r="B13" t="str">
            <v>BANCOS</v>
          </cell>
          <cell r="C13">
            <v>2298259.98</v>
          </cell>
          <cell r="E13">
            <v>7843140.0800000001</v>
          </cell>
        </row>
        <row r="14">
          <cell r="A14">
            <v>1102010000</v>
          </cell>
          <cell r="B14" t="str">
            <v>BANCO BISA</v>
          </cell>
          <cell r="C14">
            <v>-1047215.56</v>
          </cell>
          <cell r="E14">
            <v>-837945.62</v>
          </cell>
        </row>
        <row r="15">
          <cell r="A15">
            <v>1102020000</v>
          </cell>
          <cell r="B15" t="str">
            <v>BANCO MERCANTIL</v>
          </cell>
          <cell r="C15">
            <v>-560148.42000000004</v>
          </cell>
          <cell r="E15">
            <v>677854.16</v>
          </cell>
        </row>
        <row r="16">
          <cell r="A16">
            <v>1102040000</v>
          </cell>
          <cell r="B16" t="str">
            <v>BANCO DE CREDITO</v>
          </cell>
          <cell r="C16">
            <v>-173530.21</v>
          </cell>
          <cell r="E16">
            <v>-138942.76</v>
          </cell>
        </row>
        <row r="17">
          <cell r="A17">
            <v>1102050000</v>
          </cell>
          <cell r="B17" t="str">
            <v>BANCO ECONÓMICO</v>
          </cell>
          <cell r="C17">
            <v>-567324.68000000005</v>
          </cell>
          <cell r="E17">
            <v>180790.27</v>
          </cell>
        </row>
        <row r="18">
          <cell r="A18">
            <v>1102060000</v>
          </cell>
          <cell r="B18" t="str">
            <v>BANCO GANADERO</v>
          </cell>
          <cell r="C18">
            <v>113929.5</v>
          </cell>
          <cell r="E18">
            <v>815765.58</v>
          </cell>
        </row>
        <row r="19">
          <cell r="A19">
            <v>1102070000</v>
          </cell>
          <cell r="B19" t="str">
            <v>BANCO UNION</v>
          </cell>
          <cell r="C19">
            <v>-526934.53</v>
          </cell>
          <cell r="E19">
            <v>703545.01</v>
          </cell>
        </row>
        <row r="20">
          <cell r="A20">
            <v>1102080000</v>
          </cell>
          <cell r="B20" t="str">
            <v>BANCO NACIONAL</v>
          </cell>
          <cell r="C20">
            <v>-283648.8</v>
          </cell>
          <cell r="E20">
            <v>280976.95</v>
          </cell>
        </row>
        <row r="21">
          <cell r="A21">
            <v>1102100000</v>
          </cell>
          <cell r="B21" t="str">
            <v>FONDO DE LA COMUNIDAD</v>
          </cell>
          <cell r="C21">
            <v>4492.6499999999996</v>
          </cell>
          <cell r="E21">
            <v>49521.69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801272.1</v>
          </cell>
          <cell r="E23">
            <v>1226361.04</v>
          </cell>
        </row>
        <row r="24">
          <cell r="A24">
            <v>1102130000</v>
          </cell>
          <cell r="B24" t="str">
            <v>BANCO FIE</v>
          </cell>
          <cell r="C24">
            <v>4537367.93</v>
          </cell>
          <cell r="E24">
            <v>4881738.7699999996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7">
          <cell r="A27">
            <v>1200000000</v>
          </cell>
          <cell r="B27" t="str">
            <v>ACTIVO EXIGIBLE</v>
          </cell>
          <cell r="C27">
            <v>15334633.359999999</v>
          </cell>
          <cell r="E27">
            <v>163576910.56</v>
          </cell>
        </row>
        <row r="28">
          <cell r="A28">
            <v>1201000000</v>
          </cell>
          <cell r="B28" t="str">
            <v>CUENTAS POR COBRAR</v>
          </cell>
          <cell r="C28">
            <v>13291494.380000001</v>
          </cell>
          <cell r="E28">
            <v>86253935.689999998</v>
          </cell>
        </row>
        <row r="29">
          <cell r="A29">
            <v>1201010000</v>
          </cell>
          <cell r="B29" t="str">
            <v>DEUDORES POR PRODUCTOS LOCALES M.N.</v>
          </cell>
          <cell r="C29">
            <v>-3066657.37</v>
          </cell>
          <cell r="E29">
            <v>26032183.149999999</v>
          </cell>
        </row>
        <row r="30">
          <cell r="A30">
            <v>1201050000</v>
          </cell>
          <cell r="B30" t="str">
            <v>DEUDORES POR PRODUCTOS INTERIOR M.N.</v>
          </cell>
          <cell r="C30">
            <v>16455773.43</v>
          </cell>
          <cell r="E30">
            <v>57355676.920000002</v>
          </cell>
        </row>
        <row r="31">
          <cell r="A31">
            <v>1201130000</v>
          </cell>
          <cell r="B31" t="str">
            <v>DEUDORES VARIOS</v>
          </cell>
          <cell r="C31">
            <v>-97621.68</v>
          </cell>
          <cell r="E31">
            <v>2866075.62</v>
          </cell>
        </row>
        <row r="32">
          <cell r="A32">
            <v>1202000000</v>
          </cell>
          <cell r="B32" t="str">
            <v>CUENTAS CORRIENTES</v>
          </cell>
          <cell r="C32">
            <v>-903051.4</v>
          </cell>
          <cell r="E32">
            <v>67231077.200000003</v>
          </cell>
        </row>
        <row r="33">
          <cell r="A33">
            <v>1202010000</v>
          </cell>
          <cell r="B33" t="str">
            <v>PROVEEDORES</v>
          </cell>
          <cell r="C33">
            <v>-903051.4</v>
          </cell>
          <cell r="E33">
            <v>67225022.700000003</v>
          </cell>
        </row>
        <row r="34">
          <cell r="A34">
            <v>1202020000</v>
          </cell>
          <cell r="B34" t="str">
            <v>CONTRATISTAS</v>
          </cell>
          <cell r="C34">
            <v>0</v>
          </cell>
          <cell r="E34">
            <v>6054.5</v>
          </cell>
        </row>
        <row r="35">
          <cell r="A35">
            <v>1202050000</v>
          </cell>
          <cell r="B35" t="str">
            <v>CREDITO FISCAL IVA</v>
          </cell>
          <cell r="C35">
            <v>0</v>
          </cell>
          <cell r="E35">
            <v>0</v>
          </cell>
        </row>
        <row r="36">
          <cell r="A36">
            <v>1203000000</v>
          </cell>
          <cell r="B36" t="str">
            <v>DOCUMENTOS POR COBRAR</v>
          </cell>
          <cell r="C36">
            <v>2400.7600000000002</v>
          </cell>
          <cell r="E36">
            <v>3919591.23</v>
          </cell>
        </row>
        <row r="37">
          <cell r="A37">
            <v>1203030000</v>
          </cell>
          <cell r="B37" t="str">
            <v>RECLAMOS EN CURSO</v>
          </cell>
          <cell r="C37">
            <v>2400.7600000000002</v>
          </cell>
          <cell r="E37">
            <v>70623.42</v>
          </cell>
        </row>
        <row r="38">
          <cell r="A38">
            <v>1203040000</v>
          </cell>
          <cell r="B38" t="str">
            <v>OTROS DOCUMENTOS POR COBRAR</v>
          </cell>
          <cell r="C38">
            <v>0</v>
          </cell>
          <cell r="E38">
            <v>3848967.81</v>
          </cell>
        </row>
        <row r="39">
          <cell r="A39">
            <v>1204000000</v>
          </cell>
          <cell r="B39" t="str">
            <v>ANTICIPOS Y PRESTAMOS</v>
          </cell>
          <cell r="C39">
            <v>2943789.62</v>
          </cell>
          <cell r="E39">
            <v>6172306.4400000004</v>
          </cell>
        </row>
        <row r="40">
          <cell r="A40">
            <v>1204010000</v>
          </cell>
          <cell r="B40" t="str">
            <v>ANTICIPOS AL PERSONAL</v>
          </cell>
          <cell r="C40">
            <v>-80</v>
          </cell>
          <cell r="E40">
            <v>214.85</v>
          </cell>
        </row>
        <row r="41">
          <cell r="A41">
            <v>1204020000</v>
          </cell>
          <cell r="B41" t="str">
            <v>PRESTAMOS AL PERSONAL M.N.</v>
          </cell>
          <cell r="C41">
            <v>177117.19</v>
          </cell>
          <cell r="E41">
            <v>224321.97</v>
          </cell>
        </row>
        <row r="42">
          <cell r="A42">
            <v>1204040000</v>
          </cell>
          <cell r="B42" t="str">
            <v>PRESTAMOS EN PRODUCTOS O SERVICIOS</v>
          </cell>
          <cell r="C42">
            <v>-13724.85</v>
          </cell>
          <cell r="E42">
            <v>61785.89</v>
          </cell>
        </row>
        <row r="43">
          <cell r="A43">
            <v>1204050000</v>
          </cell>
          <cell r="B43" t="str">
            <v>PRESTAMOS MATERIALES DE ALMACEN</v>
          </cell>
          <cell r="C43">
            <v>0</v>
          </cell>
          <cell r="E43">
            <v>5004.93</v>
          </cell>
        </row>
        <row r="44">
          <cell r="A44">
            <v>1204060000</v>
          </cell>
          <cell r="B44" t="str">
            <v>PAGOS ANTICIPADOS</v>
          </cell>
          <cell r="C44">
            <v>3556293.64</v>
          </cell>
          <cell r="E44">
            <v>5329191.29</v>
          </cell>
        </row>
        <row r="45">
          <cell r="A45">
            <v>1204080000</v>
          </cell>
          <cell r="B45" t="str">
            <v>DEUDORES CON CARGO DE CUENTA M.N.</v>
          </cell>
          <cell r="C45">
            <v>-775816.36</v>
          </cell>
          <cell r="E45">
            <v>551771.49</v>
          </cell>
        </row>
        <row r="46">
          <cell r="A46">
            <v>1204100000</v>
          </cell>
          <cell r="B46" t="str">
            <v>PULPERIAS</v>
          </cell>
          <cell r="C46">
            <v>0</v>
          </cell>
          <cell r="E46">
            <v>16.02</v>
          </cell>
        </row>
        <row r="48">
          <cell r="A48">
            <v>1300000000</v>
          </cell>
          <cell r="B48" t="str">
            <v>ACTIVO REALIZABLE</v>
          </cell>
          <cell r="C48">
            <v>-1965879.17</v>
          </cell>
          <cell r="E48">
            <v>151276438.16</v>
          </cell>
        </row>
        <row r="49">
          <cell r="A49">
            <v>1301000000</v>
          </cell>
          <cell r="B49" t="str">
            <v>EXISTENCIAS</v>
          </cell>
          <cell r="C49">
            <v>-4952671.3600000003</v>
          </cell>
          <cell r="E49">
            <v>63946264.299999997</v>
          </cell>
        </row>
        <row r="50">
          <cell r="A50">
            <v>1301010000</v>
          </cell>
          <cell r="B50" t="str">
            <v>MATERIA PRIMA E INSUMOS</v>
          </cell>
          <cell r="C50">
            <v>86022.399999999994</v>
          </cell>
          <cell r="E50">
            <v>20043764.559999999</v>
          </cell>
        </row>
        <row r="51">
          <cell r="A51">
            <v>1301020000</v>
          </cell>
          <cell r="B51" t="str">
            <v>PRODUCTOS EN PROCESO</v>
          </cell>
          <cell r="C51">
            <v>-5085606.22</v>
          </cell>
          <cell r="E51">
            <v>41819375.149999999</v>
          </cell>
        </row>
        <row r="52">
          <cell r="A52">
            <v>1301030000</v>
          </cell>
          <cell r="B52" t="str">
            <v>PRODUCTOS TERMINADOS</v>
          </cell>
          <cell r="C52">
            <v>46912.46</v>
          </cell>
          <cell r="E52">
            <v>2083124.59</v>
          </cell>
        </row>
        <row r="53">
          <cell r="A53">
            <v>1304000000</v>
          </cell>
          <cell r="B53" t="str">
            <v>EXISTENCIA DE MATERIALES</v>
          </cell>
          <cell r="C53">
            <v>2986792.19</v>
          </cell>
          <cell r="E53">
            <v>87330173.859999999</v>
          </cell>
        </row>
        <row r="54">
          <cell r="A54">
            <v>1304010000</v>
          </cell>
          <cell r="B54" t="str">
            <v>MATERIALES EN ALMACEN</v>
          </cell>
          <cell r="C54">
            <v>735183.34</v>
          </cell>
          <cell r="E54">
            <v>52847790.32</v>
          </cell>
        </row>
        <row r="55">
          <cell r="A55">
            <v>1304020000</v>
          </cell>
          <cell r="B55" t="str">
            <v>ALMACEN - AUXILIAR</v>
          </cell>
          <cell r="C55">
            <v>0</v>
          </cell>
          <cell r="E55">
            <v>8473242.8399999999</v>
          </cell>
        </row>
        <row r="56">
          <cell r="A56">
            <v>1304030000</v>
          </cell>
          <cell r="B56" t="str">
            <v>PULPERIA IRPA - IRPA</v>
          </cell>
          <cell r="C56">
            <v>-2379.29</v>
          </cell>
          <cell r="E56">
            <v>80512.33</v>
          </cell>
        </row>
        <row r="57">
          <cell r="A57">
            <v>1304040000</v>
          </cell>
          <cell r="B57" t="str">
            <v>MERCADERIAS EN TRANSITO</v>
          </cell>
          <cell r="C57">
            <v>2253988.14</v>
          </cell>
          <cell r="E57">
            <v>25726877.219999999</v>
          </cell>
        </row>
        <row r="58">
          <cell r="A58">
            <v>1304660000</v>
          </cell>
          <cell r="B58" t="str">
            <v>CONST. CANAL EMISARIO 8VO. ANILLO SUR</v>
          </cell>
          <cell r="C58">
            <v>0</v>
          </cell>
          <cell r="E58">
            <v>201751.15</v>
          </cell>
        </row>
        <row r="60">
          <cell r="A60">
            <v>1400000000</v>
          </cell>
          <cell r="B60" t="str">
            <v>ACTIVO FIJO</v>
          </cell>
          <cell r="C60">
            <v>2418819.66</v>
          </cell>
          <cell r="E60">
            <v>599774235.46000004</v>
          </cell>
        </row>
        <row r="61">
          <cell r="A61">
            <v>1401000000</v>
          </cell>
          <cell r="B61" t="str">
            <v>BIENES DE USO</v>
          </cell>
          <cell r="C61">
            <v>7323202.6100000003</v>
          </cell>
          <cell r="E61">
            <v>1863370955.47</v>
          </cell>
        </row>
        <row r="62">
          <cell r="A62">
            <v>1401010000</v>
          </cell>
          <cell r="B62" t="str">
            <v>TERRENOS</v>
          </cell>
          <cell r="C62">
            <v>505011.07</v>
          </cell>
          <cell r="E62">
            <v>65088046.210000001</v>
          </cell>
        </row>
        <row r="63">
          <cell r="A63">
            <v>1401020000</v>
          </cell>
          <cell r="B63" t="str">
            <v>EDIFICIOS</v>
          </cell>
          <cell r="C63">
            <v>2942289.96</v>
          </cell>
          <cell r="E63">
            <v>384873550.5</v>
          </cell>
        </row>
        <row r="64">
          <cell r="A64">
            <v>1401030000</v>
          </cell>
          <cell r="B64" t="str">
            <v>MUEBLES Y ENSERES DE OFICINA</v>
          </cell>
          <cell r="C64">
            <v>-435567.58</v>
          </cell>
          <cell r="E64">
            <v>4661170.1500000004</v>
          </cell>
        </row>
        <row r="65">
          <cell r="A65">
            <v>1401040000</v>
          </cell>
          <cell r="B65" t="str">
            <v>MAQUINARIA Y EQUIPO</v>
          </cell>
          <cell r="C65">
            <v>2261854.7400000002</v>
          </cell>
          <cell r="E65">
            <v>705057568.25</v>
          </cell>
        </row>
        <row r="66">
          <cell r="A66">
            <v>1401050000</v>
          </cell>
          <cell r="B66" t="str">
            <v>VEHICULOS</v>
          </cell>
          <cell r="C66">
            <v>5979.3</v>
          </cell>
          <cell r="E66">
            <v>34801861.060000002</v>
          </cell>
        </row>
        <row r="67">
          <cell r="A67">
            <v>1401060000</v>
          </cell>
          <cell r="B67" t="str">
            <v>MAQUINARIA DE CONSTRUCCION</v>
          </cell>
          <cell r="C67">
            <v>4615.58</v>
          </cell>
          <cell r="E67">
            <v>17513928.530000001</v>
          </cell>
        </row>
        <row r="68">
          <cell r="A68">
            <v>1401070000</v>
          </cell>
          <cell r="B68" t="str">
            <v>EQUIPO PESADO</v>
          </cell>
          <cell r="C68">
            <v>25769.03</v>
          </cell>
          <cell r="E68">
            <v>122810217.59999999</v>
          </cell>
        </row>
        <row r="69">
          <cell r="A69">
            <v>1401080000</v>
          </cell>
          <cell r="B69" t="str">
            <v>INSTALACIONES INDUSTRIALES</v>
          </cell>
          <cell r="C69">
            <v>2210717.04</v>
          </cell>
          <cell r="E69">
            <v>477684051.73000002</v>
          </cell>
        </row>
        <row r="70">
          <cell r="A70">
            <v>1401090000</v>
          </cell>
          <cell r="B70" t="str">
            <v>HERRAMIENTAS E IMPLEMENTOS</v>
          </cell>
          <cell r="C70">
            <v>1358.52</v>
          </cell>
          <cell r="E70">
            <v>19211605.829999998</v>
          </cell>
        </row>
        <row r="71">
          <cell r="A71">
            <v>1401100000</v>
          </cell>
          <cell r="B71" t="str">
            <v>TINGLADOS</v>
          </cell>
          <cell r="C71">
            <v>27520.2</v>
          </cell>
          <cell r="E71">
            <v>14562404.9</v>
          </cell>
        </row>
        <row r="72">
          <cell r="A72">
            <v>1401110000</v>
          </cell>
          <cell r="B72" t="str">
            <v>EQUIPOS DE COMPUTACION</v>
          </cell>
          <cell r="C72">
            <v>-254568.2</v>
          </cell>
          <cell r="E72">
            <v>7731455.4400000004</v>
          </cell>
        </row>
        <row r="73">
          <cell r="A73">
            <v>1401120000</v>
          </cell>
          <cell r="B73" t="str">
            <v>EQUIPOS DE LABORATORIO</v>
          </cell>
          <cell r="C73">
            <v>28222.95</v>
          </cell>
          <cell r="E73">
            <v>9208991.9499999993</v>
          </cell>
        </row>
        <row r="74">
          <cell r="A74">
            <v>1401150000</v>
          </cell>
          <cell r="B74" t="str">
            <v>CANALES DE RIEGO Y POZOS</v>
          </cell>
          <cell r="C74">
            <v>0</v>
          </cell>
          <cell r="E74">
            <v>166103.32</v>
          </cell>
        </row>
        <row r="75">
          <cell r="A75">
            <v>1402000000</v>
          </cell>
          <cell r="B75" t="str">
            <v>DEPRECIACION ACUMULADA</v>
          </cell>
          <cell r="C75">
            <v>-4904382.95</v>
          </cell>
          <cell r="E75">
            <v>-1263596720.01</v>
          </cell>
        </row>
        <row r="76">
          <cell r="A76">
            <v>1402020000</v>
          </cell>
          <cell r="B76" t="str">
            <v>EDIFICIOS</v>
          </cell>
          <cell r="C76">
            <v>-1623632.17</v>
          </cell>
          <cell r="E76">
            <v>-113516669.51000001</v>
          </cell>
        </row>
        <row r="77">
          <cell r="A77">
            <v>1402030000</v>
          </cell>
          <cell r="B77" t="str">
            <v>MUEBLES Y ENSERES DE OFICINA</v>
          </cell>
          <cell r="C77">
            <v>434517.75</v>
          </cell>
          <cell r="E77">
            <v>-4631013.17</v>
          </cell>
        </row>
        <row r="78">
          <cell r="A78">
            <v>1402040000</v>
          </cell>
          <cell r="B78" t="str">
            <v>MAQUINARIA Y EQUIPO</v>
          </cell>
          <cell r="C78">
            <v>-1939007.03</v>
          </cell>
          <cell r="E78">
            <v>-574835785.42999995</v>
          </cell>
        </row>
        <row r="79">
          <cell r="A79">
            <v>1402050000</v>
          </cell>
          <cell r="B79" t="str">
            <v>VEHICULOS</v>
          </cell>
          <cell r="C79">
            <v>-15343.97</v>
          </cell>
          <cell r="E79">
            <v>-34366274.93</v>
          </cell>
        </row>
        <row r="80">
          <cell r="A80">
            <v>1402060000</v>
          </cell>
          <cell r="B80" t="str">
            <v>MAQUINARIA DE CONSTRUCCION</v>
          </cell>
          <cell r="C80">
            <v>-8785.75</v>
          </cell>
          <cell r="E80">
            <v>-17258937.030000001</v>
          </cell>
        </row>
        <row r="81">
          <cell r="A81">
            <v>1402070000</v>
          </cell>
          <cell r="B81" t="str">
            <v>EQUIPO PESADO</v>
          </cell>
          <cell r="C81">
            <v>-49132.73</v>
          </cell>
          <cell r="E81">
            <v>-121397128.13</v>
          </cell>
        </row>
        <row r="82">
          <cell r="A82">
            <v>1402080000</v>
          </cell>
          <cell r="B82" t="str">
            <v>INSTALACIONES INDUSTRIALES</v>
          </cell>
          <cell r="C82">
            <v>-1829168.65</v>
          </cell>
          <cell r="E82">
            <v>-349348018.39999998</v>
          </cell>
        </row>
        <row r="83">
          <cell r="A83">
            <v>1402090000</v>
          </cell>
          <cell r="B83" t="str">
            <v>HERRAMIENTAS E IMPLEMENTOS</v>
          </cell>
          <cell r="C83">
            <v>-4340.57</v>
          </cell>
          <cell r="E83">
            <v>-19129439.52</v>
          </cell>
        </row>
        <row r="84">
          <cell r="A84">
            <v>1402100000</v>
          </cell>
          <cell r="B84" t="str">
            <v>TINGLADOS</v>
          </cell>
          <cell r="C84">
            <v>-52651.81</v>
          </cell>
          <cell r="E84">
            <v>-14014755.630000001</v>
          </cell>
        </row>
        <row r="85">
          <cell r="A85">
            <v>1402110000</v>
          </cell>
          <cell r="B85" t="str">
            <v>EQUIPOS DE COMPUTACION</v>
          </cell>
          <cell r="C85">
            <v>237616.32</v>
          </cell>
          <cell r="E85">
            <v>-7188412.0899999999</v>
          </cell>
        </row>
        <row r="86">
          <cell r="A86">
            <v>1402120000</v>
          </cell>
          <cell r="B86" t="str">
            <v>EQUIPOS DE LABORATORIO</v>
          </cell>
          <cell r="C86">
            <v>-54454.34</v>
          </cell>
          <cell r="E86">
            <v>-7744182.8499999996</v>
          </cell>
        </row>
        <row r="87">
          <cell r="A87">
            <v>1402150000</v>
          </cell>
          <cell r="B87" t="str">
            <v>CANALES DE RIEGO Y POZOS</v>
          </cell>
          <cell r="C87">
            <v>0</v>
          </cell>
          <cell r="E87">
            <v>-166103.32</v>
          </cell>
        </row>
        <row r="89">
          <cell r="A89">
            <v>1500000000</v>
          </cell>
          <cell r="B89" t="str">
            <v>INVERSIONES</v>
          </cell>
          <cell r="C89">
            <v>0</v>
          </cell>
          <cell r="E89">
            <v>28976725</v>
          </cell>
        </row>
        <row r="90">
          <cell r="A90">
            <v>1502000000</v>
          </cell>
          <cell r="B90" t="str">
            <v>OTRAS INVERSIONES</v>
          </cell>
          <cell r="C90">
            <v>0</v>
          </cell>
          <cell r="E90">
            <v>28976725</v>
          </cell>
        </row>
        <row r="91">
          <cell r="A91">
            <v>1502010000</v>
          </cell>
          <cell r="B91" t="str">
            <v>ACCIONES</v>
          </cell>
          <cell r="C91">
            <v>0</v>
          </cell>
          <cell r="E91">
            <v>28575904.989999998</v>
          </cell>
        </row>
        <row r="92">
          <cell r="A92">
            <v>1502030000</v>
          </cell>
          <cell r="B92" t="str">
            <v>LINEAS TELEFONICAS</v>
          </cell>
          <cell r="C92">
            <v>0</v>
          </cell>
          <cell r="E92">
            <v>261000</v>
          </cell>
        </row>
        <row r="93">
          <cell r="A93">
            <v>1502050000</v>
          </cell>
          <cell r="B93" t="str">
            <v>OTRAS INVERSIONES</v>
          </cell>
          <cell r="C93">
            <v>0</v>
          </cell>
          <cell r="E93">
            <v>139820.01</v>
          </cell>
        </row>
        <row r="95">
          <cell r="A95">
            <v>1600000000</v>
          </cell>
          <cell r="B95" t="str">
            <v>OTROS ACTIVOS</v>
          </cell>
          <cell r="C95">
            <v>2378922.06</v>
          </cell>
          <cell r="E95">
            <v>223866504.13999999</v>
          </cell>
        </row>
        <row r="96">
          <cell r="A96">
            <v>1601000000</v>
          </cell>
          <cell r="B96" t="str">
            <v>DOCUMENTOS POR COBRAR A LARGO PLAZO</v>
          </cell>
          <cell r="C96">
            <v>-700</v>
          </cell>
          <cell r="E96">
            <v>43495034.640000001</v>
          </cell>
        </row>
        <row r="97">
          <cell r="A97">
            <v>1601020000</v>
          </cell>
          <cell r="B97" t="str">
            <v>CREDITOS M.E.</v>
          </cell>
          <cell r="C97">
            <v>0</v>
          </cell>
          <cell r="E97">
            <v>33948384.280000001</v>
          </cell>
        </row>
        <row r="98">
          <cell r="A98">
            <v>1601040000</v>
          </cell>
          <cell r="B98" t="str">
            <v>DOCUMENTOS EN EJECUCION</v>
          </cell>
          <cell r="C98">
            <v>-700</v>
          </cell>
          <cell r="E98">
            <v>9546650.3599999994</v>
          </cell>
        </row>
        <row r="99">
          <cell r="A99">
            <v>1601050000</v>
          </cell>
          <cell r="B99" t="str">
            <v>CUENTAS INCOBRABLES</v>
          </cell>
          <cell r="C99">
            <v>0</v>
          </cell>
          <cell r="E99">
            <v>3212209.75</v>
          </cell>
        </row>
        <row r="100">
          <cell r="A100">
            <v>1601060000</v>
          </cell>
          <cell r="B100" t="str">
            <v>(PREVISION CUENTAS INCOBRABLES)</v>
          </cell>
          <cell r="C100">
            <v>0</v>
          </cell>
          <cell r="E100">
            <v>-3212209.75</v>
          </cell>
        </row>
        <row r="101">
          <cell r="A101">
            <v>1602000000</v>
          </cell>
          <cell r="B101" t="str">
            <v>OBRAS EN EJECUCIÓN</v>
          </cell>
          <cell r="C101">
            <v>298656.45</v>
          </cell>
          <cell r="E101">
            <v>16566955.109999999</v>
          </cell>
        </row>
        <row r="102">
          <cell r="A102">
            <v>1602010000</v>
          </cell>
          <cell r="B102" t="str">
            <v>AMPLIACIONES</v>
          </cell>
          <cell r="C102">
            <v>298656.45</v>
          </cell>
          <cell r="E102">
            <v>16566955.109999999</v>
          </cell>
        </row>
        <row r="103">
          <cell r="A103">
            <v>1604000000</v>
          </cell>
          <cell r="B103" t="str">
            <v>BIENES ARRENDADOS</v>
          </cell>
          <cell r="C103">
            <v>0</v>
          </cell>
          <cell r="E103">
            <v>2168540.62</v>
          </cell>
        </row>
        <row r="104">
          <cell r="A104">
            <v>1604010000</v>
          </cell>
          <cell r="B104" t="str">
            <v>VALOR DE ARRENDAMIENTO</v>
          </cell>
          <cell r="C104">
            <v>0</v>
          </cell>
          <cell r="E104">
            <v>2168540.62</v>
          </cell>
        </row>
        <row r="105">
          <cell r="A105">
            <v>1605000000</v>
          </cell>
          <cell r="B105" t="str">
            <v>DIVERSOS</v>
          </cell>
          <cell r="C105">
            <v>-89176.2</v>
          </cell>
          <cell r="E105">
            <v>17982038.329999998</v>
          </cell>
        </row>
        <row r="106">
          <cell r="A106">
            <v>1605010000</v>
          </cell>
          <cell r="B106" t="str">
            <v>REPUESTOS EN ALMACEN</v>
          </cell>
          <cell r="C106">
            <v>-89176.2</v>
          </cell>
          <cell r="E106">
            <v>17793018.09</v>
          </cell>
        </row>
        <row r="107">
          <cell r="A107">
            <v>1605020000</v>
          </cell>
          <cell r="B107" t="str">
            <v>LIBROS Y BIBLIOTECAS</v>
          </cell>
          <cell r="C107">
            <v>0</v>
          </cell>
          <cell r="E107">
            <v>189020.24</v>
          </cell>
        </row>
        <row r="108">
          <cell r="A108">
            <v>1606000000</v>
          </cell>
          <cell r="B108" t="str">
            <v>CUENTAS CORRIENTES UNIDADES</v>
          </cell>
          <cell r="C108">
            <v>2170141.81</v>
          </cell>
          <cell r="E108">
            <v>143653935.44</v>
          </cell>
        </row>
        <row r="109">
          <cell r="A109">
            <v>1606010000</v>
          </cell>
          <cell r="B109" t="str">
            <v>LIMITADA</v>
          </cell>
          <cell r="C109">
            <v>1769433.91</v>
          </cell>
          <cell r="E109">
            <v>132589748.51000001</v>
          </cell>
        </row>
        <row r="110">
          <cell r="A110">
            <v>1606030000</v>
          </cell>
          <cell r="B110" t="str">
            <v>CERAMIL</v>
          </cell>
          <cell r="C110">
            <v>184404.88</v>
          </cell>
          <cell r="E110">
            <v>7190282.7699999996</v>
          </cell>
        </row>
        <row r="111">
          <cell r="A111">
            <v>1606040000</v>
          </cell>
          <cell r="B111" t="str">
            <v>HORMIGON</v>
          </cell>
          <cell r="C111">
            <v>183352.87</v>
          </cell>
          <cell r="E111">
            <v>1477280.36</v>
          </cell>
        </row>
        <row r="112">
          <cell r="A112">
            <v>1606050000</v>
          </cell>
          <cell r="B112" t="str">
            <v>CONSTRUCCIONES</v>
          </cell>
          <cell r="C112">
            <v>3602.69</v>
          </cell>
          <cell r="E112">
            <v>1474670.54</v>
          </cell>
        </row>
        <row r="113">
          <cell r="A113">
            <v>1606060000</v>
          </cell>
          <cell r="B113" t="str">
            <v>CERAMICA</v>
          </cell>
          <cell r="C113">
            <v>-4050</v>
          </cell>
          <cell r="E113">
            <v>631094.23</v>
          </cell>
        </row>
        <row r="114">
          <cell r="A114">
            <v>1606070000</v>
          </cell>
          <cell r="B114" t="str">
            <v>METAL</v>
          </cell>
          <cell r="C114">
            <v>12175.47</v>
          </cell>
          <cell r="E114">
            <v>227634.7</v>
          </cell>
        </row>
        <row r="115">
          <cell r="A115">
            <v>1606080000</v>
          </cell>
          <cell r="B115" t="str">
            <v>COBOCE EDITORA OPINION</v>
          </cell>
          <cell r="C115">
            <v>21221.99</v>
          </cell>
          <cell r="E115">
            <v>63224.33</v>
          </cell>
        </row>
        <row r="117">
          <cell r="A117">
            <v>1700000000</v>
          </cell>
          <cell r="B117" t="str">
            <v>ACTIVOS DIFERIDOS</v>
          </cell>
          <cell r="C117">
            <v>-1146307.52</v>
          </cell>
          <cell r="E117">
            <v>16425744.65</v>
          </cell>
        </row>
        <row r="118">
          <cell r="A118">
            <v>1701000000</v>
          </cell>
          <cell r="B118" t="str">
            <v>ACTIVOS RETIRADOS</v>
          </cell>
          <cell r="C118">
            <v>0</v>
          </cell>
          <cell r="E118">
            <v>3580102.51</v>
          </cell>
        </row>
        <row r="119">
          <cell r="A119">
            <v>1701010000</v>
          </cell>
          <cell r="B119" t="str">
            <v>BIENES DE USO RETIRADOS</v>
          </cell>
          <cell r="C119">
            <v>0</v>
          </cell>
          <cell r="E119">
            <v>3580102.51</v>
          </cell>
        </row>
        <row r="120">
          <cell r="A120">
            <v>1702000000</v>
          </cell>
          <cell r="B120" t="str">
            <v>GASTOS DIFERIDOS</v>
          </cell>
          <cell r="C120">
            <v>-1146307.52</v>
          </cell>
          <cell r="E120">
            <v>12845642.140000001</v>
          </cell>
        </row>
        <row r="121">
          <cell r="A121">
            <v>1702010000</v>
          </cell>
          <cell r="B121" t="str">
            <v>GASTOS DE ORGANIZACION Y PUESTA EN MARCH</v>
          </cell>
          <cell r="C121">
            <v>0</v>
          </cell>
          <cell r="E121">
            <v>4900472.5999999996</v>
          </cell>
        </row>
        <row r="122">
          <cell r="A122">
            <v>1702020000</v>
          </cell>
          <cell r="B122" t="str">
            <v>GASTOS DE PRODUCCIÓN Y MANTENIMIENTO</v>
          </cell>
          <cell r="C122">
            <v>-1146307.52</v>
          </cell>
          <cell r="E122">
            <v>3406228.77</v>
          </cell>
        </row>
        <row r="123">
          <cell r="A123">
            <v>1702050000</v>
          </cell>
          <cell r="B123" t="str">
            <v>VARIOS</v>
          </cell>
          <cell r="C123">
            <v>0</v>
          </cell>
          <cell r="E123">
            <v>4538940.7699999996</v>
          </cell>
        </row>
        <row r="125">
          <cell r="A125">
            <v>2000000000</v>
          </cell>
          <cell r="B125" t="str">
            <v>PASIVO</v>
          </cell>
          <cell r="C125">
            <v>-6545485.1200000001</v>
          </cell>
          <cell r="E125">
            <v>-1203545272.8699999</v>
          </cell>
        </row>
        <row r="128">
          <cell r="A128">
            <v>2100000000</v>
          </cell>
          <cell r="B128" t="str">
            <v>PASIVO CORRIENTE</v>
          </cell>
          <cell r="C128">
            <v>3175408.13</v>
          </cell>
          <cell r="E128">
            <v>-137269115.63</v>
          </cell>
        </row>
        <row r="129">
          <cell r="A129">
            <v>2101000000</v>
          </cell>
          <cell r="B129" t="str">
            <v>DEUDAS COMERCIALES</v>
          </cell>
          <cell r="C129">
            <v>529503.06000000006</v>
          </cell>
          <cell r="E129">
            <v>-86133346.349999994</v>
          </cell>
        </row>
        <row r="130">
          <cell r="A130">
            <v>2101010000</v>
          </cell>
          <cell r="B130" t="str">
            <v>PROVEEDORES</v>
          </cell>
          <cell r="C130">
            <v>1806861.53</v>
          </cell>
          <cell r="E130">
            <v>-74356416.129999995</v>
          </cell>
        </row>
        <row r="131">
          <cell r="A131">
            <v>2101030000</v>
          </cell>
          <cell r="B131" t="str">
            <v>TRANSPORTISTAS</v>
          </cell>
          <cell r="C131">
            <v>-974025.69</v>
          </cell>
          <cell r="E131">
            <v>-6767351.8499999996</v>
          </cell>
        </row>
        <row r="132">
          <cell r="A132">
            <v>2101040000</v>
          </cell>
          <cell r="B132" t="str">
            <v>ACREEDORES VARIOS</v>
          </cell>
          <cell r="C132">
            <v>-303332.78000000003</v>
          </cell>
          <cell r="E132">
            <v>-4460256.6100000003</v>
          </cell>
        </row>
        <row r="133">
          <cell r="A133">
            <v>2101090000</v>
          </cell>
          <cell r="B133" t="str">
            <v>ACREEDORES POR DEPOSITOS EN GARANTIA</v>
          </cell>
          <cell r="C133">
            <v>0</v>
          </cell>
          <cell r="E133">
            <v>-47575.86</v>
          </cell>
        </row>
        <row r="134">
          <cell r="A134">
            <v>2101650000</v>
          </cell>
          <cell r="B134" t="str">
            <v>PROVEEDORES AEROPUERTO POTOSI</v>
          </cell>
          <cell r="C134">
            <v>0</v>
          </cell>
          <cell r="E134">
            <v>-269848</v>
          </cell>
        </row>
        <row r="135">
          <cell r="A135">
            <v>2101680000</v>
          </cell>
          <cell r="B135" t="str">
            <v>PROVEEDORES - CONST. CANAL EMISARIO 8VO ANILLO SUR</v>
          </cell>
          <cell r="C135">
            <v>0</v>
          </cell>
          <cell r="E135">
            <v>-231897.9</v>
          </cell>
        </row>
        <row r="136">
          <cell r="A136">
            <v>2102000000</v>
          </cell>
          <cell r="B136" t="str">
            <v>DOCUMENTOS POR PAGAR</v>
          </cell>
          <cell r="C136">
            <v>-2755963.16</v>
          </cell>
          <cell r="E136">
            <v>-5537014.25</v>
          </cell>
        </row>
        <row r="137">
          <cell r="A137">
            <v>2102020000</v>
          </cell>
          <cell r="B137" t="str">
            <v>BANCARIOS</v>
          </cell>
          <cell r="C137">
            <v>0</v>
          </cell>
          <cell r="E137">
            <v>-2457186.14</v>
          </cell>
        </row>
        <row r="138">
          <cell r="A138">
            <v>2102030000</v>
          </cell>
          <cell r="B138" t="str">
            <v>CONTRATOS</v>
          </cell>
          <cell r="C138">
            <v>-2306296.4300000002</v>
          </cell>
          <cell r="E138">
            <v>-2261590.86</v>
          </cell>
        </row>
        <row r="139">
          <cell r="A139">
            <v>2102040000</v>
          </cell>
          <cell r="B139" t="str">
            <v>OTROS DOCUMENTOS</v>
          </cell>
          <cell r="C139">
            <v>-449666.73</v>
          </cell>
          <cell r="E139">
            <v>-818237.25</v>
          </cell>
        </row>
        <row r="140">
          <cell r="A140">
            <v>2104000000</v>
          </cell>
          <cell r="B140" t="str">
            <v>OBLIGACIONES FINANCIERAS A CORTO PLAZO</v>
          </cell>
          <cell r="C140">
            <v>3283458.36</v>
          </cell>
          <cell r="E140">
            <v>-8036301</v>
          </cell>
        </row>
        <row r="141">
          <cell r="A141">
            <v>2104010000</v>
          </cell>
          <cell r="B141" t="str">
            <v>OBLIGACIONES POR CAPITAL</v>
          </cell>
          <cell r="C141">
            <v>1643226.85</v>
          </cell>
          <cell r="E141">
            <v>-4972078.32</v>
          </cell>
        </row>
        <row r="142">
          <cell r="A142">
            <v>2104020000</v>
          </cell>
          <cell r="B142" t="str">
            <v>OBLIGACIONES POR INTERESES</v>
          </cell>
          <cell r="C142">
            <v>1640231.51</v>
          </cell>
          <cell r="E142">
            <v>-3064222.68</v>
          </cell>
        </row>
        <row r="143">
          <cell r="A143">
            <v>2105000000</v>
          </cell>
          <cell r="B143" t="str">
            <v>IMPUESTOS POR PAGAR</v>
          </cell>
          <cell r="C143">
            <v>0</v>
          </cell>
          <cell r="E143">
            <v>0</v>
          </cell>
        </row>
        <row r="144">
          <cell r="A144">
            <v>2105010000</v>
          </cell>
          <cell r="B144" t="str">
            <v>IMPUESTO AL VALOR AGREGADO (DEBITO FISCA</v>
          </cell>
          <cell r="C144">
            <v>0</v>
          </cell>
          <cell r="E144">
            <v>0</v>
          </cell>
        </row>
        <row r="145">
          <cell r="A145">
            <v>2105040000</v>
          </cell>
          <cell r="B145" t="str">
            <v>RETENCION EN LA FUENTE</v>
          </cell>
          <cell r="C145">
            <v>0</v>
          </cell>
          <cell r="E145">
            <v>0</v>
          </cell>
        </row>
        <row r="146">
          <cell r="A146">
            <v>2105090000</v>
          </cell>
          <cell r="B146" t="str">
            <v>REGALIAS MINERAS</v>
          </cell>
          <cell r="C146">
            <v>0</v>
          </cell>
          <cell r="E146">
            <v>0</v>
          </cell>
        </row>
        <row r="147">
          <cell r="A147">
            <v>2106000000</v>
          </cell>
          <cell r="B147" t="str">
            <v>OBLIGACIONES POR PAGAR</v>
          </cell>
          <cell r="C147">
            <v>-44465.8</v>
          </cell>
          <cell r="E147">
            <v>-28090409.800000001</v>
          </cell>
        </row>
        <row r="148">
          <cell r="A148">
            <v>2106010000</v>
          </cell>
          <cell r="B148" t="str">
            <v>SUELDOS Y JORNALES POR PAGAR</v>
          </cell>
          <cell r="C148">
            <v>1451220.1</v>
          </cell>
          <cell r="E148">
            <v>-14654491.75</v>
          </cell>
        </row>
        <row r="149">
          <cell r="A149">
            <v>2106020000</v>
          </cell>
          <cell r="B149" t="str">
            <v>AGUINALDOS Y PRIMAS POR PAGAR</v>
          </cell>
          <cell r="C149">
            <v>0</v>
          </cell>
          <cell r="E149">
            <v>-100838.3</v>
          </cell>
        </row>
        <row r="150">
          <cell r="A150">
            <v>2106040000</v>
          </cell>
          <cell r="B150" t="str">
            <v>FINIQUITOS POR PAGAR</v>
          </cell>
          <cell r="C150">
            <v>107718.3</v>
          </cell>
          <cell r="E150">
            <v>-505317.57</v>
          </cell>
        </row>
        <row r="151">
          <cell r="A151">
            <v>2106060000</v>
          </cell>
          <cell r="B151" t="str">
            <v>AGUINALDOS Y PRIMAS NO RECLAMADOS</v>
          </cell>
          <cell r="C151">
            <v>0</v>
          </cell>
          <cell r="E151">
            <v>-373944.54</v>
          </cell>
        </row>
        <row r="152">
          <cell r="A152">
            <v>2106070000</v>
          </cell>
          <cell r="B152" t="str">
            <v>APORTES Y RETENCIONES POR PAGAR</v>
          </cell>
          <cell r="C152">
            <v>-1596434.2</v>
          </cell>
          <cell r="E152">
            <v>-12027044.02</v>
          </cell>
        </row>
        <row r="153">
          <cell r="A153">
            <v>2106080000</v>
          </cell>
          <cell r="B153" t="str">
            <v>RETENCIONES JUDICIALES</v>
          </cell>
          <cell r="C153">
            <v>-6970</v>
          </cell>
          <cell r="E153">
            <v>-428773.62</v>
          </cell>
        </row>
        <row r="154">
          <cell r="A154">
            <v>2107000000</v>
          </cell>
          <cell r="B154" t="str">
            <v>PROVISIONES</v>
          </cell>
          <cell r="C154">
            <v>-692470.56</v>
          </cell>
          <cell r="E154">
            <v>-7926969.0199999996</v>
          </cell>
        </row>
        <row r="155">
          <cell r="A155">
            <v>2107010000</v>
          </cell>
          <cell r="B155" t="str">
            <v>AGUINALDOS</v>
          </cell>
          <cell r="C155">
            <v>-692470.56</v>
          </cell>
          <cell r="E155">
            <v>-1062293.58</v>
          </cell>
        </row>
        <row r="156">
          <cell r="A156">
            <v>2107030000</v>
          </cell>
          <cell r="B156" t="str">
            <v>OTROS</v>
          </cell>
          <cell r="C156">
            <v>0</v>
          </cell>
          <cell r="E156">
            <v>-6864675.4400000004</v>
          </cell>
        </row>
        <row r="157">
          <cell r="A157">
            <v>2108000000</v>
          </cell>
          <cell r="B157" t="str">
            <v>COBROS POR ADELANTADO</v>
          </cell>
          <cell r="C157">
            <v>2855346.23</v>
          </cell>
          <cell r="E157">
            <v>-1545075.21</v>
          </cell>
        </row>
        <row r="158">
          <cell r="A158">
            <v>2108010000</v>
          </cell>
          <cell r="B158" t="str">
            <v>CLIENTES LOCALES</v>
          </cell>
          <cell r="C158">
            <v>-288156.90999999997</v>
          </cell>
          <cell r="E158">
            <v>-1143290.1399999999</v>
          </cell>
        </row>
        <row r="159">
          <cell r="A159">
            <v>2108020000</v>
          </cell>
          <cell r="B159" t="str">
            <v>CLIENTES INTERIOR</v>
          </cell>
          <cell r="C159">
            <v>3143503.14</v>
          </cell>
          <cell r="E159">
            <v>-401785.07</v>
          </cell>
        </row>
        <row r="161">
          <cell r="A161">
            <v>2200000000</v>
          </cell>
          <cell r="B161" t="str">
            <v>PASIVO NO CORRIENTE</v>
          </cell>
          <cell r="C161">
            <v>-5983290.0999999996</v>
          </cell>
          <cell r="E161">
            <v>-584523954.38</v>
          </cell>
        </row>
        <row r="162">
          <cell r="A162">
            <v>2201000000</v>
          </cell>
          <cell r="B162" t="str">
            <v>OBLIGACIONES FINANCIERAS A LARGO PLAZO</v>
          </cell>
          <cell r="C162">
            <v>0</v>
          </cell>
          <cell r="E162">
            <v>-266153434.65000001</v>
          </cell>
        </row>
        <row r="163">
          <cell r="A163">
            <v>2201010000</v>
          </cell>
          <cell r="B163" t="str">
            <v>OBLIGACIONES POR CAPITAL</v>
          </cell>
          <cell r="C163">
            <v>0</v>
          </cell>
          <cell r="E163">
            <v>-255754183.18000001</v>
          </cell>
        </row>
        <row r="164">
          <cell r="A164">
            <v>2201030000</v>
          </cell>
          <cell r="B164" t="str">
            <v>OBLIGACIONES POR INTERESES LP</v>
          </cell>
          <cell r="C164">
            <v>0</v>
          </cell>
          <cell r="E164">
            <v>-10399251.470000001</v>
          </cell>
        </row>
        <row r="165">
          <cell r="A165">
            <v>2202000000</v>
          </cell>
          <cell r="B165" t="str">
            <v>PREVISIONES</v>
          </cell>
          <cell r="C165">
            <v>166872.60999999999</v>
          </cell>
          <cell r="E165">
            <v>-51121244.32</v>
          </cell>
        </row>
        <row r="166">
          <cell r="A166">
            <v>2202010000</v>
          </cell>
          <cell r="B166" t="str">
            <v>PREVISIONES BENEFICIOS SOCIALES</v>
          </cell>
          <cell r="C166">
            <v>166872.60999999999</v>
          </cell>
          <cell r="E166">
            <v>-51064261.640000001</v>
          </cell>
        </row>
        <row r="167">
          <cell r="A167">
            <v>2202020000</v>
          </cell>
          <cell r="B167" t="str">
            <v>OTRAS PREVISIONES</v>
          </cell>
          <cell r="C167">
            <v>0</v>
          </cell>
          <cell r="E167">
            <v>-56982.68</v>
          </cell>
        </row>
        <row r="168">
          <cell r="A168">
            <v>2203000000</v>
          </cell>
          <cell r="B168" t="str">
            <v>OTROS PASIVOS NO CORRIENTES</v>
          </cell>
          <cell r="C168">
            <v>9293.5300000000007</v>
          </cell>
          <cell r="E168">
            <v>-723430</v>
          </cell>
        </row>
        <row r="169">
          <cell r="A169">
            <v>2203050000</v>
          </cell>
          <cell r="B169" t="str">
            <v>CREDITOS DIFERIDOS</v>
          </cell>
          <cell r="C169">
            <v>9293.5300000000007</v>
          </cell>
          <cell r="E169">
            <v>-723430</v>
          </cell>
        </row>
        <row r="170">
          <cell r="A170">
            <v>2204000000</v>
          </cell>
          <cell r="B170" t="str">
            <v>CUENTAS CORRIENTES. UNIDADES.</v>
          </cell>
          <cell r="C170">
            <v>-6159456.2400000002</v>
          </cell>
          <cell r="E170">
            <v>-266525845.41</v>
          </cell>
        </row>
        <row r="171">
          <cell r="A171">
            <v>2204010000</v>
          </cell>
          <cell r="B171" t="str">
            <v>LIMITADA</v>
          </cell>
          <cell r="C171">
            <v>-3931481.74</v>
          </cell>
          <cell r="E171">
            <v>-257727691.41</v>
          </cell>
        </row>
        <row r="172">
          <cell r="A172">
            <v>2204040000</v>
          </cell>
          <cell r="B172" t="str">
            <v>HORMIGON</v>
          </cell>
          <cell r="C172">
            <v>-263230</v>
          </cell>
          <cell r="E172">
            <v>-263230</v>
          </cell>
        </row>
        <row r="173">
          <cell r="A173">
            <v>2204050000</v>
          </cell>
          <cell r="B173" t="str">
            <v>CONSTRUCCIONES</v>
          </cell>
          <cell r="C173">
            <v>0</v>
          </cell>
          <cell r="E173">
            <v>-4749325.95</v>
          </cell>
        </row>
        <row r="174">
          <cell r="A174">
            <v>2204060000</v>
          </cell>
          <cell r="B174" t="str">
            <v>CERAMICA</v>
          </cell>
          <cell r="C174">
            <v>-1954500</v>
          </cell>
          <cell r="E174">
            <v>-2391461.33</v>
          </cell>
        </row>
        <row r="175">
          <cell r="A175">
            <v>2204070000</v>
          </cell>
          <cell r="B175" t="str">
            <v>METAL</v>
          </cell>
          <cell r="C175">
            <v>-937</v>
          </cell>
          <cell r="E175">
            <v>-1308298.43</v>
          </cell>
        </row>
        <row r="176">
          <cell r="A176">
            <v>2204080000</v>
          </cell>
          <cell r="B176" t="str">
            <v>COBOCE EDITORA OPINION</v>
          </cell>
          <cell r="C176">
            <v>-9307.5</v>
          </cell>
          <cell r="E176">
            <v>-85838.29</v>
          </cell>
        </row>
        <row r="178">
          <cell r="A178">
            <v>2400000000</v>
          </cell>
          <cell r="B178" t="str">
            <v>PATRIMONIO</v>
          </cell>
          <cell r="C178">
            <v>-3737603.15</v>
          </cell>
          <cell r="E178">
            <v>-481752202.86000001</v>
          </cell>
        </row>
        <row r="179">
          <cell r="A179">
            <v>2401000000</v>
          </cell>
          <cell r="B179" t="str">
            <v>FONDO SOCIAL</v>
          </cell>
          <cell r="C179">
            <v>-3737603.15</v>
          </cell>
          <cell r="E179">
            <v>-481752202.86000001</v>
          </cell>
        </row>
        <row r="180">
          <cell r="A180">
            <v>2401010000</v>
          </cell>
          <cell r="B180" t="str">
            <v>FONDO SOCIAL UNIDADES</v>
          </cell>
          <cell r="C180">
            <v>-3737603.15</v>
          </cell>
          <cell r="E180">
            <v>-481752202.86000001</v>
          </cell>
        </row>
        <row r="181">
          <cell r="A181">
            <v>2901010000</v>
          </cell>
          <cell r="B181" t="str">
            <v>CUENTAS DE ORDEN DEBITOS</v>
          </cell>
          <cell r="C181">
            <v>0</v>
          </cell>
          <cell r="E181">
            <v>52728412.530000001</v>
          </cell>
        </row>
        <row r="182">
          <cell r="A182">
            <v>2901020000</v>
          </cell>
          <cell r="B182" t="str">
            <v>CUENTAS DE ORDEN CREDITOS</v>
          </cell>
          <cell r="C182">
            <v>0</v>
          </cell>
          <cell r="E182">
            <v>-52728412.530000001</v>
          </cell>
        </row>
        <row r="183">
          <cell r="A183" t="str">
            <v>***TOTAL UTILIDAD(+)/PERDIDA(-)***</v>
          </cell>
          <cell r="C183">
            <v>12773158.85</v>
          </cell>
          <cell r="E183">
            <v>-9439197.7799999993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-13176700.23</v>
          </cell>
          <cell r="E6">
            <v>1180929374.8599999</v>
          </cell>
        </row>
        <row r="9">
          <cell r="A9">
            <v>1100000000</v>
          </cell>
          <cell r="B9" t="str">
            <v>ACTIVO DISPONIBLE</v>
          </cell>
          <cell r="C9">
            <v>-5840333.7000000002</v>
          </cell>
          <cell r="E9">
            <v>4369183.42</v>
          </cell>
        </row>
        <row r="10">
          <cell r="A10">
            <v>1101000000</v>
          </cell>
          <cell r="B10" t="str">
            <v>CAJA</v>
          </cell>
          <cell r="C10">
            <v>-1253341.3999999999</v>
          </cell>
          <cell r="E10">
            <v>1113035.6399999999</v>
          </cell>
        </row>
        <row r="11">
          <cell r="A11">
            <v>1101010000</v>
          </cell>
          <cell r="B11" t="str">
            <v>CAJA GENERAL MONEDA NACIONAL</v>
          </cell>
          <cell r="C11">
            <v>-1248641.3999999999</v>
          </cell>
          <cell r="E11">
            <v>928035.7</v>
          </cell>
        </row>
        <row r="12">
          <cell r="A12">
            <v>1101030000</v>
          </cell>
          <cell r="B12" t="str">
            <v>CAJA CHICA MONEDA NACIONAL</v>
          </cell>
          <cell r="C12">
            <v>-4700</v>
          </cell>
          <cell r="E12">
            <v>184999.94</v>
          </cell>
        </row>
        <row r="13">
          <cell r="A13">
            <v>1102000000</v>
          </cell>
          <cell r="B13" t="str">
            <v>BANCOS</v>
          </cell>
          <cell r="C13">
            <v>-4587861.59</v>
          </cell>
          <cell r="E13">
            <v>3255278.49</v>
          </cell>
        </row>
        <row r="14">
          <cell r="A14">
            <v>1102010000</v>
          </cell>
          <cell r="B14" t="str">
            <v>BANCO BISA</v>
          </cell>
          <cell r="C14">
            <v>1156256.92</v>
          </cell>
          <cell r="E14">
            <v>318311.3</v>
          </cell>
        </row>
        <row r="15">
          <cell r="A15">
            <v>1102020000</v>
          </cell>
          <cell r="B15" t="str">
            <v>BANCO MERCANTIL</v>
          </cell>
          <cell r="C15">
            <v>-245253.98</v>
          </cell>
          <cell r="E15">
            <v>432600.18</v>
          </cell>
        </row>
        <row r="16">
          <cell r="A16">
            <v>1102040000</v>
          </cell>
          <cell r="B16" t="str">
            <v>BANCO DE CREDITO</v>
          </cell>
          <cell r="C16">
            <v>-60153.87</v>
          </cell>
          <cell r="E16">
            <v>-199096.63</v>
          </cell>
        </row>
        <row r="17">
          <cell r="A17">
            <v>1102050000</v>
          </cell>
          <cell r="B17" t="str">
            <v>BANCO ECONÓMICO</v>
          </cell>
          <cell r="C17">
            <v>-68288.77</v>
          </cell>
          <cell r="E17">
            <v>112501.5</v>
          </cell>
        </row>
        <row r="18">
          <cell r="A18">
            <v>1102060000</v>
          </cell>
          <cell r="B18" t="str">
            <v>BANCO GANADERO</v>
          </cell>
          <cell r="C18">
            <v>-525459.52</v>
          </cell>
          <cell r="E18">
            <v>290306.06</v>
          </cell>
        </row>
        <row r="19">
          <cell r="A19">
            <v>1102070000</v>
          </cell>
          <cell r="B19" t="str">
            <v>BANCO UNION</v>
          </cell>
          <cell r="C19">
            <v>-205671.49</v>
          </cell>
          <cell r="E19">
            <v>497873.52</v>
          </cell>
        </row>
        <row r="20">
          <cell r="A20">
            <v>1102080000</v>
          </cell>
          <cell r="B20" t="str">
            <v>BANCO NACIONAL</v>
          </cell>
          <cell r="C20">
            <v>-232535.9</v>
          </cell>
          <cell r="E20">
            <v>48441.05</v>
          </cell>
        </row>
        <row r="21">
          <cell r="A21">
            <v>1102100000</v>
          </cell>
          <cell r="B21" t="str">
            <v>FONDO DE LA COMUNIDAD</v>
          </cell>
          <cell r="C21">
            <v>96.22</v>
          </cell>
          <cell r="E21">
            <v>49617.91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248978.83</v>
          </cell>
          <cell r="E23">
            <v>1475339.87</v>
          </cell>
        </row>
        <row r="24">
          <cell r="A24">
            <v>1102130000</v>
          </cell>
          <cell r="B24" t="str">
            <v>BANCO FIE</v>
          </cell>
          <cell r="C24">
            <v>-4655830.03</v>
          </cell>
          <cell r="E24">
            <v>225908.74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6">
          <cell r="A26">
            <v>1103000000</v>
          </cell>
          <cell r="B26" t="str">
            <v>OTRAS INSTITUCIONES FINANCIERAS</v>
          </cell>
          <cell r="C26">
            <v>869.29</v>
          </cell>
          <cell r="E26">
            <v>869.29</v>
          </cell>
        </row>
        <row r="27">
          <cell r="A27">
            <v>1103010000</v>
          </cell>
          <cell r="B27" t="str">
            <v>CIDRE IFD</v>
          </cell>
          <cell r="C27">
            <v>869.29</v>
          </cell>
          <cell r="E27">
            <v>869.29</v>
          </cell>
        </row>
        <row r="29">
          <cell r="A29">
            <v>1200000000</v>
          </cell>
          <cell r="B29" t="str">
            <v>ACTIVO EXIGIBLE</v>
          </cell>
          <cell r="C29">
            <v>-5274593.1100000003</v>
          </cell>
          <cell r="E29">
            <v>158302317.44999999</v>
          </cell>
        </row>
        <row r="30">
          <cell r="A30">
            <v>1201000000</v>
          </cell>
          <cell r="B30" t="str">
            <v>CUENTAS POR COBRAR</v>
          </cell>
          <cell r="C30">
            <v>-4710000.71</v>
          </cell>
          <cell r="E30">
            <v>81543934.980000004</v>
          </cell>
        </row>
        <row r="31">
          <cell r="A31">
            <v>1201010000</v>
          </cell>
          <cell r="B31" t="str">
            <v>DEUDORES POR PRODUCTOS LOCALES M.N.</v>
          </cell>
          <cell r="C31">
            <v>-2167312.1800000002</v>
          </cell>
          <cell r="E31">
            <v>23864870.969999999</v>
          </cell>
        </row>
        <row r="32">
          <cell r="A32">
            <v>1201050000</v>
          </cell>
          <cell r="B32" t="str">
            <v>DEUDORES POR PRODUCTOS INTERIOR M.N.</v>
          </cell>
          <cell r="C32">
            <v>-7105593.2199999997</v>
          </cell>
          <cell r="E32">
            <v>50250083.700000003</v>
          </cell>
        </row>
        <row r="33">
          <cell r="A33">
            <v>1201130000</v>
          </cell>
          <cell r="B33" t="str">
            <v>DEUDORES VARIOS</v>
          </cell>
          <cell r="C33">
            <v>4562904.6900000004</v>
          </cell>
          <cell r="E33">
            <v>7428980.3099999996</v>
          </cell>
        </row>
        <row r="34">
          <cell r="A34">
            <v>1202000000</v>
          </cell>
          <cell r="B34" t="str">
            <v>CUENTAS CORRIENTES</v>
          </cell>
          <cell r="C34">
            <v>-822628.21</v>
          </cell>
          <cell r="E34">
            <v>66408448.990000002</v>
          </cell>
        </row>
        <row r="35">
          <cell r="A35">
            <v>1202010000</v>
          </cell>
          <cell r="B35" t="str">
            <v>PROVEEDORES</v>
          </cell>
          <cell r="C35">
            <v>-822628.21</v>
          </cell>
          <cell r="E35">
            <v>66402394.490000002</v>
          </cell>
        </row>
        <row r="36">
          <cell r="A36">
            <v>1202020000</v>
          </cell>
          <cell r="B36" t="str">
            <v>CONTRATISTAS</v>
          </cell>
          <cell r="C36">
            <v>0</v>
          </cell>
          <cell r="E36">
            <v>6054.5</v>
          </cell>
        </row>
        <row r="37">
          <cell r="A37">
            <v>1202050000</v>
          </cell>
          <cell r="B37" t="str">
            <v>CREDITO FISCAL IVA</v>
          </cell>
          <cell r="C37">
            <v>0</v>
          </cell>
          <cell r="E37">
            <v>0</v>
          </cell>
        </row>
        <row r="38">
          <cell r="A38">
            <v>1203000000</v>
          </cell>
          <cell r="B38" t="str">
            <v>DOCUMENTOS POR COBRAR</v>
          </cell>
          <cell r="C38">
            <v>-14009.7</v>
          </cell>
          <cell r="E38">
            <v>3905581.53</v>
          </cell>
        </row>
        <row r="39">
          <cell r="A39">
            <v>1203030000</v>
          </cell>
          <cell r="B39" t="str">
            <v>RECLAMOS EN CURSO</v>
          </cell>
          <cell r="C39">
            <v>-28169.46</v>
          </cell>
          <cell r="E39">
            <v>42453.96</v>
          </cell>
        </row>
        <row r="40">
          <cell r="A40">
            <v>1203040000</v>
          </cell>
          <cell r="B40" t="str">
            <v>OTROS DOCUMENTOS POR COBRAR</v>
          </cell>
          <cell r="C40">
            <v>14159.76</v>
          </cell>
          <cell r="E40">
            <v>3863127.57</v>
          </cell>
        </row>
        <row r="41">
          <cell r="A41">
            <v>1204000000</v>
          </cell>
          <cell r="B41" t="str">
            <v>ANTICIPOS Y PRESTAMOS</v>
          </cell>
          <cell r="C41">
            <v>272045.51</v>
          </cell>
          <cell r="E41">
            <v>6444351.9500000002</v>
          </cell>
        </row>
        <row r="42">
          <cell r="A42">
            <v>1204010000</v>
          </cell>
          <cell r="B42" t="str">
            <v>ANTICIPOS AL PERSONAL</v>
          </cell>
          <cell r="C42">
            <v>0</v>
          </cell>
          <cell r="E42">
            <v>214.85</v>
          </cell>
        </row>
        <row r="43">
          <cell r="A43">
            <v>1204020000</v>
          </cell>
          <cell r="B43" t="str">
            <v>PRESTAMOS AL PERSONAL M.N.</v>
          </cell>
          <cell r="C43">
            <v>-15159.51</v>
          </cell>
          <cell r="E43">
            <v>209162.46</v>
          </cell>
        </row>
        <row r="44">
          <cell r="A44">
            <v>1204040000</v>
          </cell>
          <cell r="B44" t="str">
            <v>PRESTAMOS EN PRODUCTOS O SERVICIOS</v>
          </cell>
          <cell r="C44">
            <v>-30662.67</v>
          </cell>
          <cell r="E44">
            <v>31123.22</v>
          </cell>
        </row>
        <row r="45">
          <cell r="A45">
            <v>1204050000</v>
          </cell>
          <cell r="B45" t="str">
            <v>PRESTAMOS MATERIALES DE ALMACEN</v>
          </cell>
          <cell r="C45">
            <v>296.43</v>
          </cell>
          <cell r="E45">
            <v>5301.36</v>
          </cell>
        </row>
        <row r="46">
          <cell r="A46">
            <v>1204060000</v>
          </cell>
          <cell r="B46" t="str">
            <v>PAGOS ANTICIPADOS</v>
          </cell>
          <cell r="C46">
            <v>433476.03</v>
          </cell>
          <cell r="E46">
            <v>5762667.3200000003</v>
          </cell>
        </row>
        <row r="47">
          <cell r="A47">
            <v>1204080000</v>
          </cell>
          <cell r="B47" t="str">
            <v>DEUDORES CON CARGO DE CUENTA M.N.</v>
          </cell>
          <cell r="C47">
            <v>-115904.77</v>
          </cell>
          <cell r="E47">
            <v>435866.72</v>
          </cell>
        </row>
        <row r="48">
          <cell r="A48">
            <v>1204100000</v>
          </cell>
          <cell r="B48" t="str">
            <v>PULPERIAS</v>
          </cell>
          <cell r="C48">
            <v>0</v>
          </cell>
          <cell r="E48">
            <v>16.02</v>
          </cell>
        </row>
        <row r="50">
          <cell r="A50">
            <v>1300000000</v>
          </cell>
          <cell r="B50" t="str">
            <v>ACTIVO REALIZABLE</v>
          </cell>
          <cell r="C50">
            <v>-6554363.9299999997</v>
          </cell>
          <cell r="E50">
            <v>144722074.22999999</v>
          </cell>
        </row>
        <row r="51">
          <cell r="A51">
            <v>1301000000</v>
          </cell>
          <cell r="B51" t="str">
            <v>EXISTENCIAS</v>
          </cell>
          <cell r="C51">
            <v>-8857405.9100000001</v>
          </cell>
          <cell r="E51">
            <v>55088858.390000001</v>
          </cell>
        </row>
        <row r="52">
          <cell r="A52">
            <v>1301010000</v>
          </cell>
          <cell r="B52" t="str">
            <v>MATERIA PRIMA E INSUMOS</v>
          </cell>
          <cell r="C52">
            <v>1416204.03</v>
          </cell>
          <cell r="E52">
            <v>21459968.59</v>
          </cell>
        </row>
        <row r="53">
          <cell r="A53">
            <v>1301020000</v>
          </cell>
          <cell r="B53" t="str">
            <v>PRODUCTOS EN PROCESO</v>
          </cell>
          <cell r="C53">
            <v>-10229017.789999999</v>
          </cell>
          <cell r="E53">
            <v>31590357.359999999</v>
          </cell>
        </row>
        <row r="54">
          <cell r="A54">
            <v>1301030000</v>
          </cell>
          <cell r="B54" t="str">
            <v>PRODUCTOS TERMINADOS</v>
          </cell>
          <cell r="C54">
            <v>-44592.15</v>
          </cell>
          <cell r="E54">
            <v>2038532.44</v>
          </cell>
        </row>
        <row r="55">
          <cell r="A55">
            <v>1304000000</v>
          </cell>
          <cell r="B55" t="str">
            <v>EXISTENCIA DE MATERIALES</v>
          </cell>
          <cell r="C55">
            <v>2303041.98</v>
          </cell>
          <cell r="E55">
            <v>89633215.840000004</v>
          </cell>
        </row>
        <row r="56">
          <cell r="A56">
            <v>1304010000</v>
          </cell>
          <cell r="B56" t="str">
            <v>MATERIALES EN ALMACEN</v>
          </cell>
          <cell r="C56">
            <v>2911399.19</v>
          </cell>
          <cell r="E56">
            <v>55759189.509999998</v>
          </cell>
        </row>
        <row r="57">
          <cell r="A57">
            <v>1304020000</v>
          </cell>
          <cell r="B57" t="str">
            <v>ALMACEN - AUXILIAR</v>
          </cell>
          <cell r="C57">
            <v>0</v>
          </cell>
          <cell r="E57">
            <v>8473242.8399999999</v>
          </cell>
        </row>
        <row r="58">
          <cell r="A58">
            <v>1304030000</v>
          </cell>
          <cell r="B58" t="str">
            <v>PULPERIA IRPA - IRPA</v>
          </cell>
          <cell r="C58">
            <v>-20858.439999999999</v>
          </cell>
          <cell r="E58">
            <v>59653.89</v>
          </cell>
        </row>
        <row r="59">
          <cell r="A59">
            <v>1304040000</v>
          </cell>
          <cell r="B59" t="str">
            <v>MERCADERIAS EN TRANSITO</v>
          </cell>
          <cell r="C59">
            <v>-587498.77</v>
          </cell>
          <cell r="E59">
            <v>25139378.449999999</v>
          </cell>
        </row>
        <row r="60">
          <cell r="A60">
            <v>1304660000</v>
          </cell>
          <cell r="B60" t="str">
            <v>CONST. CANAL EMISARIO 8VO. ANILLO SUR</v>
          </cell>
          <cell r="C60">
            <v>0</v>
          </cell>
          <cell r="E60">
            <v>201751.15</v>
          </cell>
        </row>
        <row r="62">
          <cell r="A62">
            <v>1400000000</v>
          </cell>
          <cell r="B62" t="str">
            <v>ACTIVO FIJO</v>
          </cell>
          <cell r="C62">
            <v>3280384.27</v>
          </cell>
          <cell r="E62">
            <v>603054619.73000002</v>
          </cell>
        </row>
        <row r="63">
          <cell r="A63">
            <v>1401000000</v>
          </cell>
          <cell r="B63" t="str">
            <v>BIENES DE USO</v>
          </cell>
          <cell r="C63">
            <v>9433420.8100000005</v>
          </cell>
          <cell r="E63">
            <v>1872804376.28</v>
          </cell>
        </row>
        <row r="64">
          <cell r="A64">
            <v>1401010000</v>
          </cell>
          <cell r="B64" t="str">
            <v>TERRENOS</v>
          </cell>
          <cell r="C64">
            <v>583385.51</v>
          </cell>
          <cell r="E64">
            <v>65671431.719999999</v>
          </cell>
        </row>
        <row r="65">
          <cell r="A65">
            <v>1401020000</v>
          </cell>
          <cell r="B65" t="str">
            <v>EDIFICIOS</v>
          </cell>
          <cell r="C65">
            <v>3398914.69</v>
          </cell>
          <cell r="E65">
            <v>388272465.19</v>
          </cell>
        </row>
        <row r="66">
          <cell r="A66">
            <v>1401030000</v>
          </cell>
          <cell r="B66" t="str">
            <v>MUEBLES Y ENSERES DE OFICINA</v>
          </cell>
          <cell r="C66">
            <v>-11141.2</v>
          </cell>
          <cell r="E66">
            <v>4650028.95</v>
          </cell>
        </row>
        <row r="67">
          <cell r="A67">
            <v>1401040000</v>
          </cell>
          <cell r="B67" t="str">
            <v>MAQUINARIA Y EQUIPO</v>
          </cell>
          <cell r="C67">
            <v>2775787.81</v>
          </cell>
          <cell r="E67">
            <v>707833356.05999994</v>
          </cell>
        </row>
        <row r="68">
          <cell r="A68">
            <v>1401050000</v>
          </cell>
          <cell r="B68" t="str">
            <v>VEHICULOS</v>
          </cell>
          <cell r="C68">
            <v>6907.26</v>
          </cell>
          <cell r="E68">
            <v>34808768.32</v>
          </cell>
        </row>
        <row r="69">
          <cell r="A69">
            <v>1401060000</v>
          </cell>
          <cell r="B69" t="str">
            <v>MAQUINARIA DE CONSTRUCCION</v>
          </cell>
          <cell r="C69">
            <v>5331.91</v>
          </cell>
          <cell r="E69">
            <v>17519260.440000001</v>
          </cell>
        </row>
        <row r="70">
          <cell r="A70">
            <v>1401070000</v>
          </cell>
          <cell r="B70" t="str">
            <v>EQUIPO PESADO</v>
          </cell>
          <cell r="C70">
            <v>29768.26</v>
          </cell>
          <cell r="E70">
            <v>122839985.86</v>
          </cell>
        </row>
        <row r="71">
          <cell r="A71">
            <v>1401080000</v>
          </cell>
          <cell r="B71" t="str">
            <v>INSTALACIONES INDUSTRIALES</v>
          </cell>
          <cell r="C71">
            <v>2553806.38</v>
          </cell>
          <cell r="E71">
            <v>480237858.11000001</v>
          </cell>
        </row>
        <row r="72">
          <cell r="A72">
            <v>1401090000</v>
          </cell>
          <cell r="B72" t="str">
            <v>HERRAMIENTAS E IMPLEMENTOS</v>
          </cell>
          <cell r="C72">
            <v>1569.42</v>
          </cell>
          <cell r="E72">
            <v>19213175.25</v>
          </cell>
        </row>
        <row r="73">
          <cell r="A73">
            <v>1401100000</v>
          </cell>
          <cell r="B73" t="str">
            <v>TINGLADOS</v>
          </cell>
          <cell r="C73">
            <v>31791.16</v>
          </cell>
          <cell r="E73">
            <v>14594196.060000001</v>
          </cell>
        </row>
        <row r="74">
          <cell r="A74">
            <v>1401110000</v>
          </cell>
          <cell r="B74" t="str">
            <v>EQUIPOS DE COMPUTACION</v>
          </cell>
          <cell r="C74">
            <v>24696.61</v>
          </cell>
          <cell r="E74">
            <v>7756152.0499999998</v>
          </cell>
        </row>
        <row r="75">
          <cell r="A75">
            <v>1401120000</v>
          </cell>
          <cell r="B75" t="str">
            <v>EQUIPOS DE LABORATORIO</v>
          </cell>
          <cell r="C75">
            <v>32603</v>
          </cell>
          <cell r="E75">
            <v>9241594.9499999993</v>
          </cell>
        </row>
        <row r="76">
          <cell r="A76">
            <v>1401150000</v>
          </cell>
          <cell r="B76" t="str">
            <v>CANALES DE RIEGO Y POZOS</v>
          </cell>
          <cell r="C76">
            <v>0</v>
          </cell>
          <cell r="E76">
            <v>166103.32</v>
          </cell>
        </row>
        <row r="77">
          <cell r="A77">
            <v>1402000000</v>
          </cell>
          <cell r="B77" t="str">
            <v>DEPRECIACION ACUMULADA</v>
          </cell>
          <cell r="C77">
            <v>-6153036.54</v>
          </cell>
          <cell r="E77">
            <v>-1269749756.55</v>
          </cell>
        </row>
        <row r="78">
          <cell r="A78">
            <v>1402020000</v>
          </cell>
          <cell r="B78" t="str">
            <v>EDIFICIOS</v>
          </cell>
          <cell r="C78">
            <v>-1766766.87</v>
          </cell>
          <cell r="E78">
            <v>-115283436.38</v>
          </cell>
        </row>
        <row r="79">
          <cell r="A79">
            <v>1402030000</v>
          </cell>
          <cell r="B79" t="str">
            <v>MUEBLES Y ENSERES DE OFICINA</v>
          </cell>
          <cell r="C79">
            <v>10278.790000000001</v>
          </cell>
          <cell r="E79">
            <v>-4620734.38</v>
          </cell>
        </row>
        <row r="80">
          <cell r="A80">
            <v>1402040000</v>
          </cell>
          <cell r="B80" t="str">
            <v>MAQUINARIA Y EQUIPO</v>
          </cell>
          <cell r="C80">
            <v>-2146073.0699999998</v>
          </cell>
          <cell r="E80">
            <v>-576981858.5</v>
          </cell>
        </row>
        <row r="81">
          <cell r="A81">
            <v>1402050000</v>
          </cell>
          <cell r="B81" t="str">
            <v>VEHICULOS</v>
          </cell>
          <cell r="C81">
            <v>-15962.21</v>
          </cell>
          <cell r="E81">
            <v>-34382237.140000001</v>
          </cell>
        </row>
        <row r="82">
          <cell r="A82">
            <v>1402060000</v>
          </cell>
          <cell r="B82" t="str">
            <v>MAQUINARIA DE CONSTRUCCION</v>
          </cell>
          <cell r="C82">
            <v>-9298.64</v>
          </cell>
          <cell r="E82">
            <v>-17268235.670000002</v>
          </cell>
        </row>
        <row r="83">
          <cell r="A83">
            <v>1402070000</v>
          </cell>
          <cell r="B83" t="str">
            <v>EQUIPO PESADO</v>
          </cell>
          <cell r="C83">
            <v>-52008.92</v>
          </cell>
          <cell r="E83">
            <v>-121449137.05</v>
          </cell>
        </row>
        <row r="84">
          <cell r="A84">
            <v>1402080000</v>
          </cell>
          <cell r="B84" t="str">
            <v>INSTALACIONES INDUSTRIALES</v>
          </cell>
          <cell r="C84">
            <v>-2028075.48</v>
          </cell>
          <cell r="E84">
            <v>-351376093.88</v>
          </cell>
        </row>
        <row r="85">
          <cell r="A85">
            <v>1402090000</v>
          </cell>
          <cell r="B85" t="str">
            <v>HERRAMIENTAS E IMPLEMENTOS</v>
          </cell>
          <cell r="C85">
            <v>-4513.5</v>
          </cell>
          <cell r="E85">
            <v>-19133953.02</v>
          </cell>
        </row>
        <row r="86">
          <cell r="A86">
            <v>1402100000</v>
          </cell>
          <cell r="B86" t="str">
            <v>TINGLADOS</v>
          </cell>
          <cell r="C86">
            <v>-56758.46</v>
          </cell>
          <cell r="E86">
            <v>-14071514.09</v>
          </cell>
        </row>
        <row r="87">
          <cell r="A87">
            <v>1402110000</v>
          </cell>
          <cell r="B87" t="str">
            <v>EQUIPOS DE COMPUTACION</v>
          </cell>
          <cell r="C87">
            <v>-26154.13</v>
          </cell>
          <cell r="E87">
            <v>-7214566.2199999997</v>
          </cell>
        </row>
        <row r="88">
          <cell r="A88">
            <v>1402120000</v>
          </cell>
          <cell r="B88" t="str">
            <v>EQUIPOS DE LABORATORIO</v>
          </cell>
          <cell r="C88">
            <v>-57704.05</v>
          </cell>
          <cell r="E88">
            <v>-7801886.9000000004</v>
          </cell>
        </row>
        <row r="89">
          <cell r="A89">
            <v>1402150000</v>
          </cell>
          <cell r="B89" t="str">
            <v>CANALES DE RIEGO Y POZOS</v>
          </cell>
          <cell r="C89">
            <v>0</v>
          </cell>
          <cell r="E89">
            <v>-166103.32</v>
          </cell>
        </row>
        <row r="91">
          <cell r="A91">
            <v>1500000000</v>
          </cell>
          <cell r="B91" t="str">
            <v>INVERSIONES</v>
          </cell>
          <cell r="C91">
            <v>0</v>
          </cell>
          <cell r="E91">
            <v>28976725</v>
          </cell>
        </row>
        <row r="92">
          <cell r="A92">
            <v>1502000000</v>
          </cell>
          <cell r="B92" t="str">
            <v>OTRAS INVERSIONES</v>
          </cell>
          <cell r="C92">
            <v>0</v>
          </cell>
          <cell r="E92">
            <v>28976725</v>
          </cell>
        </row>
        <row r="93">
          <cell r="A93">
            <v>1502010000</v>
          </cell>
          <cell r="B93" t="str">
            <v>ACCIONES</v>
          </cell>
          <cell r="C93">
            <v>0</v>
          </cell>
          <cell r="E93">
            <v>28575904.989999998</v>
          </cell>
        </row>
        <row r="94">
          <cell r="A94">
            <v>1502030000</v>
          </cell>
          <cell r="B94" t="str">
            <v>LINEAS TELEFONICAS</v>
          </cell>
          <cell r="C94">
            <v>0</v>
          </cell>
          <cell r="E94">
            <v>261000</v>
          </cell>
        </row>
        <row r="95">
          <cell r="A95">
            <v>1502050000</v>
          </cell>
          <cell r="B95" t="str">
            <v>OTRAS INVERSIONES</v>
          </cell>
          <cell r="C95">
            <v>0</v>
          </cell>
          <cell r="E95">
            <v>139820.01</v>
          </cell>
        </row>
        <row r="97">
          <cell r="A97">
            <v>1600000000</v>
          </cell>
          <cell r="B97" t="str">
            <v>OTROS ACTIVOS</v>
          </cell>
          <cell r="C97">
            <v>1957711.2</v>
          </cell>
          <cell r="E97">
            <v>225824215.34</v>
          </cell>
        </row>
        <row r="98">
          <cell r="A98">
            <v>1601000000</v>
          </cell>
          <cell r="B98" t="str">
            <v>DOCUMENTOS POR COBRAR A LARGO PLAZO</v>
          </cell>
          <cell r="C98">
            <v>-1400</v>
          </cell>
          <cell r="E98">
            <v>43493634.640000001</v>
          </cell>
        </row>
        <row r="99">
          <cell r="A99">
            <v>1601020000</v>
          </cell>
          <cell r="B99" t="str">
            <v>CREDITOS M.E.</v>
          </cell>
          <cell r="C99">
            <v>0</v>
          </cell>
          <cell r="E99">
            <v>33948384.280000001</v>
          </cell>
        </row>
        <row r="100">
          <cell r="A100">
            <v>1601040000</v>
          </cell>
          <cell r="B100" t="str">
            <v>DOCUMENTOS EN EJECUCION</v>
          </cell>
          <cell r="C100">
            <v>-1400</v>
          </cell>
          <cell r="E100">
            <v>9545250.3599999994</v>
          </cell>
        </row>
        <row r="101">
          <cell r="A101">
            <v>1601050000</v>
          </cell>
          <cell r="B101" t="str">
            <v>CUENTAS INCOBRABLES</v>
          </cell>
          <cell r="C101">
            <v>0</v>
          </cell>
          <cell r="E101">
            <v>3212209.75</v>
          </cell>
        </row>
        <row r="102">
          <cell r="A102">
            <v>1601060000</v>
          </cell>
          <cell r="B102" t="str">
            <v>(PREVISION CUENTAS INCOBRABLES)</v>
          </cell>
          <cell r="C102">
            <v>0</v>
          </cell>
          <cell r="E102">
            <v>-3212209.75</v>
          </cell>
        </row>
        <row r="103">
          <cell r="A103">
            <v>1602000000</v>
          </cell>
          <cell r="B103" t="str">
            <v>OBRAS EN EJECUCIÓN</v>
          </cell>
          <cell r="C103">
            <v>303349.94</v>
          </cell>
          <cell r="E103">
            <v>16870305.050000001</v>
          </cell>
        </row>
        <row r="104">
          <cell r="A104">
            <v>1602010000</v>
          </cell>
          <cell r="B104" t="str">
            <v>AMPLIACIONES</v>
          </cell>
          <cell r="C104">
            <v>303349.94</v>
          </cell>
          <cell r="E104">
            <v>16870305.050000001</v>
          </cell>
        </row>
        <row r="105">
          <cell r="A105">
            <v>1604000000</v>
          </cell>
          <cell r="B105" t="str">
            <v>BIENES ARRENDADOS</v>
          </cell>
          <cell r="C105">
            <v>0</v>
          </cell>
          <cell r="E105">
            <v>2168540.62</v>
          </cell>
        </row>
        <row r="106">
          <cell r="A106">
            <v>1604010000</v>
          </cell>
          <cell r="B106" t="str">
            <v>VALOR DE ARRENDAMIENTO</v>
          </cell>
          <cell r="C106">
            <v>0</v>
          </cell>
          <cell r="E106">
            <v>2168540.62</v>
          </cell>
        </row>
        <row r="107">
          <cell r="A107">
            <v>1605000000</v>
          </cell>
          <cell r="B107" t="str">
            <v>DIVERSOS</v>
          </cell>
          <cell r="C107">
            <v>-174870.72</v>
          </cell>
          <cell r="E107">
            <v>17807167.609999999</v>
          </cell>
        </row>
        <row r="108">
          <cell r="A108">
            <v>1605010000</v>
          </cell>
          <cell r="B108" t="str">
            <v>REPUESTOS EN ALMACEN</v>
          </cell>
          <cell r="C108">
            <v>-174870.72</v>
          </cell>
          <cell r="E108">
            <v>17618147.370000001</v>
          </cell>
        </row>
        <row r="109">
          <cell r="A109">
            <v>1605020000</v>
          </cell>
          <cell r="B109" t="str">
            <v>LIBROS Y BIBLIOTECAS</v>
          </cell>
          <cell r="C109">
            <v>0</v>
          </cell>
          <cell r="E109">
            <v>189020.24</v>
          </cell>
        </row>
        <row r="110">
          <cell r="A110">
            <v>1606000000</v>
          </cell>
          <cell r="B110" t="str">
            <v>CUENTAS CORRIENTES UNIDADES</v>
          </cell>
          <cell r="C110">
            <v>1830631.98</v>
          </cell>
          <cell r="E110">
            <v>145484567.41999999</v>
          </cell>
        </row>
        <row r="111">
          <cell r="A111">
            <v>1606010000</v>
          </cell>
          <cell r="B111" t="str">
            <v>LIMITADA</v>
          </cell>
          <cell r="C111">
            <v>-1512300.03</v>
          </cell>
          <cell r="E111">
            <v>131077448.48</v>
          </cell>
        </row>
        <row r="112">
          <cell r="A112">
            <v>1606030000</v>
          </cell>
          <cell r="B112" t="str">
            <v>CERAMIL</v>
          </cell>
          <cell r="C112">
            <v>1655153.28</v>
          </cell>
          <cell r="E112">
            <v>8845436.0500000007</v>
          </cell>
        </row>
        <row r="113">
          <cell r="A113">
            <v>1606040000</v>
          </cell>
          <cell r="B113" t="str">
            <v>HORMIGON</v>
          </cell>
          <cell r="C113">
            <v>926270.39</v>
          </cell>
          <cell r="E113">
            <v>2403550.75</v>
          </cell>
        </row>
        <row r="114">
          <cell r="A114">
            <v>1606050000</v>
          </cell>
          <cell r="B114" t="str">
            <v>CONSTRUCCIONES</v>
          </cell>
          <cell r="C114">
            <v>615632.61</v>
          </cell>
          <cell r="E114">
            <v>2090303.15</v>
          </cell>
        </row>
        <row r="115">
          <cell r="A115">
            <v>1606060000</v>
          </cell>
          <cell r="B115" t="str">
            <v>CERAMICA</v>
          </cell>
          <cell r="C115">
            <v>0</v>
          </cell>
          <cell r="E115">
            <v>631094.23</v>
          </cell>
        </row>
        <row r="116">
          <cell r="A116">
            <v>1606070000</v>
          </cell>
          <cell r="B116" t="str">
            <v>METAL</v>
          </cell>
          <cell r="C116">
            <v>58868.22</v>
          </cell>
          <cell r="E116">
            <v>286502.92</v>
          </cell>
        </row>
        <row r="117">
          <cell r="A117">
            <v>1606080000</v>
          </cell>
          <cell r="B117" t="str">
            <v>COBOCE EDITORA OPINION</v>
          </cell>
          <cell r="C117">
            <v>87007.51</v>
          </cell>
          <cell r="E117">
            <v>150231.84</v>
          </cell>
        </row>
        <row r="119">
          <cell r="A119">
            <v>1700000000</v>
          </cell>
          <cell r="B119" t="str">
            <v>ACTIVOS DIFERIDOS</v>
          </cell>
          <cell r="C119">
            <v>-745504.96</v>
          </cell>
          <cell r="E119">
            <v>15680239.689999999</v>
          </cell>
        </row>
        <row r="120">
          <cell r="A120">
            <v>1701000000</v>
          </cell>
          <cell r="B120" t="str">
            <v>ACTIVOS RETIRADOS</v>
          </cell>
          <cell r="C120">
            <v>0</v>
          </cell>
          <cell r="E120">
            <v>3580102.51</v>
          </cell>
        </row>
        <row r="121">
          <cell r="A121">
            <v>1701010000</v>
          </cell>
          <cell r="B121" t="str">
            <v>BIENES DE USO RETIRADOS</v>
          </cell>
          <cell r="C121">
            <v>0</v>
          </cell>
          <cell r="E121">
            <v>3580102.51</v>
          </cell>
        </row>
        <row r="122">
          <cell r="A122">
            <v>1702000000</v>
          </cell>
          <cell r="B122" t="str">
            <v>GASTOS DIFERIDOS</v>
          </cell>
          <cell r="C122">
            <v>-745504.96</v>
          </cell>
          <cell r="E122">
            <v>12100137.18</v>
          </cell>
        </row>
        <row r="123">
          <cell r="A123">
            <v>1702010000</v>
          </cell>
          <cell r="B123" t="str">
            <v>GASTOS DE ORGANIZACION Y PUESTA EN MARCH</v>
          </cell>
          <cell r="C123">
            <v>0</v>
          </cell>
          <cell r="E123">
            <v>4900472.5999999996</v>
          </cell>
        </row>
        <row r="124">
          <cell r="A124">
            <v>1702020000</v>
          </cell>
          <cell r="B124" t="str">
            <v>GASTOS DE PRODUCCIÓN Y MANTENIMIENTO</v>
          </cell>
          <cell r="C124">
            <v>-745504.96</v>
          </cell>
          <cell r="E124">
            <v>2660723.81</v>
          </cell>
        </row>
        <row r="125">
          <cell r="A125">
            <v>1702050000</v>
          </cell>
          <cell r="B125" t="str">
            <v>VARIOS</v>
          </cell>
          <cell r="C125">
            <v>0</v>
          </cell>
          <cell r="E125">
            <v>4538940.7699999996</v>
          </cell>
        </row>
        <row r="127">
          <cell r="A127">
            <v>2000000000</v>
          </cell>
          <cell r="B127" t="str">
            <v>PASIVO</v>
          </cell>
          <cell r="C127">
            <v>12324989.15</v>
          </cell>
          <cell r="E127">
            <v>-1191220283.72</v>
          </cell>
        </row>
        <row r="130">
          <cell r="A130">
            <v>2100000000</v>
          </cell>
          <cell r="B130" t="str">
            <v>PASIVO CORRIENTE</v>
          </cell>
          <cell r="C130">
            <v>5947745.3300000001</v>
          </cell>
          <cell r="E130">
            <v>-131321370.3</v>
          </cell>
        </row>
        <row r="131">
          <cell r="A131">
            <v>2101000000</v>
          </cell>
          <cell r="B131" t="str">
            <v>DEUDAS COMERCIALES</v>
          </cell>
          <cell r="C131">
            <v>8057508.8899999997</v>
          </cell>
          <cell r="E131">
            <v>-78075837.459999993</v>
          </cell>
        </row>
        <row r="132">
          <cell r="A132">
            <v>2101010000</v>
          </cell>
          <cell r="B132" t="str">
            <v>PROVEEDORES</v>
          </cell>
          <cell r="C132">
            <v>5716867.9100000001</v>
          </cell>
          <cell r="E132">
            <v>-68639548.219999999</v>
          </cell>
        </row>
        <row r="133">
          <cell r="A133">
            <v>2101030000</v>
          </cell>
          <cell r="B133" t="str">
            <v>TRANSPORTISTAS</v>
          </cell>
          <cell r="C133">
            <v>1554846.4</v>
          </cell>
          <cell r="E133">
            <v>-5212505.45</v>
          </cell>
        </row>
        <row r="134">
          <cell r="A134">
            <v>2101040000</v>
          </cell>
          <cell r="B134" t="str">
            <v>ACREEDORES VARIOS</v>
          </cell>
          <cell r="C134">
            <v>553896.68000000005</v>
          </cell>
          <cell r="E134">
            <v>-3906359.93</v>
          </cell>
        </row>
        <row r="135">
          <cell r="A135">
            <v>2101090000</v>
          </cell>
          <cell r="B135" t="str">
            <v>ACREEDORES POR DEPOSITOS EN GARANTIA</v>
          </cell>
          <cell r="C135">
            <v>0</v>
          </cell>
          <cell r="E135">
            <v>-47575.86</v>
          </cell>
        </row>
        <row r="136">
          <cell r="A136">
            <v>2101650000</v>
          </cell>
          <cell r="B136" t="str">
            <v>PROVEEDORES AEROPUERTO POTOSI</v>
          </cell>
          <cell r="C136">
            <v>0</v>
          </cell>
          <cell r="E136">
            <v>-269848</v>
          </cell>
        </row>
        <row r="137">
          <cell r="A137">
            <v>2101680000</v>
          </cell>
          <cell r="B137" t="str">
            <v>PROVEEDORES - CONST. CANAL EMISARIO 8VO ANILLO SUR</v>
          </cell>
          <cell r="C137">
            <v>231897.9</v>
          </cell>
          <cell r="E137">
            <v>0</v>
          </cell>
        </row>
        <row r="138">
          <cell r="A138">
            <v>2102000000</v>
          </cell>
          <cell r="B138" t="str">
            <v>DOCUMENTOS POR PAGAR</v>
          </cell>
          <cell r="C138">
            <v>-183815.64</v>
          </cell>
          <cell r="E138">
            <v>-5720829.8899999997</v>
          </cell>
        </row>
        <row r="139">
          <cell r="A139">
            <v>2102020000</v>
          </cell>
          <cell r="B139" t="str">
            <v>BANCARIOS</v>
          </cell>
          <cell r="C139">
            <v>0</v>
          </cell>
          <cell r="E139">
            <v>-2457186.14</v>
          </cell>
        </row>
        <row r="140">
          <cell r="A140">
            <v>2102030000</v>
          </cell>
          <cell r="B140" t="str">
            <v>CONTRATOS</v>
          </cell>
          <cell r="C140">
            <v>-691581.72</v>
          </cell>
          <cell r="E140">
            <v>-2953172.58</v>
          </cell>
        </row>
        <row r="141">
          <cell r="A141">
            <v>2102040000</v>
          </cell>
          <cell r="B141" t="str">
            <v>OTROS DOCUMENTOS</v>
          </cell>
          <cell r="C141">
            <v>507766.08</v>
          </cell>
          <cell r="E141">
            <v>-310471.17</v>
          </cell>
        </row>
        <row r="142">
          <cell r="A142">
            <v>2104000000</v>
          </cell>
          <cell r="B142" t="str">
            <v>OBLIGACIONES FINANCIERAS A CORTO PLAZO</v>
          </cell>
          <cell r="C142">
            <v>4013521.29</v>
          </cell>
          <cell r="E142">
            <v>-4022779.71</v>
          </cell>
        </row>
        <row r="143">
          <cell r="A143">
            <v>2104010000</v>
          </cell>
          <cell r="B143" t="str">
            <v>OBLIGACIONES POR CAPITAL</v>
          </cell>
          <cell r="C143">
            <v>2927508.88</v>
          </cell>
          <cell r="E143">
            <v>-2044569.44</v>
          </cell>
        </row>
        <row r="144">
          <cell r="A144">
            <v>2104020000</v>
          </cell>
          <cell r="B144" t="str">
            <v>OBLIGACIONES POR INTERESES</v>
          </cell>
          <cell r="C144">
            <v>1086012.4099999999</v>
          </cell>
          <cell r="E144">
            <v>-1978210.27</v>
          </cell>
        </row>
        <row r="145">
          <cell r="A145">
            <v>2105000000</v>
          </cell>
          <cell r="B145" t="str">
            <v>IMPUESTOS POR PAGAR</v>
          </cell>
          <cell r="C145">
            <v>-1</v>
          </cell>
          <cell r="E145">
            <v>-1</v>
          </cell>
        </row>
        <row r="146">
          <cell r="A146">
            <v>2105010000</v>
          </cell>
          <cell r="B146" t="str">
            <v>IMPUESTO AL VALOR AGREGADO (DEBITO FISCA</v>
          </cell>
          <cell r="C146">
            <v>0</v>
          </cell>
          <cell r="E146">
            <v>0</v>
          </cell>
        </row>
        <row r="147">
          <cell r="A147">
            <v>2105030000</v>
          </cell>
          <cell r="B147" t="str">
            <v>IMPUESTO AL REGIMEN COMPLEMENTARIO</v>
          </cell>
          <cell r="C147">
            <v>0</v>
          </cell>
          <cell r="E147">
            <v>0</v>
          </cell>
        </row>
        <row r="148">
          <cell r="A148">
            <v>2105040000</v>
          </cell>
          <cell r="B148" t="str">
            <v>RETENCION EN LA FUENTE</v>
          </cell>
          <cell r="C148">
            <v>0</v>
          </cell>
          <cell r="E148">
            <v>0</v>
          </cell>
        </row>
        <row r="149">
          <cell r="A149">
            <v>2105090000</v>
          </cell>
          <cell r="B149" t="str">
            <v>REGALIAS MINERAS</v>
          </cell>
          <cell r="C149">
            <v>-1</v>
          </cell>
          <cell r="E149">
            <v>-1</v>
          </cell>
        </row>
        <row r="150">
          <cell r="A150">
            <v>2106000000</v>
          </cell>
          <cell r="B150" t="str">
            <v>OBLIGACIONES POR PAGAR</v>
          </cell>
          <cell r="C150">
            <v>7736711.0800000001</v>
          </cell>
          <cell r="E150">
            <v>-20353698.719999999</v>
          </cell>
        </row>
        <row r="151">
          <cell r="A151">
            <v>2106010000</v>
          </cell>
          <cell r="B151" t="str">
            <v>SUELDOS Y JORNALES POR PAGAR</v>
          </cell>
          <cell r="C151">
            <v>4510625.3499999996</v>
          </cell>
          <cell r="E151">
            <v>-10143866.4</v>
          </cell>
        </row>
        <row r="152">
          <cell r="A152">
            <v>2106020000</v>
          </cell>
          <cell r="B152" t="str">
            <v>AGUINALDOS Y PRIMAS POR PAGAR</v>
          </cell>
          <cell r="C152">
            <v>0</v>
          </cell>
          <cell r="E152">
            <v>-100838.3</v>
          </cell>
        </row>
        <row r="153">
          <cell r="A153">
            <v>2106040000</v>
          </cell>
          <cell r="B153" t="str">
            <v>FINIQUITOS POR PAGAR</v>
          </cell>
          <cell r="C153">
            <v>-13934.15</v>
          </cell>
          <cell r="E153">
            <v>-519251.72</v>
          </cell>
        </row>
        <row r="154">
          <cell r="A154">
            <v>2106060000</v>
          </cell>
          <cell r="B154" t="str">
            <v>AGUINALDOS Y PRIMAS NO RECLAMADOS</v>
          </cell>
          <cell r="C154">
            <v>0</v>
          </cell>
          <cell r="E154">
            <v>-373944.54</v>
          </cell>
        </row>
        <row r="155">
          <cell r="A155">
            <v>2106070000</v>
          </cell>
          <cell r="B155" t="str">
            <v>APORTES Y RETENCIONES POR PAGAR</v>
          </cell>
          <cell r="C155">
            <v>3243419.88</v>
          </cell>
          <cell r="E155">
            <v>-8783624.1400000006</v>
          </cell>
        </row>
        <row r="156">
          <cell r="A156">
            <v>2106080000</v>
          </cell>
          <cell r="B156" t="str">
            <v>RETENCIONES JUDICIALES</v>
          </cell>
          <cell r="C156">
            <v>-3400</v>
          </cell>
          <cell r="E156">
            <v>-432173.62</v>
          </cell>
        </row>
        <row r="157">
          <cell r="A157">
            <v>2107000000</v>
          </cell>
          <cell r="B157" t="str">
            <v>PROVISIONES</v>
          </cell>
          <cell r="C157">
            <v>-698289.94</v>
          </cell>
          <cell r="E157">
            <v>-8625258.9600000009</v>
          </cell>
        </row>
        <row r="158">
          <cell r="A158">
            <v>2107010000</v>
          </cell>
          <cell r="B158" t="str">
            <v>AGUINALDOS</v>
          </cell>
          <cell r="C158">
            <v>-698289.94</v>
          </cell>
          <cell r="E158">
            <v>-1760583.52</v>
          </cell>
        </row>
        <row r="159">
          <cell r="A159">
            <v>2107030000</v>
          </cell>
          <cell r="B159" t="str">
            <v>OTROS</v>
          </cell>
          <cell r="C159">
            <v>0</v>
          </cell>
          <cell r="E159">
            <v>-6864675.4400000004</v>
          </cell>
        </row>
        <row r="160">
          <cell r="A160">
            <v>2108000000</v>
          </cell>
          <cell r="B160" t="str">
            <v>COBROS POR ADELANTADO</v>
          </cell>
          <cell r="C160">
            <v>-12977889.35</v>
          </cell>
          <cell r="E160">
            <v>-14522964.560000001</v>
          </cell>
        </row>
        <row r="161">
          <cell r="A161">
            <v>2108010000</v>
          </cell>
          <cell r="B161" t="str">
            <v>CLIENTES LOCALES</v>
          </cell>
          <cell r="C161">
            <v>-536595.04</v>
          </cell>
          <cell r="E161">
            <v>-1679885.18</v>
          </cell>
        </row>
        <row r="162">
          <cell r="A162">
            <v>2108020000</v>
          </cell>
          <cell r="B162" t="str">
            <v>CLIENTES INTERIOR</v>
          </cell>
          <cell r="C162">
            <v>-12441294.310000001</v>
          </cell>
          <cell r="E162">
            <v>-12843079.380000001</v>
          </cell>
        </row>
        <row r="164">
          <cell r="A164">
            <v>2200000000</v>
          </cell>
          <cell r="B164" t="str">
            <v>PASIVO NO CORRIENTE</v>
          </cell>
          <cell r="C164">
            <v>10695139.52</v>
          </cell>
          <cell r="E164">
            <v>-573828814.86000001</v>
          </cell>
        </row>
        <row r="165">
          <cell r="A165">
            <v>2201000000</v>
          </cell>
          <cell r="B165" t="str">
            <v>OBLIGACIONES FINANCIERAS A LARGO PLAZO</v>
          </cell>
          <cell r="C165">
            <v>8006640.3899999997</v>
          </cell>
          <cell r="E165">
            <v>-258146794.25999999</v>
          </cell>
        </row>
        <row r="166">
          <cell r="A166">
            <v>2201010000</v>
          </cell>
          <cell r="B166" t="str">
            <v>OBLIGACIONES POR CAPITAL</v>
          </cell>
          <cell r="C166">
            <v>7937416.0300000003</v>
          </cell>
          <cell r="E166">
            <v>-247816767.15000001</v>
          </cell>
        </row>
        <row r="167">
          <cell r="A167">
            <v>2201030000</v>
          </cell>
          <cell r="B167" t="str">
            <v>OBLIGACIONES POR INTERESES LP</v>
          </cell>
          <cell r="C167">
            <v>69224.36</v>
          </cell>
          <cell r="E167">
            <v>-10330027.109999999</v>
          </cell>
        </row>
        <row r="168">
          <cell r="A168">
            <v>2202000000</v>
          </cell>
          <cell r="B168" t="str">
            <v>PREVISIONES</v>
          </cell>
          <cell r="C168">
            <v>-547587.79</v>
          </cell>
          <cell r="E168">
            <v>-51668832.109999999</v>
          </cell>
        </row>
        <row r="169">
          <cell r="A169">
            <v>2202010000</v>
          </cell>
          <cell r="B169" t="str">
            <v>PREVISIONES BENEFICIOS SOCIALES</v>
          </cell>
          <cell r="C169">
            <v>-547587.79</v>
          </cell>
          <cell r="E169">
            <v>-51611849.43</v>
          </cell>
        </row>
        <row r="170">
          <cell r="A170">
            <v>2202020000</v>
          </cell>
          <cell r="B170" t="str">
            <v>OTRAS PREVISIONES</v>
          </cell>
          <cell r="C170">
            <v>0</v>
          </cell>
          <cell r="E170">
            <v>-56982.68</v>
          </cell>
        </row>
        <row r="171">
          <cell r="A171">
            <v>2203000000</v>
          </cell>
          <cell r="B171" t="str">
            <v>OTROS PASIVOS NO CORRIENTES</v>
          </cell>
          <cell r="C171">
            <v>39585.24</v>
          </cell>
          <cell r="E171">
            <v>-683844.76</v>
          </cell>
        </row>
        <row r="172">
          <cell r="A172">
            <v>2203050000</v>
          </cell>
          <cell r="B172" t="str">
            <v>CREDITOS DIFERIDOS</v>
          </cell>
          <cell r="C172">
            <v>39585.24</v>
          </cell>
          <cell r="E172">
            <v>-683844.76</v>
          </cell>
        </row>
        <row r="173">
          <cell r="A173">
            <v>2204000000</v>
          </cell>
          <cell r="B173" t="str">
            <v>CUENTAS CORRIENTES. UNIDADES.</v>
          </cell>
          <cell r="C173">
            <v>3196501.68</v>
          </cell>
          <cell r="E173">
            <v>-263329343.72999999</v>
          </cell>
        </row>
        <row r="174">
          <cell r="A174">
            <v>2204010000</v>
          </cell>
          <cell r="B174" t="str">
            <v>LIMITADA</v>
          </cell>
          <cell r="C174">
            <v>1772792.68</v>
          </cell>
          <cell r="E174">
            <v>-255954898.72999999</v>
          </cell>
        </row>
        <row r="175">
          <cell r="A175">
            <v>2204040000</v>
          </cell>
          <cell r="B175" t="str">
            <v>HORMIGON</v>
          </cell>
          <cell r="C175">
            <v>-597080</v>
          </cell>
          <cell r="E175">
            <v>-860310</v>
          </cell>
        </row>
        <row r="176">
          <cell r="A176">
            <v>2204050000</v>
          </cell>
          <cell r="B176" t="str">
            <v>CONSTRUCCIONES</v>
          </cell>
          <cell r="C176">
            <v>0</v>
          </cell>
          <cell r="E176">
            <v>-4749325.95</v>
          </cell>
        </row>
        <row r="177">
          <cell r="A177">
            <v>2204060000</v>
          </cell>
          <cell r="B177" t="str">
            <v>CERAMICA</v>
          </cell>
          <cell r="C177">
            <v>2000000</v>
          </cell>
          <cell r="E177">
            <v>-391461.33</v>
          </cell>
        </row>
        <row r="178">
          <cell r="A178">
            <v>2204070000</v>
          </cell>
          <cell r="B178" t="str">
            <v>METAL</v>
          </cell>
          <cell r="C178">
            <v>30083</v>
          </cell>
          <cell r="E178">
            <v>-1278215.43</v>
          </cell>
        </row>
        <row r="179">
          <cell r="A179">
            <v>2204080000</v>
          </cell>
          <cell r="B179" t="str">
            <v>COBOCE EDITORA OPINION</v>
          </cell>
          <cell r="C179">
            <v>-9294</v>
          </cell>
          <cell r="E179">
            <v>-95132.29</v>
          </cell>
        </row>
        <row r="181">
          <cell r="A181">
            <v>2400000000</v>
          </cell>
          <cell r="B181" t="str">
            <v>PATRIMONIO</v>
          </cell>
          <cell r="C181">
            <v>-4317895.7</v>
          </cell>
          <cell r="E181">
            <v>-486070098.56</v>
          </cell>
        </row>
        <row r="182">
          <cell r="A182">
            <v>2401000000</v>
          </cell>
          <cell r="B182" t="str">
            <v>FONDO SOCIAL</v>
          </cell>
          <cell r="C182">
            <v>-4317895.7</v>
          </cell>
          <cell r="E182">
            <v>-486070098.56</v>
          </cell>
        </row>
        <row r="183">
          <cell r="A183">
            <v>2401010000</v>
          </cell>
          <cell r="B183" t="str">
            <v>FONDO SOCIAL UNIDADES</v>
          </cell>
          <cell r="C183">
            <v>-4317895.7</v>
          </cell>
          <cell r="E183">
            <v>-486070098.56</v>
          </cell>
        </row>
        <row r="184">
          <cell r="A184">
            <v>2901010000</v>
          </cell>
          <cell r="B184" t="str">
            <v>CUENTAS DE ORDEN DEBITOS</v>
          </cell>
          <cell r="C184">
            <v>0</v>
          </cell>
          <cell r="E184">
            <v>52728412.530000001</v>
          </cell>
        </row>
        <row r="185">
          <cell r="A185">
            <v>2901020000</v>
          </cell>
          <cell r="B185" t="str">
            <v>CUENTAS DE ORDEN CREDITOS</v>
          </cell>
          <cell r="C185">
            <v>0</v>
          </cell>
          <cell r="E185">
            <v>-52728412.530000001</v>
          </cell>
        </row>
        <row r="186">
          <cell r="A186" t="str">
            <v>***TOTAL UTILIDAD(+)/PERDIDA(-)***</v>
          </cell>
          <cell r="C186">
            <v>-851711.08</v>
          </cell>
          <cell r="E186">
            <v>-10290908.859999999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 t="str">
            <v>1.0.00.00</v>
          </cell>
          <cell r="B6" t="str">
            <v>ACTIVO</v>
          </cell>
          <cell r="C6">
            <v>8151375.2800000003</v>
          </cell>
          <cell r="E6">
            <v>1189080750.1400001</v>
          </cell>
        </row>
        <row r="7">
          <cell r="A7" t="str">
            <v>1.1.00.00</v>
          </cell>
          <cell r="B7" t="str">
            <v>ACTIVO DISPONIBLE</v>
          </cell>
          <cell r="C7">
            <v>7561875.4900000002</v>
          </cell>
          <cell r="E7">
            <v>11931058.91</v>
          </cell>
        </row>
        <row r="8">
          <cell r="A8" t="str">
            <v>1.1.01.00</v>
          </cell>
          <cell r="B8" t="str">
            <v>CAJA</v>
          </cell>
          <cell r="C8">
            <v>-117335.07</v>
          </cell>
          <cell r="E8">
            <v>995700.57</v>
          </cell>
        </row>
        <row r="9">
          <cell r="A9" t="str">
            <v>1.1.01.01</v>
          </cell>
          <cell r="B9" t="str">
            <v>CAJA GENERAL MONEDA NACIONAL</v>
          </cell>
          <cell r="C9">
            <v>48724.800000000003</v>
          </cell>
          <cell r="E9">
            <v>976760.5</v>
          </cell>
        </row>
        <row r="10">
          <cell r="A10" t="str">
            <v>1.1.01.03</v>
          </cell>
          <cell r="B10" t="str">
            <v>CAJA CHICA MONEDA NACIONAL</v>
          </cell>
          <cell r="C10">
            <v>-166059.87</v>
          </cell>
          <cell r="E10">
            <v>18940.07</v>
          </cell>
        </row>
        <row r="11">
          <cell r="A11" t="str">
            <v>1.1.02.00</v>
          </cell>
          <cell r="B11" t="str">
            <v>BANCOS</v>
          </cell>
          <cell r="C11">
            <v>7679208.3099999996</v>
          </cell>
          <cell r="E11">
            <v>10934486.800000001</v>
          </cell>
        </row>
        <row r="12">
          <cell r="A12" t="str">
            <v>1.1.02.01</v>
          </cell>
          <cell r="B12" t="str">
            <v>BANCO BISA</v>
          </cell>
          <cell r="C12">
            <v>2920586.41</v>
          </cell>
          <cell r="E12">
            <v>3238897.71</v>
          </cell>
        </row>
        <row r="13">
          <cell r="A13" t="str">
            <v>1.1.02.02</v>
          </cell>
          <cell r="B13" t="str">
            <v>BANCO MERCANTIL</v>
          </cell>
          <cell r="C13">
            <v>-190429.55</v>
          </cell>
          <cell r="E13">
            <v>242170.63</v>
          </cell>
        </row>
        <row r="14">
          <cell r="A14" t="str">
            <v>1.1.02.04</v>
          </cell>
          <cell r="B14" t="str">
            <v>BANCO DE CREDITO</v>
          </cell>
          <cell r="C14">
            <v>199096.63</v>
          </cell>
          <cell r="E14">
            <v>0</v>
          </cell>
        </row>
        <row r="15">
          <cell r="A15" t="str">
            <v>1.1.02.05</v>
          </cell>
          <cell r="B15" t="str">
            <v>BANCO ECONÓMICO</v>
          </cell>
          <cell r="C15">
            <v>94623.33</v>
          </cell>
          <cell r="E15">
            <v>207124.83</v>
          </cell>
        </row>
        <row r="16">
          <cell r="A16" t="str">
            <v>1.1.02.06</v>
          </cell>
          <cell r="B16" t="str">
            <v>BANCO GANADERO</v>
          </cell>
          <cell r="C16">
            <v>-290306.06</v>
          </cell>
          <cell r="E16">
            <v>0</v>
          </cell>
        </row>
        <row r="17">
          <cell r="A17" t="str">
            <v>1.1.02.07</v>
          </cell>
          <cell r="B17" t="str">
            <v>BANCO UNION</v>
          </cell>
          <cell r="C17">
            <v>-167159.42000000001</v>
          </cell>
          <cell r="E17">
            <v>330714.09999999998</v>
          </cell>
        </row>
        <row r="18">
          <cell r="A18" t="str">
            <v>1.1.02.08</v>
          </cell>
          <cell r="B18" t="str">
            <v>BANCO NACIONAL</v>
          </cell>
          <cell r="C18">
            <v>-8111.92</v>
          </cell>
          <cell r="E18">
            <v>40329.129999999997</v>
          </cell>
        </row>
        <row r="19">
          <cell r="A19" t="str">
            <v>1.1.02.10</v>
          </cell>
          <cell r="B19" t="str">
            <v>FONDO DE LA COMUNIDAD</v>
          </cell>
          <cell r="C19">
            <v>106.73</v>
          </cell>
          <cell r="E19">
            <v>49724.639999999999</v>
          </cell>
        </row>
        <row r="20">
          <cell r="A20" t="str">
            <v>1.1.02.11</v>
          </cell>
          <cell r="B20" t="str">
            <v>BANCO FASSIL S.A.</v>
          </cell>
          <cell r="C20">
            <v>0</v>
          </cell>
          <cell r="E20">
            <v>1072.05</v>
          </cell>
        </row>
        <row r="21">
          <cell r="A21" t="str">
            <v>1.1.02.12</v>
          </cell>
          <cell r="B21" t="str">
            <v>BANCO PRODEM S.A.</v>
          </cell>
          <cell r="C21">
            <v>650526.1</v>
          </cell>
          <cell r="E21">
            <v>2125865.9700000002</v>
          </cell>
        </row>
        <row r="22">
          <cell r="A22" t="str">
            <v>1.1.02.13</v>
          </cell>
          <cell r="B22" t="str">
            <v>BANCO FIE</v>
          </cell>
          <cell r="C22">
            <v>4470276.0599999996</v>
          </cell>
          <cell r="E22">
            <v>4696184.8</v>
          </cell>
        </row>
        <row r="23">
          <cell r="A23" t="str">
            <v>1.1.02.15</v>
          </cell>
          <cell r="B23" t="str">
            <v>BANCO FORTALEZA</v>
          </cell>
          <cell r="C23">
            <v>0</v>
          </cell>
          <cell r="E23">
            <v>2402.94</v>
          </cell>
        </row>
        <row r="24">
          <cell r="A24" t="str">
            <v>1.1.03.00</v>
          </cell>
          <cell r="B24" t="str">
            <v>OTRAS INSTITUCIONES FINANCIERAS</v>
          </cell>
          <cell r="C24">
            <v>2.25</v>
          </cell>
          <cell r="E24">
            <v>871.54</v>
          </cell>
        </row>
        <row r="25">
          <cell r="A25" t="str">
            <v>1.1.03.01</v>
          </cell>
          <cell r="B25" t="str">
            <v>CIDRE IFD</v>
          </cell>
          <cell r="C25">
            <v>2.25</v>
          </cell>
          <cell r="E25">
            <v>871.54</v>
          </cell>
        </row>
        <row r="26">
          <cell r="A26" t="str">
            <v>1.2.00.00</v>
          </cell>
          <cell r="B26" t="str">
            <v>ACTIVO EXIGIBLE</v>
          </cell>
          <cell r="C26">
            <v>-6562264.2800000003</v>
          </cell>
          <cell r="E26">
            <v>151740053.16999999</v>
          </cell>
        </row>
        <row r="27">
          <cell r="A27" t="str">
            <v>1.2.01.00</v>
          </cell>
          <cell r="B27" t="str">
            <v>CUENTAS POR COBRAR</v>
          </cell>
          <cell r="C27">
            <v>-5603168.8499999996</v>
          </cell>
          <cell r="E27">
            <v>75940766.129999995</v>
          </cell>
        </row>
        <row r="28">
          <cell r="A28" t="str">
            <v>1.2.01.01</v>
          </cell>
          <cell r="B28" t="str">
            <v>DEUDORES POR PRODUCTOS LOCALES M.N.</v>
          </cell>
          <cell r="C28">
            <v>-1263789.6399999999</v>
          </cell>
          <cell r="E28">
            <v>22601081.329999998</v>
          </cell>
        </row>
        <row r="29">
          <cell r="A29" t="str">
            <v>1.2.01.05</v>
          </cell>
          <cell r="B29" t="str">
            <v>DEUDORES POR PRODUCTOS INTERIOR M.N.</v>
          </cell>
          <cell r="C29">
            <v>-6115265.5300000003</v>
          </cell>
          <cell r="E29">
            <v>44134818.170000002</v>
          </cell>
        </row>
        <row r="30">
          <cell r="A30" t="str">
            <v>1.2.01.13</v>
          </cell>
          <cell r="B30" t="str">
            <v>DEUDORES VARIOS</v>
          </cell>
          <cell r="C30">
            <v>1775886.32</v>
          </cell>
          <cell r="E30">
            <v>9204866.6300000008</v>
          </cell>
        </row>
        <row r="31">
          <cell r="A31" t="str">
            <v>1.2.02.00</v>
          </cell>
          <cell r="B31" t="str">
            <v>CUENTAS CORRIENTES</v>
          </cell>
          <cell r="C31">
            <v>-251076.38</v>
          </cell>
          <cell r="E31">
            <v>66157372.609999999</v>
          </cell>
        </row>
        <row r="32">
          <cell r="A32" t="str">
            <v>1.2.02.01</v>
          </cell>
          <cell r="B32" t="str">
            <v>PROVEEDORES</v>
          </cell>
          <cell r="C32">
            <v>-251076.38</v>
          </cell>
          <cell r="E32">
            <v>66151318.109999999</v>
          </cell>
        </row>
        <row r="33">
          <cell r="A33" t="str">
            <v>1.2.02.02</v>
          </cell>
          <cell r="B33" t="str">
            <v>CONTRATISTAS</v>
          </cell>
          <cell r="C33">
            <v>0</v>
          </cell>
          <cell r="E33">
            <v>6054.5</v>
          </cell>
        </row>
        <row r="34">
          <cell r="A34" t="str">
            <v>1.2.02.05</v>
          </cell>
          <cell r="B34" t="str">
            <v>CREDITO FISCAL IVA</v>
          </cell>
          <cell r="C34">
            <v>0</v>
          </cell>
          <cell r="E34">
            <v>0</v>
          </cell>
        </row>
        <row r="35">
          <cell r="A35" t="str">
            <v>1.2.03.00</v>
          </cell>
          <cell r="B35" t="str">
            <v>DOCUMENTOS POR COBRAR</v>
          </cell>
          <cell r="C35">
            <v>16558.27</v>
          </cell>
          <cell r="E35">
            <v>3922139.8</v>
          </cell>
        </row>
        <row r="36">
          <cell r="A36" t="str">
            <v>1.2.03.03</v>
          </cell>
          <cell r="B36" t="str">
            <v>RECLAMOS EN CURSO</v>
          </cell>
          <cell r="C36">
            <v>86903.58</v>
          </cell>
          <cell r="E36">
            <v>129357.54</v>
          </cell>
        </row>
        <row r="37">
          <cell r="A37" t="str">
            <v>1.2.03.04</v>
          </cell>
          <cell r="B37" t="str">
            <v>OTROS DOCUMENTOS POR COBRAR</v>
          </cell>
          <cell r="C37">
            <v>-70345.31</v>
          </cell>
          <cell r="E37">
            <v>3792782.26</v>
          </cell>
        </row>
        <row r="38">
          <cell r="A38" t="str">
            <v>1.2.04.00</v>
          </cell>
          <cell r="B38" t="str">
            <v>ANTICIPOS Y PRESTAMOS</v>
          </cell>
          <cell r="C38">
            <v>-724577.32</v>
          </cell>
          <cell r="E38">
            <v>5719774.6299999999</v>
          </cell>
        </row>
        <row r="39">
          <cell r="A39" t="str">
            <v>1.2.04.01</v>
          </cell>
          <cell r="B39" t="str">
            <v>ANTICIPOS AL PERSONAL</v>
          </cell>
          <cell r="C39">
            <v>-91</v>
          </cell>
          <cell r="E39">
            <v>123.85</v>
          </cell>
        </row>
        <row r="40">
          <cell r="A40" t="str">
            <v>1.2.04.02</v>
          </cell>
          <cell r="B40" t="str">
            <v>PRESTAMOS AL PERSONAL M.N.</v>
          </cell>
          <cell r="C40">
            <v>-168186.09</v>
          </cell>
          <cell r="E40">
            <v>40976.370000000003</v>
          </cell>
        </row>
        <row r="41">
          <cell r="A41" t="str">
            <v>1.2.04.04</v>
          </cell>
          <cell r="B41" t="str">
            <v>PRESTAMOS EN PRODUCTOS O SERVICIOS</v>
          </cell>
          <cell r="C41">
            <v>-14323.22</v>
          </cell>
          <cell r="E41">
            <v>16800</v>
          </cell>
        </row>
        <row r="42">
          <cell r="A42" t="str">
            <v>1.2.04.05</v>
          </cell>
          <cell r="B42" t="str">
            <v>PRESTAMOS MATERIALES DE ALMACEN</v>
          </cell>
          <cell r="C42">
            <v>711.09</v>
          </cell>
          <cell r="E42">
            <v>6012.45</v>
          </cell>
        </row>
        <row r="43">
          <cell r="A43" t="str">
            <v>1.2.04.06</v>
          </cell>
          <cell r="B43" t="str">
            <v>PAGOS ANTICIPADOS</v>
          </cell>
          <cell r="C43">
            <v>-452069.33</v>
          </cell>
          <cell r="E43">
            <v>5310597.99</v>
          </cell>
        </row>
        <row r="44">
          <cell r="A44" t="str">
            <v>1.2.04.08</v>
          </cell>
          <cell r="B44" t="str">
            <v>DEUDORES CON CARGO DE CUENTA M.N.</v>
          </cell>
          <cell r="C44">
            <v>-90618.77</v>
          </cell>
          <cell r="E44">
            <v>345247.95</v>
          </cell>
        </row>
        <row r="45">
          <cell r="A45" t="str">
            <v>1.2.04.10</v>
          </cell>
          <cell r="B45" t="str">
            <v>PULPERIAS</v>
          </cell>
          <cell r="C45">
            <v>0</v>
          </cell>
          <cell r="E45">
            <v>16.02</v>
          </cell>
        </row>
        <row r="46">
          <cell r="A46" t="str">
            <v>1.3.00.00</v>
          </cell>
          <cell r="B46" t="str">
            <v>ACTIVO REALIZABLE</v>
          </cell>
          <cell r="C46">
            <v>-16425359.27</v>
          </cell>
          <cell r="E46">
            <v>128296714.95999999</v>
          </cell>
        </row>
        <row r="47">
          <cell r="A47" t="str">
            <v>1.3.01.00</v>
          </cell>
          <cell r="B47" t="str">
            <v>EXISTENCIAS</v>
          </cell>
          <cell r="C47">
            <v>-9921967.25</v>
          </cell>
          <cell r="E47">
            <v>45166891.140000001</v>
          </cell>
        </row>
        <row r="48">
          <cell r="A48" t="str">
            <v>1.3.01.01</v>
          </cell>
          <cell r="B48" t="str">
            <v>MATERIA PRIMA E INSUMOS</v>
          </cell>
          <cell r="C48">
            <v>-1736350.32</v>
          </cell>
          <cell r="E48">
            <v>19723618.27</v>
          </cell>
        </row>
        <row r="49">
          <cell r="A49" t="str">
            <v>1.3.01.02</v>
          </cell>
          <cell r="B49" t="str">
            <v>PRODUCTOS EN PROCESO</v>
          </cell>
          <cell r="C49">
            <v>-8125989.4699999997</v>
          </cell>
          <cell r="E49">
            <v>23464367.890000001</v>
          </cell>
        </row>
        <row r="50">
          <cell r="A50" t="str">
            <v>1.3.01.03</v>
          </cell>
          <cell r="B50" t="str">
            <v>PRODUCTOS TERMINADOS</v>
          </cell>
          <cell r="C50">
            <v>-59627.46</v>
          </cell>
          <cell r="E50">
            <v>1978904.98</v>
          </cell>
        </row>
        <row r="51">
          <cell r="A51" t="str">
            <v>1.3.04.00</v>
          </cell>
          <cell r="B51" t="str">
            <v>EXISTENCIA DE MATERIALES</v>
          </cell>
          <cell r="C51">
            <v>-6503392.0199999996</v>
          </cell>
          <cell r="E51">
            <v>83129823.819999993</v>
          </cell>
        </row>
        <row r="52">
          <cell r="A52" t="str">
            <v>1.3.04.01</v>
          </cell>
          <cell r="B52" t="str">
            <v>MATERIALES EN ALMACEN</v>
          </cell>
          <cell r="C52">
            <v>-3803797.91</v>
          </cell>
          <cell r="E52">
            <v>51955391.600000001</v>
          </cell>
        </row>
        <row r="53">
          <cell r="A53" t="str">
            <v>1.3.04.02</v>
          </cell>
          <cell r="B53" t="str">
            <v>ALMACEN - AUXILIAR</v>
          </cell>
          <cell r="C53">
            <v>0</v>
          </cell>
          <cell r="E53">
            <v>8473242.8399999999</v>
          </cell>
        </row>
        <row r="54">
          <cell r="A54" t="str">
            <v>1.3.04.03</v>
          </cell>
          <cell r="B54" t="str">
            <v>PULPERIA IRPA - IRPA</v>
          </cell>
          <cell r="C54">
            <v>234167.3</v>
          </cell>
          <cell r="E54">
            <v>293821.19</v>
          </cell>
        </row>
        <row r="55">
          <cell r="A55" t="str">
            <v>1.3.04.04</v>
          </cell>
          <cell r="B55" t="str">
            <v>MERCADERIAS EN TRANSITO</v>
          </cell>
          <cell r="C55">
            <v>-2732010.26</v>
          </cell>
          <cell r="E55">
            <v>22407368.190000001</v>
          </cell>
        </row>
        <row r="56">
          <cell r="A56" t="str">
            <v>1.3.04.66</v>
          </cell>
          <cell r="B56" t="str">
            <v>CONST. CANAL EMISARIO 8VO. ANILLO SUR</v>
          </cell>
          <cell r="C56">
            <v>-201751.15</v>
          </cell>
          <cell r="E56">
            <v>0</v>
          </cell>
        </row>
        <row r="57">
          <cell r="A57" t="str">
            <v>1.4.00.00</v>
          </cell>
          <cell r="B57" t="str">
            <v>ACTIVO FIJO</v>
          </cell>
          <cell r="C57">
            <v>3794139.09</v>
          </cell>
          <cell r="E57">
            <v>606848758.82000005</v>
          </cell>
        </row>
        <row r="58">
          <cell r="A58" t="str">
            <v>1.4.01.00</v>
          </cell>
          <cell r="B58" t="str">
            <v>BIENES DE USO</v>
          </cell>
          <cell r="C58">
            <v>10537428.289999999</v>
          </cell>
          <cell r="E58">
            <v>1883341804.5699999</v>
          </cell>
        </row>
        <row r="59">
          <cell r="A59" t="str">
            <v>1.4.01.01</v>
          </cell>
          <cell r="B59" t="str">
            <v>TERRENOS</v>
          </cell>
          <cell r="C59">
            <v>663255.27</v>
          </cell>
          <cell r="E59">
            <v>66334686.990000002</v>
          </cell>
        </row>
        <row r="60">
          <cell r="A60" t="str">
            <v>1.4.01.02</v>
          </cell>
          <cell r="B60" t="str">
            <v>EDIFICIOS</v>
          </cell>
          <cell r="C60">
            <v>3864251.04</v>
          </cell>
          <cell r="E60">
            <v>392136716.23000002</v>
          </cell>
        </row>
        <row r="61">
          <cell r="A61" t="str">
            <v>1.4.01.03</v>
          </cell>
          <cell r="B61" t="str">
            <v>MUEBLES Y ENSERES DE OFICINA</v>
          </cell>
          <cell r="C61">
            <v>1372.76</v>
          </cell>
          <cell r="E61">
            <v>4651401.71</v>
          </cell>
        </row>
        <row r="62">
          <cell r="A62" t="str">
            <v>1.4.01.04</v>
          </cell>
          <cell r="B62" t="str">
            <v>MAQUINARIA Y EQUIPO</v>
          </cell>
          <cell r="C62">
            <v>2972020.5</v>
          </cell>
          <cell r="E62">
            <v>710805376.55999994</v>
          </cell>
        </row>
        <row r="63">
          <cell r="A63" t="str">
            <v>1.4.01.05</v>
          </cell>
          <cell r="B63" t="str">
            <v>VEHICULOS</v>
          </cell>
          <cell r="C63">
            <v>7852.91</v>
          </cell>
          <cell r="E63">
            <v>34816621.229999997</v>
          </cell>
        </row>
        <row r="64">
          <cell r="A64" t="str">
            <v>1.4.01.06</v>
          </cell>
          <cell r="B64" t="str">
            <v>MAQUINARIA DE CONSTRUCCION</v>
          </cell>
          <cell r="C64">
            <v>6061.92</v>
          </cell>
          <cell r="E64">
            <v>17525322.359999999</v>
          </cell>
        </row>
        <row r="65">
          <cell r="A65" t="str">
            <v>1.4.01.07</v>
          </cell>
          <cell r="B65" t="str">
            <v>EQUIPO PESADO</v>
          </cell>
          <cell r="C65">
            <v>33843.74</v>
          </cell>
          <cell r="E65">
            <v>122873829.59999999</v>
          </cell>
        </row>
        <row r="66">
          <cell r="A66" t="str">
            <v>1.4.01.08</v>
          </cell>
          <cell r="B66" t="str">
            <v>INSTALACIONES INDUSTRIALES</v>
          </cell>
          <cell r="C66">
            <v>2903441.15</v>
          </cell>
          <cell r="E66">
            <v>483141299.25999999</v>
          </cell>
        </row>
        <row r="67">
          <cell r="A67" t="str">
            <v>1.4.01.09</v>
          </cell>
          <cell r="B67" t="str">
            <v>HERRAMIENTAS E IMPLEMENTOS</v>
          </cell>
          <cell r="C67">
            <v>1784.25</v>
          </cell>
          <cell r="E67">
            <v>19214959.5</v>
          </cell>
        </row>
        <row r="68">
          <cell r="A68" t="str">
            <v>1.4.01.10</v>
          </cell>
          <cell r="B68" t="str">
            <v>TINGLADOS</v>
          </cell>
          <cell r="C68">
            <v>36143.620000000003</v>
          </cell>
          <cell r="E68">
            <v>14630339.68</v>
          </cell>
        </row>
        <row r="69">
          <cell r="A69" t="str">
            <v>1.4.01.11</v>
          </cell>
          <cell r="B69" t="str">
            <v>EQUIPOS DE COMPUTACION</v>
          </cell>
          <cell r="C69">
            <v>10334.56</v>
          </cell>
          <cell r="E69">
            <v>7766486.6100000003</v>
          </cell>
        </row>
        <row r="70">
          <cell r="A70" t="str">
            <v>1.4.01.12</v>
          </cell>
          <cell r="B70" t="str">
            <v>EQUIPOS DE LABORATORIO</v>
          </cell>
          <cell r="C70">
            <v>37066.57</v>
          </cell>
          <cell r="E70">
            <v>9278661.5199999996</v>
          </cell>
        </row>
        <row r="71">
          <cell r="A71" t="str">
            <v>1.4.01.15</v>
          </cell>
          <cell r="B71" t="str">
            <v>CANALES DE RIEGO Y POZOS</v>
          </cell>
          <cell r="C71">
            <v>0</v>
          </cell>
          <cell r="E71">
            <v>166103.32</v>
          </cell>
        </row>
        <row r="72">
          <cell r="A72" t="str">
            <v>1.4.02.00</v>
          </cell>
          <cell r="B72" t="str">
            <v>DEPRECIACION ACUMULADA</v>
          </cell>
          <cell r="C72">
            <v>-6743289.2000000002</v>
          </cell>
          <cell r="E72">
            <v>-1276493045.75</v>
          </cell>
        </row>
        <row r="73">
          <cell r="A73" t="str">
            <v>1.4.02.02</v>
          </cell>
          <cell r="B73" t="str">
            <v>EDIFICIOS</v>
          </cell>
          <cell r="C73">
            <v>-1915280.27</v>
          </cell>
          <cell r="E73">
            <v>-117198716.65000001</v>
          </cell>
        </row>
        <row r="74">
          <cell r="A74" t="str">
            <v>1.4.02.03</v>
          </cell>
          <cell r="B74" t="str">
            <v>MUEBLES Y ENSERES DE OFICINA</v>
          </cell>
          <cell r="C74">
            <v>-2221.61</v>
          </cell>
          <cell r="E74">
            <v>-4622955.99</v>
          </cell>
        </row>
        <row r="75">
          <cell r="A75" t="str">
            <v>1.4.02.04</v>
          </cell>
          <cell r="B75" t="str">
            <v>MAQUINARIA Y EQUIPO</v>
          </cell>
          <cell r="C75">
            <v>-2358123.0299999998</v>
          </cell>
          <cell r="E75">
            <v>-579339981.52999997</v>
          </cell>
        </row>
        <row r="76">
          <cell r="A76" t="str">
            <v>1.4.02.05</v>
          </cell>
          <cell r="B76" t="str">
            <v>VEHICULOS</v>
          </cell>
          <cell r="C76">
            <v>-16635.11</v>
          </cell>
          <cell r="E76">
            <v>-34398872.25</v>
          </cell>
        </row>
        <row r="77">
          <cell r="A77" t="str">
            <v>1.4.02.06</v>
          </cell>
          <cell r="B77" t="str">
            <v>MAQUINARIA DE CONSTRUCCION</v>
          </cell>
          <cell r="C77">
            <v>-9841.98</v>
          </cell>
          <cell r="E77">
            <v>-17278077.649999999</v>
          </cell>
        </row>
        <row r="78">
          <cell r="A78" t="str">
            <v>1.4.02.07</v>
          </cell>
          <cell r="B78" t="str">
            <v>EQUIPO PESADO</v>
          </cell>
          <cell r="C78">
            <v>-55055.49</v>
          </cell>
          <cell r="E78">
            <v>-121504192.54000001</v>
          </cell>
        </row>
        <row r="79">
          <cell r="A79" t="str">
            <v>1.4.02.08</v>
          </cell>
          <cell r="B79" t="str">
            <v>INSTALACIONES INDUSTRIALES</v>
          </cell>
          <cell r="C79">
            <v>-2232844</v>
          </cell>
          <cell r="E79">
            <v>-353608937.88</v>
          </cell>
        </row>
        <row r="80">
          <cell r="A80" t="str">
            <v>1.4.02.09</v>
          </cell>
          <cell r="B80" t="str">
            <v>HERRAMIENTAS E IMPLEMENTOS</v>
          </cell>
          <cell r="C80">
            <v>-4701.8900000000003</v>
          </cell>
          <cell r="E80">
            <v>-19138654.91</v>
          </cell>
        </row>
        <row r="81">
          <cell r="A81" t="str">
            <v>1.4.02.10</v>
          </cell>
          <cell r="B81" t="str">
            <v>TINGLADOS</v>
          </cell>
          <cell r="C81">
            <v>-61042.36</v>
          </cell>
          <cell r="E81">
            <v>-14132556.449999999</v>
          </cell>
        </row>
        <row r="82">
          <cell r="A82" t="str">
            <v>1.4.02.11</v>
          </cell>
          <cell r="B82" t="str">
            <v>EQUIPOS DE COMPUTACION</v>
          </cell>
          <cell r="C82">
            <v>-26400.98</v>
          </cell>
          <cell r="E82">
            <v>-7240967.2000000002</v>
          </cell>
        </row>
        <row r="83">
          <cell r="A83" t="str">
            <v>1.4.02.12</v>
          </cell>
          <cell r="B83" t="str">
            <v>EQUIPOS DE LABORATORIO</v>
          </cell>
          <cell r="C83">
            <v>-61142.48</v>
          </cell>
          <cell r="E83">
            <v>-7863029.3799999999</v>
          </cell>
        </row>
        <row r="84">
          <cell r="A84" t="str">
            <v>1.4.02.15</v>
          </cell>
          <cell r="B84" t="str">
            <v>CANALES DE RIEGO Y POZOS</v>
          </cell>
          <cell r="C84">
            <v>0</v>
          </cell>
          <cell r="E84">
            <v>-166103.32</v>
          </cell>
        </row>
        <row r="85">
          <cell r="A85" t="str">
            <v>1.5.00.00</v>
          </cell>
          <cell r="B85" t="str">
            <v>INVERSIONES</v>
          </cell>
          <cell r="C85">
            <v>0</v>
          </cell>
          <cell r="E85">
            <v>28976725</v>
          </cell>
        </row>
        <row r="86">
          <cell r="A86" t="str">
            <v>1.5.02.00</v>
          </cell>
          <cell r="B86" t="str">
            <v>OTRAS INVERSIONES</v>
          </cell>
          <cell r="C86">
            <v>0</v>
          </cell>
          <cell r="E86">
            <v>28976725</v>
          </cell>
        </row>
        <row r="87">
          <cell r="A87" t="str">
            <v>1.5.02.01</v>
          </cell>
          <cell r="B87" t="str">
            <v>ACCIONES</v>
          </cell>
          <cell r="C87">
            <v>0</v>
          </cell>
          <cell r="E87">
            <v>28575904.989999998</v>
          </cell>
        </row>
        <row r="88">
          <cell r="A88" t="str">
            <v>1.5.02.03</v>
          </cell>
          <cell r="B88" t="str">
            <v>LINEAS TELEFONICAS</v>
          </cell>
          <cell r="C88">
            <v>0</v>
          </cell>
          <cell r="E88">
            <v>261000</v>
          </cell>
        </row>
        <row r="89">
          <cell r="A89" t="str">
            <v>1.5.02.05</v>
          </cell>
          <cell r="B89" t="str">
            <v>OTRAS INVERSIONES</v>
          </cell>
          <cell r="C89">
            <v>0</v>
          </cell>
          <cell r="E89">
            <v>139820.01</v>
          </cell>
        </row>
        <row r="90">
          <cell r="A90" t="str">
            <v>1.6.00.00</v>
          </cell>
          <cell r="B90" t="str">
            <v>OTROS ACTIVOS</v>
          </cell>
          <cell r="C90">
            <v>19914059.670000002</v>
          </cell>
          <cell r="E90">
            <v>245738275.00999999</v>
          </cell>
        </row>
        <row r="91">
          <cell r="A91" t="str">
            <v>1.6.01.00</v>
          </cell>
          <cell r="B91" t="str">
            <v>DOCUMENTOS POR COBRAR A LARGO PLAZO</v>
          </cell>
          <cell r="C91">
            <v>16145291.91</v>
          </cell>
          <cell r="E91">
            <v>59638926.549999997</v>
          </cell>
        </row>
        <row r="92">
          <cell r="A92" t="str">
            <v>1.6.01.02</v>
          </cell>
          <cell r="B92" t="str">
            <v>CREDITOS M.E.</v>
          </cell>
          <cell r="C92">
            <v>13824444.35</v>
          </cell>
          <cell r="E92">
            <v>47772828.630000003</v>
          </cell>
        </row>
        <row r="93">
          <cell r="A93" t="str">
            <v>1.6.01.04</v>
          </cell>
          <cell r="B93" t="str">
            <v>DOCUMENTOS EN EJECUCION</v>
          </cell>
          <cell r="C93">
            <v>2320847.56</v>
          </cell>
          <cell r="E93">
            <v>11866097.92</v>
          </cell>
        </row>
        <row r="94">
          <cell r="A94" t="str">
            <v>1.6.01.05</v>
          </cell>
          <cell r="B94" t="str">
            <v>CUENTAS INCOBRABLES</v>
          </cell>
          <cell r="C94">
            <v>0</v>
          </cell>
          <cell r="E94">
            <v>3212209.75</v>
          </cell>
        </row>
        <row r="95">
          <cell r="A95" t="str">
            <v>1.6.01.06</v>
          </cell>
          <cell r="B95" t="str">
            <v>(PREVISION CUENTAS INCOBRABLES)</v>
          </cell>
          <cell r="C95">
            <v>0</v>
          </cell>
          <cell r="E95">
            <v>-3212209.75</v>
          </cell>
        </row>
        <row r="96">
          <cell r="A96" t="str">
            <v>1.6.02.00</v>
          </cell>
          <cell r="B96" t="str">
            <v>OBRAS EN EJECUCIÓN</v>
          </cell>
          <cell r="C96">
            <v>341844.62</v>
          </cell>
          <cell r="E96">
            <v>17212149.670000002</v>
          </cell>
        </row>
        <row r="97">
          <cell r="A97" t="str">
            <v>1.6.02.01</v>
          </cell>
          <cell r="B97" t="str">
            <v>AMPLIACIONES</v>
          </cell>
          <cell r="C97">
            <v>341844.62</v>
          </cell>
          <cell r="E97">
            <v>17212149.670000002</v>
          </cell>
        </row>
        <row r="98">
          <cell r="A98" t="str">
            <v>1.6.04.00</v>
          </cell>
          <cell r="B98" t="str">
            <v>BIENES ARRENDADOS</v>
          </cell>
          <cell r="C98">
            <v>-221314.24</v>
          </cell>
          <cell r="E98">
            <v>1947226.38</v>
          </cell>
        </row>
        <row r="99">
          <cell r="A99" t="str">
            <v>1.6.04.01</v>
          </cell>
          <cell r="B99" t="str">
            <v>VALOR DE ARRENDAMIENTO</v>
          </cell>
          <cell r="C99">
            <v>-221314.24</v>
          </cell>
          <cell r="E99">
            <v>1947226.38</v>
          </cell>
        </row>
        <row r="100">
          <cell r="A100" t="str">
            <v>1.6.05.00</v>
          </cell>
          <cell r="B100" t="str">
            <v>DIVERSOS</v>
          </cell>
          <cell r="C100">
            <v>9982.61</v>
          </cell>
          <cell r="E100">
            <v>17817150.219999999</v>
          </cell>
        </row>
        <row r="101">
          <cell r="A101" t="str">
            <v>1.6.05.01</v>
          </cell>
          <cell r="B101" t="str">
            <v>REPUESTOS EN ALMACEN</v>
          </cell>
          <cell r="C101">
            <v>9982.61</v>
          </cell>
          <cell r="E101">
            <v>17628129.98</v>
          </cell>
        </row>
        <row r="102">
          <cell r="A102" t="str">
            <v>1.6.05.02</v>
          </cell>
          <cell r="B102" t="str">
            <v>LIBROS Y BIBLIOTECAS</v>
          </cell>
          <cell r="C102">
            <v>0</v>
          </cell>
          <cell r="E102">
            <v>189020.24</v>
          </cell>
        </row>
        <row r="103">
          <cell r="A103" t="str">
            <v>1.6.06.00</v>
          </cell>
          <cell r="B103" t="str">
            <v>CUENTAS CORRIENTES UNIDADES</v>
          </cell>
          <cell r="C103">
            <v>3638254.77</v>
          </cell>
          <cell r="E103">
            <v>149122822.19</v>
          </cell>
        </row>
        <row r="104">
          <cell r="A104" t="str">
            <v>1.6.06.01</v>
          </cell>
          <cell r="B104" t="str">
            <v>LIMITADA</v>
          </cell>
          <cell r="C104">
            <v>-2464182.89</v>
          </cell>
          <cell r="E104">
            <v>128613265.59</v>
          </cell>
        </row>
        <row r="105">
          <cell r="A105" t="str">
            <v>1.6.06.03</v>
          </cell>
          <cell r="B105" t="str">
            <v>CERAMIL</v>
          </cell>
          <cell r="C105">
            <v>1556486.14</v>
          </cell>
          <cell r="E105">
            <v>10401922.189999999</v>
          </cell>
        </row>
        <row r="106">
          <cell r="A106" t="str">
            <v>1.6.06.04</v>
          </cell>
          <cell r="B106" t="str">
            <v>HORMIGON</v>
          </cell>
          <cell r="C106">
            <v>3060549.82</v>
          </cell>
          <cell r="E106">
            <v>5464100.5700000003</v>
          </cell>
        </row>
        <row r="107">
          <cell r="A107" t="str">
            <v>1.6.06.05</v>
          </cell>
          <cell r="B107" t="str">
            <v>CONSTRUCCIONES</v>
          </cell>
          <cell r="C107">
            <v>750611.38</v>
          </cell>
          <cell r="E107">
            <v>2840914.53</v>
          </cell>
        </row>
        <row r="108">
          <cell r="A108" t="str">
            <v>1.6.06.06</v>
          </cell>
          <cell r="B108" t="str">
            <v>CERAMICA</v>
          </cell>
          <cell r="C108">
            <v>238922.65</v>
          </cell>
          <cell r="E108">
            <v>870016.88</v>
          </cell>
        </row>
        <row r="109">
          <cell r="A109" t="str">
            <v>1.6.06.07</v>
          </cell>
          <cell r="B109" t="str">
            <v>METAL</v>
          </cell>
          <cell r="C109">
            <v>235935.09</v>
          </cell>
          <cell r="E109">
            <v>522438.01</v>
          </cell>
        </row>
        <row r="110">
          <cell r="A110" t="str">
            <v>1.6.06.08</v>
          </cell>
          <cell r="B110" t="str">
            <v>COBOCE EDITORA OPINION</v>
          </cell>
          <cell r="C110">
            <v>259932.58</v>
          </cell>
          <cell r="E110">
            <v>410164.42</v>
          </cell>
        </row>
        <row r="111">
          <cell r="A111" t="str">
            <v>1.7.00.00</v>
          </cell>
          <cell r="B111" t="str">
            <v>ACTIVOS DIFERIDOS</v>
          </cell>
          <cell r="C111">
            <v>-131075.42000000001</v>
          </cell>
          <cell r="E111">
            <v>15549164.27</v>
          </cell>
        </row>
        <row r="112">
          <cell r="A112" t="str">
            <v>1.7.01.00</v>
          </cell>
          <cell r="B112" t="str">
            <v>ACTIVOS RETIRADOS</v>
          </cell>
          <cell r="C112">
            <v>0</v>
          </cell>
          <cell r="E112">
            <v>3580102.51</v>
          </cell>
        </row>
        <row r="113">
          <cell r="A113" t="str">
            <v>1.7.01.01</v>
          </cell>
          <cell r="B113" t="str">
            <v>BIENES DE USO RETIRADOS</v>
          </cell>
          <cell r="C113">
            <v>0</v>
          </cell>
          <cell r="E113">
            <v>3580102.51</v>
          </cell>
        </row>
        <row r="114">
          <cell r="A114" t="str">
            <v>1.7.02.00</v>
          </cell>
          <cell r="B114" t="str">
            <v>GASTOS DIFERIDOS</v>
          </cell>
          <cell r="C114">
            <v>-131075.42000000001</v>
          </cell>
          <cell r="E114">
            <v>11969061.76</v>
          </cell>
        </row>
        <row r="115">
          <cell r="A115" t="str">
            <v>1.7.02.01</v>
          </cell>
          <cell r="B115" t="str">
            <v>GASTOS DE ORGANIZACION Y PUESTA EN MARCH</v>
          </cell>
          <cell r="C115">
            <v>2558117.73</v>
          </cell>
          <cell r="E115">
            <v>7458590.3300000001</v>
          </cell>
        </row>
        <row r="116">
          <cell r="A116" t="str">
            <v>1.7.02.02</v>
          </cell>
          <cell r="B116" t="str">
            <v>GASTOS DE PRODUCCIÓN Y MANTENIMIENTO</v>
          </cell>
          <cell r="C116">
            <v>-2660723.81</v>
          </cell>
          <cell r="E116">
            <v>0</v>
          </cell>
        </row>
        <row r="117">
          <cell r="A117" t="str">
            <v>1.7.02.05</v>
          </cell>
          <cell r="B117" t="str">
            <v>VARIOS</v>
          </cell>
          <cell r="C117">
            <v>-28469.34</v>
          </cell>
          <cell r="E117">
            <v>4510471.43</v>
          </cell>
        </row>
        <row r="118">
          <cell r="A118" t="str">
            <v>2.0.00.00</v>
          </cell>
          <cell r="B118" t="str">
            <v>PASIVO</v>
          </cell>
          <cell r="C118">
            <v>-10862693.48</v>
          </cell>
          <cell r="E118">
            <v>-1202082977.2</v>
          </cell>
        </row>
        <row r="119">
          <cell r="A119" t="str">
            <v>2.1.00.00</v>
          </cell>
          <cell r="B119" t="str">
            <v>PASIVO CORRIENTE</v>
          </cell>
          <cell r="C119">
            <v>-54145140.119999997</v>
          </cell>
          <cell r="E119">
            <v>-185466510.41999999</v>
          </cell>
        </row>
        <row r="120">
          <cell r="A120" t="str">
            <v>2.1.01.00</v>
          </cell>
          <cell r="B120" t="str">
            <v>DEUDAS COMERCIALES</v>
          </cell>
          <cell r="C120">
            <v>954781.66</v>
          </cell>
          <cell r="E120">
            <v>-77121055.799999997</v>
          </cell>
        </row>
        <row r="121">
          <cell r="A121" t="str">
            <v>2.1.01.01</v>
          </cell>
          <cell r="B121" t="str">
            <v>PROVEEDORES</v>
          </cell>
          <cell r="C121">
            <v>-1135402.6599999999</v>
          </cell>
          <cell r="E121">
            <v>-69774950.879999995</v>
          </cell>
        </row>
        <row r="122">
          <cell r="A122" t="str">
            <v>2.1.01.03</v>
          </cell>
          <cell r="B122" t="str">
            <v>TRANSPORTISTAS</v>
          </cell>
          <cell r="C122">
            <v>2351673.77</v>
          </cell>
          <cell r="E122">
            <v>-2860831.68</v>
          </cell>
        </row>
        <row r="123">
          <cell r="A123" t="str">
            <v>2.1.01.04</v>
          </cell>
          <cell r="B123" t="str">
            <v>ACREEDORES VARIOS</v>
          </cell>
          <cell r="C123">
            <v>-261489.45</v>
          </cell>
          <cell r="E123">
            <v>-4167849.38</v>
          </cell>
        </row>
        <row r="124">
          <cell r="A124" t="str">
            <v>2.1.01.09</v>
          </cell>
          <cell r="B124" t="str">
            <v>ACREEDORES POR DEPOSITOS EN GARANTIA</v>
          </cell>
          <cell r="C124">
            <v>0</v>
          </cell>
          <cell r="E124">
            <v>-47575.86</v>
          </cell>
        </row>
        <row r="125">
          <cell r="A125" t="str">
            <v>2.1.01.65</v>
          </cell>
          <cell r="B125" t="str">
            <v>PROVEEDORES AEROPUERTO POTOSI</v>
          </cell>
          <cell r="C125">
            <v>0</v>
          </cell>
          <cell r="E125">
            <v>-269848</v>
          </cell>
        </row>
        <row r="126">
          <cell r="A126" t="str">
            <v>2.1.02.00</v>
          </cell>
          <cell r="B126" t="str">
            <v>DOCUMENTOS POR PAGAR</v>
          </cell>
          <cell r="C126">
            <v>2623159.7999999998</v>
          </cell>
          <cell r="E126">
            <v>-3097670.09</v>
          </cell>
        </row>
        <row r="127">
          <cell r="A127" t="str">
            <v>2.1.02.02</v>
          </cell>
          <cell r="B127" t="str">
            <v>BANCARIOS</v>
          </cell>
          <cell r="C127">
            <v>218995.02</v>
          </cell>
          <cell r="E127">
            <v>-2238191.12</v>
          </cell>
        </row>
        <row r="128">
          <cell r="A128" t="str">
            <v>2.1.02.03</v>
          </cell>
          <cell r="B128" t="str">
            <v>CONTRATOS</v>
          </cell>
          <cell r="C128">
            <v>2254164.7799999998</v>
          </cell>
          <cell r="E128">
            <v>-699007.8</v>
          </cell>
        </row>
        <row r="129">
          <cell r="A129" t="str">
            <v>2.1.02.04</v>
          </cell>
          <cell r="B129" t="str">
            <v>OTROS DOCUMENTOS</v>
          </cell>
          <cell r="C129">
            <v>150000</v>
          </cell>
          <cell r="E129">
            <v>-160471.17000000001</v>
          </cell>
        </row>
        <row r="130">
          <cell r="A130" t="str">
            <v>2.1.04.00</v>
          </cell>
          <cell r="B130" t="str">
            <v>OBLIGACIONES FINANCIERAS A CORTO PLAZO</v>
          </cell>
          <cell r="C130">
            <v>-51878707.759999998</v>
          </cell>
          <cell r="E130">
            <v>-55901487.469999999</v>
          </cell>
        </row>
        <row r="131">
          <cell r="A131" t="str">
            <v>2.1.04.01</v>
          </cell>
          <cell r="B131" t="str">
            <v>OBLIGACIONES POR CAPITAL</v>
          </cell>
          <cell r="C131">
            <v>-50946360</v>
          </cell>
          <cell r="E131">
            <v>-52990929.439999998</v>
          </cell>
        </row>
        <row r="132">
          <cell r="A132" t="str">
            <v>2.1.04.02</v>
          </cell>
          <cell r="B132" t="str">
            <v>OBLIGACIONES POR INTERESES</v>
          </cell>
          <cell r="C132">
            <v>-932347.76</v>
          </cell>
          <cell r="E132">
            <v>-2910558.03</v>
          </cell>
        </row>
        <row r="133">
          <cell r="A133" t="str">
            <v>2.1.05.00</v>
          </cell>
          <cell r="B133" t="str">
            <v>IMPUESTOS POR PAGAR</v>
          </cell>
          <cell r="C133">
            <v>1</v>
          </cell>
          <cell r="E133">
            <v>0</v>
          </cell>
        </row>
        <row r="134">
          <cell r="A134" t="str">
            <v>2.1.05.01</v>
          </cell>
          <cell r="B134" t="str">
            <v>IMPUESTO AL VALOR AGREGADO (DEBITO FISCA</v>
          </cell>
          <cell r="C134">
            <v>0</v>
          </cell>
          <cell r="E134">
            <v>0</v>
          </cell>
        </row>
        <row r="135">
          <cell r="A135" t="str">
            <v>2.1.05.03</v>
          </cell>
          <cell r="B135" t="str">
            <v>IMPUESTO AL REGIMEN COMPLEMENTARIO</v>
          </cell>
          <cell r="C135">
            <v>0</v>
          </cell>
          <cell r="E135">
            <v>0</v>
          </cell>
        </row>
        <row r="136">
          <cell r="A136" t="str">
            <v>2.1.05.04</v>
          </cell>
          <cell r="B136" t="str">
            <v>RETENCION EN LA FUENTE</v>
          </cell>
          <cell r="C136">
            <v>0</v>
          </cell>
          <cell r="E136">
            <v>0</v>
          </cell>
        </row>
        <row r="137">
          <cell r="A137" t="str">
            <v>2.1.05.09</v>
          </cell>
          <cell r="B137" t="str">
            <v>REGALIAS MINERAS</v>
          </cell>
          <cell r="C137">
            <v>1</v>
          </cell>
          <cell r="E137">
            <v>0</v>
          </cell>
        </row>
        <row r="138">
          <cell r="A138" t="str">
            <v>2.1.06.00</v>
          </cell>
          <cell r="B138" t="str">
            <v>OBLIGACIONES POR PAGAR</v>
          </cell>
          <cell r="C138">
            <v>-2166390.61</v>
          </cell>
          <cell r="E138">
            <v>-22520089.329999998</v>
          </cell>
        </row>
        <row r="139">
          <cell r="A139" t="str">
            <v>2.1.06.01</v>
          </cell>
          <cell r="B139" t="str">
            <v>SUELDOS Y JORNALES POR PAGAR</v>
          </cell>
          <cell r="C139">
            <v>-566016.04</v>
          </cell>
          <cell r="E139">
            <v>-10709882.439999999</v>
          </cell>
        </row>
        <row r="140">
          <cell r="A140" t="str">
            <v>2.1.06.02</v>
          </cell>
          <cell r="B140" t="str">
            <v>AGUINALDOS Y PRIMAS POR PAGAR</v>
          </cell>
          <cell r="C140">
            <v>0</v>
          </cell>
          <cell r="E140">
            <v>-100838.3</v>
          </cell>
        </row>
        <row r="141">
          <cell r="A141" t="str">
            <v>2.1.06.04</v>
          </cell>
          <cell r="B141" t="str">
            <v>FINIQUITOS POR PAGAR</v>
          </cell>
          <cell r="C141">
            <v>425744.09</v>
          </cell>
          <cell r="E141">
            <v>-93507.63</v>
          </cell>
        </row>
        <row r="142">
          <cell r="A142" t="str">
            <v>2.1.06.06</v>
          </cell>
          <cell r="B142" t="str">
            <v>AGUINALDOS Y PRIMAS NO RECLAMADOS</v>
          </cell>
          <cell r="C142">
            <v>-396712.59</v>
          </cell>
          <cell r="E142">
            <v>-770657.13</v>
          </cell>
        </row>
        <row r="143">
          <cell r="A143" t="str">
            <v>2.1.06.07</v>
          </cell>
          <cell r="B143" t="str">
            <v>APORTES Y RETENCIONES POR PAGAR</v>
          </cell>
          <cell r="C143">
            <v>-1640785.07</v>
          </cell>
          <cell r="E143">
            <v>-10424409.210000001</v>
          </cell>
        </row>
        <row r="144">
          <cell r="A144" t="str">
            <v>2.1.06.08</v>
          </cell>
          <cell r="B144" t="str">
            <v>RETENCIONES JUDICIALES</v>
          </cell>
          <cell r="C144">
            <v>11379</v>
          </cell>
          <cell r="E144">
            <v>-420794.62</v>
          </cell>
        </row>
        <row r="145">
          <cell r="A145" t="str">
            <v>2.1.07.00</v>
          </cell>
          <cell r="B145" t="str">
            <v>PROVISIONES</v>
          </cell>
          <cell r="C145">
            <v>-3378581</v>
          </cell>
          <cell r="E145">
            <v>-12003839.960000001</v>
          </cell>
        </row>
        <row r="146">
          <cell r="A146" t="str">
            <v>2.1.07.01</v>
          </cell>
          <cell r="B146" t="str">
            <v>AGUINALDOS</v>
          </cell>
          <cell r="C146">
            <v>-744056.58</v>
          </cell>
          <cell r="E146">
            <v>-2504640.1</v>
          </cell>
        </row>
        <row r="147">
          <cell r="A147" t="str">
            <v>2.1.07.03</v>
          </cell>
          <cell r="B147" t="str">
            <v>OTROS</v>
          </cell>
          <cell r="C147">
            <v>-2634524.42</v>
          </cell>
          <cell r="E147">
            <v>-9499199.8599999994</v>
          </cell>
        </row>
        <row r="148">
          <cell r="A148" t="str">
            <v>2.1.08.00</v>
          </cell>
          <cell r="B148" t="str">
            <v>COBROS POR ADELANTADO</v>
          </cell>
          <cell r="C148">
            <v>-299403.21000000002</v>
          </cell>
          <cell r="E148">
            <v>-14822367.77</v>
          </cell>
        </row>
        <row r="149">
          <cell r="A149" t="str">
            <v>2.1.08.01</v>
          </cell>
          <cell r="B149" t="str">
            <v>CLIENTES LOCALES</v>
          </cell>
          <cell r="C149">
            <v>-252246.81</v>
          </cell>
          <cell r="E149">
            <v>-1932131.99</v>
          </cell>
        </row>
        <row r="150">
          <cell r="A150" t="str">
            <v>2.1.08.02</v>
          </cell>
          <cell r="B150" t="str">
            <v>CLIENTES INTERIOR</v>
          </cell>
          <cell r="C150">
            <v>-47156.4</v>
          </cell>
          <cell r="E150">
            <v>-12890235.779999999</v>
          </cell>
        </row>
        <row r="151">
          <cell r="A151" t="str">
            <v>2.2.00.00</v>
          </cell>
          <cell r="B151" t="str">
            <v>PASIVO NO CORRIENTE</v>
          </cell>
          <cell r="C151">
            <v>48191758.710000001</v>
          </cell>
          <cell r="E151">
            <v>-525637056.14999998</v>
          </cell>
        </row>
        <row r="152">
          <cell r="A152" t="str">
            <v>2.2.01.00</v>
          </cell>
          <cell r="B152" t="str">
            <v>OBLIGACIONES FINANCIERAS A LARGO PLAZO</v>
          </cell>
          <cell r="C152">
            <v>53639501.07</v>
          </cell>
          <cell r="E152">
            <v>-204507293.19</v>
          </cell>
        </row>
        <row r="153">
          <cell r="A153" t="str">
            <v>2.2.01.01</v>
          </cell>
          <cell r="B153" t="str">
            <v>OBLIGACIONES POR CAPITAL</v>
          </cell>
          <cell r="C153">
            <v>51251415.380000003</v>
          </cell>
          <cell r="E153">
            <v>-196565351.77000001</v>
          </cell>
        </row>
        <row r="154">
          <cell r="A154" t="str">
            <v>2.2.01.03</v>
          </cell>
          <cell r="B154" t="str">
            <v>OBLIGACIONES POR INTERESES LP</v>
          </cell>
          <cell r="C154">
            <v>2388085.69</v>
          </cell>
          <cell r="E154">
            <v>-7941941.4199999999</v>
          </cell>
        </row>
        <row r="155">
          <cell r="A155" t="str">
            <v>2.2.02.00</v>
          </cell>
          <cell r="B155" t="str">
            <v>PREVISIONES</v>
          </cell>
          <cell r="C155">
            <v>-1110859.56</v>
          </cell>
          <cell r="E155">
            <v>-52779691.670000002</v>
          </cell>
        </row>
        <row r="156">
          <cell r="A156" t="str">
            <v>2.2.02.01</v>
          </cell>
          <cell r="B156" t="str">
            <v>PREVISIONES BENEFICIOS SOCIALES</v>
          </cell>
          <cell r="C156">
            <v>-1110859.56</v>
          </cell>
          <cell r="E156">
            <v>-52722708.990000002</v>
          </cell>
        </row>
        <row r="157">
          <cell r="A157" t="str">
            <v>2.2.02.02</v>
          </cell>
          <cell r="B157" t="str">
            <v>OTRAS PREVISIONES</v>
          </cell>
          <cell r="C157">
            <v>0</v>
          </cell>
          <cell r="E157">
            <v>-56982.68</v>
          </cell>
        </row>
        <row r="158">
          <cell r="A158" t="str">
            <v>2.2.03.00</v>
          </cell>
          <cell r="B158" t="str">
            <v>OTROS PASIVOS NO CORRIENTES</v>
          </cell>
          <cell r="C158">
            <v>-49173.02</v>
          </cell>
          <cell r="E158">
            <v>-733017.78</v>
          </cell>
        </row>
        <row r="159">
          <cell r="A159" t="str">
            <v>2.2.03.05</v>
          </cell>
          <cell r="B159" t="str">
            <v>CREDITOS DIFERIDOS</v>
          </cell>
          <cell r="C159">
            <v>-49173.02</v>
          </cell>
          <cell r="E159">
            <v>-733017.78</v>
          </cell>
        </row>
        <row r="160">
          <cell r="A160" t="str">
            <v>2.2.04.00</v>
          </cell>
          <cell r="B160" t="str">
            <v>CUENTAS CORRIENTES. UNIDADES.</v>
          </cell>
          <cell r="C160">
            <v>-4287709.78</v>
          </cell>
          <cell r="E160">
            <v>-267617053.50999999</v>
          </cell>
        </row>
        <row r="161">
          <cell r="A161" t="str">
            <v>2.2.04.01</v>
          </cell>
          <cell r="B161" t="str">
            <v>LIMITADA</v>
          </cell>
          <cell r="C161">
            <v>-4312404.42</v>
          </cell>
          <cell r="E161">
            <v>-260267303.15000001</v>
          </cell>
        </row>
        <row r="162">
          <cell r="A162" t="str">
            <v>2.2.04.04</v>
          </cell>
          <cell r="B162" t="str">
            <v>HORMIGON</v>
          </cell>
          <cell r="C162">
            <v>289751.14</v>
          </cell>
          <cell r="E162">
            <v>-570558.86</v>
          </cell>
        </row>
        <row r="163">
          <cell r="A163" t="str">
            <v>2.2.04.05</v>
          </cell>
          <cell r="B163" t="str">
            <v>CONSTRUCCIONES</v>
          </cell>
          <cell r="C163">
            <v>0</v>
          </cell>
          <cell r="E163">
            <v>-4749325.95</v>
          </cell>
        </row>
        <row r="164">
          <cell r="A164" t="str">
            <v>2.2.04.06</v>
          </cell>
          <cell r="B164" t="str">
            <v>CERAMICA</v>
          </cell>
          <cell r="C164">
            <v>-528189.88</v>
          </cell>
          <cell r="E164">
            <v>-919651.21</v>
          </cell>
        </row>
        <row r="165">
          <cell r="A165" t="str">
            <v>2.2.04.07</v>
          </cell>
          <cell r="B165" t="str">
            <v>METAL</v>
          </cell>
          <cell r="C165">
            <v>272390.38</v>
          </cell>
          <cell r="E165">
            <v>-1005825.05</v>
          </cell>
        </row>
        <row r="166">
          <cell r="A166" t="str">
            <v>2.2.04.08</v>
          </cell>
          <cell r="B166" t="str">
            <v>COBOCE EDITORA OPINION</v>
          </cell>
          <cell r="C166">
            <v>-9257</v>
          </cell>
          <cell r="E166">
            <v>-104389.29</v>
          </cell>
        </row>
        <row r="167">
          <cell r="A167" t="str">
            <v>2.4.00.00</v>
          </cell>
          <cell r="B167" t="str">
            <v>PATRIMONIO</v>
          </cell>
          <cell r="C167">
            <v>-4909312.07</v>
          </cell>
          <cell r="E167">
            <v>-490979410.63</v>
          </cell>
        </row>
        <row r="168">
          <cell r="A168" t="str">
            <v>2.4.01.00</v>
          </cell>
          <cell r="B168" t="str">
            <v>FONDO SOCIAL</v>
          </cell>
          <cell r="C168">
            <v>-4909312.07</v>
          </cell>
          <cell r="E168">
            <v>-490979410.63</v>
          </cell>
        </row>
        <row r="169">
          <cell r="A169" t="str">
            <v>2.4.01.01</v>
          </cell>
          <cell r="B169" t="str">
            <v>FONDO SOCIAL UNIDADES</v>
          </cell>
          <cell r="C169">
            <v>-4909312.07</v>
          </cell>
          <cell r="E169">
            <v>-490979410.63</v>
          </cell>
        </row>
        <row r="170">
          <cell r="A170" t="str">
            <v>2.9.01.01</v>
          </cell>
          <cell r="B170" t="str">
            <v>CUENTAS DE ORDEN DEBITOS</v>
          </cell>
          <cell r="C170">
            <v>-8089751.5199999996</v>
          </cell>
          <cell r="E170">
            <v>44638661.009999998</v>
          </cell>
        </row>
        <row r="171">
          <cell r="A171" t="str">
            <v>2.9.01.02</v>
          </cell>
          <cell r="B171" t="str">
            <v>CUENTAS DE ORDEN CREDITOS</v>
          </cell>
          <cell r="C171">
            <v>8089751.5199999996</v>
          </cell>
          <cell r="E171">
            <v>-44638661.009999998</v>
          </cell>
        </row>
        <row r="172">
          <cell r="A172" t="str">
            <v>***TOTAL UTILIDAD(+)/PERDIDA(-)***</v>
          </cell>
          <cell r="C172">
            <v>-2711318.2</v>
          </cell>
          <cell r="E172">
            <v>-13002227.060000001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1185192302.24</v>
          </cell>
        </row>
        <row r="9">
          <cell r="A9">
            <v>1100000000</v>
          </cell>
          <cell r="B9" t="str">
            <v>ACTIVO DISPONIBLE</v>
          </cell>
          <cell r="C9">
            <v>12086234.789999999</v>
          </cell>
        </row>
        <row r="10">
          <cell r="A10">
            <v>1101000000</v>
          </cell>
          <cell r="B10" t="str">
            <v>CAJA</v>
          </cell>
          <cell r="C10">
            <v>5020219</v>
          </cell>
        </row>
        <row r="11">
          <cell r="A11">
            <v>1101010000</v>
          </cell>
          <cell r="B11" t="str">
            <v>CAJA GENERAL MONEDA NACIONAL</v>
          </cell>
          <cell r="C11">
            <v>4861319</v>
          </cell>
        </row>
        <row r="12">
          <cell r="A12">
            <v>1101030000</v>
          </cell>
          <cell r="B12" t="str">
            <v>CAJA CHICA MONEDA NACIONAL</v>
          </cell>
          <cell r="C12">
            <v>158900</v>
          </cell>
        </row>
        <row r="13">
          <cell r="A13">
            <v>1102000000</v>
          </cell>
          <cell r="B13" t="str">
            <v>BANCOS</v>
          </cell>
          <cell r="C13">
            <v>7065142.0700000003</v>
          </cell>
        </row>
        <row r="14">
          <cell r="A14">
            <v>1102010000</v>
          </cell>
          <cell r="B14" t="str">
            <v>BANCO BISA</v>
          </cell>
          <cell r="C14">
            <v>2253604.83</v>
          </cell>
        </row>
        <row r="15">
          <cell r="A15">
            <v>1102020000</v>
          </cell>
          <cell r="B15" t="str">
            <v>BANCO MERCANTIL</v>
          </cell>
          <cell r="C15">
            <v>366810.59</v>
          </cell>
        </row>
        <row r="16">
          <cell r="A16">
            <v>1102050000</v>
          </cell>
          <cell r="B16" t="str">
            <v>BANCO ECONÓMICO</v>
          </cell>
          <cell r="C16">
            <v>698705.91</v>
          </cell>
        </row>
        <row r="17">
          <cell r="A17">
            <v>1102060000</v>
          </cell>
          <cell r="B17" t="str">
            <v>BANCO GANADERO</v>
          </cell>
          <cell r="C17">
            <v>1013674.04</v>
          </cell>
        </row>
        <row r="18">
          <cell r="A18">
            <v>1102070000</v>
          </cell>
          <cell r="B18" t="str">
            <v>BANCO UNION</v>
          </cell>
          <cell r="C18">
            <v>676905.46</v>
          </cell>
        </row>
        <row r="19">
          <cell r="A19">
            <v>1102080000</v>
          </cell>
          <cell r="B19" t="str">
            <v>BANCO NACIONAL</v>
          </cell>
          <cell r="C19">
            <v>144241.13</v>
          </cell>
        </row>
        <row r="20">
          <cell r="A20">
            <v>1102100000</v>
          </cell>
          <cell r="B20" t="str">
            <v>FONDO DE LA COMUNIDAD</v>
          </cell>
          <cell r="C20">
            <v>49828.15</v>
          </cell>
        </row>
        <row r="21">
          <cell r="A21">
            <v>1102110000</v>
          </cell>
          <cell r="B21" t="str">
            <v>BANCO FASSIL S.A.</v>
          </cell>
          <cell r="C21">
            <v>1072.05</v>
          </cell>
        </row>
        <row r="22">
          <cell r="A22">
            <v>1102120000</v>
          </cell>
          <cell r="B22" t="str">
            <v>BANCO PRODEM S.A.</v>
          </cell>
          <cell r="C22">
            <v>1387743.86</v>
          </cell>
        </row>
        <row r="23">
          <cell r="A23">
            <v>1102130000</v>
          </cell>
          <cell r="B23" t="str">
            <v>BANCO FIE</v>
          </cell>
          <cell r="C23">
            <v>470153.11</v>
          </cell>
        </row>
        <row r="24">
          <cell r="A24">
            <v>1102150000</v>
          </cell>
          <cell r="B24" t="str">
            <v>BANCO FORTALEZA</v>
          </cell>
          <cell r="C24">
            <v>2402.94</v>
          </cell>
        </row>
        <row r="25">
          <cell r="A25">
            <v>1103000000</v>
          </cell>
          <cell r="B25" t="str">
            <v>OTRAS INSTITUCIONES FINANCIERAS</v>
          </cell>
          <cell r="C25">
            <v>873.72</v>
          </cell>
        </row>
        <row r="26">
          <cell r="A26">
            <v>1103010000</v>
          </cell>
          <cell r="B26" t="str">
            <v>CIDRE IFD</v>
          </cell>
          <cell r="C26">
            <v>873.72</v>
          </cell>
        </row>
        <row r="28">
          <cell r="A28">
            <v>1200000000</v>
          </cell>
          <cell r="B28" t="str">
            <v>ACTIVO EXIGIBLE</v>
          </cell>
          <cell r="C28">
            <v>149561205.00999999</v>
          </cell>
        </row>
        <row r="29">
          <cell r="A29">
            <v>1201000000</v>
          </cell>
          <cell r="B29" t="str">
            <v>CUENTAS POR COBRAR</v>
          </cell>
          <cell r="C29">
            <v>73003641.159999996</v>
          </cell>
        </row>
        <row r="30">
          <cell r="A30">
            <v>1201010000</v>
          </cell>
          <cell r="B30" t="str">
            <v>DEUDORES POR PRODUCTOS LOCALES M.N.</v>
          </cell>
          <cell r="C30">
            <v>21306507.199999999</v>
          </cell>
        </row>
        <row r="31">
          <cell r="A31">
            <v>1201050000</v>
          </cell>
          <cell r="B31" t="str">
            <v>DEUDORES POR PRODUCTOS INTERIOR M.N.</v>
          </cell>
          <cell r="C31">
            <v>44223397.979999997</v>
          </cell>
        </row>
        <row r="32">
          <cell r="A32">
            <v>1201130000</v>
          </cell>
          <cell r="B32" t="str">
            <v>DEUDORES VARIOS</v>
          </cell>
          <cell r="C32">
            <v>7473735.9800000004</v>
          </cell>
        </row>
        <row r="33">
          <cell r="A33">
            <v>1202000000</v>
          </cell>
          <cell r="B33" t="str">
            <v>CUENTAS CORRIENTES</v>
          </cell>
          <cell r="C33">
            <v>67205227.689999998</v>
          </cell>
        </row>
        <row r="34">
          <cell r="A34">
            <v>1202010000</v>
          </cell>
          <cell r="B34" t="str">
            <v>PROVEEDORES</v>
          </cell>
          <cell r="C34">
            <v>67199173.189999998</v>
          </cell>
        </row>
        <row r="35">
          <cell r="A35">
            <v>1202020000</v>
          </cell>
          <cell r="B35" t="str">
            <v>CONTRATISTAS</v>
          </cell>
          <cell r="C35">
            <v>6054.5</v>
          </cell>
        </row>
        <row r="36">
          <cell r="A36">
            <v>1202050000</v>
          </cell>
          <cell r="B36" t="str">
            <v>CREDITO FISCAL IVA</v>
          </cell>
          <cell r="C36">
            <v>0</v>
          </cell>
        </row>
        <row r="37">
          <cell r="A37">
            <v>1203000000</v>
          </cell>
          <cell r="B37" t="str">
            <v>DOCUMENTOS POR COBRAR</v>
          </cell>
          <cell r="C37">
            <v>3878171.72</v>
          </cell>
        </row>
        <row r="38">
          <cell r="A38">
            <v>1203030000</v>
          </cell>
          <cell r="B38" t="str">
            <v>RECLAMOS EN CURSO</v>
          </cell>
          <cell r="C38">
            <v>80203.92</v>
          </cell>
        </row>
        <row r="39">
          <cell r="A39">
            <v>1203040000</v>
          </cell>
          <cell r="B39" t="str">
            <v>OTROS DOCUMENTOS POR COBRAR</v>
          </cell>
          <cell r="C39">
            <v>3797967.8</v>
          </cell>
        </row>
        <row r="40">
          <cell r="A40">
            <v>1204000000</v>
          </cell>
          <cell r="B40" t="str">
            <v>ANTICIPOS Y PRESTAMOS</v>
          </cell>
          <cell r="C40">
            <v>5474164.4400000004</v>
          </cell>
        </row>
        <row r="41">
          <cell r="A41">
            <v>1204010000</v>
          </cell>
          <cell r="B41" t="str">
            <v>ANTICIPOS AL PERSONAL</v>
          </cell>
          <cell r="C41">
            <v>11280.94</v>
          </cell>
        </row>
        <row r="42">
          <cell r="A42">
            <v>1204020000</v>
          </cell>
          <cell r="B42" t="str">
            <v>PRESTAMOS AL PERSONAL M.N.</v>
          </cell>
          <cell r="C42">
            <v>65375.81</v>
          </cell>
        </row>
        <row r="43">
          <cell r="A43">
            <v>1204040000</v>
          </cell>
          <cell r="B43" t="str">
            <v>PRESTAMOS EN PRODUCTOS O SERVICIOS</v>
          </cell>
          <cell r="C43">
            <v>125520</v>
          </cell>
        </row>
        <row r="44">
          <cell r="A44">
            <v>1204050000</v>
          </cell>
          <cell r="B44" t="str">
            <v>PRESTAMOS MATERIALES DE ALMACEN</v>
          </cell>
          <cell r="C44">
            <v>2068.35</v>
          </cell>
        </row>
        <row r="45">
          <cell r="A45">
            <v>1204060000</v>
          </cell>
          <cell r="B45" t="str">
            <v>PAGOS ANTICIPADOS</v>
          </cell>
          <cell r="C45">
            <v>4885780.96</v>
          </cell>
        </row>
        <row r="46">
          <cell r="A46">
            <v>1204080000</v>
          </cell>
          <cell r="B46" t="str">
            <v>DEUDORES CON CARGO DE CUENTA M.N.</v>
          </cell>
          <cell r="C46">
            <v>384122.36</v>
          </cell>
        </row>
        <row r="47">
          <cell r="A47">
            <v>1204100000</v>
          </cell>
          <cell r="B47" t="str">
            <v>PULPERIAS</v>
          </cell>
          <cell r="C47">
            <v>16.02</v>
          </cell>
        </row>
        <row r="49">
          <cell r="A49">
            <v>1300000000</v>
          </cell>
          <cell r="B49" t="str">
            <v>ACTIVO REALIZABLE</v>
          </cell>
          <cell r="C49">
            <v>120789646.39</v>
          </cell>
        </row>
        <row r="50">
          <cell r="A50">
            <v>1301000000</v>
          </cell>
          <cell r="B50" t="str">
            <v>EXISTENCIAS</v>
          </cell>
          <cell r="C50">
            <v>39805854.829999998</v>
          </cell>
        </row>
        <row r="51">
          <cell r="A51">
            <v>1301010000</v>
          </cell>
          <cell r="B51" t="str">
            <v>MATERIA PRIMA E INSUMOS</v>
          </cell>
          <cell r="C51">
            <v>17696400.550000001</v>
          </cell>
        </row>
        <row r="52">
          <cell r="A52">
            <v>1301020000</v>
          </cell>
          <cell r="B52" t="str">
            <v>PRODUCTOS EN PROCESO</v>
          </cell>
          <cell r="C52">
            <v>18647489.77</v>
          </cell>
        </row>
        <row r="53">
          <cell r="A53">
            <v>1301030000</v>
          </cell>
          <cell r="B53" t="str">
            <v>PRODUCTOS TERMINADOS</v>
          </cell>
          <cell r="C53">
            <v>3461964.51</v>
          </cell>
        </row>
        <row r="54">
          <cell r="A54">
            <v>1304000000</v>
          </cell>
          <cell r="B54" t="str">
            <v>EXISTENCIA DE MATERIALES</v>
          </cell>
          <cell r="C54">
            <v>80983791.560000002</v>
          </cell>
        </row>
        <row r="55">
          <cell r="A55">
            <v>1304010000</v>
          </cell>
          <cell r="B55" t="str">
            <v>MATERIALES EN ALMACEN</v>
          </cell>
          <cell r="C55">
            <v>47975593.770000003</v>
          </cell>
        </row>
        <row r="56">
          <cell r="A56">
            <v>1304020000</v>
          </cell>
          <cell r="B56" t="str">
            <v>ALMACEN - AUXILIAR</v>
          </cell>
          <cell r="C56">
            <v>8473242.8399999999</v>
          </cell>
        </row>
        <row r="57">
          <cell r="A57">
            <v>1304030000</v>
          </cell>
          <cell r="B57" t="str">
            <v>PULPERIA IRPA - IRPA</v>
          </cell>
          <cell r="C57">
            <v>22524.02</v>
          </cell>
        </row>
        <row r="58">
          <cell r="A58">
            <v>1304040000</v>
          </cell>
          <cell r="B58" t="str">
            <v>MERCADERIAS EN TRANSITO</v>
          </cell>
          <cell r="C58">
            <v>24512430.93</v>
          </cell>
        </row>
        <row r="60">
          <cell r="A60">
            <v>1400000000</v>
          </cell>
          <cell r="B60" t="str">
            <v>ACTIVO FIJO</v>
          </cell>
          <cell r="C60">
            <v>618780286.11000001</v>
          </cell>
        </row>
        <row r="61">
          <cell r="A61">
            <v>1401000000</v>
          </cell>
          <cell r="B61" t="str">
            <v>BIENES DE USO</v>
          </cell>
          <cell r="C61">
            <v>1902587940.0999999</v>
          </cell>
        </row>
        <row r="62">
          <cell r="A62">
            <v>1401010000</v>
          </cell>
          <cell r="B62" t="str">
            <v>TERRENOS</v>
          </cell>
          <cell r="C62">
            <v>67070604.009999998</v>
          </cell>
        </row>
        <row r="63">
          <cell r="A63">
            <v>1401020000</v>
          </cell>
          <cell r="B63" t="str">
            <v>EDIFICIOS</v>
          </cell>
          <cell r="C63">
            <v>396424308.25</v>
          </cell>
        </row>
        <row r="64">
          <cell r="A64">
            <v>1401030000</v>
          </cell>
          <cell r="B64" t="str">
            <v>MUEBLES Y ENSERES DE OFICINA</v>
          </cell>
          <cell r="C64">
            <v>4652924.99</v>
          </cell>
        </row>
        <row r="65">
          <cell r="A65">
            <v>1401040000</v>
          </cell>
          <cell r="B65" t="str">
            <v>MAQUINARIA Y EQUIPO</v>
          </cell>
          <cell r="C65">
            <v>721644326.76999998</v>
          </cell>
        </row>
        <row r="66">
          <cell r="A66">
            <v>1401050000</v>
          </cell>
          <cell r="B66" t="str">
            <v>VEHICULOS</v>
          </cell>
          <cell r="C66">
            <v>34825334.450000003</v>
          </cell>
        </row>
        <row r="67">
          <cell r="A67">
            <v>1401060000</v>
          </cell>
          <cell r="B67" t="str">
            <v>MAQUINARIA DE CONSTRUCCION</v>
          </cell>
          <cell r="C67">
            <v>17532048.359999999</v>
          </cell>
        </row>
        <row r="68">
          <cell r="A68">
            <v>1401070000</v>
          </cell>
          <cell r="B68" t="str">
            <v>EQUIPO PESADO</v>
          </cell>
          <cell r="C68">
            <v>122911381.03</v>
          </cell>
        </row>
        <row r="69">
          <cell r="A69">
            <v>1401080000</v>
          </cell>
          <cell r="B69" t="str">
            <v>INSTALACIONES INDUSTRIALES</v>
          </cell>
          <cell r="C69">
            <v>486362821.63999999</v>
          </cell>
        </row>
        <row r="70">
          <cell r="A70">
            <v>1401090000</v>
          </cell>
          <cell r="B70" t="str">
            <v>HERRAMIENTAS E IMPLEMENTOS</v>
          </cell>
          <cell r="C70">
            <v>19216939.239999998</v>
          </cell>
        </row>
        <row r="71">
          <cell r="A71">
            <v>1401100000</v>
          </cell>
          <cell r="B71" t="str">
            <v>TINGLADOS</v>
          </cell>
          <cell r="C71">
            <v>14670442.939999999</v>
          </cell>
        </row>
        <row r="72">
          <cell r="A72">
            <v>1401110000</v>
          </cell>
          <cell r="B72" t="str">
            <v>EQUIPOS DE COMPUTACION</v>
          </cell>
          <cell r="C72">
            <v>7790916.2400000002</v>
          </cell>
        </row>
        <row r="73">
          <cell r="A73">
            <v>1401120000</v>
          </cell>
          <cell r="B73" t="str">
            <v>EQUIPOS DE LABORATORIO</v>
          </cell>
          <cell r="C73">
            <v>9319788.8599999994</v>
          </cell>
        </row>
        <row r="74">
          <cell r="A74">
            <v>1401150000</v>
          </cell>
          <cell r="B74" t="str">
            <v>CANALES DE RIEGO Y POZOS</v>
          </cell>
          <cell r="C74">
            <v>166103.32</v>
          </cell>
        </row>
        <row r="75">
          <cell r="A75">
            <v>1402000000</v>
          </cell>
          <cell r="B75" t="str">
            <v>DEPRECIACION ACUMULADA</v>
          </cell>
          <cell r="C75">
            <v>-1283807653.99</v>
          </cell>
        </row>
        <row r="76">
          <cell r="A76">
            <v>1402020000</v>
          </cell>
          <cell r="B76" t="str">
            <v>EDIFICIOS</v>
          </cell>
          <cell r="C76">
            <v>-119253221.33</v>
          </cell>
        </row>
        <row r="77">
          <cell r="A77">
            <v>1402030000</v>
          </cell>
          <cell r="B77" t="str">
            <v>MUEBLES Y ENSERES DE OFICINA</v>
          </cell>
          <cell r="C77">
            <v>-4625320.75</v>
          </cell>
        </row>
        <row r="78">
          <cell r="A78">
            <v>1402040000</v>
          </cell>
          <cell r="B78" t="str">
            <v>MAQUINARIA Y EQUIPO</v>
          </cell>
          <cell r="C78">
            <v>-581927552.20000005</v>
          </cell>
        </row>
        <row r="79">
          <cell r="A79">
            <v>1402050000</v>
          </cell>
          <cell r="B79" t="str">
            <v>VEHICULOS</v>
          </cell>
          <cell r="C79">
            <v>-34416186.189999998</v>
          </cell>
        </row>
        <row r="80">
          <cell r="A80">
            <v>1402060000</v>
          </cell>
          <cell r="B80" t="str">
            <v>MAQUINARIA DE CONSTRUCCION</v>
          </cell>
          <cell r="C80">
            <v>-17288446.129999999</v>
          </cell>
        </row>
        <row r="81">
          <cell r="A81">
            <v>1402070000</v>
          </cell>
          <cell r="B81" t="str">
            <v>EQUIPO PESADO</v>
          </cell>
          <cell r="C81">
            <v>-121562199.14</v>
          </cell>
        </row>
        <row r="82">
          <cell r="A82">
            <v>1402080000</v>
          </cell>
          <cell r="B82" t="str">
            <v>INSTALACIONES INDUSTRIALES</v>
          </cell>
          <cell r="C82">
            <v>-356031282.32999998</v>
          </cell>
        </row>
        <row r="83">
          <cell r="A83">
            <v>1402090000</v>
          </cell>
          <cell r="B83" t="str">
            <v>HERRAMIENTAS E IMPLEMENTOS</v>
          </cell>
          <cell r="C83">
            <v>-19143547.07</v>
          </cell>
        </row>
        <row r="84">
          <cell r="A84">
            <v>1402100000</v>
          </cell>
          <cell r="B84" t="str">
            <v>TINGLADOS</v>
          </cell>
          <cell r="C84">
            <v>-14197649.73</v>
          </cell>
        </row>
        <row r="85">
          <cell r="A85">
            <v>1402110000</v>
          </cell>
          <cell r="B85" t="str">
            <v>EQUIPOS DE COMPUTACION</v>
          </cell>
          <cell r="C85">
            <v>-7268649.3499999996</v>
          </cell>
        </row>
        <row r="86">
          <cell r="A86">
            <v>1402120000</v>
          </cell>
          <cell r="B86" t="str">
            <v>EQUIPOS DE LABORATORIO</v>
          </cell>
          <cell r="C86">
            <v>-7927496.4500000002</v>
          </cell>
        </row>
        <row r="87">
          <cell r="A87">
            <v>1402150000</v>
          </cell>
          <cell r="B87" t="str">
            <v>CANALES DE RIEGO Y POZOS</v>
          </cell>
          <cell r="C87">
            <v>-166103.32</v>
          </cell>
        </row>
        <row r="89">
          <cell r="A89">
            <v>1500000000</v>
          </cell>
          <cell r="B89" t="str">
            <v>INVERSIONES</v>
          </cell>
          <cell r="C89">
            <v>26733326.16</v>
          </cell>
        </row>
        <row r="90">
          <cell r="A90">
            <v>1502000000</v>
          </cell>
          <cell r="B90" t="str">
            <v>OTRAS INVERSIONES</v>
          </cell>
          <cell r="C90">
            <v>26733326.16</v>
          </cell>
        </row>
        <row r="91">
          <cell r="A91">
            <v>1502010000</v>
          </cell>
          <cell r="B91" t="str">
            <v>ACCIONES</v>
          </cell>
          <cell r="C91">
            <v>26332506.149999999</v>
          </cell>
        </row>
        <row r="92">
          <cell r="A92">
            <v>1502030000</v>
          </cell>
          <cell r="B92" t="str">
            <v>LINEAS TELEFONICAS</v>
          </cell>
          <cell r="C92">
            <v>261000</v>
          </cell>
        </row>
        <row r="93">
          <cell r="A93">
            <v>1502050000</v>
          </cell>
          <cell r="B93" t="str">
            <v>OTRAS INVERSIONES</v>
          </cell>
          <cell r="C93">
            <v>139820.01</v>
          </cell>
        </row>
        <row r="95">
          <cell r="A95">
            <v>1600000000</v>
          </cell>
          <cell r="B95" t="str">
            <v>OTROS ACTIVOS</v>
          </cell>
          <cell r="C95">
            <v>247370321.58000001</v>
          </cell>
        </row>
        <row r="96">
          <cell r="A96">
            <v>1601000000</v>
          </cell>
          <cell r="B96" t="str">
            <v>DOCUMENTOS POR COBRAR A LARGO PLAZO</v>
          </cell>
          <cell r="C96">
            <v>60597603.57</v>
          </cell>
        </row>
        <row r="97">
          <cell r="A97">
            <v>1601020000</v>
          </cell>
          <cell r="B97" t="str">
            <v>CREDITOS M.E.</v>
          </cell>
          <cell r="C97">
            <v>48732905.649999999</v>
          </cell>
        </row>
        <row r="98">
          <cell r="A98">
            <v>1601040000</v>
          </cell>
          <cell r="B98" t="str">
            <v>DOCUMENTOS EN EJECUCION</v>
          </cell>
          <cell r="C98">
            <v>11864697.92</v>
          </cell>
        </row>
        <row r="99">
          <cell r="A99">
            <v>1601050000</v>
          </cell>
          <cell r="B99" t="str">
            <v>CUENTAS INCOBRABLES</v>
          </cell>
          <cell r="C99">
            <v>3212209.75</v>
          </cell>
        </row>
        <row r="100">
          <cell r="A100">
            <v>1601060000</v>
          </cell>
          <cell r="B100" t="str">
            <v>(PREVISION CUENTAS INCOBRABLES)</v>
          </cell>
          <cell r="C100">
            <v>-3212209.75</v>
          </cell>
        </row>
        <row r="101">
          <cell r="A101">
            <v>1602000000</v>
          </cell>
          <cell r="B101" t="str">
            <v>OBRAS EN EJECUCIÓN</v>
          </cell>
          <cell r="C101">
            <v>17569026.18</v>
          </cell>
        </row>
        <row r="102">
          <cell r="A102">
            <v>1602010000</v>
          </cell>
          <cell r="B102" t="str">
            <v>AMPLIACIONES</v>
          </cell>
          <cell r="C102">
            <v>17569026.18</v>
          </cell>
        </row>
        <row r="103">
          <cell r="A103">
            <v>1604000000</v>
          </cell>
          <cell r="B103" t="str">
            <v>BIENES ARRENDADOS</v>
          </cell>
          <cell r="C103">
            <v>1947226.38</v>
          </cell>
        </row>
        <row r="104">
          <cell r="A104">
            <v>1604010000</v>
          </cell>
          <cell r="B104" t="str">
            <v>VALOR DE ARRENDAMIENTO</v>
          </cell>
          <cell r="C104">
            <v>1947226.38</v>
          </cell>
        </row>
        <row r="105">
          <cell r="A105">
            <v>1605000000</v>
          </cell>
          <cell r="B105" t="str">
            <v>DIVERSOS</v>
          </cell>
          <cell r="C105">
            <v>16958821.109999999</v>
          </cell>
        </row>
        <row r="106">
          <cell r="A106">
            <v>1605010000</v>
          </cell>
          <cell r="B106" t="str">
            <v>REPUESTOS EN ALMACEN</v>
          </cell>
          <cell r="C106">
            <v>16769800.869999999</v>
          </cell>
        </row>
        <row r="107">
          <cell r="A107">
            <v>1605020000</v>
          </cell>
          <cell r="B107" t="str">
            <v>LIBROS Y BIBLIOTECAS</v>
          </cell>
          <cell r="C107">
            <v>189020.24</v>
          </cell>
        </row>
        <row r="108">
          <cell r="A108">
            <v>1606000000</v>
          </cell>
          <cell r="B108" t="str">
            <v>CUENTAS CORRIENTES UNIDADES</v>
          </cell>
          <cell r="C108">
            <v>150297644.34</v>
          </cell>
        </row>
        <row r="109">
          <cell r="A109">
            <v>1606010000</v>
          </cell>
          <cell r="B109" t="str">
            <v>LIMITADA</v>
          </cell>
          <cell r="C109">
            <v>128774882.52</v>
          </cell>
        </row>
        <row r="110">
          <cell r="A110">
            <v>1606030000</v>
          </cell>
          <cell r="B110" t="str">
            <v>CERAMIL</v>
          </cell>
          <cell r="C110">
            <v>11315666.85</v>
          </cell>
        </row>
        <row r="111">
          <cell r="A111">
            <v>1606040000</v>
          </cell>
          <cell r="B111" t="str">
            <v>HORMIGON</v>
          </cell>
          <cell r="C111">
            <v>5500355.5</v>
          </cell>
        </row>
        <row r="112">
          <cell r="A112">
            <v>1606050000</v>
          </cell>
          <cell r="B112" t="str">
            <v>CONSTRUCCIONES</v>
          </cell>
          <cell r="C112">
            <v>2848494.08</v>
          </cell>
        </row>
        <row r="113">
          <cell r="A113">
            <v>1606060000</v>
          </cell>
          <cell r="B113" t="str">
            <v>CERAMICA</v>
          </cell>
          <cell r="C113">
            <v>910158.08</v>
          </cell>
        </row>
        <row r="114">
          <cell r="A114">
            <v>1606070000</v>
          </cell>
          <cell r="B114" t="str">
            <v>METAL</v>
          </cell>
          <cell r="C114">
            <v>530165.55000000005</v>
          </cell>
        </row>
        <row r="115">
          <cell r="A115">
            <v>1606080000</v>
          </cell>
          <cell r="B115" t="str">
            <v>COBOCE EDITORA OPINION</v>
          </cell>
          <cell r="C115">
            <v>417921.76</v>
          </cell>
        </row>
        <row r="117">
          <cell r="A117">
            <v>1700000000</v>
          </cell>
          <cell r="B117" t="str">
            <v>ACTIVOS DIFERIDOS</v>
          </cell>
          <cell r="C117">
            <v>9871282.1999999993</v>
          </cell>
        </row>
        <row r="118">
          <cell r="A118">
            <v>1701000000</v>
          </cell>
          <cell r="B118" t="str">
            <v>ACTIVOS RETIRADOS</v>
          </cell>
          <cell r="C118">
            <v>3580102.51</v>
          </cell>
        </row>
        <row r="119">
          <cell r="A119">
            <v>1701010000</v>
          </cell>
          <cell r="B119" t="str">
            <v>BIENES DE USO RETIRADOS</v>
          </cell>
          <cell r="C119">
            <v>3580102.51</v>
          </cell>
        </row>
        <row r="120">
          <cell r="A120">
            <v>1702000000</v>
          </cell>
          <cell r="B120" t="str">
            <v>GASTOS DIFERIDOS</v>
          </cell>
          <cell r="C120">
            <v>6291179.6900000004</v>
          </cell>
        </row>
        <row r="121">
          <cell r="A121">
            <v>1702020000</v>
          </cell>
          <cell r="B121" t="str">
            <v>GASTOS DE PRODUCCIÓN Y MANTENIMIENTO</v>
          </cell>
          <cell r="C121">
            <v>1780708.26</v>
          </cell>
        </row>
        <row r="122">
          <cell r="A122">
            <v>1702050000</v>
          </cell>
          <cell r="B122" t="str">
            <v>VARIOS</v>
          </cell>
          <cell r="C122">
            <v>4510471.43</v>
          </cell>
        </row>
        <row r="124">
          <cell r="A124">
            <v>2000000000</v>
          </cell>
          <cell r="B124" t="str">
            <v>PASIVO</v>
          </cell>
          <cell r="C124">
            <v>-1187236966.6199999</v>
          </cell>
        </row>
        <row r="127">
          <cell r="A127">
            <v>2100000000</v>
          </cell>
          <cell r="B127" t="str">
            <v>PASIVO CORRIENTE</v>
          </cell>
          <cell r="C127">
            <v>-178935834.91999999</v>
          </cell>
        </row>
        <row r="128">
          <cell r="A128">
            <v>2101000000</v>
          </cell>
          <cell r="B128" t="str">
            <v>DEUDAS COMERCIALES</v>
          </cell>
          <cell r="C128">
            <v>-72935259.060000002</v>
          </cell>
        </row>
        <row r="129">
          <cell r="A129">
            <v>2101010000</v>
          </cell>
          <cell r="B129" t="str">
            <v>PROVEEDORES</v>
          </cell>
          <cell r="C129">
            <v>-66405297.219999999</v>
          </cell>
        </row>
        <row r="130">
          <cell r="A130">
            <v>2101030000</v>
          </cell>
          <cell r="B130" t="str">
            <v>TRANSPORTISTAS</v>
          </cell>
          <cell r="C130">
            <v>-1728168.48</v>
          </cell>
        </row>
        <row r="131">
          <cell r="A131">
            <v>2101040000</v>
          </cell>
          <cell r="B131" t="str">
            <v>ACREEDORES VARIOS</v>
          </cell>
          <cell r="C131">
            <v>-4484369.5</v>
          </cell>
        </row>
        <row r="132">
          <cell r="A132">
            <v>2101090000</v>
          </cell>
          <cell r="B132" t="str">
            <v>ACREEDORES POR DEPOSITOS EN GARANTIA</v>
          </cell>
          <cell r="C132">
            <v>-47575.86</v>
          </cell>
        </row>
        <row r="133">
          <cell r="A133">
            <v>2101650000</v>
          </cell>
          <cell r="B133" t="str">
            <v>PROVEEDORES AEROPUERTO POTOSI</v>
          </cell>
          <cell r="C133">
            <v>-269848</v>
          </cell>
        </row>
        <row r="134">
          <cell r="A134">
            <v>2102000000</v>
          </cell>
          <cell r="B134" t="str">
            <v>DOCUMENTOS POR PAGAR</v>
          </cell>
          <cell r="C134">
            <v>-2991397.1</v>
          </cell>
        </row>
        <row r="135">
          <cell r="A135">
            <v>2102020000</v>
          </cell>
          <cell r="B135" t="str">
            <v>BANCARIOS</v>
          </cell>
          <cell r="C135">
            <v>-2238191.12</v>
          </cell>
        </row>
        <row r="136">
          <cell r="A136">
            <v>2102030000</v>
          </cell>
          <cell r="B136" t="str">
            <v>CONTRATOS</v>
          </cell>
          <cell r="C136">
            <v>-592734.81000000006</v>
          </cell>
        </row>
        <row r="137">
          <cell r="A137">
            <v>2102040000</v>
          </cell>
          <cell r="B137" t="str">
            <v>OTROS DOCUMENTOS</v>
          </cell>
          <cell r="C137">
            <v>-160471.17000000001</v>
          </cell>
        </row>
        <row r="138">
          <cell r="A138">
            <v>2104000000</v>
          </cell>
          <cell r="B138" t="str">
            <v>OBLIGACIONES FINANCIERAS A CORTO PLAZO</v>
          </cell>
          <cell r="C138">
            <v>-56266793.719999999</v>
          </cell>
        </row>
        <row r="139">
          <cell r="A139">
            <v>2104010000</v>
          </cell>
          <cell r="B139" t="str">
            <v>OBLIGACIONES POR CAPITAL</v>
          </cell>
          <cell r="C139">
            <v>-52274906.490000002</v>
          </cell>
        </row>
        <row r="140">
          <cell r="A140">
            <v>2104020000</v>
          </cell>
          <cell r="B140" t="str">
            <v>OBLIGACIONES POR INTERESES</v>
          </cell>
          <cell r="C140">
            <v>-3991887.23</v>
          </cell>
        </row>
        <row r="141">
          <cell r="A141">
            <v>2105000000</v>
          </cell>
          <cell r="B141" t="str">
            <v>IMPUESTOS POR PAGAR</v>
          </cell>
          <cell r="C141">
            <v>0</v>
          </cell>
        </row>
        <row r="142">
          <cell r="A142">
            <v>2105010000</v>
          </cell>
          <cell r="B142" t="str">
            <v>IMPUESTO AL VALOR AGREGADO (DEBITO FISCA</v>
          </cell>
          <cell r="C142">
            <v>0</v>
          </cell>
        </row>
        <row r="143">
          <cell r="A143">
            <v>2105040000</v>
          </cell>
          <cell r="B143" t="str">
            <v>RETENCION EN LA FUENTE</v>
          </cell>
          <cell r="C143">
            <v>0</v>
          </cell>
        </row>
        <row r="144">
          <cell r="A144">
            <v>2106000000</v>
          </cell>
          <cell r="B144" t="str">
            <v>OBLIGACIONES POR PAGAR</v>
          </cell>
          <cell r="C144">
            <v>-21053139.969999999</v>
          </cell>
        </row>
        <row r="145">
          <cell r="A145">
            <v>2106010000</v>
          </cell>
          <cell r="B145" t="str">
            <v>SUELDOS Y JORNALES POR PAGAR</v>
          </cell>
          <cell r="C145">
            <v>-10821631.890000001</v>
          </cell>
        </row>
        <row r="146">
          <cell r="A146">
            <v>2106020000</v>
          </cell>
          <cell r="B146" t="str">
            <v>AGUINALDOS Y PRIMAS POR PAGAR</v>
          </cell>
          <cell r="C146">
            <v>-100838.3</v>
          </cell>
        </row>
        <row r="147">
          <cell r="A147">
            <v>2106040000</v>
          </cell>
          <cell r="B147" t="str">
            <v>FINIQUITOS POR PAGAR</v>
          </cell>
          <cell r="C147">
            <v>-140519.97</v>
          </cell>
        </row>
        <row r="148">
          <cell r="A148">
            <v>2106060000</v>
          </cell>
          <cell r="B148" t="str">
            <v>AGUINALDOS Y PRIMAS NO RECLAMADOS</v>
          </cell>
          <cell r="C148">
            <v>-770657.13</v>
          </cell>
        </row>
        <row r="149">
          <cell r="A149">
            <v>2106070000</v>
          </cell>
          <cell r="B149" t="str">
            <v>APORTES Y RETENCIONES POR PAGAR</v>
          </cell>
          <cell r="C149">
            <v>-8808698.0600000005</v>
          </cell>
        </row>
        <row r="150">
          <cell r="A150">
            <v>2106080000</v>
          </cell>
          <cell r="B150" t="str">
            <v>RETENCIONES JUDICIALES</v>
          </cell>
          <cell r="C150">
            <v>-410794.62</v>
          </cell>
        </row>
        <row r="151">
          <cell r="A151">
            <v>2107000000</v>
          </cell>
          <cell r="B151" t="str">
            <v>PROVISIONES</v>
          </cell>
          <cell r="C151">
            <v>-13293361.279999999</v>
          </cell>
        </row>
        <row r="152">
          <cell r="A152">
            <v>2107010000</v>
          </cell>
          <cell r="B152" t="str">
            <v>AGUINALDOS</v>
          </cell>
          <cell r="C152">
            <v>-3203413.78</v>
          </cell>
        </row>
        <row r="153">
          <cell r="A153">
            <v>2107030000</v>
          </cell>
          <cell r="B153" t="str">
            <v>OTROS</v>
          </cell>
          <cell r="C153">
            <v>-10089947.5</v>
          </cell>
        </row>
        <row r="154">
          <cell r="A154">
            <v>2108000000</v>
          </cell>
          <cell r="B154" t="str">
            <v>COBROS POR ADELANTADO</v>
          </cell>
          <cell r="C154">
            <v>-12395883.789999999</v>
          </cell>
        </row>
        <row r="155">
          <cell r="A155">
            <v>2108010000</v>
          </cell>
          <cell r="B155" t="str">
            <v>CLIENTES LOCALES</v>
          </cell>
          <cell r="C155">
            <v>-3164343.25</v>
          </cell>
        </row>
        <row r="156">
          <cell r="A156">
            <v>2108020000</v>
          </cell>
          <cell r="B156" t="str">
            <v>CLIENTES INTERIOR</v>
          </cell>
          <cell r="C156">
            <v>-9231540.5399999991</v>
          </cell>
        </row>
        <row r="158">
          <cell r="A158">
            <v>2200000000</v>
          </cell>
          <cell r="B158" t="str">
            <v>PASIVO NO CORRIENTE</v>
          </cell>
          <cell r="C158">
            <v>-525021232.51999998</v>
          </cell>
        </row>
        <row r="159">
          <cell r="A159">
            <v>2201000000</v>
          </cell>
          <cell r="B159" t="str">
            <v>OBLIGACIONES FINANCIERAS A LARGO PLAZO</v>
          </cell>
          <cell r="C159">
            <v>-204507293.19</v>
          </cell>
        </row>
        <row r="160">
          <cell r="A160">
            <v>2201010000</v>
          </cell>
          <cell r="B160" t="str">
            <v>OBLIGACIONES POR CAPITAL</v>
          </cell>
          <cell r="C160">
            <v>-196565351.77000001</v>
          </cell>
        </row>
        <row r="161">
          <cell r="A161">
            <v>2201030000</v>
          </cell>
          <cell r="B161" t="str">
            <v>OBLIGACIONES POR INTERESES LP</v>
          </cell>
          <cell r="C161">
            <v>-7941941.4199999999</v>
          </cell>
        </row>
        <row r="162">
          <cell r="A162">
            <v>2202000000</v>
          </cell>
          <cell r="B162" t="str">
            <v>PREVISIONES</v>
          </cell>
          <cell r="C162">
            <v>-53315135.200000003</v>
          </cell>
        </row>
        <row r="163">
          <cell r="A163">
            <v>2202010000</v>
          </cell>
          <cell r="B163" t="str">
            <v>PREVISIONES BENEFICIOS SOCIALES</v>
          </cell>
          <cell r="C163">
            <v>-53258152.520000003</v>
          </cell>
        </row>
        <row r="164">
          <cell r="A164">
            <v>2202020000</v>
          </cell>
          <cell r="B164" t="str">
            <v>OTRAS PREVISIONES</v>
          </cell>
          <cell r="C164">
            <v>-56982.68</v>
          </cell>
        </row>
        <row r="165">
          <cell r="A165">
            <v>2203000000</v>
          </cell>
          <cell r="B165" t="str">
            <v>OTROS PASIVOS NO CORRIENTES</v>
          </cell>
          <cell r="C165">
            <v>-733039.76</v>
          </cell>
        </row>
        <row r="166">
          <cell r="A166">
            <v>2203050000</v>
          </cell>
          <cell r="B166" t="str">
            <v>CREDITOS DIFERIDOS</v>
          </cell>
          <cell r="C166">
            <v>-733039.76</v>
          </cell>
        </row>
        <row r="167">
          <cell r="A167">
            <v>2204000000</v>
          </cell>
          <cell r="B167" t="str">
            <v>CUENTAS CORRIENTES. UNIDADES.</v>
          </cell>
          <cell r="C167">
            <v>-266465764.37</v>
          </cell>
        </row>
        <row r="168">
          <cell r="A168">
            <v>2204010000</v>
          </cell>
          <cell r="B168" t="str">
            <v>LIMITADA</v>
          </cell>
          <cell r="C168">
            <v>-259419500.47</v>
          </cell>
        </row>
        <row r="169">
          <cell r="A169">
            <v>2204040000</v>
          </cell>
          <cell r="B169" t="str">
            <v>HORMIGON</v>
          </cell>
          <cell r="C169">
            <v>-206231.9</v>
          </cell>
        </row>
        <row r="170">
          <cell r="A170">
            <v>2204050000</v>
          </cell>
          <cell r="B170" t="str">
            <v>CONSTRUCCIONES</v>
          </cell>
          <cell r="C170">
            <v>-4749325.95</v>
          </cell>
        </row>
        <row r="171">
          <cell r="A171">
            <v>2204060000</v>
          </cell>
          <cell r="B171" t="str">
            <v>CERAMICA</v>
          </cell>
          <cell r="C171">
            <v>-969341.21</v>
          </cell>
        </row>
        <row r="172">
          <cell r="A172">
            <v>2204070000</v>
          </cell>
          <cell r="B172" t="str">
            <v>METAL</v>
          </cell>
          <cell r="C172">
            <v>-1006742.05</v>
          </cell>
        </row>
        <row r="173">
          <cell r="A173">
            <v>2204080000</v>
          </cell>
          <cell r="B173" t="str">
            <v>COBOCE EDITORA OPINION</v>
          </cell>
          <cell r="C173">
            <v>-114622.79</v>
          </cell>
        </row>
        <row r="175">
          <cell r="A175">
            <v>2400000000</v>
          </cell>
          <cell r="B175" t="str">
            <v>PATRIMONIO</v>
          </cell>
          <cell r="C175">
            <v>-483279899.18000001</v>
          </cell>
        </row>
        <row r="176">
          <cell r="A176">
            <v>2401000000</v>
          </cell>
          <cell r="B176" t="str">
            <v>FONDO SOCIAL</v>
          </cell>
          <cell r="C176">
            <v>-483279899.18000001</v>
          </cell>
        </row>
        <row r="177">
          <cell r="A177">
            <v>2401010000</v>
          </cell>
          <cell r="B177" t="str">
            <v>FONDO SOCIAL UNIDADES</v>
          </cell>
          <cell r="C177">
            <v>-483279899.18000001</v>
          </cell>
        </row>
        <row r="178">
          <cell r="A178">
            <v>2901010000</v>
          </cell>
          <cell r="B178" t="str">
            <v>CUENTAS DE ORDEN DEBITOS</v>
          </cell>
          <cell r="C178">
            <v>44638661.009999998</v>
          </cell>
        </row>
        <row r="179">
          <cell r="A179">
            <v>2901020000</v>
          </cell>
          <cell r="B179" t="str">
            <v>CUENTAS DE ORDEN CREDITOS</v>
          </cell>
          <cell r="C179">
            <v>-44638661.009999998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4133201.39</v>
          </cell>
          <cell r="E6">
            <v>1189325503.6300001</v>
          </cell>
        </row>
        <row r="9">
          <cell r="A9">
            <v>1100000000</v>
          </cell>
          <cell r="B9" t="str">
            <v>ACTIVO DISPONIBLE</v>
          </cell>
          <cell r="C9">
            <v>-3710924.13</v>
          </cell>
          <cell r="E9">
            <v>8375310.6600000001</v>
          </cell>
        </row>
        <row r="10">
          <cell r="A10">
            <v>1101000000</v>
          </cell>
          <cell r="B10" t="str">
            <v>CAJA</v>
          </cell>
          <cell r="C10">
            <v>-2590962.6</v>
          </cell>
          <cell r="E10">
            <v>2429256.4</v>
          </cell>
        </row>
        <row r="11">
          <cell r="A11">
            <v>1101010000</v>
          </cell>
          <cell r="B11" t="str">
            <v>CAJA GENERAL MONEDA NACIONAL</v>
          </cell>
          <cell r="C11">
            <v>-2591962.6</v>
          </cell>
          <cell r="E11">
            <v>2269356.4</v>
          </cell>
        </row>
        <row r="12">
          <cell r="A12">
            <v>1101030000</v>
          </cell>
          <cell r="B12" t="str">
            <v>CAJA CHICA MONEDA NACIONAL</v>
          </cell>
          <cell r="C12">
            <v>1000</v>
          </cell>
          <cell r="E12">
            <v>159900</v>
          </cell>
        </row>
        <row r="13">
          <cell r="A13">
            <v>1102000000</v>
          </cell>
          <cell r="B13" t="str">
            <v>BANCOS</v>
          </cell>
          <cell r="C13">
            <v>-1119963.79</v>
          </cell>
          <cell r="E13">
            <v>5945178.2800000003</v>
          </cell>
        </row>
        <row r="14">
          <cell r="A14">
            <v>1102010000</v>
          </cell>
          <cell r="B14" t="str">
            <v>BANCO BISA</v>
          </cell>
          <cell r="C14">
            <v>-649926.09</v>
          </cell>
          <cell r="E14">
            <v>1603678.74</v>
          </cell>
        </row>
        <row r="15">
          <cell r="A15">
            <v>1102020000</v>
          </cell>
          <cell r="B15" t="str">
            <v>BANCO MERCANTIL</v>
          </cell>
          <cell r="C15">
            <v>365350.53</v>
          </cell>
          <cell r="E15">
            <v>732161.12</v>
          </cell>
        </row>
        <row r="16">
          <cell r="A16">
            <v>1102040000</v>
          </cell>
          <cell r="B16" t="str">
            <v>BANCO DE CREDITO</v>
          </cell>
          <cell r="C16">
            <v>10513.18</v>
          </cell>
          <cell r="E16">
            <v>10513.18</v>
          </cell>
        </row>
        <row r="17">
          <cell r="A17">
            <v>1102050000</v>
          </cell>
          <cell r="B17" t="str">
            <v>BANCO ECONÓMICO</v>
          </cell>
          <cell r="C17">
            <v>-571895.98</v>
          </cell>
          <cell r="E17">
            <v>126809.93</v>
          </cell>
        </row>
        <row r="18">
          <cell r="A18">
            <v>1102060000</v>
          </cell>
          <cell r="B18" t="str">
            <v>BANCO GANADERO</v>
          </cell>
          <cell r="C18">
            <v>-547738.41</v>
          </cell>
          <cell r="E18">
            <v>465935.63</v>
          </cell>
        </row>
        <row r="19">
          <cell r="A19">
            <v>1102070000</v>
          </cell>
          <cell r="B19" t="str">
            <v>BANCO UNION</v>
          </cell>
          <cell r="C19">
            <v>737030.4</v>
          </cell>
          <cell r="E19">
            <v>1413935.86</v>
          </cell>
        </row>
        <row r="20">
          <cell r="A20">
            <v>1102080000</v>
          </cell>
          <cell r="B20" t="str">
            <v>BANCO NACIONAL</v>
          </cell>
          <cell r="C20">
            <v>170127.46</v>
          </cell>
          <cell r="E20">
            <v>314368.59000000003</v>
          </cell>
        </row>
        <row r="21">
          <cell r="A21">
            <v>1102100000</v>
          </cell>
          <cell r="B21" t="str">
            <v>FONDO DE LA COMUNIDAD</v>
          </cell>
          <cell r="C21">
            <v>107.18</v>
          </cell>
          <cell r="E21">
            <v>49935.33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-993298.89</v>
          </cell>
          <cell r="E23">
            <v>394444.97</v>
          </cell>
        </row>
        <row r="24">
          <cell r="A24">
            <v>1102130000</v>
          </cell>
          <cell r="B24" t="str">
            <v>BANCO FIE</v>
          </cell>
          <cell r="C24">
            <v>359766.83</v>
          </cell>
          <cell r="E24">
            <v>829919.94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6">
          <cell r="A26">
            <v>1103000000</v>
          </cell>
          <cell r="B26" t="str">
            <v>OTRAS INSTITUCIONES FINANCIERAS</v>
          </cell>
          <cell r="C26">
            <v>2.2599999999999998</v>
          </cell>
          <cell r="E26">
            <v>875.98</v>
          </cell>
        </row>
        <row r="27">
          <cell r="A27">
            <v>1103010000</v>
          </cell>
          <cell r="B27" t="str">
            <v>CIDRE IFD</v>
          </cell>
          <cell r="C27">
            <v>2.2599999999999998</v>
          </cell>
          <cell r="E27">
            <v>875.98</v>
          </cell>
        </row>
        <row r="29">
          <cell r="A29">
            <v>1200000000</v>
          </cell>
          <cell r="B29" t="str">
            <v>ACTIVO EXIGIBLE</v>
          </cell>
          <cell r="C29">
            <v>4483937.68</v>
          </cell>
          <cell r="E29">
            <v>154045142.69</v>
          </cell>
        </row>
        <row r="30">
          <cell r="A30">
            <v>1201000000</v>
          </cell>
          <cell r="B30" t="str">
            <v>CUENTAS POR COBRAR</v>
          </cell>
          <cell r="C30">
            <v>3434035.34</v>
          </cell>
          <cell r="E30">
            <v>76437676.5</v>
          </cell>
        </row>
        <row r="31">
          <cell r="A31">
            <v>1201010000</v>
          </cell>
          <cell r="B31" t="str">
            <v>DEUDORES POR PRODUCTOS LOCALES M.N.</v>
          </cell>
          <cell r="C31">
            <v>1635896.71</v>
          </cell>
          <cell r="E31">
            <v>22942403.91</v>
          </cell>
        </row>
        <row r="32">
          <cell r="A32">
            <v>1201050000</v>
          </cell>
          <cell r="B32" t="str">
            <v>DEUDORES POR PRODUCTOS INTERIOR M.N.</v>
          </cell>
          <cell r="C32">
            <v>1753355.12</v>
          </cell>
          <cell r="E32">
            <v>45976753.100000001</v>
          </cell>
        </row>
        <row r="33">
          <cell r="A33">
            <v>1201130000</v>
          </cell>
          <cell r="B33" t="str">
            <v>DEUDORES VARIOS</v>
          </cell>
          <cell r="C33">
            <v>44783.51</v>
          </cell>
          <cell r="E33">
            <v>7518519.4900000002</v>
          </cell>
        </row>
        <row r="34">
          <cell r="A34">
            <v>1202000000</v>
          </cell>
          <cell r="B34" t="str">
            <v>CUENTAS CORRIENTES</v>
          </cell>
          <cell r="C34">
            <v>1106536.82</v>
          </cell>
          <cell r="E34">
            <v>68311764.510000005</v>
          </cell>
        </row>
        <row r="35">
          <cell r="A35">
            <v>1202010000</v>
          </cell>
          <cell r="B35" t="str">
            <v>PROVEEDORES</v>
          </cell>
          <cell r="C35">
            <v>1106536.82</v>
          </cell>
          <cell r="E35">
            <v>68305710.010000005</v>
          </cell>
        </row>
        <row r="36">
          <cell r="A36">
            <v>1202020000</v>
          </cell>
          <cell r="B36" t="str">
            <v>CONTRATISTAS</v>
          </cell>
          <cell r="C36">
            <v>0</v>
          </cell>
          <cell r="E36">
            <v>6054.5</v>
          </cell>
        </row>
        <row r="37">
          <cell r="A37">
            <v>1202050000</v>
          </cell>
          <cell r="B37" t="str">
            <v>CREDITO FISCAL IVA</v>
          </cell>
          <cell r="C37">
            <v>0</v>
          </cell>
          <cell r="E37">
            <v>0</v>
          </cell>
        </row>
        <row r="38">
          <cell r="A38">
            <v>1203000000</v>
          </cell>
          <cell r="B38" t="str">
            <v>DOCUMENTOS POR COBRAR</v>
          </cell>
          <cell r="C38">
            <v>46336.37</v>
          </cell>
          <cell r="E38">
            <v>3924508.09</v>
          </cell>
        </row>
        <row r="39">
          <cell r="A39">
            <v>1203030000</v>
          </cell>
          <cell r="B39" t="str">
            <v>RECLAMOS EN CURSO</v>
          </cell>
          <cell r="C39">
            <v>36330.660000000003</v>
          </cell>
          <cell r="E39">
            <v>116534.58</v>
          </cell>
        </row>
        <row r="40">
          <cell r="A40">
            <v>1203040000</v>
          </cell>
          <cell r="B40" t="str">
            <v>OTROS DOCUMENTOS POR COBRAR</v>
          </cell>
          <cell r="C40">
            <v>10005.709999999999</v>
          </cell>
          <cell r="E40">
            <v>3807973.51</v>
          </cell>
        </row>
        <row r="41">
          <cell r="A41">
            <v>1204000000</v>
          </cell>
          <cell r="B41" t="str">
            <v>ANTICIPOS Y PRESTAMOS</v>
          </cell>
          <cell r="C41">
            <v>-102970.85</v>
          </cell>
          <cell r="E41">
            <v>5371193.5899999999</v>
          </cell>
        </row>
        <row r="42">
          <cell r="A42">
            <v>1204010000</v>
          </cell>
          <cell r="B42" t="str">
            <v>ANTICIPOS AL PERSONAL</v>
          </cell>
          <cell r="C42">
            <v>0</v>
          </cell>
          <cell r="E42">
            <v>11280.94</v>
          </cell>
        </row>
        <row r="43">
          <cell r="A43">
            <v>1204020000</v>
          </cell>
          <cell r="B43" t="str">
            <v>PRESTAMOS AL PERSONAL M.N.</v>
          </cell>
          <cell r="C43">
            <v>-2779.45</v>
          </cell>
          <cell r="E43">
            <v>62596.36</v>
          </cell>
        </row>
        <row r="44">
          <cell r="A44">
            <v>1204040000</v>
          </cell>
          <cell r="B44" t="str">
            <v>PRESTAMOS EN PRODUCTOS O SERVICIOS</v>
          </cell>
          <cell r="C44">
            <v>9021.41</v>
          </cell>
          <cell r="E44">
            <v>134541.41</v>
          </cell>
        </row>
        <row r="45">
          <cell r="A45">
            <v>1204050000</v>
          </cell>
          <cell r="B45" t="str">
            <v>PRESTAMOS MATERIALES DE ALMACEN</v>
          </cell>
          <cell r="C45">
            <v>2832.42</v>
          </cell>
          <cell r="E45">
            <v>4900.7700000000004</v>
          </cell>
        </row>
        <row r="46">
          <cell r="A46">
            <v>1204060000</v>
          </cell>
          <cell r="B46" t="str">
            <v>PAGOS ANTICIPADOS</v>
          </cell>
          <cell r="C46">
            <v>-416928.71</v>
          </cell>
          <cell r="E46">
            <v>4468852.25</v>
          </cell>
        </row>
        <row r="47">
          <cell r="A47">
            <v>1204080000</v>
          </cell>
          <cell r="B47" t="str">
            <v>DEUDORES CON CARGO DE CUENTA M.N.</v>
          </cell>
          <cell r="C47">
            <v>304883.48</v>
          </cell>
          <cell r="E47">
            <v>689005.84</v>
          </cell>
        </row>
        <row r="48">
          <cell r="A48">
            <v>1204100000</v>
          </cell>
          <cell r="B48" t="str">
            <v>PULPERIAS</v>
          </cell>
          <cell r="C48">
            <v>0</v>
          </cell>
          <cell r="E48">
            <v>16.02</v>
          </cell>
        </row>
        <row r="50">
          <cell r="A50">
            <v>1300000000</v>
          </cell>
          <cell r="B50" t="str">
            <v>ACTIVO REALIZABLE</v>
          </cell>
          <cell r="C50">
            <v>-2105888.61</v>
          </cell>
          <cell r="E50">
            <v>118683757.78</v>
          </cell>
        </row>
        <row r="51">
          <cell r="A51">
            <v>1301000000</v>
          </cell>
          <cell r="B51" t="str">
            <v>EXISTENCIAS</v>
          </cell>
          <cell r="C51">
            <v>-3957132.43</v>
          </cell>
          <cell r="E51">
            <v>35848722.399999999</v>
          </cell>
        </row>
        <row r="52">
          <cell r="A52">
            <v>1301010000</v>
          </cell>
          <cell r="B52" t="str">
            <v>MATERIA PRIMA E INSUMOS</v>
          </cell>
          <cell r="C52">
            <v>-644091.43999999994</v>
          </cell>
          <cell r="E52">
            <v>17052309.109999999</v>
          </cell>
        </row>
        <row r="53">
          <cell r="A53">
            <v>1301020000</v>
          </cell>
          <cell r="B53" t="str">
            <v>PRODUCTOS EN PROCESO</v>
          </cell>
          <cell r="C53">
            <v>-2563726.12</v>
          </cell>
          <cell r="E53">
            <v>16083763.65</v>
          </cell>
        </row>
        <row r="54">
          <cell r="A54">
            <v>1301030000</v>
          </cell>
          <cell r="B54" t="str">
            <v>PRODUCTOS TERMINADOS</v>
          </cell>
          <cell r="C54">
            <v>-749314.87</v>
          </cell>
          <cell r="E54">
            <v>2712649.64</v>
          </cell>
        </row>
        <row r="55">
          <cell r="A55">
            <v>1304000000</v>
          </cell>
          <cell r="B55" t="str">
            <v>EXISTENCIA DE MATERIALES</v>
          </cell>
          <cell r="C55">
            <v>1851243.82</v>
          </cell>
          <cell r="E55">
            <v>82835035.379999995</v>
          </cell>
        </row>
        <row r="56">
          <cell r="A56">
            <v>1304010000</v>
          </cell>
          <cell r="B56" t="str">
            <v>MATERIALES EN ALMACEN</v>
          </cell>
          <cell r="C56">
            <v>968130.34</v>
          </cell>
          <cell r="E56">
            <v>48943724.109999999</v>
          </cell>
        </row>
        <row r="57">
          <cell r="A57">
            <v>1304020000</v>
          </cell>
          <cell r="B57" t="str">
            <v>ALMACEN - AUXILIAR</v>
          </cell>
          <cell r="C57">
            <v>0</v>
          </cell>
          <cell r="E57">
            <v>8473242.8399999999</v>
          </cell>
        </row>
        <row r="58">
          <cell r="A58">
            <v>1304030000</v>
          </cell>
          <cell r="B58" t="str">
            <v>PULPERIA IRPA - IRPA</v>
          </cell>
          <cell r="C58">
            <v>0</v>
          </cell>
          <cell r="E58">
            <v>22524.02</v>
          </cell>
        </row>
        <row r="59">
          <cell r="A59">
            <v>1304040000</v>
          </cell>
          <cell r="B59" t="str">
            <v>MERCADERIAS EN TRANSITO</v>
          </cell>
          <cell r="C59">
            <v>883113.48</v>
          </cell>
          <cell r="E59">
            <v>25395544.41</v>
          </cell>
        </row>
        <row r="61">
          <cell r="A61">
            <v>1400000000</v>
          </cell>
          <cell r="B61" t="str">
            <v>ACTIVO FIJO</v>
          </cell>
          <cell r="C61">
            <v>4819765.37</v>
          </cell>
          <cell r="E61">
            <v>623600051.48000002</v>
          </cell>
        </row>
        <row r="62">
          <cell r="A62">
            <v>1401000000</v>
          </cell>
          <cell r="B62" t="str">
            <v>BIENES DE USO</v>
          </cell>
          <cell r="C62">
            <v>12442200.4</v>
          </cell>
          <cell r="E62">
            <v>1915030140.5</v>
          </cell>
        </row>
        <row r="63">
          <cell r="A63">
            <v>1401010000</v>
          </cell>
          <cell r="B63" t="str">
            <v>TERRENOS</v>
          </cell>
          <cell r="C63">
            <v>779498.91</v>
          </cell>
          <cell r="E63">
            <v>67850102.920000002</v>
          </cell>
        </row>
        <row r="64">
          <cell r="A64">
            <v>1401020000</v>
          </cell>
          <cell r="B64" t="str">
            <v>EDIFICIOS</v>
          </cell>
          <cell r="C64">
            <v>4541508.4000000004</v>
          </cell>
          <cell r="E64">
            <v>400965816.64999998</v>
          </cell>
        </row>
        <row r="65">
          <cell r="A65">
            <v>1401030000</v>
          </cell>
          <cell r="B65" t="str">
            <v>MUEBLES Y ENSERES DE OFICINA</v>
          </cell>
          <cell r="C65">
            <v>-16609.89</v>
          </cell>
          <cell r="E65">
            <v>4636315.0999999996</v>
          </cell>
        </row>
        <row r="66">
          <cell r="A66">
            <v>1401040000</v>
          </cell>
          <cell r="B66" t="str">
            <v>MAQUINARIA Y EQUIPO</v>
          </cell>
          <cell r="C66">
            <v>3580548.89</v>
          </cell>
          <cell r="E66">
            <v>725224875.65999997</v>
          </cell>
        </row>
        <row r="67">
          <cell r="A67">
            <v>1401050000</v>
          </cell>
          <cell r="B67" t="str">
            <v>VEHICULOS</v>
          </cell>
          <cell r="C67">
            <v>9229.24</v>
          </cell>
          <cell r="E67">
            <v>34834563.689999998</v>
          </cell>
        </row>
        <row r="68">
          <cell r="A68">
            <v>1401060000</v>
          </cell>
          <cell r="B68" t="str">
            <v>MAQUINARIA DE CONSTRUCCION</v>
          </cell>
          <cell r="C68">
            <v>7124.3</v>
          </cell>
          <cell r="E68">
            <v>17539172.66</v>
          </cell>
        </row>
        <row r="69">
          <cell r="A69">
            <v>1401070000</v>
          </cell>
          <cell r="B69" t="str">
            <v>EQUIPO PESADO</v>
          </cell>
          <cell r="C69">
            <v>39775.26</v>
          </cell>
          <cell r="E69">
            <v>122951156.29000001</v>
          </cell>
        </row>
        <row r="70">
          <cell r="A70">
            <v>1401080000</v>
          </cell>
          <cell r="B70" t="str">
            <v>INSTALACIONES INDUSTRIALES</v>
          </cell>
          <cell r="C70">
            <v>3412304.75</v>
          </cell>
          <cell r="E70">
            <v>489775126.38999999</v>
          </cell>
        </row>
        <row r="71">
          <cell r="A71">
            <v>1401090000</v>
          </cell>
          <cell r="B71" t="str">
            <v>HERRAMIENTAS E IMPLEMENTOS</v>
          </cell>
          <cell r="C71">
            <v>1817.96</v>
          </cell>
          <cell r="E71">
            <v>19218757.199999999</v>
          </cell>
        </row>
        <row r="72">
          <cell r="A72">
            <v>1401100000</v>
          </cell>
          <cell r="B72" t="str">
            <v>TINGLADOS</v>
          </cell>
          <cell r="C72">
            <v>42478.21</v>
          </cell>
          <cell r="E72">
            <v>14712921.15</v>
          </cell>
        </row>
        <row r="73">
          <cell r="A73">
            <v>1401110000</v>
          </cell>
          <cell r="B73" t="str">
            <v>EQUIPOS DE COMPUTACION</v>
          </cell>
          <cell r="C73">
            <v>12296.38</v>
          </cell>
          <cell r="E73">
            <v>7803212.6200000001</v>
          </cell>
        </row>
        <row r="74">
          <cell r="A74">
            <v>1401120000</v>
          </cell>
          <cell r="B74" t="str">
            <v>EQUIPOS DE LABORATORIO</v>
          </cell>
          <cell r="C74">
            <v>32227.99</v>
          </cell>
          <cell r="E74">
            <v>9352016.8499999996</v>
          </cell>
        </row>
        <row r="75">
          <cell r="A75">
            <v>1401150000</v>
          </cell>
          <cell r="B75" t="str">
            <v>CANALES DE RIEGO Y POZOS</v>
          </cell>
          <cell r="C75">
            <v>0</v>
          </cell>
          <cell r="E75">
            <v>166103.32</v>
          </cell>
        </row>
        <row r="76">
          <cell r="A76">
            <v>1402000000</v>
          </cell>
          <cell r="B76" t="str">
            <v>DEPRECIACION ACUMULADA</v>
          </cell>
          <cell r="C76">
            <v>-7622435.0300000003</v>
          </cell>
          <cell r="E76">
            <v>-1291430089.02</v>
          </cell>
        </row>
        <row r="77">
          <cell r="A77">
            <v>1402020000</v>
          </cell>
          <cell r="B77" t="str">
            <v>EDIFICIOS</v>
          </cell>
          <cell r="C77">
            <v>-2146778.9300000002</v>
          </cell>
          <cell r="E77">
            <v>-121400000.26000001</v>
          </cell>
        </row>
        <row r="78">
          <cell r="A78">
            <v>1402030000</v>
          </cell>
          <cell r="B78" t="str">
            <v>MUEBLES Y ENSERES DE OFICINA</v>
          </cell>
          <cell r="C78">
            <v>15760.66</v>
          </cell>
          <cell r="E78">
            <v>-4609560.09</v>
          </cell>
        </row>
        <row r="79">
          <cell r="A79">
            <v>1402040000</v>
          </cell>
          <cell r="B79" t="str">
            <v>MAQUINARIA Y EQUIPO</v>
          </cell>
          <cell r="C79">
            <v>-2713882.94</v>
          </cell>
          <cell r="E79">
            <v>-584641435.13999999</v>
          </cell>
        </row>
        <row r="80">
          <cell r="A80">
            <v>1402050000</v>
          </cell>
          <cell r="B80" t="str">
            <v>VEHICULOS</v>
          </cell>
          <cell r="C80">
            <v>-17863.12</v>
          </cell>
          <cell r="E80">
            <v>-34434049.310000002</v>
          </cell>
        </row>
        <row r="81">
          <cell r="A81">
            <v>1402060000</v>
          </cell>
          <cell r="B81" t="str">
            <v>MAQUINARIA DE CONSTRUCCION</v>
          </cell>
          <cell r="C81">
            <v>-10752.72</v>
          </cell>
          <cell r="E81">
            <v>-17299198.850000001</v>
          </cell>
        </row>
        <row r="82">
          <cell r="A82">
            <v>1402070000</v>
          </cell>
          <cell r="B82" t="str">
            <v>EQUIPO PESADO</v>
          </cell>
          <cell r="C82">
            <v>-60159.22</v>
          </cell>
          <cell r="E82">
            <v>-121622358.36</v>
          </cell>
        </row>
        <row r="83">
          <cell r="A83">
            <v>1402080000</v>
          </cell>
          <cell r="B83" t="str">
            <v>INSTALACIONES INDUSTRIALES</v>
          </cell>
          <cell r="C83">
            <v>-2542850.44</v>
          </cell>
          <cell r="E83">
            <v>-358574132.76999998</v>
          </cell>
        </row>
        <row r="84">
          <cell r="A84">
            <v>1402090000</v>
          </cell>
          <cell r="B84" t="str">
            <v>HERRAMIENTAS E IMPLEMENTOS</v>
          </cell>
          <cell r="C84">
            <v>-4261.66</v>
          </cell>
          <cell r="E84">
            <v>-19147808.73</v>
          </cell>
        </row>
        <row r="85">
          <cell r="A85">
            <v>1402100000</v>
          </cell>
          <cell r="B85" t="str">
            <v>TINGLADOS</v>
          </cell>
          <cell r="C85">
            <v>-67850.399999999994</v>
          </cell>
          <cell r="E85">
            <v>-14265500.130000001</v>
          </cell>
        </row>
        <row r="86">
          <cell r="A86">
            <v>1402110000</v>
          </cell>
          <cell r="B86" t="str">
            <v>EQUIPOS DE COMPUTACION</v>
          </cell>
          <cell r="C86">
            <v>-28528.49</v>
          </cell>
          <cell r="E86">
            <v>-7297177.8399999999</v>
          </cell>
        </row>
        <row r="87">
          <cell r="A87">
            <v>1402120000</v>
          </cell>
          <cell r="B87" t="str">
            <v>EQUIPOS DE LABORATORIO</v>
          </cell>
          <cell r="C87">
            <v>-45267.77</v>
          </cell>
          <cell r="E87">
            <v>-7972764.2199999997</v>
          </cell>
        </row>
        <row r="88">
          <cell r="A88">
            <v>1402150000</v>
          </cell>
          <cell r="B88" t="str">
            <v>CANALES DE RIEGO Y POZOS</v>
          </cell>
          <cell r="C88">
            <v>0</v>
          </cell>
          <cell r="E88">
            <v>-166103.32</v>
          </cell>
        </row>
        <row r="90">
          <cell r="A90">
            <v>1500000000</v>
          </cell>
          <cell r="B90" t="str">
            <v>INVERSIONES</v>
          </cell>
          <cell r="C90">
            <v>533787.78</v>
          </cell>
          <cell r="E90">
            <v>27267113.940000001</v>
          </cell>
        </row>
        <row r="91">
          <cell r="A91">
            <v>1502000000</v>
          </cell>
          <cell r="B91" t="str">
            <v>OTRAS INVERSIONES</v>
          </cell>
          <cell r="C91">
            <v>533787.78</v>
          </cell>
          <cell r="E91">
            <v>27267113.940000001</v>
          </cell>
        </row>
        <row r="92">
          <cell r="A92">
            <v>1502010000</v>
          </cell>
          <cell r="B92" t="str">
            <v>ACCIONES</v>
          </cell>
          <cell r="C92">
            <v>533787.78</v>
          </cell>
          <cell r="E92">
            <v>26866293.93</v>
          </cell>
        </row>
        <row r="93">
          <cell r="A93">
            <v>1502030000</v>
          </cell>
          <cell r="B93" t="str">
            <v>LINEAS TELEFONICAS</v>
          </cell>
          <cell r="C93">
            <v>0</v>
          </cell>
          <cell r="E93">
            <v>261000</v>
          </cell>
        </row>
        <row r="94">
          <cell r="A94">
            <v>1502050000</v>
          </cell>
          <cell r="B94" t="str">
            <v>OTRAS INVERSIONES</v>
          </cell>
          <cell r="C94">
            <v>0</v>
          </cell>
          <cell r="E94">
            <v>139820.01</v>
          </cell>
        </row>
        <row r="96">
          <cell r="A96">
            <v>1600000000</v>
          </cell>
          <cell r="B96" t="str">
            <v>OTROS ACTIVOS</v>
          </cell>
          <cell r="C96">
            <v>587027.26</v>
          </cell>
          <cell r="E96">
            <v>247957348.84</v>
          </cell>
        </row>
        <row r="97">
          <cell r="A97">
            <v>1601000000</v>
          </cell>
          <cell r="B97" t="str">
            <v>DOCUMENTOS POR COBRAR A LARGO PLAZO</v>
          </cell>
          <cell r="C97">
            <v>-1000</v>
          </cell>
          <cell r="E97">
            <v>60596603.57</v>
          </cell>
        </row>
        <row r="98">
          <cell r="A98">
            <v>1601020000</v>
          </cell>
          <cell r="B98" t="str">
            <v>CREDITOS M.E.</v>
          </cell>
          <cell r="C98">
            <v>0</v>
          </cell>
          <cell r="E98">
            <v>48732905.649999999</v>
          </cell>
        </row>
        <row r="99">
          <cell r="A99">
            <v>1601040000</v>
          </cell>
          <cell r="B99" t="str">
            <v>DOCUMENTOS EN EJECUCION</v>
          </cell>
          <cell r="C99">
            <v>-1000</v>
          </cell>
          <cell r="E99">
            <v>11863697.92</v>
          </cell>
        </row>
        <row r="100">
          <cell r="A100">
            <v>1601050000</v>
          </cell>
          <cell r="B100" t="str">
            <v>CUENTAS INCOBRABLES</v>
          </cell>
          <cell r="C100">
            <v>0</v>
          </cell>
          <cell r="E100">
            <v>3212209.75</v>
          </cell>
        </row>
        <row r="101">
          <cell r="A101">
            <v>1601060000</v>
          </cell>
          <cell r="B101" t="str">
            <v>(PREVISION CUENTAS INCOBRABLES)</v>
          </cell>
          <cell r="C101">
            <v>0</v>
          </cell>
          <cell r="E101">
            <v>-3212209.75</v>
          </cell>
        </row>
        <row r="102">
          <cell r="A102">
            <v>1602000000</v>
          </cell>
          <cell r="B102" t="str">
            <v>OBRAS EN EJECUCIÓN</v>
          </cell>
          <cell r="C102">
            <v>375644.68</v>
          </cell>
          <cell r="E102">
            <v>17944670.859999999</v>
          </cell>
        </row>
        <row r="103">
          <cell r="A103">
            <v>1602010000</v>
          </cell>
          <cell r="B103" t="str">
            <v>AMPLIACIONES</v>
          </cell>
          <cell r="C103">
            <v>375644.68</v>
          </cell>
          <cell r="E103">
            <v>17944670.859999999</v>
          </cell>
        </row>
        <row r="104">
          <cell r="A104">
            <v>1604000000</v>
          </cell>
          <cell r="B104" t="str">
            <v>BIENES ARRENDADOS</v>
          </cell>
          <cell r="C104">
            <v>0</v>
          </cell>
          <cell r="E104">
            <v>1947226.38</v>
          </cell>
        </row>
        <row r="105">
          <cell r="A105">
            <v>1604010000</v>
          </cell>
          <cell r="B105" t="str">
            <v>VALOR DE ARRENDAMIENTO</v>
          </cell>
          <cell r="C105">
            <v>0</v>
          </cell>
          <cell r="E105">
            <v>1947226.38</v>
          </cell>
        </row>
        <row r="106">
          <cell r="A106">
            <v>1605000000</v>
          </cell>
          <cell r="B106" t="str">
            <v>DIVERSOS</v>
          </cell>
          <cell r="C106">
            <v>-64938.53</v>
          </cell>
          <cell r="E106">
            <v>16893882.579999998</v>
          </cell>
        </row>
        <row r="107">
          <cell r="A107">
            <v>1605010000</v>
          </cell>
          <cell r="B107" t="str">
            <v>REPUESTOS EN ALMACEN</v>
          </cell>
          <cell r="C107">
            <v>-64938.53</v>
          </cell>
          <cell r="E107">
            <v>16704862.34</v>
          </cell>
        </row>
        <row r="108">
          <cell r="A108">
            <v>1605020000</v>
          </cell>
          <cell r="B108" t="str">
            <v>LIBROS Y BIBLIOTECAS</v>
          </cell>
          <cell r="C108">
            <v>0</v>
          </cell>
          <cell r="E108">
            <v>189020.24</v>
          </cell>
        </row>
        <row r="109">
          <cell r="A109">
            <v>1606000000</v>
          </cell>
          <cell r="B109" t="str">
            <v>CUENTAS CORRIENTES UNIDADES</v>
          </cell>
          <cell r="C109">
            <v>277321.11</v>
          </cell>
          <cell r="E109">
            <v>150574965.44999999</v>
          </cell>
        </row>
        <row r="110">
          <cell r="A110">
            <v>1606010000</v>
          </cell>
          <cell r="B110" t="str">
            <v>LIMITADA</v>
          </cell>
          <cell r="C110">
            <v>239196.2</v>
          </cell>
          <cell r="E110">
            <v>129014078.72</v>
          </cell>
        </row>
        <row r="111">
          <cell r="A111">
            <v>1606030000</v>
          </cell>
          <cell r="B111" t="str">
            <v>CERAMIL</v>
          </cell>
          <cell r="C111">
            <v>-53362.11</v>
          </cell>
          <cell r="E111">
            <v>11262304.74</v>
          </cell>
        </row>
        <row r="112">
          <cell r="A112">
            <v>1606040000</v>
          </cell>
          <cell r="B112" t="str">
            <v>HORMIGON</v>
          </cell>
          <cell r="C112">
            <v>-28108.87</v>
          </cell>
          <cell r="E112">
            <v>5472246.6299999999</v>
          </cell>
        </row>
        <row r="113">
          <cell r="A113">
            <v>1606050000</v>
          </cell>
          <cell r="B113" t="str">
            <v>CONSTRUCCIONES</v>
          </cell>
          <cell r="C113">
            <v>72317.39</v>
          </cell>
          <cell r="E113">
            <v>2920811.47</v>
          </cell>
        </row>
        <row r="114">
          <cell r="A114">
            <v>1606060000</v>
          </cell>
          <cell r="B114" t="str">
            <v>CERAMICA</v>
          </cell>
          <cell r="C114">
            <v>-2646.16</v>
          </cell>
          <cell r="E114">
            <v>907511.92</v>
          </cell>
        </row>
        <row r="115">
          <cell r="A115">
            <v>1606070000</v>
          </cell>
          <cell r="B115" t="str">
            <v>METAL</v>
          </cell>
          <cell r="C115">
            <v>40411.69</v>
          </cell>
          <cell r="E115">
            <v>570577.24</v>
          </cell>
        </row>
        <row r="116">
          <cell r="A116">
            <v>1606080000</v>
          </cell>
          <cell r="B116" t="str">
            <v>COBOCE EDITORA OPINION</v>
          </cell>
          <cell r="C116">
            <v>9512.9699999999993</v>
          </cell>
          <cell r="E116">
            <v>427434.73</v>
          </cell>
        </row>
        <row r="118">
          <cell r="A118">
            <v>1700000000</v>
          </cell>
          <cell r="B118" t="str">
            <v>ACTIVOS DIFERIDOS</v>
          </cell>
          <cell r="C118">
            <v>-474503.96</v>
          </cell>
          <cell r="E118">
            <v>9396778.2400000002</v>
          </cell>
        </row>
        <row r="119">
          <cell r="A119">
            <v>1701000000</v>
          </cell>
          <cell r="B119" t="str">
            <v>ACTIVOS RETIRADOS</v>
          </cell>
          <cell r="C119">
            <v>0</v>
          </cell>
          <cell r="E119">
            <v>3580102.51</v>
          </cell>
        </row>
        <row r="120">
          <cell r="A120">
            <v>1701010000</v>
          </cell>
          <cell r="B120" t="str">
            <v>BIENES DE USO RETIRADOS</v>
          </cell>
          <cell r="C120">
            <v>0</v>
          </cell>
          <cell r="E120">
            <v>3580102.51</v>
          </cell>
        </row>
        <row r="121">
          <cell r="A121">
            <v>1702000000</v>
          </cell>
          <cell r="B121" t="str">
            <v>GASTOS DIFERIDOS</v>
          </cell>
          <cell r="C121">
            <v>-474503.96</v>
          </cell>
          <cell r="E121">
            <v>5816675.7300000004</v>
          </cell>
        </row>
        <row r="122">
          <cell r="A122">
            <v>1702020000</v>
          </cell>
          <cell r="B122" t="str">
            <v>GASTOS DE PRODUCCIÓN Y MANTENIMIENTO</v>
          </cell>
          <cell r="C122">
            <v>-474503.96</v>
          </cell>
          <cell r="E122">
            <v>1306204.3</v>
          </cell>
        </row>
        <row r="123">
          <cell r="A123">
            <v>1702050000</v>
          </cell>
          <cell r="B123" t="str">
            <v>VARIOS</v>
          </cell>
          <cell r="C123">
            <v>0</v>
          </cell>
          <cell r="E123">
            <v>4510471.43</v>
          </cell>
        </row>
        <row r="125">
          <cell r="A125">
            <v>2000000000</v>
          </cell>
          <cell r="B125" t="str">
            <v>PASIVO</v>
          </cell>
          <cell r="C125">
            <v>5212057.28</v>
          </cell>
          <cell r="E125">
            <v>-1182024909.3399999</v>
          </cell>
        </row>
        <row r="128">
          <cell r="A128">
            <v>2100000000</v>
          </cell>
          <cell r="B128" t="str">
            <v>PASIVO CORRIENTE</v>
          </cell>
          <cell r="C128">
            <v>13199405.970000001</v>
          </cell>
          <cell r="E128">
            <v>-165736428.94999999</v>
          </cell>
        </row>
        <row r="129">
          <cell r="A129">
            <v>2101000000</v>
          </cell>
          <cell r="B129" t="str">
            <v>DEUDAS COMERCIALES</v>
          </cell>
          <cell r="C129">
            <v>5075775.62</v>
          </cell>
          <cell r="E129">
            <v>-67859483.439999998</v>
          </cell>
        </row>
        <row r="130">
          <cell r="A130">
            <v>2101010000</v>
          </cell>
          <cell r="B130" t="str">
            <v>PROVEEDORES</v>
          </cell>
          <cell r="C130">
            <v>4645929.47</v>
          </cell>
          <cell r="E130">
            <v>-61759367.75</v>
          </cell>
        </row>
        <row r="131">
          <cell r="A131">
            <v>2101030000</v>
          </cell>
          <cell r="B131" t="str">
            <v>TRANSPORTISTAS</v>
          </cell>
          <cell r="C131">
            <v>304844.40999999997</v>
          </cell>
          <cell r="E131">
            <v>-1423324.07</v>
          </cell>
        </row>
        <row r="132">
          <cell r="A132">
            <v>2101040000</v>
          </cell>
          <cell r="B132" t="str">
            <v>ACREEDORES VARIOS</v>
          </cell>
          <cell r="C132">
            <v>125001.74</v>
          </cell>
          <cell r="E132">
            <v>-4359367.76</v>
          </cell>
        </row>
        <row r="133">
          <cell r="A133">
            <v>2101090000</v>
          </cell>
          <cell r="B133" t="str">
            <v>ACREEDORES POR DEPOSITOS EN GARANTIA</v>
          </cell>
          <cell r="C133">
            <v>0</v>
          </cell>
          <cell r="E133">
            <v>-47575.86</v>
          </cell>
        </row>
        <row r="134">
          <cell r="A134">
            <v>2101650000</v>
          </cell>
          <cell r="B134" t="str">
            <v>PROVEEDORES AEROPUERTO POTOSI</v>
          </cell>
          <cell r="C134">
            <v>0</v>
          </cell>
          <cell r="E134">
            <v>-269848</v>
          </cell>
        </row>
        <row r="135">
          <cell r="A135">
            <v>2102000000</v>
          </cell>
          <cell r="B135" t="str">
            <v>DOCUMENTOS POR PAGAR</v>
          </cell>
          <cell r="C135">
            <v>-53297.11</v>
          </cell>
          <cell r="E135">
            <v>-3044694.21</v>
          </cell>
        </row>
        <row r="136">
          <cell r="A136">
            <v>2102020000</v>
          </cell>
          <cell r="B136" t="str">
            <v>BANCARIOS</v>
          </cell>
          <cell r="C136">
            <v>0</v>
          </cell>
          <cell r="E136">
            <v>-2238191.12</v>
          </cell>
        </row>
        <row r="137">
          <cell r="A137">
            <v>2102030000</v>
          </cell>
          <cell r="B137" t="str">
            <v>CONTRATOS</v>
          </cell>
          <cell r="C137">
            <v>98413.55</v>
          </cell>
          <cell r="E137">
            <v>-494321.26</v>
          </cell>
        </row>
        <row r="138">
          <cell r="A138">
            <v>2102040000</v>
          </cell>
          <cell r="B138" t="str">
            <v>OTROS DOCUMENTOS</v>
          </cell>
          <cell r="C138">
            <v>-151710.66</v>
          </cell>
          <cell r="E138">
            <v>-312181.83</v>
          </cell>
        </row>
        <row r="139">
          <cell r="A139">
            <v>2104000000</v>
          </cell>
          <cell r="B139" t="str">
            <v>OBLIGACIONES FINANCIERAS A CORTO PLAZO</v>
          </cell>
          <cell r="C139">
            <v>-133625.07</v>
          </cell>
          <cell r="E139">
            <v>-56400418.789999999</v>
          </cell>
        </row>
        <row r="140">
          <cell r="A140">
            <v>2104010000</v>
          </cell>
          <cell r="B140" t="str">
            <v>OBLIGACIONES POR CAPITAL</v>
          </cell>
          <cell r="C140">
            <v>994162.93</v>
          </cell>
          <cell r="E140">
            <v>-51280743.560000002</v>
          </cell>
        </row>
        <row r="141">
          <cell r="A141">
            <v>2104020000</v>
          </cell>
          <cell r="B141" t="str">
            <v>OBLIGACIONES POR INTERESES</v>
          </cell>
          <cell r="C141">
            <v>-1127788</v>
          </cell>
          <cell r="E141">
            <v>-5119675.2300000004</v>
          </cell>
        </row>
        <row r="142">
          <cell r="A142">
            <v>2105000000</v>
          </cell>
          <cell r="B142" t="str">
            <v>IMPUESTOS POR PAGAR</v>
          </cell>
          <cell r="C142">
            <v>0</v>
          </cell>
          <cell r="E142">
            <v>0</v>
          </cell>
        </row>
        <row r="143">
          <cell r="A143">
            <v>2105010000</v>
          </cell>
          <cell r="B143" t="str">
            <v>IMPUESTO AL VALOR AGREGADO (DEBITO FISCA</v>
          </cell>
          <cell r="C143">
            <v>0</v>
          </cell>
          <cell r="E143">
            <v>0</v>
          </cell>
        </row>
        <row r="144">
          <cell r="A144">
            <v>2105030000</v>
          </cell>
          <cell r="B144" t="str">
            <v>IMPUESTO AL REGIMEN COMPLEMENTARIO</v>
          </cell>
          <cell r="C144">
            <v>0</v>
          </cell>
          <cell r="E144">
            <v>0</v>
          </cell>
        </row>
        <row r="145">
          <cell r="A145">
            <v>2105040000</v>
          </cell>
          <cell r="B145" t="str">
            <v>RETENCION EN LA FUENTE</v>
          </cell>
          <cell r="C145">
            <v>0</v>
          </cell>
          <cell r="E145">
            <v>0</v>
          </cell>
        </row>
        <row r="146">
          <cell r="A146">
            <v>2105090000</v>
          </cell>
          <cell r="B146" t="str">
            <v>REGALIAS MINERAS</v>
          </cell>
          <cell r="C146">
            <v>0</v>
          </cell>
          <cell r="E146">
            <v>0</v>
          </cell>
        </row>
        <row r="147">
          <cell r="A147">
            <v>2106000000</v>
          </cell>
          <cell r="B147" t="str">
            <v>OBLIGACIONES POR PAGAR</v>
          </cell>
          <cell r="C147">
            <v>2978267.45</v>
          </cell>
          <cell r="E147">
            <v>-18074872.52</v>
          </cell>
        </row>
        <row r="148">
          <cell r="A148">
            <v>2106010000</v>
          </cell>
          <cell r="B148" t="str">
            <v>SUELDOS Y JORNALES POR PAGAR</v>
          </cell>
          <cell r="C148">
            <v>3522068.56</v>
          </cell>
          <cell r="E148">
            <v>-7299563.3300000001</v>
          </cell>
        </row>
        <row r="149">
          <cell r="A149">
            <v>2106020000</v>
          </cell>
          <cell r="B149" t="str">
            <v>AGUINALDOS Y PRIMAS POR PAGAR</v>
          </cell>
          <cell r="C149">
            <v>0</v>
          </cell>
          <cell r="E149">
            <v>-100838.3</v>
          </cell>
        </row>
        <row r="150">
          <cell r="A150">
            <v>2106040000</v>
          </cell>
          <cell r="B150" t="str">
            <v>FINIQUITOS POR PAGAR</v>
          </cell>
          <cell r="C150">
            <v>138058.84</v>
          </cell>
          <cell r="E150">
            <v>-2461.13</v>
          </cell>
        </row>
        <row r="151">
          <cell r="A151">
            <v>2106060000</v>
          </cell>
          <cell r="B151" t="str">
            <v>AGUINALDOS Y PRIMAS NO RECLAMADOS</v>
          </cell>
          <cell r="C151">
            <v>0</v>
          </cell>
          <cell r="E151">
            <v>-770657.13</v>
          </cell>
        </row>
        <row r="152">
          <cell r="A152">
            <v>2106070000</v>
          </cell>
          <cell r="B152" t="str">
            <v>APORTES Y RETENCIONES POR PAGAR</v>
          </cell>
          <cell r="C152">
            <v>-784825.95</v>
          </cell>
          <cell r="E152">
            <v>-9593524.0099999998</v>
          </cell>
        </row>
        <row r="153">
          <cell r="A153">
            <v>2106080000</v>
          </cell>
          <cell r="B153" t="str">
            <v>RETENCIONES JUDICIALES</v>
          </cell>
          <cell r="C153">
            <v>102966</v>
          </cell>
          <cell r="E153">
            <v>-307828.62</v>
          </cell>
        </row>
        <row r="154">
          <cell r="A154">
            <v>2107000000</v>
          </cell>
          <cell r="B154" t="str">
            <v>PROVISIONES</v>
          </cell>
          <cell r="C154">
            <v>1469194.37</v>
          </cell>
          <cell r="E154">
            <v>-11824166.91</v>
          </cell>
        </row>
        <row r="155">
          <cell r="A155">
            <v>2107010000</v>
          </cell>
          <cell r="B155" t="str">
            <v>AGUINALDOS</v>
          </cell>
          <cell r="C155">
            <v>-891669.21</v>
          </cell>
          <cell r="E155">
            <v>-4095082.99</v>
          </cell>
        </row>
        <row r="156">
          <cell r="A156">
            <v>2107030000</v>
          </cell>
          <cell r="B156" t="str">
            <v>OTROS</v>
          </cell>
          <cell r="C156">
            <v>2360863.58</v>
          </cell>
          <cell r="E156">
            <v>-7729083.9199999999</v>
          </cell>
        </row>
        <row r="157">
          <cell r="A157">
            <v>2108000000</v>
          </cell>
          <cell r="B157" t="str">
            <v>COBROS POR ADELANTADO</v>
          </cell>
          <cell r="C157">
            <v>3863090.71</v>
          </cell>
          <cell r="E157">
            <v>-8532793.0800000001</v>
          </cell>
        </row>
        <row r="158">
          <cell r="A158">
            <v>2108010000</v>
          </cell>
          <cell r="B158" t="str">
            <v>CLIENTES LOCALES</v>
          </cell>
          <cell r="C158">
            <v>92968</v>
          </cell>
          <cell r="E158">
            <v>-3071375.25</v>
          </cell>
        </row>
        <row r="159">
          <cell r="A159">
            <v>2108020000</v>
          </cell>
          <cell r="B159" t="str">
            <v>CLIENTES INTERIOR</v>
          </cell>
          <cell r="C159">
            <v>3770122.71</v>
          </cell>
          <cell r="E159">
            <v>-5461417.8300000001</v>
          </cell>
        </row>
        <row r="161">
          <cell r="A161">
            <v>2200000000</v>
          </cell>
          <cell r="B161" t="str">
            <v>PASIVO NO CORRIENTE</v>
          </cell>
          <cell r="C161">
            <v>-2370585.2400000002</v>
          </cell>
          <cell r="E161">
            <v>-527391817.75999999</v>
          </cell>
        </row>
        <row r="162">
          <cell r="A162">
            <v>2201000000</v>
          </cell>
          <cell r="B162" t="str">
            <v>OBLIGACIONES FINANCIERAS A LARGO PLAZO</v>
          </cell>
          <cell r="C162">
            <v>0</v>
          </cell>
          <cell r="E162">
            <v>-204507293.19</v>
          </cell>
        </row>
        <row r="163">
          <cell r="A163">
            <v>2201010000</v>
          </cell>
          <cell r="B163" t="str">
            <v>OBLIGACIONES POR CAPITAL</v>
          </cell>
          <cell r="C163">
            <v>0</v>
          </cell>
          <cell r="E163">
            <v>-196565351.77000001</v>
          </cell>
        </row>
        <row r="164">
          <cell r="A164">
            <v>2201030000</v>
          </cell>
          <cell r="B164" t="str">
            <v>OBLIGACIONES POR INTERESES LP</v>
          </cell>
          <cell r="C164">
            <v>0</v>
          </cell>
          <cell r="E164">
            <v>-7941941.4199999999</v>
          </cell>
        </row>
        <row r="165">
          <cell r="A165">
            <v>2202000000</v>
          </cell>
          <cell r="B165" t="str">
            <v>PREVISIONES</v>
          </cell>
          <cell r="C165">
            <v>-442075.27</v>
          </cell>
          <cell r="E165">
            <v>-53757210.469999999</v>
          </cell>
        </row>
        <row r="166">
          <cell r="A166">
            <v>2202010000</v>
          </cell>
          <cell r="B166" t="str">
            <v>PREVISIONES BENEFICIOS SOCIALES</v>
          </cell>
          <cell r="C166">
            <v>-442075.27</v>
          </cell>
          <cell r="E166">
            <v>-53700227.789999999</v>
          </cell>
        </row>
        <row r="167">
          <cell r="A167">
            <v>2202020000</v>
          </cell>
          <cell r="B167" t="str">
            <v>OTRAS PREVISIONES</v>
          </cell>
          <cell r="C167">
            <v>0</v>
          </cell>
          <cell r="E167">
            <v>-56982.68</v>
          </cell>
        </row>
        <row r="168">
          <cell r="A168">
            <v>2203000000</v>
          </cell>
          <cell r="B168" t="str">
            <v>OTROS PASIVOS NO CORRIENTES</v>
          </cell>
          <cell r="C168">
            <v>85183.82</v>
          </cell>
          <cell r="E168">
            <v>-647855.93999999994</v>
          </cell>
        </row>
        <row r="169">
          <cell r="A169">
            <v>2203050000</v>
          </cell>
          <cell r="B169" t="str">
            <v>CREDITOS DIFERIDOS</v>
          </cell>
          <cell r="C169">
            <v>85183.82</v>
          </cell>
          <cell r="E169">
            <v>-647855.93999999994</v>
          </cell>
        </row>
        <row r="170">
          <cell r="A170">
            <v>2204000000</v>
          </cell>
          <cell r="B170" t="str">
            <v>CUENTAS CORRIENTES. UNIDADES.</v>
          </cell>
          <cell r="C170">
            <v>-2013693.79</v>
          </cell>
          <cell r="E170">
            <v>-268479458.16000003</v>
          </cell>
        </row>
        <row r="171">
          <cell r="A171">
            <v>2204010000</v>
          </cell>
          <cell r="B171" t="str">
            <v>LIMITADA</v>
          </cell>
          <cell r="C171">
            <v>-1973909.79</v>
          </cell>
          <cell r="E171">
            <v>-261393410.25999999</v>
          </cell>
        </row>
        <row r="172">
          <cell r="A172">
            <v>2204040000</v>
          </cell>
          <cell r="B172" t="str">
            <v>HORMIGON</v>
          </cell>
          <cell r="C172">
            <v>-130970</v>
          </cell>
          <cell r="E172">
            <v>-337201.9</v>
          </cell>
        </row>
        <row r="173">
          <cell r="A173">
            <v>2204050000</v>
          </cell>
          <cell r="B173" t="str">
            <v>CONSTRUCCIONES</v>
          </cell>
          <cell r="C173">
            <v>0</v>
          </cell>
          <cell r="E173">
            <v>-4749325.95</v>
          </cell>
        </row>
        <row r="174">
          <cell r="A174">
            <v>2204060000</v>
          </cell>
          <cell r="B174" t="str">
            <v>CERAMICA</v>
          </cell>
          <cell r="C174">
            <v>0</v>
          </cell>
          <cell r="E174">
            <v>-969341.21</v>
          </cell>
        </row>
        <row r="175">
          <cell r="A175">
            <v>2204070000</v>
          </cell>
          <cell r="B175" t="str">
            <v>METAL</v>
          </cell>
          <cell r="C175">
            <v>100563</v>
          </cell>
          <cell r="E175">
            <v>-906179.05</v>
          </cell>
        </row>
        <row r="176">
          <cell r="A176">
            <v>2204080000</v>
          </cell>
          <cell r="B176" t="str">
            <v>COBOCE EDITORA OPINION</v>
          </cell>
          <cell r="C176">
            <v>-9377</v>
          </cell>
          <cell r="E176">
            <v>-123999.79</v>
          </cell>
        </row>
        <row r="178">
          <cell r="A178">
            <v>2400000000</v>
          </cell>
          <cell r="B178" t="str">
            <v>PATRIMONIO</v>
          </cell>
          <cell r="C178">
            <v>-5616763.4500000002</v>
          </cell>
          <cell r="E178">
            <v>-488896662.63</v>
          </cell>
        </row>
        <row r="179">
          <cell r="A179">
            <v>2401000000</v>
          </cell>
          <cell r="B179" t="str">
            <v>FONDO SOCIAL</v>
          </cell>
          <cell r="C179">
            <v>-5616763.4500000002</v>
          </cell>
          <cell r="E179">
            <v>-488896662.63</v>
          </cell>
        </row>
        <row r="180">
          <cell r="A180">
            <v>2401010000</v>
          </cell>
          <cell r="B180" t="str">
            <v>FONDO SOCIAL UNIDADES</v>
          </cell>
          <cell r="C180">
            <v>-5616763.4500000002</v>
          </cell>
          <cell r="E180">
            <v>-488896662.63</v>
          </cell>
        </row>
        <row r="181">
          <cell r="A181">
            <v>2901010000</v>
          </cell>
          <cell r="B181" t="str">
            <v>CUENTAS DE ORDEN DEBITOS</v>
          </cell>
          <cell r="C181">
            <v>0</v>
          </cell>
          <cell r="E181">
            <v>44638661.009999998</v>
          </cell>
        </row>
        <row r="182">
          <cell r="A182">
            <v>2901020000</v>
          </cell>
          <cell r="B182" t="str">
            <v>CUENTAS DE ORDEN CREDITOS</v>
          </cell>
          <cell r="C182">
            <v>0</v>
          </cell>
          <cell r="E182">
            <v>-44638661.009999998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 refreshError="1">
        <row r="6">
          <cell r="A6" t="str">
            <v>1.0.00.00</v>
          </cell>
          <cell r="B6" t="str">
            <v>ACTIVO</v>
          </cell>
          <cell r="C6">
            <v>14119768.539999999</v>
          </cell>
          <cell r="E6">
            <v>1203445272.1700001</v>
          </cell>
        </row>
        <row r="7">
          <cell r="A7" t="str">
            <v>1.1.00.00</v>
          </cell>
          <cell r="B7" t="str">
            <v>ACTIVO DISPONIBLE</v>
          </cell>
          <cell r="C7">
            <v>11138431.84</v>
          </cell>
          <cell r="E7">
            <v>19513742.5</v>
          </cell>
        </row>
        <row r="8">
          <cell r="A8" t="str">
            <v>1.1.01.00</v>
          </cell>
          <cell r="B8" t="str">
            <v>CAJA</v>
          </cell>
          <cell r="C8">
            <v>6382993.7800000003</v>
          </cell>
          <cell r="E8">
            <v>8812250.1799999997</v>
          </cell>
        </row>
        <row r="9">
          <cell r="A9" t="str">
            <v>1.1.01.01</v>
          </cell>
          <cell r="B9" t="str">
            <v>CAJA GENERAL MONEDA NACIONAL</v>
          </cell>
          <cell r="C9">
            <v>6382993.7800000003</v>
          </cell>
          <cell r="E9">
            <v>8652350.1799999997</v>
          </cell>
        </row>
        <row r="10">
          <cell r="A10" t="str">
            <v>1.1.01.03</v>
          </cell>
          <cell r="B10" t="str">
            <v>CAJA CHICA MONEDA NACIONAL</v>
          </cell>
          <cell r="C10">
            <v>0</v>
          </cell>
          <cell r="E10">
            <v>159900</v>
          </cell>
        </row>
        <row r="11">
          <cell r="A11" t="str">
            <v>1.1.02.00</v>
          </cell>
          <cell r="B11" t="str">
            <v>BANCOS</v>
          </cell>
          <cell r="C11">
            <v>4755435.87</v>
          </cell>
          <cell r="E11">
            <v>10700614.15</v>
          </cell>
        </row>
        <row r="12">
          <cell r="A12" t="str">
            <v>1.1.02.01</v>
          </cell>
          <cell r="B12" t="str">
            <v>BANCO BISA</v>
          </cell>
          <cell r="C12">
            <v>3211829.9</v>
          </cell>
          <cell r="E12">
            <v>4815508.6399999997</v>
          </cell>
        </row>
        <row r="13">
          <cell r="A13" t="str">
            <v>1.1.02.02</v>
          </cell>
          <cell r="B13" t="str">
            <v>BANCO MERCANTIL</v>
          </cell>
          <cell r="C13">
            <v>213322.74</v>
          </cell>
          <cell r="E13">
            <v>945483.86</v>
          </cell>
        </row>
        <row r="14">
          <cell r="A14" t="str">
            <v>1.1.02.04</v>
          </cell>
          <cell r="B14" t="str">
            <v>BANCO DE CREDITO</v>
          </cell>
          <cell r="C14">
            <v>54034</v>
          </cell>
          <cell r="E14">
            <v>64547.18</v>
          </cell>
        </row>
        <row r="15">
          <cell r="A15" t="str">
            <v>1.1.02.05</v>
          </cell>
          <cell r="B15" t="str">
            <v>BANCO ECONÓMICO</v>
          </cell>
          <cell r="C15">
            <v>671679.95</v>
          </cell>
          <cell r="E15">
            <v>798489.88</v>
          </cell>
        </row>
        <row r="16">
          <cell r="A16" t="str">
            <v>1.1.02.06</v>
          </cell>
          <cell r="B16" t="str">
            <v>BANCO GANADERO</v>
          </cell>
          <cell r="C16">
            <v>566248.12</v>
          </cell>
          <cell r="E16">
            <v>1032183.75</v>
          </cell>
        </row>
        <row r="17">
          <cell r="A17" t="str">
            <v>1.1.02.07</v>
          </cell>
          <cell r="B17" t="str">
            <v>BANCO UNION</v>
          </cell>
          <cell r="C17">
            <v>203527.76</v>
          </cell>
          <cell r="E17">
            <v>1617463.62</v>
          </cell>
        </row>
        <row r="18">
          <cell r="A18" t="str">
            <v>1.1.02.08</v>
          </cell>
          <cell r="B18" t="str">
            <v>BANCO NACIONAL</v>
          </cell>
          <cell r="C18">
            <v>-164812.16</v>
          </cell>
          <cell r="E18">
            <v>149556.43</v>
          </cell>
        </row>
        <row r="19">
          <cell r="A19" t="str">
            <v>1.1.02.10</v>
          </cell>
          <cell r="B19" t="str">
            <v>FONDO DE LA COMUNIDAD</v>
          </cell>
          <cell r="C19">
            <v>28943.95</v>
          </cell>
          <cell r="E19">
            <v>78879.28</v>
          </cell>
        </row>
        <row r="20">
          <cell r="A20" t="str">
            <v>1.1.02.11</v>
          </cell>
          <cell r="B20" t="str">
            <v>BANCO FASSIL S.A.</v>
          </cell>
          <cell r="C20">
            <v>0</v>
          </cell>
          <cell r="E20">
            <v>1072.05</v>
          </cell>
        </row>
        <row r="21">
          <cell r="A21" t="str">
            <v>1.1.02.12</v>
          </cell>
          <cell r="B21" t="str">
            <v>BANCO PRODEM S.A.</v>
          </cell>
          <cell r="C21">
            <v>283846.96000000002</v>
          </cell>
          <cell r="E21">
            <v>678291.93</v>
          </cell>
        </row>
        <row r="22">
          <cell r="A22" t="str">
            <v>1.1.02.13</v>
          </cell>
          <cell r="B22" t="str">
            <v>BANCO FIE</v>
          </cell>
          <cell r="C22">
            <v>-313185.34999999998</v>
          </cell>
          <cell r="E22">
            <v>516734.59</v>
          </cell>
        </row>
        <row r="23">
          <cell r="A23" t="str">
            <v>1.1.02.15</v>
          </cell>
          <cell r="B23" t="str">
            <v>BANCO FORTALEZA</v>
          </cell>
          <cell r="C23">
            <v>0</v>
          </cell>
          <cell r="E23">
            <v>2402.94</v>
          </cell>
        </row>
        <row r="24">
          <cell r="A24" t="str">
            <v>1.1.03.00</v>
          </cell>
          <cell r="B24" t="str">
            <v>OTRAS INSTITUCIONES FINANCIERAS</v>
          </cell>
          <cell r="C24">
            <v>2.19</v>
          </cell>
          <cell r="E24">
            <v>878.17</v>
          </cell>
        </row>
        <row r="25">
          <cell r="A25" t="str">
            <v>1.1.03.01</v>
          </cell>
          <cell r="B25" t="str">
            <v>CIDRE IFD</v>
          </cell>
          <cell r="C25">
            <v>2.19</v>
          </cell>
          <cell r="E25">
            <v>878.17</v>
          </cell>
        </row>
        <row r="26">
          <cell r="A26" t="str">
            <v>1.2.00.00</v>
          </cell>
          <cell r="B26" t="str">
            <v>ACTIVO EXIGIBLE</v>
          </cell>
          <cell r="C26">
            <v>-950621.8</v>
          </cell>
          <cell r="E26">
            <v>153094520.88999999</v>
          </cell>
        </row>
        <row r="27">
          <cell r="A27" t="str">
            <v>1.2.01.00</v>
          </cell>
          <cell r="B27" t="str">
            <v>CUENTAS POR COBRAR</v>
          </cell>
          <cell r="C27">
            <v>-1143341.32</v>
          </cell>
          <cell r="E27">
            <v>75294335.180000007</v>
          </cell>
        </row>
        <row r="28">
          <cell r="A28" t="str">
            <v>1.2.01.01</v>
          </cell>
          <cell r="B28" t="str">
            <v>DEUDORES POR PRODUCTOS LOCALES M.N.</v>
          </cell>
          <cell r="C28">
            <v>-1458251.71</v>
          </cell>
          <cell r="E28">
            <v>21484152.199999999</v>
          </cell>
        </row>
        <row r="29">
          <cell r="A29" t="str">
            <v>1.2.01.05</v>
          </cell>
          <cell r="B29" t="str">
            <v>DEUDORES POR PRODUCTOS INTERIOR M.N.</v>
          </cell>
          <cell r="C29">
            <v>159265.57</v>
          </cell>
          <cell r="E29">
            <v>46136018.670000002</v>
          </cell>
        </row>
        <row r="30">
          <cell r="A30" t="str">
            <v>1.2.01.13</v>
          </cell>
          <cell r="B30" t="str">
            <v>DEUDORES VARIOS</v>
          </cell>
          <cell r="C30">
            <v>155644.82</v>
          </cell>
          <cell r="E30">
            <v>7674164.3099999996</v>
          </cell>
        </row>
        <row r="31">
          <cell r="A31" t="str">
            <v>1.2.02.00</v>
          </cell>
          <cell r="B31" t="str">
            <v>CUENTAS CORRIENTES</v>
          </cell>
          <cell r="C31">
            <v>503385.33</v>
          </cell>
          <cell r="E31">
            <v>68815149.840000004</v>
          </cell>
        </row>
        <row r="32">
          <cell r="A32" t="str">
            <v>1.2.02.01</v>
          </cell>
          <cell r="B32" t="str">
            <v>PROVEEDORES</v>
          </cell>
          <cell r="C32">
            <v>503385.33</v>
          </cell>
          <cell r="E32">
            <v>68809095.340000004</v>
          </cell>
        </row>
        <row r="33">
          <cell r="A33" t="str">
            <v>1.2.02.02</v>
          </cell>
          <cell r="B33" t="str">
            <v>CONTRATISTAS</v>
          </cell>
          <cell r="C33">
            <v>0</v>
          </cell>
          <cell r="E33">
            <v>6054.5</v>
          </cell>
        </row>
        <row r="34">
          <cell r="A34" t="str">
            <v>1.2.02.05</v>
          </cell>
          <cell r="B34" t="str">
            <v>CREDITO FISCAL IVA</v>
          </cell>
          <cell r="C34">
            <v>0</v>
          </cell>
          <cell r="E34">
            <v>0</v>
          </cell>
        </row>
        <row r="35">
          <cell r="A35" t="str">
            <v>1.2.03.00</v>
          </cell>
          <cell r="B35" t="str">
            <v>DOCUMENTOS POR COBRAR</v>
          </cell>
          <cell r="C35">
            <v>45709.34</v>
          </cell>
          <cell r="E35">
            <v>3970217.43</v>
          </cell>
        </row>
        <row r="36">
          <cell r="A36" t="str">
            <v>1.2.03.03</v>
          </cell>
          <cell r="B36" t="str">
            <v>RECLAMOS EN CURSO</v>
          </cell>
          <cell r="C36">
            <v>-115090.95</v>
          </cell>
          <cell r="E36">
            <v>1443.63</v>
          </cell>
        </row>
        <row r="37">
          <cell r="A37" t="str">
            <v>1.2.03.04</v>
          </cell>
          <cell r="B37" t="str">
            <v>OTROS DOCUMENTOS POR COBRAR</v>
          </cell>
          <cell r="C37">
            <v>160800.29</v>
          </cell>
          <cell r="E37">
            <v>3968773.8</v>
          </cell>
        </row>
        <row r="38">
          <cell r="A38" t="str">
            <v>1.2.04.00</v>
          </cell>
          <cell r="B38" t="str">
            <v>ANTICIPOS Y PRESTAMOS</v>
          </cell>
          <cell r="C38">
            <v>-356375.15</v>
          </cell>
          <cell r="E38">
            <v>5014818.4400000004</v>
          </cell>
        </row>
        <row r="39">
          <cell r="A39" t="str">
            <v>1.2.04.01</v>
          </cell>
          <cell r="B39" t="str">
            <v>ANTICIPOS AL PERSONAL</v>
          </cell>
          <cell r="C39">
            <v>0</v>
          </cell>
          <cell r="E39">
            <v>11280.94</v>
          </cell>
        </row>
        <row r="40">
          <cell r="A40" t="str">
            <v>1.2.04.02</v>
          </cell>
          <cell r="B40" t="str">
            <v>PRESTAMOS AL PERSONAL M.N.</v>
          </cell>
          <cell r="C40">
            <v>-2641.35</v>
          </cell>
          <cell r="E40">
            <v>59955.01</v>
          </cell>
        </row>
        <row r="41">
          <cell r="A41" t="str">
            <v>1.2.04.04</v>
          </cell>
          <cell r="B41" t="str">
            <v>PRESTAMOS EN PRODUCTOS O SERVICIOS</v>
          </cell>
          <cell r="C41">
            <v>29607.02</v>
          </cell>
          <cell r="E41">
            <v>164148.43</v>
          </cell>
        </row>
        <row r="42">
          <cell r="A42" t="str">
            <v>1.2.04.05</v>
          </cell>
          <cell r="B42" t="str">
            <v>PRESTAMOS MATERIALES DE ALMACEN</v>
          </cell>
          <cell r="C42">
            <v>-3773.98</v>
          </cell>
          <cell r="E42">
            <v>1126.79</v>
          </cell>
        </row>
        <row r="43">
          <cell r="A43" t="str">
            <v>1.2.04.06</v>
          </cell>
          <cell r="B43" t="str">
            <v>PAGOS ANTICIPADOS</v>
          </cell>
          <cell r="C43">
            <v>-422594.77</v>
          </cell>
          <cell r="E43">
            <v>4046257.48</v>
          </cell>
        </row>
        <row r="44">
          <cell r="A44" t="str">
            <v>1.2.04.08</v>
          </cell>
          <cell r="B44" t="str">
            <v>DEUDORES CON CARGO DE CUENTA M.N.</v>
          </cell>
          <cell r="C44">
            <v>43027.93</v>
          </cell>
          <cell r="E44">
            <v>732033.77</v>
          </cell>
        </row>
        <row r="45">
          <cell r="A45" t="str">
            <v>1.2.04.10</v>
          </cell>
          <cell r="B45" t="str">
            <v>PULPERIAS</v>
          </cell>
          <cell r="C45">
            <v>0</v>
          </cell>
          <cell r="E45">
            <v>16.02</v>
          </cell>
        </row>
        <row r="46">
          <cell r="A46" t="str">
            <v>1.3.00.00</v>
          </cell>
          <cell r="B46" t="str">
            <v>ACTIVO REALIZABLE</v>
          </cell>
          <cell r="C46">
            <v>-2382124.5299999998</v>
          </cell>
          <cell r="E46">
            <v>116301633.25</v>
          </cell>
        </row>
        <row r="47">
          <cell r="A47" t="str">
            <v>1.3.01.00</v>
          </cell>
          <cell r="B47" t="str">
            <v>EXISTENCIAS</v>
          </cell>
          <cell r="C47">
            <v>-2219826.4700000002</v>
          </cell>
          <cell r="E47">
            <v>33628895.93</v>
          </cell>
        </row>
        <row r="48">
          <cell r="A48" t="str">
            <v>1.3.01.01</v>
          </cell>
          <cell r="B48" t="str">
            <v>MATERIA PRIMA E INSUMOS</v>
          </cell>
          <cell r="C48">
            <v>-1163495.6200000001</v>
          </cell>
          <cell r="E48">
            <v>15888813.49</v>
          </cell>
        </row>
        <row r="49">
          <cell r="A49" t="str">
            <v>1.3.01.02</v>
          </cell>
          <cell r="B49" t="str">
            <v>PRODUCTOS EN PROCESO</v>
          </cell>
          <cell r="C49">
            <v>-215075.41</v>
          </cell>
          <cell r="E49">
            <v>15868688.24</v>
          </cell>
        </row>
        <row r="50">
          <cell r="A50" t="str">
            <v>1.3.01.03</v>
          </cell>
          <cell r="B50" t="str">
            <v>PRODUCTOS TERMINADOS</v>
          </cell>
          <cell r="C50">
            <v>-841255.44</v>
          </cell>
          <cell r="E50">
            <v>1871394.2</v>
          </cell>
        </row>
        <row r="51">
          <cell r="A51" t="str">
            <v>1.3.04.00</v>
          </cell>
          <cell r="B51" t="str">
            <v>EXISTENCIA DE MATERIALES</v>
          </cell>
          <cell r="C51">
            <v>-162298.06</v>
          </cell>
          <cell r="E51">
            <v>82672737.319999993</v>
          </cell>
        </row>
        <row r="52">
          <cell r="A52" t="str">
            <v>1.3.04.01</v>
          </cell>
          <cell r="B52" t="str">
            <v>MATERIALES EN ALMACEN</v>
          </cell>
          <cell r="C52">
            <v>-690986.93</v>
          </cell>
          <cell r="E52">
            <v>48252737.18</v>
          </cell>
        </row>
        <row r="53">
          <cell r="A53" t="str">
            <v>1.3.04.02</v>
          </cell>
          <cell r="B53" t="str">
            <v>ALMACEN - AUXILIAR</v>
          </cell>
          <cell r="C53">
            <v>0</v>
          </cell>
          <cell r="E53">
            <v>8473242.8399999999</v>
          </cell>
        </row>
        <row r="54">
          <cell r="A54" t="str">
            <v>1.3.04.03</v>
          </cell>
          <cell r="B54" t="str">
            <v>PULPERIA IRPA - IRPA</v>
          </cell>
          <cell r="C54">
            <v>0</v>
          </cell>
          <cell r="E54">
            <v>22524.02</v>
          </cell>
        </row>
        <row r="55">
          <cell r="A55" t="str">
            <v>1.3.04.04</v>
          </cell>
          <cell r="B55" t="str">
            <v>MERCADERIAS EN TRANSITO</v>
          </cell>
          <cell r="C55">
            <v>528688.87</v>
          </cell>
          <cell r="E55">
            <v>25924233.280000001</v>
          </cell>
        </row>
        <row r="56">
          <cell r="A56" t="str">
            <v>1.4.00.00</v>
          </cell>
          <cell r="B56" t="str">
            <v>ACTIVO FIJO</v>
          </cell>
          <cell r="C56">
            <v>6270195.0599999996</v>
          </cell>
          <cell r="E56">
            <v>629870246.53999996</v>
          </cell>
        </row>
        <row r="57">
          <cell r="A57" t="str">
            <v>1.4.01.00</v>
          </cell>
          <cell r="B57" t="str">
            <v>BIENES DE USO</v>
          </cell>
          <cell r="C57">
            <v>14813332.16</v>
          </cell>
          <cell r="E57">
            <v>1929843472.6600001</v>
          </cell>
        </row>
        <row r="58">
          <cell r="A58" t="str">
            <v>1.4.01.01</v>
          </cell>
          <cell r="B58" t="str">
            <v>TERRENOS</v>
          </cell>
          <cell r="C58">
            <v>907524.86</v>
          </cell>
          <cell r="E58">
            <v>68757627.780000001</v>
          </cell>
        </row>
        <row r="59">
          <cell r="A59" t="str">
            <v>1.4.01.02</v>
          </cell>
          <cell r="B59" t="str">
            <v>EDIFICIOS</v>
          </cell>
          <cell r="C59">
            <v>5287411.7699999996</v>
          </cell>
          <cell r="E59">
            <v>406253228.42000002</v>
          </cell>
        </row>
        <row r="60">
          <cell r="A60" t="str">
            <v>1.4.01.03</v>
          </cell>
          <cell r="B60" t="str">
            <v>MUEBLES Y ENSERES DE OFICINA</v>
          </cell>
          <cell r="C60">
            <v>1878.62</v>
          </cell>
          <cell r="E60">
            <v>4638193.72</v>
          </cell>
        </row>
        <row r="61">
          <cell r="A61" t="str">
            <v>1.4.01.04</v>
          </cell>
          <cell r="B61" t="str">
            <v>MAQUINARIA Y EQUIPO</v>
          </cell>
          <cell r="C61">
            <v>4151429.75</v>
          </cell>
          <cell r="E61">
            <v>729376305.40999997</v>
          </cell>
        </row>
        <row r="62">
          <cell r="A62" t="str">
            <v>1.4.01.05</v>
          </cell>
          <cell r="B62" t="str">
            <v>VEHICULOS</v>
          </cell>
          <cell r="C62">
            <v>334879.90999999997</v>
          </cell>
          <cell r="E62">
            <v>35169443.600000001</v>
          </cell>
        </row>
        <row r="63">
          <cell r="A63" t="str">
            <v>1.4.01.06</v>
          </cell>
          <cell r="B63" t="str">
            <v>MAQUINARIA DE CONSTRUCCION</v>
          </cell>
          <cell r="C63">
            <v>7744.45</v>
          </cell>
          <cell r="E63">
            <v>17546917.109999999</v>
          </cell>
        </row>
        <row r="64">
          <cell r="A64" t="str">
            <v>1.4.01.07</v>
          </cell>
          <cell r="B64" t="str">
            <v>EQUIPO PESADO</v>
          </cell>
          <cell r="C64">
            <v>46308.01</v>
          </cell>
          <cell r="E64">
            <v>122997464.3</v>
          </cell>
        </row>
        <row r="65">
          <cell r="A65" t="str">
            <v>1.4.01.08</v>
          </cell>
          <cell r="B65" t="str">
            <v>INSTALACIONES INDUSTRIALES</v>
          </cell>
          <cell r="C65">
            <v>3972746.3</v>
          </cell>
          <cell r="E65">
            <v>493747872.69</v>
          </cell>
        </row>
        <row r="66">
          <cell r="A66" t="str">
            <v>1.4.01.09</v>
          </cell>
          <cell r="B66" t="str">
            <v>HERRAMIENTAS E IMPLEMENTOS</v>
          </cell>
          <cell r="C66">
            <v>2116.5300000000002</v>
          </cell>
          <cell r="E66">
            <v>19220873.73</v>
          </cell>
        </row>
        <row r="67">
          <cell r="A67" t="str">
            <v>1.4.01.10</v>
          </cell>
          <cell r="B67" t="str">
            <v>TINGLADOS</v>
          </cell>
          <cell r="C67">
            <v>49454.879999999997</v>
          </cell>
          <cell r="E67">
            <v>14762376.029999999</v>
          </cell>
        </row>
        <row r="68">
          <cell r="A68" t="str">
            <v>1.4.01.11</v>
          </cell>
          <cell r="B68" t="str">
            <v>EQUIPOS DE COMPUTACION</v>
          </cell>
          <cell r="C68">
            <v>14315.92</v>
          </cell>
          <cell r="E68">
            <v>7817528.54</v>
          </cell>
        </row>
        <row r="69">
          <cell r="A69" t="str">
            <v>1.4.01.12</v>
          </cell>
          <cell r="B69" t="str">
            <v>EQUIPOS DE LABORATORIO</v>
          </cell>
          <cell r="C69">
            <v>37521.160000000003</v>
          </cell>
          <cell r="E69">
            <v>9389538.0099999998</v>
          </cell>
        </row>
        <row r="70">
          <cell r="A70" t="str">
            <v>1.4.01.15</v>
          </cell>
          <cell r="B70" t="str">
            <v>CANALES DE RIEGO Y POZOS</v>
          </cell>
          <cell r="C70">
            <v>0</v>
          </cell>
          <cell r="E70">
            <v>166103.32</v>
          </cell>
        </row>
        <row r="71">
          <cell r="A71" t="str">
            <v>1.4.02.00</v>
          </cell>
          <cell r="B71" t="str">
            <v>DEPRECIACION ACUMULADA</v>
          </cell>
          <cell r="C71">
            <v>-8543137.0999999996</v>
          </cell>
          <cell r="E71">
            <v>-1299973226.1199999</v>
          </cell>
        </row>
        <row r="72">
          <cell r="A72" t="str">
            <v>1.4.02.02</v>
          </cell>
          <cell r="B72" t="str">
            <v>EDIFICIOS</v>
          </cell>
          <cell r="C72">
            <v>-2385723.17</v>
          </cell>
          <cell r="E72">
            <v>-123785723.43000001</v>
          </cell>
        </row>
        <row r="73">
          <cell r="A73" t="str">
            <v>1.4.02.03</v>
          </cell>
          <cell r="B73" t="str">
            <v>MUEBLES Y ENSERES DE OFICINA</v>
          </cell>
          <cell r="C73">
            <v>-2707.31</v>
          </cell>
          <cell r="E73">
            <v>-4612267.4000000004</v>
          </cell>
        </row>
        <row r="74">
          <cell r="A74" t="str">
            <v>1.4.02.04</v>
          </cell>
          <cell r="B74" t="str">
            <v>MAQUINARIA Y EQUIPO</v>
          </cell>
          <cell r="C74">
            <v>-3024754.71</v>
          </cell>
          <cell r="E74">
            <v>-587666189.85000002</v>
          </cell>
        </row>
        <row r="75">
          <cell r="A75" t="str">
            <v>1.4.02.05</v>
          </cell>
          <cell r="B75" t="str">
            <v>VEHICULOS</v>
          </cell>
          <cell r="C75">
            <v>-24358.37</v>
          </cell>
          <cell r="E75">
            <v>-34458407.68</v>
          </cell>
        </row>
        <row r="76">
          <cell r="A76" t="str">
            <v>1.4.02.06</v>
          </cell>
          <cell r="B76" t="str">
            <v>MAQUINARIA DE CONSTRUCCION</v>
          </cell>
          <cell r="C76">
            <v>-10646.68</v>
          </cell>
          <cell r="E76">
            <v>-17309845.530000001</v>
          </cell>
        </row>
        <row r="77">
          <cell r="A77" t="str">
            <v>1.4.02.07</v>
          </cell>
          <cell r="B77" t="str">
            <v>EQUIPO PESADO</v>
          </cell>
          <cell r="C77">
            <v>-65081.35</v>
          </cell>
          <cell r="E77">
            <v>-121687439.70999999</v>
          </cell>
        </row>
        <row r="78">
          <cell r="A78" t="str">
            <v>1.4.02.08</v>
          </cell>
          <cell r="B78" t="str">
            <v>INSTALACIONES INDUSTRIALES</v>
          </cell>
          <cell r="C78">
            <v>-2871773.53</v>
          </cell>
          <cell r="E78">
            <v>-361445906.30000001</v>
          </cell>
        </row>
        <row r="79">
          <cell r="A79" t="str">
            <v>1.4.02.09</v>
          </cell>
          <cell r="B79" t="str">
            <v>HERRAMIENTAS E IMPLEMENTOS</v>
          </cell>
          <cell r="C79">
            <v>-4508.34</v>
          </cell>
          <cell r="E79">
            <v>-19152317.07</v>
          </cell>
        </row>
        <row r="80">
          <cell r="A80" t="str">
            <v>1.4.02.10</v>
          </cell>
          <cell r="B80" t="str">
            <v>TINGLADOS</v>
          </cell>
          <cell r="C80">
            <v>-74750.34</v>
          </cell>
          <cell r="E80">
            <v>-14340250.470000001</v>
          </cell>
        </row>
        <row r="81">
          <cell r="A81" t="str">
            <v>1.4.02.11</v>
          </cell>
          <cell r="B81" t="str">
            <v>EQUIPOS DE COMPUTACION</v>
          </cell>
          <cell r="C81">
            <v>-30148.27</v>
          </cell>
          <cell r="E81">
            <v>-7327326.1100000003</v>
          </cell>
        </row>
        <row r="82">
          <cell r="A82" t="str">
            <v>1.4.02.12</v>
          </cell>
          <cell r="B82" t="str">
            <v>EQUIPOS DE LABORATORIO</v>
          </cell>
          <cell r="C82">
            <v>-48685.03</v>
          </cell>
          <cell r="E82">
            <v>-8021449.25</v>
          </cell>
        </row>
        <row r="83">
          <cell r="A83" t="str">
            <v>1.4.02.15</v>
          </cell>
          <cell r="B83" t="str">
            <v>CANALES DE RIEGO Y POZOS</v>
          </cell>
          <cell r="C83">
            <v>0</v>
          </cell>
          <cell r="E83">
            <v>-166103.32</v>
          </cell>
        </row>
        <row r="84">
          <cell r="A84" t="str">
            <v>1.5.00.00</v>
          </cell>
          <cell r="B84" t="str">
            <v>INVERSIONES</v>
          </cell>
          <cell r="C84">
            <v>-113371.52</v>
          </cell>
          <cell r="E84">
            <v>27153742.420000002</v>
          </cell>
        </row>
        <row r="85">
          <cell r="A85" t="str">
            <v>1.5.02.00</v>
          </cell>
          <cell r="B85" t="str">
            <v>OTRAS INVERSIONES</v>
          </cell>
          <cell r="C85">
            <v>-113371.52</v>
          </cell>
          <cell r="E85">
            <v>27153742.420000002</v>
          </cell>
        </row>
        <row r="86">
          <cell r="A86" t="str">
            <v>1.5.02.01</v>
          </cell>
          <cell r="B86" t="str">
            <v>ACCIONES</v>
          </cell>
          <cell r="C86">
            <v>-113371.52</v>
          </cell>
          <cell r="E86">
            <v>26752922.41</v>
          </cell>
        </row>
        <row r="87">
          <cell r="A87" t="str">
            <v>1.5.02.03</v>
          </cell>
          <cell r="B87" t="str">
            <v>LINEAS TELEFONICAS</v>
          </cell>
          <cell r="C87">
            <v>0</v>
          </cell>
          <cell r="E87">
            <v>261000</v>
          </cell>
        </row>
        <row r="88">
          <cell r="A88" t="str">
            <v>1.5.02.05</v>
          </cell>
          <cell r="B88" t="str">
            <v>OTRAS INVERSIONES</v>
          </cell>
          <cell r="C88">
            <v>0</v>
          </cell>
          <cell r="E88">
            <v>139820.01</v>
          </cell>
        </row>
        <row r="89">
          <cell r="A89" t="str">
            <v>1.6.00.00</v>
          </cell>
          <cell r="B89" t="str">
            <v>OTROS ACTIVOS</v>
          </cell>
          <cell r="C89">
            <v>-1311201.53</v>
          </cell>
          <cell r="E89">
            <v>246646147.31</v>
          </cell>
        </row>
        <row r="90">
          <cell r="A90" t="str">
            <v>1.6.01.00</v>
          </cell>
          <cell r="B90" t="str">
            <v>DOCUMENTOS POR COBRAR A LARGO PLAZO</v>
          </cell>
          <cell r="C90">
            <v>0</v>
          </cell>
          <cell r="E90">
            <v>60596603.57</v>
          </cell>
        </row>
        <row r="91">
          <cell r="A91" t="str">
            <v>1.6.01.02</v>
          </cell>
          <cell r="B91" t="str">
            <v>CREDITOS M.E.</v>
          </cell>
          <cell r="C91">
            <v>0</v>
          </cell>
          <cell r="E91">
            <v>48732905.649999999</v>
          </cell>
        </row>
        <row r="92">
          <cell r="A92" t="str">
            <v>1.6.01.04</v>
          </cell>
          <cell r="B92" t="str">
            <v>DOCUMENTOS EN EJECUCION</v>
          </cell>
          <cell r="C92">
            <v>0</v>
          </cell>
          <cell r="E92">
            <v>11863697.92</v>
          </cell>
        </row>
        <row r="93">
          <cell r="A93" t="str">
            <v>1.6.01.05</v>
          </cell>
          <cell r="B93" t="str">
            <v>CUENTAS INCOBRABLES</v>
          </cell>
          <cell r="C93">
            <v>0</v>
          </cell>
          <cell r="E93">
            <v>3212209.75</v>
          </cell>
        </row>
        <row r="94">
          <cell r="A94" t="str">
            <v>1.6.01.06</v>
          </cell>
          <cell r="B94" t="str">
            <v>(PREVISION CUENTAS INCOBRABLES)</v>
          </cell>
          <cell r="C94">
            <v>0</v>
          </cell>
          <cell r="E94">
            <v>-3212209.75</v>
          </cell>
        </row>
        <row r="95">
          <cell r="A95" t="str">
            <v>1.6.02.00</v>
          </cell>
          <cell r="B95" t="str">
            <v>OBRAS EN EJECUCIÓN</v>
          </cell>
          <cell r="C95">
            <v>405935.79</v>
          </cell>
          <cell r="E95">
            <v>18350606.649999999</v>
          </cell>
        </row>
        <row r="96">
          <cell r="A96" t="str">
            <v>1.6.02.01</v>
          </cell>
          <cell r="B96" t="str">
            <v>AMPLIACIONES</v>
          </cell>
          <cell r="C96">
            <v>405935.79</v>
          </cell>
          <cell r="E96">
            <v>18350606.649999999</v>
          </cell>
        </row>
        <row r="97">
          <cell r="A97" t="str">
            <v>1.6.04.00</v>
          </cell>
          <cell r="B97" t="str">
            <v>BIENES ARRENDADOS</v>
          </cell>
          <cell r="C97">
            <v>-194574.34</v>
          </cell>
          <cell r="E97">
            <v>1752652.04</v>
          </cell>
        </row>
        <row r="98">
          <cell r="A98" t="str">
            <v>1.6.04.01</v>
          </cell>
          <cell r="B98" t="str">
            <v>VALOR DE ARRENDAMIENTO</v>
          </cell>
          <cell r="C98">
            <v>-194574.34</v>
          </cell>
          <cell r="E98">
            <v>1752652.04</v>
          </cell>
        </row>
        <row r="99">
          <cell r="A99" t="str">
            <v>1.6.05.00</v>
          </cell>
          <cell r="B99" t="str">
            <v>DIVERSOS</v>
          </cell>
          <cell r="C99">
            <v>411531.04</v>
          </cell>
          <cell r="E99">
            <v>17305413.620000001</v>
          </cell>
        </row>
        <row r="100">
          <cell r="A100" t="str">
            <v>1.6.05.01</v>
          </cell>
          <cell r="B100" t="str">
            <v>REPUESTOS EN ALMACEN</v>
          </cell>
          <cell r="C100">
            <v>411531.04</v>
          </cell>
          <cell r="E100">
            <v>17116393.379999999</v>
          </cell>
        </row>
        <row r="101">
          <cell r="A101" t="str">
            <v>1.6.05.02</v>
          </cell>
          <cell r="B101" t="str">
            <v>LIBROS Y BIBLIOTECAS</v>
          </cell>
          <cell r="C101">
            <v>0</v>
          </cell>
          <cell r="E101">
            <v>189020.24</v>
          </cell>
        </row>
        <row r="102">
          <cell r="A102" t="str">
            <v>1.6.06.00</v>
          </cell>
          <cell r="B102" t="str">
            <v>CUENTAS CORRIENTES UNIDADES</v>
          </cell>
          <cell r="C102">
            <v>-1934094.02</v>
          </cell>
          <cell r="E102">
            <v>148640871.43000001</v>
          </cell>
        </row>
        <row r="103">
          <cell r="A103" t="str">
            <v>1.6.06.01</v>
          </cell>
          <cell r="B103" t="str">
            <v>LIMITADA</v>
          </cell>
          <cell r="C103">
            <v>113644.44</v>
          </cell>
          <cell r="E103">
            <v>129127723.16</v>
          </cell>
        </row>
        <row r="104">
          <cell r="A104" t="str">
            <v>1.6.06.03</v>
          </cell>
          <cell r="B104" t="str">
            <v>CERAMIL</v>
          </cell>
          <cell r="C104">
            <v>-685157.56</v>
          </cell>
          <cell r="E104">
            <v>10577147.18</v>
          </cell>
        </row>
        <row r="105">
          <cell r="A105" t="str">
            <v>1.6.06.04</v>
          </cell>
          <cell r="B105" t="str">
            <v>HORMIGON</v>
          </cell>
          <cell r="C105">
            <v>-904501</v>
          </cell>
          <cell r="E105">
            <v>4567745.63</v>
          </cell>
        </row>
        <row r="106">
          <cell r="A106" t="str">
            <v>1.6.06.05</v>
          </cell>
          <cell r="B106" t="str">
            <v>CONSTRUCCIONES</v>
          </cell>
          <cell r="C106">
            <v>-387893.38</v>
          </cell>
          <cell r="E106">
            <v>2532918.09</v>
          </cell>
        </row>
        <row r="107">
          <cell r="A107" t="str">
            <v>1.6.06.06</v>
          </cell>
          <cell r="B107" t="str">
            <v>CERAMICA</v>
          </cell>
          <cell r="C107">
            <v>0</v>
          </cell>
          <cell r="E107">
            <v>907511.92</v>
          </cell>
        </row>
        <row r="108">
          <cell r="A108" t="str">
            <v>1.6.06.07</v>
          </cell>
          <cell r="B108" t="str">
            <v>METAL</v>
          </cell>
          <cell r="C108">
            <v>-1737.42</v>
          </cell>
          <cell r="E108">
            <v>568839.81999999995</v>
          </cell>
        </row>
        <row r="109">
          <cell r="A109" t="str">
            <v>1.6.06.08</v>
          </cell>
          <cell r="B109" t="str">
            <v>COBOCE EDITORA OPINION</v>
          </cell>
          <cell r="C109">
            <v>-68449.100000000006</v>
          </cell>
          <cell r="E109">
            <v>358985.63</v>
          </cell>
        </row>
        <row r="110">
          <cell r="A110" t="str">
            <v>1.7.00.00</v>
          </cell>
          <cell r="B110" t="str">
            <v>ACTIVOS DIFERIDOS</v>
          </cell>
          <cell r="C110">
            <v>1468461.02</v>
          </cell>
          <cell r="E110">
            <v>10865239.26</v>
          </cell>
        </row>
        <row r="111">
          <cell r="A111" t="str">
            <v>1.7.01.00</v>
          </cell>
          <cell r="B111" t="str">
            <v>ACTIVOS RETIRADOS</v>
          </cell>
          <cell r="C111">
            <v>0</v>
          </cell>
          <cell r="E111">
            <v>3580102.51</v>
          </cell>
        </row>
        <row r="112">
          <cell r="A112" t="str">
            <v>1.7.01.01</v>
          </cell>
          <cell r="B112" t="str">
            <v>BIENES DE USO RETIRADOS</v>
          </cell>
          <cell r="C112">
            <v>0</v>
          </cell>
          <cell r="E112">
            <v>3580102.51</v>
          </cell>
        </row>
        <row r="113">
          <cell r="A113" t="str">
            <v>1.7.02.00</v>
          </cell>
          <cell r="B113" t="str">
            <v>GASTOS DIFERIDOS</v>
          </cell>
          <cell r="C113">
            <v>1468461.02</v>
          </cell>
          <cell r="E113">
            <v>7285136.75</v>
          </cell>
        </row>
        <row r="114">
          <cell r="A114" t="str">
            <v>1.7.02.02</v>
          </cell>
          <cell r="B114" t="str">
            <v>GASTOS DE PRODUCCIÓN Y MANTENIMIENTO</v>
          </cell>
          <cell r="C114">
            <v>1497535.34</v>
          </cell>
          <cell r="E114">
            <v>2803739.64</v>
          </cell>
        </row>
        <row r="115">
          <cell r="A115" t="str">
            <v>1.7.02.05</v>
          </cell>
          <cell r="B115" t="str">
            <v>VARIOS</v>
          </cell>
          <cell r="C115">
            <v>-29074.32</v>
          </cell>
          <cell r="E115">
            <v>4481397.1100000003</v>
          </cell>
        </row>
        <row r="116">
          <cell r="A116" t="str">
            <v>2.0.00.00</v>
          </cell>
          <cell r="B116" t="str">
            <v>PASIVO</v>
          </cell>
          <cell r="C116">
            <v>-7418170.9800000004</v>
          </cell>
          <cell r="E116">
            <v>-1189443080.3199999</v>
          </cell>
        </row>
        <row r="117">
          <cell r="A117" t="str">
            <v>2.1.00.00</v>
          </cell>
          <cell r="B117" t="str">
            <v>PASIVO CORRIENTE</v>
          </cell>
          <cell r="C117">
            <v>11544826.109999999</v>
          </cell>
          <cell r="E117">
            <v>-154191602.84</v>
          </cell>
        </row>
        <row r="118">
          <cell r="A118" t="str">
            <v>2.1.01.00</v>
          </cell>
          <cell r="B118" t="str">
            <v>DEUDAS COMERCIALES</v>
          </cell>
          <cell r="C118">
            <v>-901313.56</v>
          </cell>
          <cell r="E118">
            <v>-68760797</v>
          </cell>
        </row>
        <row r="119">
          <cell r="A119" t="str">
            <v>2.1.01.01</v>
          </cell>
          <cell r="B119" t="str">
            <v>PROVEEDORES</v>
          </cell>
          <cell r="C119">
            <v>614977.31999999995</v>
          </cell>
          <cell r="E119">
            <v>-61144390.43</v>
          </cell>
        </row>
        <row r="120">
          <cell r="A120" t="str">
            <v>2.1.01.03</v>
          </cell>
          <cell r="B120" t="str">
            <v>TRANSPORTISTAS</v>
          </cell>
          <cell r="C120">
            <v>-1487596.69</v>
          </cell>
          <cell r="E120">
            <v>-2910920.76</v>
          </cell>
        </row>
        <row r="121">
          <cell r="A121" t="str">
            <v>2.1.01.04</v>
          </cell>
          <cell r="B121" t="str">
            <v>ACREEDORES VARIOS</v>
          </cell>
          <cell r="C121">
            <v>-28694.19</v>
          </cell>
          <cell r="E121">
            <v>-4388061.95</v>
          </cell>
        </row>
        <row r="122">
          <cell r="A122" t="str">
            <v>2.1.01.09</v>
          </cell>
          <cell r="B122" t="str">
            <v>ACREEDORES POR DEPOSITOS EN GARANTIA</v>
          </cell>
          <cell r="C122">
            <v>0</v>
          </cell>
          <cell r="E122">
            <v>-47575.86</v>
          </cell>
        </row>
        <row r="123">
          <cell r="A123" t="str">
            <v>2.1.01.65</v>
          </cell>
          <cell r="B123" t="str">
            <v>PROVEEDORES AEROPUERTO POTOSI</v>
          </cell>
          <cell r="C123">
            <v>0</v>
          </cell>
          <cell r="E123">
            <v>-269848</v>
          </cell>
        </row>
        <row r="124">
          <cell r="A124" t="str">
            <v>2.1.02.00</v>
          </cell>
          <cell r="B124" t="str">
            <v>DOCUMENTOS POR PAGAR</v>
          </cell>
          <cell r="C124">
            <v>333924.28999999998</v>
          </cell>
          <cell r="E124">
            <v>-2710769.92</v>
          </cell>
        </row>
        <row r="125">
          <cell r="A125" t="str">
            <v>2.1.02.02</v>
          </cell>
          <cell r="B125" t="str">
            <v>BANCARIOS</v>
          </cell>
          <cell r="C125">
            <v>223648.66</v>
          </cell>
          <cell r="E125">
            <v>-2014542.46</v>
          </cell>
        </row>
        <row r="126">
          <cell r="A126" t="str">
            <v>2.1.02.03</v>
          </cell>
          <cell r="B126" t="str">
            <v>CONTRATOS</v>
          </cell>
          <cell r="C126">
            <v>110275.63</v>
          </cell>
          <cell r="E126">
            <v>-384045.63</v>
          </cell>
        </row>
        <row r="127">
          <cell r="A127" t="str">
            <v>2.1.02.04</v>
          </cell>
          <cell r="B127" t="str">
            <v>OTROS DOCUMENTOS</v>
          </cell>
          <cell r="C127">
            <v>0</v>
          </cell>
          <cell r="E127">
            <v>-312181.83</v>
          </cell>
        </row>
        <row r="128">
          <cell r="A128" t="str">
            <v>2.1.04.00</v>
          </cell>
          <cell r="B128" t="str">
            <v>OBLIGACIONES FINANCIERAS A CORTO PLAZO</v>
          </cell>
          <cell r="C128">
            <v>13349394.82</v>
          </cell>
          <cell r="E128">
            <v>-43051023.969999999</v>
          </cell>
        </row>
        <row r="129">
          <cell r="A129" t="str">
            <v>2.1.04.01</v>
          </cell>
          <cell r="B129" t="str">
            <v>OBLIGACIONES POR CAPITAL</v>
          </cell>
          <cell r="C129">
            <v>13026498.4</v>
          </cell>
          <cell r="E129">
            <v>-38254245.159999996</v>
          </cell>
        </row>
        <row r="130">
          <cell r="A130" t="str">
            <v>2.1.04.02</v>
          </cell>
          <cell r="B130" t="str">
            <v>OBLIGACIONES POR INTERESES</v>
          </cell>
          <cell r="C130">
            <v>322896.42</v>
          </cell>
          <cell r="E130">
            <v>-4796778.8099999996</v>
          </cell>
        </row>
        <row r="131">
          <cell r="A131" t="str">
            <v>2.1.05.00</v>
          </cell>
          <cell r="B131" t="str">
            <v>IMPUESTOS POR PAGAR</v>
          </cell>
          <cell r="C131">
            <v>0</v>
          </cell>
          <cell r="E131">
            <v>0</v>
          </cell>
        </row>
        <row r="132">
          <cell r="A132" t="str">
            <v>2.1.05.01</v>
          </cell>
          <cell r="B132" t="str">
            <v>IMPUESTO AL VALOR AGREGADO (DEBITO FISCA</v>
          </cell>
          <cell r="C132">
            <v>0</v>
          </cell>
          <cell r="E132">
            <v>0</v>
          </cell>
        </row>
        <row r="133">
          <cell r="A133" t="str">
            <v>2.1.05.03</v>
          </cell>
          <cell r="B133" t="str">
            <v>IMPUESTO AL REGIMEN COMPLEMENTARIO</v>
          </cell>
          <cell r="C133">
            <v>0</v>
          </cell>
          <cell r="E133">
            <v>0</v>
          </cell>
        </row>
        <row r="134">
          <cell r="A134" t="str">
            <v>2.1.05.04</v>
          </cell>
          <cell r="B134" t="str">
            <v>RETENCION EN LA FUENTE</v>
          </cell>
          <cell r="C134">
            <v>0</v>
          </cell>
          <cell r="E134">
            <v>0</v>
          </cell>
        </row>
        <row r="135">
          <cell r="A135" t="str">
            <v>2.1.05.09</v>
          </cell>
          <cell r="B135" t="str">
            <v>REGALIAS MINERAS</v>
          </cell>
          <cell r="C135">
            <v>0</v>
          </cell>
          <cell r="E135">
            <v>0</v>
          </cell>
        </row>
        <row r="136">
          <cell r="A136" t="str">
            <v>2.1.06.00</v>
          </cell>
          <cell r="B136" t="str">
            <v>OBLIGACIONES POR PAGAR</v>
          </cell>
          <cell r="C136">
            <v>-1333228.32</v>
          </cell>
          <cell r="E136">
            <v>-19408100.84</v>
          </cell>
        </row>
        <row r="137">
          <cell r="A137" t="str">
            <v>2.1.06.01</v>
          </cell>
          <cell r="B137" t="str">
            <v>SUELDOS Y JORNALES POR PAGAR</v>
          </cell>
          <cell r="C137">
            <v>83204.62</v>
          </cell>
          <cell r="E137">
            <v>-7216358.71</v>
          </cell>
        </row>
        <row r="138">
          <cell r="A138" t="str">
            <v>2.1.06.02</v>
          </cell>
          <cell r="B138" t="str">
            <v>AGUINALDOS Y PRIMAS POR PAGAR</v>
          </cell>
          <cell r="C138">
            <v>0</v>
          </cell>
          <cell r="E138">
            <v>-100838.3</v>
          </cell>
        </row>
        <row r="139">
          <cell r="A139" t="str">
            <v>2.1.06.04</v>
          </cell>
          <cell r="B139" t="str">
            <v>FINIQUITOS POR PAGAR</v>
          </cell>
          <cell r="C139">
            <v>-1192672.95</v>
          </cell>
          <cell r="E139">
            <v>-1195134.08</v>
          </cell>
        </row>
        <row r="140">
          <cell r="A140" t="str">
            <v>2.1.06.06</v>
          </cell>
          <cell r="B140" t="str">
            <v>AGUINALDOS Y PRIMAS NO RECLAMADOS</v>
          </cell>
          <cell r="C140">
            <v>0</v>
          </cell>
          <cell r="E140">
            <v>-770657.13</v>
          </cell>
        </row>
        <row r="141">
          <cell r="A141" t="str">
            <v>2.1.06.07</v>
          </cell>
          <cell r="B141" t="str">
            <v>APORTES Y RETENCIONES POR PAGAR</v>
          </cell>
          <cell r="C141">
            <v>-220159.99</v>
          </cell>
          <cell r="E141">
            <v>-9813684</v>
          </cell>
        </row>
        <row r="142">
          <cell r="A142" t="str">
            <v>2.1.06.08</v>
          </cell>
          <cell r="B142" t="str">
            <v>RETENCIONES JUDICIALES</v>
          </cell>
          <cell r="C142">
            <v>-3600</v>
          </cell>
          <cell r="E142">
            <v>-311428.62</v>
          </cell>
        </row>
        <row r="143">
          <cell r="A143" t="str">
            <v>2.1.07.00</v>
          </cell>
          <cell r="B143" t="str">
            <v>PROVISIONES</v>
          </cell>
          <cell r="C143">
            <v>1725152.26</v>
          </cell>
          <cell r="E143">
            <v>-10099014.65</v>
          </cell>
        </row>
        <row r="144">
          <cell r="A144" t="str">
            <v>2.1.07.01</v>
          </cell>
          <cell r="B144" t="str">
            <v>AGUINALDOS</v>
          </cell>
          <cell r="C144">
            <v>-754276.55</v>
          </cell>
          <cell r="E144">
            <v>-4849359.54</v>
          </cell>
        </row>
        <row r="145">
          <cell r="A145" t="str">
            <v>2.1.07.03</v>
          </cell>
          <cell r="B145" t="str">
            <v>OTROS</v>
          </cell>
          <cell r="C145">
            <v>2479428.81</v>
          </cell>
          <cell r="E145">
            <v>-5249655.1100000003</v>
          </cell>
        </row>
        <row r="146">
          <cell r="A146" t="str">
            <v>2.1.08.00</v>
          </cell>
          <cell r="B146" t="str">
            <v>COBROS POR ADELANTADO</v>
          </cell>
          <cell r="C146">
            <v>-1629103.38</v>
          </cell>
          <cell r="E146">
            <v>-10161896.460000001</v>
          </cell>
        </row>
        <row r="147">
          <cell r="A147" t="str">
            <v>2.1.08.01</v>
          </cell>
          <cell r="B147" t="str">
            <v>CLIENTES LOCALES</v>
          </cell>
          <cell r="C147">
            <v>-1695603.1</v>
          </cell>
          <cell r="E147">
            <v>-4766978.3499999996</v>
          </cell>
        </row>
        <row r="148">
          <cell r="A148" t="str">
            <v>2.1.08.02</v>
          </cell>
          <cell r="B148" t="str">
            <v>CLIENTES INTERIOR</v>
          </cell>
          <cell r="C148">
            <v>66499.72</v>
          </cell>
          <cell r="E148">
            <v>-5394918.1100000003</v>
          </cell>
        </row>
        <row r="149">
          <cell r="A149" t="str">
            <v>2.2.00.00</v>
          </cell>
          <cell r="B149" t="str">
            <v>PASIVO NO CORRIENTE</v>
          </cell>
          <cell r="C149">
            <v>-12423943.77</v>
          </cell>
          <cell r="E149">
            <v>-539815761.52999997</v>
          </cell>
        </row>
        <row r="150">
          <cell r="A150" t="str">
            <v>2.2.01.00</v>
          </cell>
          <cell r="B150" t="str">
            <v>OBLIGACIONES FINANCIERAS A LARGO PLAZO</v>
          </cell>
          <cell r="C150">
            <v>-10455204.880000001</v>
          </cell>
          <cell r="E150">
            <v>-214962498.06999999</v>
          </cell>
        </row>
        <row r="151">
          <cell r="A151" t="str">
            <v>2.2.01.01</v>
          </cell>
          <cell r="B151" t="str">
            <v>OBLIGACIONES POR CAPITAL</v>
          </cell>
          <cell r="C151">
            <v>-10455204.880000001</v>
          </cell>
          <cell r="E151">
            <v>-207020556.65000001</v>
          </cell>
        </row>
        <row r="152">
          <cell r="A152" t="str">
            <v>2.2.01.03</v>
          </cell>
          <cell r="B152" t="str">
            <v>OBLIGACIONES POR INTERESES LP</v>
          </cell>
          <cell r="C152">
            <v>0</v>
          </cell>
          <cell r="E152">
            <v>-7941941.4199999999</v>
          </cell>
        </row>
        <row r="153">
          <cell r="A153" t="str">
            <v>2.2.02.00</v>
          </cell>
          <cell r="B153" t="str">
            <v>PREVISIONES</v>
          </cell>
          <cell r="C153">
            <v>-1378081.38</v>
          </cell>
          <cell r="E153">
            <v>-55135291.850000001</v>
          </cell>
        </row>
        <row r="154">
          <cell r="A154" t="str">
            <v>2.2.02.01</v>
          </cell>
          <cell r="B154" t="str">
            <v>PREVISIONES BENEFICIOS SOCIALES</v>
          </cell>
          <cell r="C154">
            <v>-1378081.38</v>
          </cell>
          <cell r="E154">
            <v>-55078309.170000002</v>
          </cell>
        </row>
        <row r="155">
          <cell r="A155" t="str">
            <v>2.2.02.02</v>
          </cell>
          <cell r="B155" t="str">
            <v>OTRAS PREVISIONES</v>
          </cell>
          <cell r="C155">
            <v>0</v>
          </cell>
          <cell r="E155">
            <v>-56982.68</v>
          </cell>
        </row>
        <row r="156">
          <cell r="A156" t="str">
            <v>2.2.03.00</v>
          </cell>
          <cell r="B156" t="str">
            <v>OTROS PASIVOS NO CORRIENTES</v>
          </cell>
          <cell r="C156">
            <v>-79497.899999999994</v>
          </cell>
          <cell r="E156">
            <v>-727353.84</v>
          </cell>
        </row>
        <row r="157">
          <cell r="A157" t="str">
            <v>2.2.03.05</v>
          </cell>
          <cell r="B157" t="str">
            <v>CREDITOS DIFERIDOS</v>
          </cell>
          <cell r="C157">
            <v>-79497.899999999994</v>
          </cell>
          <cell r="E157">
            <v>-727353.84</v>
          </cell>
        </row>
        <row r="158">
          <cell r="A158" t="str">
            <v>2.2.04.00</v>
          </cell>
          <cell r="B158" t="str">
            <v>CUENTAS CORRIENTES. UNIDADES.</v>
          </cell>
          <cell r="C158">
            <v>-511159.61</v>
          </cell>
          <cell r="E158">
            <v>-268990617.76999998</v>
          </cell>
        </row>
        <row r="159">
          <cell r="A159" t="str">
            <v>2.2.04.01</v>
          </cell>
          <cell r="B159" t="str">
            <v>LIMITADA</v>
          </cell>
          <cell r="C159">
            <v>-250320.71</v>
          </cell>
          <cell r="E159">
            <v>-261643730.97</v>
          </cell>
        </row>
        <row r="160">
          <cell r="A160" t="str">
            <v>2.2.04.04</v>
          </cell>
          <cell r="B160" t="str">
            <v>HORMIGON</v>
          </cell>
          <cell r="C160">
            <v>-250380.4</v>
          </cell>
          <cell r="E160">
            <v>-587582.30000000005</v>
          </cell>
        </row>
        <row r="161">
          <cell r="A161" t="str">
            <v>2.2.04.05</v>
          </cell>
          <cell r="B161" t="str">
            <v>CONSTRUCCIONES</v>
          </cell>
          <cell r="C161">
            <v>0</v>
          </cell>
          <cell r="E161">
            <v>-4749325.95</v>
          </cell>
        </row>
        <row r="162">
          <cell r="A162" t="str">
            <v>2.2.04.06</v>
          </cell>
          <cell r="B162" t="str">
            <v>CERAMICA</v>
          </cell>
          <cell r="C162">
            <v>0</v>
          </cell>
          <cell r="E162">
            <v>-969341.21</v>
          </cell>
        </row>
        <row r="163">
          <cell r="A163" t="str">
            <v>2.2.04.07</v>
          </cell>
          <cell r="B163" t="str">
            <v>METAL</v>
          </cell>
          <cell r="C163">
            <v>-917</v>
          </cell>
          <cell r="E163">
            <v>-907096.05</v>
          </cell>
        </row>
        <row r="164">
          <cell r="A164" t="str">
            <v>2.2.04.08</v>
          </cell>
          <cell r="B164" t="str">
            <v>COBOCE EDITORA OPINION</v>
          </cell>
          <cell r="C164">
            <v>-9541.5</v>
          </cell>
          <cell r="E164">
            <v>-133541.29</v>
          </cell>
        </row>
        <row r="165">
          <cell r="A165" t="str">
            <v>2.4.00.00</v>
          </cell>
          <cell r="B165" t="str">
            <v>PATRIMONIO</v>
          </cell>
          <cell r="C165">
            <v>-6539053.3200000003</v>
          </cell>
          <cell r="E165">
            <v>-495435715.94999999</v>
          </cell>
        </row>
        <row r="166">
          <cell r="A166" t="str">
            <v>2.4.01.00</v>
          </cell>
          <cell r="B166" t="str">
            <v>FONDO SOCIAL</v>
          </cell>
          <cell r="C166">
            <v>-6539053.3200000003</v>
          </cell>
          <cell r="E166">
            <v>-495435715.94999999</v>
          </cell>
        </row>
        <row r="167">
          <cell r="A167" t="str">
            <v>2.4.01.01</v>
          </cell>
          <cell r="B167" t="str">
            <v>FONDO SOCIAL UNIDADES</v>
          </cell>
          <cell r="C167">
            <v>-6539053.3200000003</v>
          </cell>
          <cell r="E167">
            <v>-495435715.94999999</v>
          </cell>
        </row>
        <row r="168">
          <cell r="A168" t="str">
            <v>2.9.01.01</v>
          </cell>
          <cell r="B168" t="str">
            <v>CUENTAS DE ORDEN DEBITOS</v>
          </cell>
          <cell r="C168">
            <v>0</v>
          </cell>
          <cell r="E168">
            <v>44638661.009999998</v>
          </cell>
        </row>
        <row r="169">
          <cell r="A169" t="str">
            <v>2.9.01.02</v>
          </cell>
          <cell r="B169" t="str">
            <v>CUENTAS DE ORDEN CREDITOS</v>
          </cell>
          <cell r="C169">
            <v>0</v>
          </cell>
          <cell r="E169">
            <v>-44638661.009999998</v>
          </cell>
        </row>
        <row r="170">
          <cell r="A170" t="str">
            <v>***TOTAL UTILIDAD(+)/PERDIDA(-)***</v>
          </cell>
          <cell r="B170"/>
          <cell r="C170">
            <v>6701597.5599999996</v>
          </cell>
          <cell r="E170">
            <v>14002191.85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9434081.3800000008</v>
          </cell>
          <cell r="E6">
            <v>1212847153.55</v>
          </cell>
        </row>
        <row r="9">
          <cell r="A9">
            <v>1100000000</v>
          </cell>
          <cell r="B9" t="str">
            <v>ACTIVO DISPONIBLE</v>
          </cell>
          <cell r="C9">
            <v>-1110804.48</v>
          </cell>
          <cell r="E9">
            <v>18370738.02</v>
          </cell>
        </row>
        <row r="10">
          <cell r="A10">
            <v>1101000000</v>
          </cell>
          <cell r="B10" t="str">
            <v>CAJA</v>
          </cell>
          <cell r="C10">
            <v>-6527134.2800000003</v>
          </cell>
          <cell r="E10">
            <v>2285115.9</v>
          </cell>
        </row>
        <row r="11">
          <cell r="A11">
            <v>1101010000</v>
          </cell>
          <cell r="B11" t="str">
            <v>CAJA GENERAL MONEDA NACIONAL</v>
          </cell>
          <cell r="C11">
            <v>-6527134.2800000003</v>
          </cell>
          <cell r="E11">
            <v>2125215.9</v>
          </cell>
        </row>
        <row r="12">
          <cell r="A12">
            <v>1101030000</v>
          </cell>
          <cell r="B12" t="str">
            <v>CAJA CHICA MONEDA NACIONAL</v>
          </cell>
          <cell r="C12">
            <v>0</v>
          </cell>
          <cell r="E12">
            <v>159900</v>
          </cell>
        </row>
        <row r="13">
          <cell r="A13">
            <v>1102000000</v>
          </cell>
          <cell r="B13" t="str">
            <v>BANCOS</v>
          </cell>
          <cell r="C13">
            <v>5416327.5300000003</v>
          </cell>
          <cell r="E13">
            <v>16084741.68</v>
          </cell>
        </row>
        <row r="14">
          <cell r="A14">
            <v>1102010000</v>
          </cell>
          <cell r="B14" t="str">
            <v>BANCO BISA</v>
          </cell>
          <cell r="C14">
            <v>-2562470.63</v>
          </cell>
          <cell r="E14">
            <v>2253038.0099999998</v>
          </cell>
        </row>
        <row r="15">
          <cell r="A15">
            <v>1102020000</v>
          </cell>
          <cell r="B15" t="str">
            <v>BANCO MERCANTIL</v>
          </cell>
          <cell r="C15">
            <v>4056818.12</v>
          </cell>
          <cell r="E15">
            <v>5002301.9800000004</v>
          </cell>
        </row>
        <row r="16">
          <cell r="A16">
            <v>1102040000</v>
          </cell>
          <cell r="B16" t="str">
            <v>BANCO DE CREDITO</v>
          </cell>
          <cell r="C16">
            <v>6999600</v>
          </cell>
          <cell r="E16">
            <v>7064147.1799999997</v>
          </cell>
        </row>
        <row r="17">
          <cell r="A17">
            <v>1102050000</v>
          </cell>
          <cell r="B17" t="str">
            <v>BANCO ECONÓMICO</v>
          </cell>
          <cell r="C17">
            <v>-672719.66</v>
          </cell>
          <cell r="E17">
            <v>125770.22</v>
          </cell>
        </row>
        <row r="18">
          <cell r="A18">
            <v>1102060000</v>
          </cell>
          <cell r="B18" t="str">
            <v>BANCO GANADERO</v>
          </cell>
          <cell r="C18">
            <v>-983454.77</v>
          </cell>
          <cell r="E18">
            <v>48728.98</v>
          </cell>
        </row>
        <row r="19">
          <cell r="A19">
            <v>1102070000</v>
          </cell>
          <cell r="B19" t="str">
            <v>BANCO UNION</v>
          </cell>
          <cell r="C19">
            <v>-1106094.04</v>
          </cell>
          <cell r="E19">
            <v>479169.58</v>
          </cell>
        </row>
        <row r="20">
          <cell r="A20">
            <v>1102080000</v>
          </cell>
          <cell r="B20" t="str">
            <v>BANCO NACIONAL</v>
          </cell>
          <cell r="C20">
            <v>-64570.400000000001</v>
          </cell>
          <cell r="E20">
            <v>84986.03</v>
          </cell>
        </row>
        <row r="21">
          <cell r="A21">
            <v>1102100000</v>
          </cell>
          <cell r="B21" t="str">
            <v>FONDO DE LA COMUNIDAD</v>
          </cell>
          <cell r="C21">
            <v>169.73</v>
          </cell>
          <cell r="E21">
            <v>79049.009999999995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-15670.02</v>
          </cell>
          <cell r="E23">
            <v>662621.91</v>
          </cell>
        </row>
        <row r="24">
          <cell r="A24">
            <v>1102130000</v>
          </cell>
          <cell r="B24" t="str">
            <v>BANCO FIE</v>
          </cell>
          <cell r="C24">
            <v>-235280.8</v>
          </cell>
          <cell r="E24">
            <v>281453.78999999998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6">
          <cell r="A26">
            <v>1103000000</v>
          </cell>
          <cell r="B26" t="str">
            <v>OTRAS INSTITUCIONES FINANCIERAS</v>
          </cell>
          <cell r="C26">
            <v>2.27</v>
          </cell>
          <cell r="E26">
            <v>880.44</v>
          </cell>
        </row>
        <row r="27">
          <cell r="A27">
            <v>1103010000</v>
          </cell>
          <cell r="B27" t="str">
            <v>CIDRE IFD</v>
          </cell>
          <cell r="C27">
            <v>2.27</v>
          </cell>
          <cell r="E27">
            <v>880.44</v>
          </cell>
        </row>
        <row r="29">
          <cell r="A29">
            <v>1200000000</v>
          </cell>
          <cell r="B29" t="str">
            <v>ACTIVO EXIGIBLE</v>
          </cell>
          <cell r="C29">
            <v>2044917.67</v>
          </cell>
          <cell r="E29">
            <v>155139438.56</v>
          </cell>
        </row>
        <row r="30">
          <cell r="A30">
            <v>1201000000</v>
          </cell>
          <cell r="B30" t="str">
            <v>CUENTAS POR COBRAR</v>
          </cell>
          <cell r="C30">
            <v>920187.92</v>
          </cell>
          <cell r="E30">
            <v>76214523.099999994</v>
          </cell>
        </row>
        <row r="31">
          <cell r="A31">
            <v>1201010000</v>
          </cell>
          <cell r="B31" t="str">
            <v>DEUDORES POR PRODUCTOS LOCALES M.N.</v>
          </cell>
          <cell r="C31">
            <v>341801.66</v>
          </cell>
          <cell r="E31">
            <v>21825953.859999999</v>
          </cell>
        </row>
        <row r="32">
          <cell r="A32">
            <v>1201050000</v>
          </cell>
          <cell r="B32" t="str">
            <v>DEUDORES POR PRODUCTOS INTERIOR M.N.</v>
          </cell>
          <cell r="C32">
            <v>-14066.58</v>
          </cell>
          <cell r="E32">
            <v>46121952.090000004</v>
          </cell>
        </row>
        <row r="33">
          <cell r="A33">
            <v>1201130000</v>
          </cell>
          <cell r="B33" t="str">
            <v>DEUDORES VARIOS</v>
          </cell>
          <cell r="C33">
            <v>592452.84</v>
          </cell>
          <cell r="E33">
            <v>8266617.1500000004</v>
          </cell>
        </row>
        <row r="34">
          <cell r="A34">
            <v>1202000000</v>
          </cell>
          <cell r="B34" t="str">
            <v>CUENTAS CORRIENTES</v>
          </cell>
          <cell r="C34">
            <v>1172813.3500000001</v>
          </cell>
          <cell r="E34">
            <v>69987963.189999998</v>
          </cell>
        </row>
        <row r="35">
          <cell r="A35">
            <v>1202010000</v>
          </cell>
          <cell r="B35" t="str">
            <v>PROVEEDORES</v>
          </cell>
          <cell r="C35">
            <v>1172813.3500000001</v>
          </cell>
          <cell r="E35">
            <v>69981908.689999998</v>
          </cell>
        </row>
        <row r="36">
          <cell r="A36">
            <v>1202020000</v>
          </cell>
          <cell r="B36" t="str">
            <v>CONTRATISTAS</v>
          </cell>
          <cell r="C36">
            <v>0</v>
          </cell>
          <cell r="E36">
            <v>6054.5</v>
          </cell>
        </row>
        <row r="37">
          <cell r="A37">
            <v>1202050000</v>
          </cell>
          <cell r="B37" t="str">
            <v>CREDITO FISCAL IVA</v>
          </cell>
          <cell r="C37">
            <v>0</v>
          </cell>
          <cell r="E37">
            <v>0</v>
          </cell>
        </row>
        <row r="38">
          <cell r="A38">
            <v>1203000000</v>
          </cell>
          <cell r="B38" t="str">
            <v>DOCUMENTOS POR COBRAR</v>
          </cell>
          <cell r="C38">
            <v>128521.2</v>
          </cell>
          <cell r="E38">
            <v>4098738.63</v>
          </cell>
        </row>
        <row r="39">
          <cell r="A39">
            <v>1203030000</v>
          </cell>
          <cell r="B39" t="str">
            <v>RECLAMOS EN CURSO</v>
          </cell>
          <cell r="C39">
            <v>116374.22</v>
          </cell>
          <cell r="E39">
            <v>117817.85</v>
          </cell>
        </row>
        <row r="40">
          <cell r="A40">
            <v>1203040000</v>
          </cell>
          <cell r="B40" t="str">
            <v>OTROS DOCUMENTOS POR COBRAR</v>
          </cell>
          <cell r="C40">
            <v>12146.98</v>
          </cell>
          <cell r="E40">
            <v>3980920.78</v>
          </cell>
        </row>
        <row r="41">
          <cell r="A41">
            <v>1204000000</v>
          </cell>
          <cell r="B41" t="str">
            <v>ANTICIPOS Y PRESTAMOS</v>
          </cell>
          <cell r="C41">
            <v>-176604.79999999999</v>
          </cell>
          <cell r="E41">
            <v>4838213.6399999997</v>
          </cell>
        </row>
        <row r="42">
          <cell r="A42">
            <v>1204010000</v>
          </cell>
          <cell r="B42" t="str">
            <v>ANTICIPOS AL PERSONAL</v>
          </cell>
          <cell r="C42">
            <v>52.91</v>
          </cell>
          <cell r="E42">
            <v>11333.85</v>
          </cell>
        </row>
        <row r="43">
          <cell r="A43">
            <v>1204020000</v>
          </cell>
          <cell r="B43" t="str">
            <v>PRESTAMOS AL PERSONAL M.N.</v>
          </cell>
          <cell r="C43">
            <v>-31962.12</v>
          </cell>
          <cell r="E43">
            <v>27992.89</v>
          </cell>
        </row>
        <row r="44">
          <cell r="A44">
            <v>1204040000</v>
          </cell>
          <cell r="B44" t="str">
            <v>PRESTAMOS EN PRODUCTOS O SERVICIOS</v>
          </cell>
          <cell r="C44">
            <v>6210.2</v>
          </cell>
          <cell r="E44">
            <v>170358.63</v>
          </cell>
        </row>
        <row r="45">
          <cell r="A45">
            <v>1204050000</v>
          </cell>
          <cell r="B45" t="str">
            <v>PRESTAMOS MATERIALES DE ALMACEN</v>
          </cell>
          <cell r="C45">
            <v>1972.36</v>
          </cell>
          <cell r="E45">
            <v>3099.15</v>
          </cell>
        </row>
        <row r="46">
          <cell r="A46">
            <v>1204060000</v>
          </cell>
          <cell r="B46" t="str">
            <v>PAGOS ANTICIPADOS</v>
          </cell>
          <cell r="C46">
            <v>-437297.15</v>
          </cell>
          <cell r="E46">
            <v>3608960.33</v>
          </cell>
        </row>
        <row r="47">
          <cell r="A47">
            <v>1204080000</v>
          </cell>
          <cell r="B47" t="str">
            <v>DEUDORES CON CARGO DE CUENTA M.N.</v>
          </cell>
          <cell r="C47">
            <v>284419</v>
          </cell>
          <cell r="E47">
            <v>1016452.77</v>
          </cell>
        </row>
        <row r="48">
          <cell r="A48">
            <v>1204100000</v>
          </cell>
          <cell r="B48" t="str">
            <v>PULPERIAS</v>
          </cell>
          <cell r="C48">
            <v>0</v>
          </cell>
          <cell r="E48">
            <v>16.02</v>
          </cell>
        </row>
        <row r="50">
          <cell r="A50">
            <v>1300000000</v>
          </cell>
          <cell r="B50" t="str">
            <v>ACTIVO REALIZABLE</v>
          </cell>
          <cell r="C50">
            <v>1341334.58</v>
          </cell>
          <cell r="E50">
            <v>117642967.83</v>
          </cell>
        </row>
        <row r="51">
          <cell r="A51">
            <v>1301000000</v>
          </cell>
          <cell r="B51" t="str">
            <v>EXISTENCIAS</v>
          </cell>
          <cell r="C51">
            <v>-292736.40999999997</v>
          </cell>
          <cell r="E51">
            <v>33336159.52</v>
          </cell>
        </row>
        <row r="52">
          <cell r="A52">
            <v>1301010000</v>
          </cell>
          <cell r="B52" t="str">
            <v>MATERIA PRIMA E INSUMOS</v>
          </cell>
          <cell r="C52">
            <v>-2325805.9900000002</v>
          </cell>
          <cell r="E52">
            <v>13563007.5</v>
          </cell>
        </row>
        <row r="53">
          <cell r="A53">
            <v>1301020000</v>
          </cell>
          <cell r="B53" t="str">
            <v>PRODUCTOS EN PROCESO</v>
          </cell>
          <cell r="C53">
            <v>1829681.71</v>
          </cell>
          <cell r="E53">
            <v>17698369.949999999</v>
          </cell>
        </row>
        <row r="54">
          <cell r="A54">
            <v>1301030000</v>
          </cell>
          <cell r="B54" t="str">
            <v>PRODUCTOS TERMINADOS</v>
          </cell>
          <cell r="C54">
            <v>203387.87</v>
          </cell>
          <cell r="E54">
            <v>2074782.07</v>
          </cell>
        </row>
        <row r="55">
          <cell r="A55">
            <v>1304000000</v>
          </cell>
          <cell r="B55" t="str">
            <v>EXISTENCIA DE MATERIALES</v>
          </cell>
          <cell r="C55">
            <v>1634070.99</v>
          </cell>
          <cell r="E55">
            <v>84306808.310000002</v>
          </cell>
        </row>
        <row r="56">
          <cell r="A56">
            <v>1304010000</v>
          </cell>
          <cell r="B56" t="str">
            <v>MATERIALES EN ALMACEN</v>
          </cell>
          <cell r="C56">
            <v>1431528.03</v>
          </cell>
          <cell r="E56">
            <v>49684265.210000001</v>
          </cell>
        </row>
        <row r="57">
          <cell r="A57">
            <v>1304020000</v>
          </cell>
          <cell r="B57" t="str">
            <v>ALMACEN - AUXILIAR</v>
          </cell>
          <cell r="C57">
            <v>0</v>
          </cell>
          <cell r="E57">
            <v>8473242.8399999999</v>
          </cell>
        </row>
        <row r="58">
          <cell r="A58">
            <v>1304030000</v>
          </cell>
          <cell r="B58" t="str">
            <v>PULPERIA IRPA - IRPA</v>
          </cell>
          <cell r="C58">
            <v>0</v>
          </cell>
          <cell r="E58">
            <v>22524.02</v>
          </cell>
        </row>
        <row r="59">
          <cell r="A59">
            <v>1304040000</v>
          </cell>
          <cell r="B59" t="str">
            <v>MERCADERIAS EN TRANSITO</v>
          </cell>
          <cell r="C59">
            <v>73358.89</v>
          </cell>
          <cell r="E59">
            <v>25997592.170000002</v>
          </cell>
        </row>
        <row r="60">
          <cell r="A60">
            <v>1304660000</v>
          </cell>
          <cell r="B60" t="str">
            <v>CONST. CANAL EMISARIO 8VO. ANILLO SUR</v>
          </cell>
          <cell r="C60">
            <v>129184.07</v>
          </cell>
          <cell r="E60">
            <v>129184.07</v>
          </cell>
        </row>
        <row r="62">
          <cell r="A62">
            <v>1400000000</v>
          </cell>
          <cell r="B62" t="str">
            <v>ACTIVO FIJO</v>
          </cell>
          <cell r="C62">
            <v>8170941.04</v>
          </cell>
          <cell r="E62">
            <v>638041187.58000004</v>
          </cell>
        </row>
        <row r="63">
          <cell r="A63">
            <v>1401000000</v>
          </cell>
          <cell r="B63" t="str">
            <v>BIENES DE USO</v>
          </cell>
          <cell r="C63">
            <v>18477970.579999998</v>
          </cell>
          <cell r="E63">
            <v>1948321443.24</v>
          </cell>
        </row>
        <row r="64">
          <cell r="A64">
            <v>1401010000</v>
          </cell>
          <cell r="B64" t="str">
            <v>TERRENOS</v>
          </cell>
          <cell r="C64">
            <v>1155948.22</v>
          </cell>
          <cell r="E64">
            <v>69913576</v>
          </cell>
        </row>
        <row r="65">
          <cell r="A65">
            <v>1401020000</v>
          </cell>
          <cell r="B65" t="str">
            <v>EDIFICIOS</v>
          </cell>
          <cell r="C65">
            <v>6734773.6399999997</v>
          </cell>
          <cell r="E65">
            <v>412988002.06</v>
          </cell>
        </row>
        <row r="66">
          <cell r="A66">
            <v>1401030000</v>
          </cell>
          <cell r="B66" t="str">
            <v>MUEBLES Y ENSERES DE OFICINA</v>
          </cell>
          <cell r="C66">
            <v>2392.8200000000002</v>
          </cell>
          <cell r="E66">
            <v>4640586.54</v>
          </cell>
        </row>
        <row r="67">
          <cell r="A67">
            <v>1401040000</v>
          </cell>
          <cell r="B67" t="str">
            <v>MAQUINARIA Y EQUIPO</v>
          </cell>
          <cell r="C67">
            <v>5287831.0199999996</v>
          </cell>
          <cell r="E67">
            <v>734664136.42999995</v>
          </cell>
        </row>
        <row r="68">
          <cell r="A68">
            <v>1401050000</v>
          </cell>
          <cell r="B68" t="str">
            <v>VEHICULOS</v>
          </cell>
          <cell r="C68">
            <v>19135.73</v>
          </cell>
          <cell r="E68">
            <v>35188579.329999998</v>
          </cell>
        </row>
        <row r="69">
          <cell r="A69">
            <v>1401060000</v>
          </cell>
          <cell r="B69" t="str">
            <v>MAQUINARIA DE CONSTRUCCION</v>
          </cell>
          <cell r="C69">
            <v>9864.4500000000007</v>
          </cell>
          <cell r="E69">
            <v>17556781.559999999</v>
          </cell>
        </row>
        <row r="70">
          <cell r="A70">
            <v>1401070000</v>
          </cell>
          <cell r="B70" t="str">
            <v>EQUIPO PESADO</v>
          </cell>
          <cell r="C70">
            <v>58984.26</v>
          </cell>
          <cell r="E70">
            <v>123056448.56</v>
          </cell>
        </row>
        <row r="71">
          <cell r="A71">
            <v>1401080000</v>
          </cell>
          <cell r="B71" t="str">
            <v>INSTALACIONES INDUSTRIALES</v>
          </cell>
          <cell r="C71">
            <v>5060235.1500000004</v>
          </cell>
          <cell r="E71">
            <v>498808107.83999997</v>
          </cell>
        </row>
        <row r="72">
          <cell r="A72">
            <v>1401090000</v>
          </cell>
          <cell r="B72" t="str">
            <v>HERRAMIENTAS E IMPLEMENTOS</v>
          </cell>
          <cell r="C72">
            <v>2695.91</v>
          </cell>
          <cell r="E72">
            <v>19223569.640000001</v>
          </cell>
        </row>
        <row r="73">
          <cell r="A73">
            <v>1401100000</v>
          </cell>
          <cell r="B73" t="str">
            <v>TINGLADOS</v>
          </cell>
          <cell r="C73">
            <v>62992.56</v>
          </cell>
          <cell r="E73">
            <v>14825368.59</v>
          </cell>
        </row>
        <row r="74">
          <cell r="A74">
            <v>1401110000</v>
          </cell>
          <cell r="B74" t="str">
            <v>EQUIPOS DE COMPUTACION</v>
          </cell>
          <cell r="C74">
            <v>35324.730000000003</v>
          </cell>
          <cell r="E74">
            <v>7852853.2699999996</v>
          </cell>
        </row>
        <row r="75">
          <cell r="A75">
            <v>1401120000</v>
          </cell>
          <cell r="B75" t="str">
            <v>EQUIPOS DE LABORATORIO</v>
          </cell>
          <cell r="C75">
            <v>47792.09</v>
          </cell>
          <cell r="E75">
            <v>9437330.0999999996</v>
          </cell>
        </row>
        <row r="76">
          <cell r="A76">
            <v>1401150000</v>
          </cell>
          <cell r="B76" t="str">
            <v>CANALES DE RIEGO Y POZOS</v>
          </cell>
          <cell r="C76">
            <v>0</v>
          </cell>
          <cell r="E76">
            <v>166103.32</v>
          </cell>
        </row>
        <row r="77">
          <cell r="A77">
            <v>1402000000</v>
          </cell>
          <cell r="B77" t="str">
            <v>DEPRECIACION ACUMULADA</v>
          </cell>
          <cell r="C77">
            <v>-10307029.539999999</v>
          </cell>
          <cell r="E77">
            <v>-1310280255.6600001</v>
          </cell>
        </row>
        <row r="78">
          <cell r="A78">
            <v>1402020000</v>
          </cell>
          <cell r="B78" t="str">
            <v>EDIFICIOS</v>
          </cell>
          <cell r="C78">
            <v>-2837659.21</v>
          </cell>
          <cell r="E78">
            <v>-126623382.64</v>
          </cell>
        </row>
        <row r="79">
          <cell r="A79">
            <v>1402030000</v>
          </cell>
          <cell r="B79" t="str">
            <v>MUEBLES Y ENSERES DE OFICINA</v>
          </cell>
          <cell r="C79">
            <v>-3162.49</v>
          </cell>
          <cell r="E79">
            <v>-4615429.8899999997</v>
          </cell>
        </row>
        <row r="80">
          <cell r="A80">
            <v>1402040000</v>
          </cell>
          <cell r="B80" t="str">
            <v>MAQUINARIA Y EQUIPO</v>
          </cell>
          <cell r="C80">
            <v>-3671771.71</v>
          </cell>
          <cell r="E80">
            <v>-591337961.55999994</v>
          </cell>
        </row>
        <row r="81">
          <cell r="A81">
            <v>1402050000</v>
          </cell>
          <cell r="B81" t="str">
            <v>VEHICULOS</v>
          </cell>
          <cell r="C81">
            <v>-26471.15</v>
          </cell>
          <cell r="E81">
            <v>-34484878.829999998</v>
          </cell>
        </row>
        <row r="82">
          <cell r="A82">
            <v>1402060000</v>
          </cell>
          <cell r="B82" t="str">
            <v>MAQUINARIA DE CONSTRUCCION</v>
          </cell>
          <cell r="C82">
            <v>-12093.57</v>
          </cell>
          <cell r="E82">
            <v>-17321939.100000001</v>
          </cell>
        </row>
        <row r="83">
          <cell r="A83">
            <v>1402070000</v>
          </cell>
          <cell r="B83" t="str">
            <v>EQUIPO PESADO</v>
          </cell>
          <cell r="C83">
            <v>-74121.25</v>
          </cell>
          <cell r="E83">
            <v>-121761560.95999999</v>
          </cell>
        </row>
        <row r="84">
          <cell r="A84">
            <v>1402080000</v>
          </cell>
          <cell r="B84" t="str">
            <v>INSTALACIONES INDUSTRIALES</v>
          </cell>
          <cell r="C84">
            <v>-3500875.36</v>
          </cell>
          <cell r="E84">
            <v>-364946781.66000003</v>
          </cell>
        </row>
        <row r="85">
          <cell r="A85">
            <v>1402090000</v>
          </cell>
          <cell r="B85" t="str">
            <v>HERRAMIENTAS E IMPLEMENTOS</v>
          </cell>
          <cell r="C85">
            <v>-4940.29</v>
          </cell>
          <cell r="E85">
            <v>-19157257.359999999</v>
          </cell>
        </row>
        <row r="86">
          <cell r="A86">
            <v>1402100000</v>
          </cell>
          <cell r="B86" t="str">
            <v>TINGLADOS</v>
          </cell>
          <cell r="C86">
            <v>-87701.59</v>
          </cell>
          <cell r="E86">
            <v>-14427952.060000001</v>
          </cell>
        </row>
        <row r="87">
          <cell r="A87">
            <v>1402110000</v>
          </cell>
          <cell r="B87" t="str">
            <v>EQUIPOS DE COMPUTACION</v>
          </cell>
          <cell r="C87">
            <v>-33331.26</v>
          </cell>
          <cell r="E87">
            <v>-7360657.3700000001</v>
          </cell>
        </row>
        <row r="88">
          <cell r="A88">
            <v>1402120000</v>
          </cell>
          <cell r="B88" t="str">
            <v>EQUIPOS DE LABORATORIO</v>
          </cell>
          <cell r="C88">
            <v>-54901.66</v>
          </cell>
          <cell r="E88">
            <v>-8076350.9100000001</v>
          </cell>
        </row>
        <row r="89">
          <cell r="A89">
            <v>1402150000</v>
          </cell>
          <cell r="B89" t="str">
            <v>CANALES DE RIEGO Y POZOS</v>
          </cell>
          <cell r="C89">
            <v>0</v>
          </cell>
          <cell r="E89">
            <v>-166103.32</v>
          </cell>
        </row>
        <row r="91">
          <cell r="A91">
            <v>1500000000</v>
          </cell>
          <cell r="B91" t="str">
            <v>INVERSIONES</v>
          </cell>
          <cell r="C91">
            <v>-449113.75</v>
          </cell>
          <cell r="E91">
            <v>26704628.670000002</v>
          </cell>
        </row>
        <row r="92">
          <cell r="A92">
            <v>1502000000</v>
          </cell>
          <cell r="B92" t="str">
            <v>OTRAS INVERSIONES</v>
          </cell>
          <cell r="C92">
            <v>-449113.75</v>
          </cell>
          <cell r="E92">
            <v>26704628.670000002</v>
          </cell>
        </row>
        <row r="93">
          <cell r="A93">
            <v>1502010000</v>
          </cell>
          <cell r="B93" t="str">
            <v>ACCIONES</v>
          </cell>
          <cell r="C93">
            <v>-449113.75</v>
          </cell>
          <cell r="E93">
            <v>26303808.66</v>
          </cell>
        </row>
        <row r="94">
          <cell r="A94">
            <v>1502030000</v>
          </cell>
          <cell r="B94" t="str">
            <v>LINEAS TELEFONICAS</v>
          </cell>
          <cell r="C94">
            <v>0</v>
          </cell>
          <cell r="E94">
            <v>261000</v>
          </cell>
        </row>
        <row r="95">
          <cell r="A95">
            <v>1502050000</v>
          </cell>
          <cell r="B95" t="str">
            <v>OTRAS INVERSIONES</v>
          </cell>
          <cell r="C95">
            <v>0</v>
          </cell>
          <cell r="E95">
            <v>139820.01</v>
          </cell>
        </row>
        <row r="97">
          <cell r="A97">
            <v>1600000000</v>
          </cell>
          <cell r="B97" t="str">
            <v>OTROS ACTIVOS</v>
          </cell>
          <cell r="C97">
            <v>387662.67</v>
          </cell>
          <cell r="E97">
            <v>247033809.97999999</v>
          </cell>
        </row>
        <row r="98">
          <cell r="A98">
            <v>1601000000</v>
          </cell>
          <cell r="B98" t="str">
            <v>DOCUMENTOS POR COBRAR A LARGO PLAZO</v>
          </cell>
          <cell r="C98">
            <v>0</v>
          </cell>
          <cell r="E98">
            <v>60596603.57</v>
          </cell>
        </row>
        <row r="99">
          <cell r="A99">
            <v>1601020000</v>
          </cell>
          <cell r="B99" t="str">
            <v>CREDITOS M.E.</v>
          </cell>
          <cell r="C99">
            <v>0</v>
          </cell>
          <cell r="E99">
            <v>48732905.649999999</v>
          </cell>
        </row>
        <row r="100">
          <cell r="A100">
            <v>1601040000</v>
          </cell>
          <cell r="B100" t="str">
            <v>DOCUMENTOS EN EJECUCION</v>
          </cell>
          <cell r="C100">
            <v>0</v>
          </cell>
          <cell r="E100">
            <v>11863697.92</v>
          </cell>
        </row>
        <row r="101">
          <cell r="A101">
            <v>1601050000</v>
          </cell>
          <cell r="B101" t="str">
            <v>CUENTAS INCOBRABLES</v>
          </cell>
          <cell r="C101">
            <v>0</v>
          </cell>
          <cell r="E101">
            <v>3212209.75</v>
          </cell>
        </row>
        <row r="102">
          <cell r="A102">
            <v>1601060000</v>
          </cell>
          <cell r="B102" t="str">
            <v>(PREVISION CUENTAS INCOBRABLES)</v>
          </cell>
          <cell r="C102">
            <v>0</v>
          </cell>
          <cell r="E102">
            <v>-3212209.75</v>
          </cell>
        </row>
        <row r="103">
          <cell r="A103">
            <v>1602000000</v>
          </cell>
          <cell r="B103" t="str">
            <v>OBRAS EN EJECUCIÓN</v>
          </cell>
          <cell r="C103">
            <v>479973.01</v>
          </cell>
          <cell r="E103">
            <v>18830579.66</v>
          </cell>
        </row>
        <row r="104">
          <cell r="A104">
            <v>1602010000</v>
          </cell>
          <cell r="B104" t="str">
            <v>AMPLIACIONES</v>
          </cell>
          <cell r="C104">
            <v>479973.01</v>
          </cell>
          <cell r="E104">
            <v>18830579.66</v>
          </cell>
        </row>
        <row r="105">
          <cell r="A105">
            <v>1604000000</v>
          </cell>
          <cell r="B105" t="str">
            <v>BIENES ARRENDADOS</v>
          </cell>
          <cell r="C105">
            <v>0</v>
          </cell>
          <cell r="E105">
            <v>1752652.04</v>
          </cell>
        </row>
        <row r="106">
          <cell r="A106">
            <v>1604010000</v>
          </cell>
          <cell r="B106" t="str">
            <v>VALOR DE ARRENDAMIENTO</v>
          </cell>
          <cell r="C106">
            <v>0</v>
          </cell>
          <cell r="E106">
            <v>1752652.04</v>
          </cell>
        </row>
        <row r="107">
          <cell r="A107">
            <v>1605000000</v>
          </cell>
          <cell r="B107" t="str">
            <v>DIVERSOS</v>
          </cell>
          <cell r="C107">
            <v>-195420.13</v>
          </cell>
          <cell r="E107">
            <v>17109993.489999998</v>
          </cell>
        </row>
        <row r="108">
          <cell r="A108">
            <v>1605010000</v>
          </cell>
          <cell r="B108" t="str">
            <v>REPUESTOS EN ALMACEN</v>
          </cell>
          <cell r="C108">
            <v>-195420.13</v>
          </cell>
          <cell r="E108">
            <v>16920973.25</v>
          </cell>
        </row>
        <row r="109">
          <cell r="A109">
            <v>1605020000</v>
          </cell>
          <cell r="B109" t="str">
            <v>LIBROS Y BIBLIOTECAS</v>
          </cell>
          <cell r="C109">
            <v>0</v>
          </cell>
          <cell r="E109">
            <v>189020.24</v>
          </cell>
        </row>
        <row r="110">
          <cell r="A110">
            <v>1606000000</v>
          </cell>
          <cell r="B110" t="str">
            <v>CUENTAS CORRIENTES UNIDADES</v>
          </cell>
          <cell r="C110">
            <v>103109.79</v>
          </cell>
          <cell r="E110">
            <v>148743981.22</v>
          </cell>
        </row>
        <row r="111">
          <cell r="A111">
            <v>1606010000</v>
          </cell>
          <cell r="B111" t="str">
            <v>LIMITADA</v>
          </cell>
          <cell r="C111">
            <v>-334757.59000000003</v>
          </cell>
          <cell r="E111">
            <v>128792965.56999999</v>
          </cell>
        </row>
        <row r="112">
          <cell r="A112">
            <v>1606030000</v>
          </cell>
          <cell r="B112" t="str">
            <v>CERAMIL</v>
          </cell>
          <cell r="C112">
            <v>197677.92</v>
          </cell>
          <cell r="E112">
            <v>10774825.1</v>
          </cell>
        </row>
        <row r="113">
          <cell r="A113">
            <v>1606040000</v>
          </cell>
          <cell r="B113" t="str">
            <v>HORMIGON</v>
          </cell>
          <cell r="C113">
            <v>-108439.5</v>
          </cell>
          <cell r="E113">
            <v>4459306.13</v>
          </cell>
        </row>
        <row r="114">
          <cell r="A114">
            <v>1606050000</v>
          </cell>
          <cell r="B114" t="str">
            <v>CONSTRUCCIONES</v>
          </cell>
          <cell r="C114">
            <v>330844.65000000002</v>
          </cell>
          <cell r="E114">
            <v>2863762.74</v>
          </cell>
        </row>
        <row r="115">
          <cell r="A115">
            <v>1606060000</v>
          </cell>
          <cell r="B115" t="str">
            <v>CERAMICA</v>
          </cell>
          <cell r="C115">
            <v>10102</v>
          </cell>
          <cell r="E115">
            <v>917613.92</v>
          </cell>
        </row>
        <row r="116">
          <cell r="A116">
            <v>1606070000</v>
          </cell>
          <cell r="B116" t="str">
            <v>METAL</v>
          </cell>
          <cell r="C116">
            <v>3833.76</v>
          </cell>
          <cell r="E116">
            <v>572673.57999999996</v>
          </cell>
        </row>
        <row r="117">
          <cell r="A117">
            <v>1606080000</v>
          </cell>
          <cell r="B117" t="str">
            <v>COBOCE EDITORA OPINION</v>
          </cell>
          <cell r="C117">
            <v>3848.55</v>
          </cell>
          <cell r="E117">
            <v>362834.18</v>
          </cell>
        </row>
        <row r="119">
          <cell r="A119">
            <v>1700000000</v>
          </cell>
          <cell r="B119" t="str">
            <v>ACTIVOS DIFERIDOS</v>
          </cell>
          <cell r="C119">
            <v>-950856.35</v>
          </cell>
          <cell r="E119">
            <v>9914382.9100000001</v>
          </cell>
        </row>
        <row r="120">
          <cell r="A120">
            <v>1701000000</v>
          </cell>
          <cell r="B120" t="str">
            <v>ACTIVOS RETIRADOS</v>
          </cell>
          <cell r="C120">
            <v>0</v>
          </cell>
          <cell r="E120">
            <v>3580102.51</v>
          </cell>
        </row>
        <row r="121">
          <cell r="A121">
            <v>1701010000</v>
          </cell>
          <cell r="B121" t="str">
            <v>BIENES DE USO RETIRADOS</v>
          </cell>
          <cell r="C121">
            <v>0</v>
          </cell>
          <cell r="E121">
            <v>3580102.51</v>
          </cell>
        </row>
        <row r="122">
          <cell r="A122">
            <v>1702000000</v>
          </cell>
          <cell r="B122" t="str">
            <v>GASTOS DIFERIDOS</v>
          </cell>
          <cell r="C122">
            <v>-950856.35</v>
          </cell>
          <cell r="E122">
            <v>6334280.4000000004</v>
          </cell>
        </row>
        <row r="123">
          <cell r="A123">
            <v>1702020000</v>
          </cell>
          <cell r="B123" t="str">
            <v>GASTOS DE PRODUCCIÓN Y MANTENIMIENTO</v>
          </cell>
          <cell r="C123">
            <v>-950856.35</v>
          </cell>
          <cell r="E123">
            <v>1852883.29</v>
          </cell>
        </row>
        <row r="124">
          <cell r="A124">
            <v>1702050000</v>
          </cell>
          <cell r="B124" t="str">
            <v>VARIOS</v>
          </cell>
          <cell r="C124">
            <v>0</v>
          </cell>
          <cell r="E124">
            <v>4481397.1100000003</v>
          </cell>
        </row>
        <row r="126">
          <cell r="A126">
            <v>2000000000</v>
          </cell>
          <cell r="B126" t="str">
            <v>PASIVO</v>
          </cell>
          <cell r="C126">
            <v>7165226.9400000004</v>
          </cell>
          <cell r="E126">
            <v>-1182245653.3800001</v>
          </cell>
        </row>
        <row r="129">
          <cell r="A129">
            <v>2100000000</v>
          </cell>
          <cell r="B129" t="str">
            <v>PASIVO CORRIENTE</v>
          </cell>
          <cell r="C129">
            <v>20013598.09</v>
          </cell>
          <cell r="E129">
            <v>-134145804.75</v>
          </cell>
        </row>
        <row r="130">
          <cell r="A130">
            <v>2101000000</v>
          </cell>
          <cell r="B130" t="str">
            <v>DEUDAS COMERCIALES</v>
          </cell>
          <cell r="C130">
            <v>15752455.07</v>
          </cell>
          <cell r="E130">
            <v>-53008341.93</v>
          </cell>
        </row>
        <row r="131">
          <cell r="A131">
            <v>2101010000</v>
          </cell>
          <cell r="B131" t="str">
            <v>PROVEEDORES</v>
          </cell>
          <cell r="C131">
            <v>16142424.619999999</v>
          </cell>
          <cell r="E131">
            <v>-45001965.810000002</v>
          </cell>
        </row>
        <row r="132">
          <cell r="A132">
            <v>2101030000</v>
          </cell>
          <cell r="B132" t="str">
            <v>TRANSPORTISTAS</v>
          </cell>
          <cell r="C132">
            <v>-488736.94</v>
          </cell>
          <cell r="E132">
            <v>-3399657.7</v>
          </cell>
        </row>
        <row r="133">
          <cell r="A133">
            <v>2101040000</v>
          </cell>
          <cell r="B133" t="str">
            <v>ACREEDORES VARIOS</v>
          </cell>
          <cell r="C133">
            <v>98767.4</v>
          </cell>
          <cell r="E133">
            <v>-4289294.55</v>
          </cell>
        </row>
        <row r="134">
          <cell r="A134">
            <v>2101090000</v>
          </cell>
          <cell r="B134" t="str">
            <v>ACREEDORES POR DEPOSITOS EN GARANTIA</v>
          </cell>
          <cell r="C134">
            <v>-0.01</v>
          </cell>
          <cell r="E134">
            <v>-47575.87</v>
          </cell>
        </row>
        <row r="135">
          <cell r="A135">
            <v>2101650000</v>
          </cell>
          <cell r="B135" t="str">
            <v>PROVEEDORES AEROPUERTO POTOSI</v>
          </cell>
          <cell r="C135">
            <v>0</v>
          </cell>
          <cell r="E135">
            <v>-269848</v>
          </cell>
        </row>
        <row r="136">
          <cell r="A136">
            <v>2102000000</v>
          </cell>
          <cell r="B136" t="str">
            <v>DOCUMENTOS POR PAGAR</v>
          </cell>
          <cell r="C136">
            <v>298979.49</v>
          </cell>
          <cell r="E136">
            <v>-2411790.4300000002</v>
          </cell>
        </row>
        <row r="137">
          <cell r="A137">
            <v>2102020000</v>
          </cell>
          <cell r="B137" t="str">
            <v>BANCARIOS</v>
          </cell>
          <cell r="C137">
            <v>0</v>
          </cell>
          <cell r="E137">
            <v>-2014542.46</v>
          </cell>
        </row>
        <row r="138">
          <cell r="A138">
            <v>2102030000</v>
          </cell>
          <cell r="B138" t="str">
            <v>CONTRATOS</v>
          </cell>
          <cell r="C138">
            <v>148979.49</v>
          </cell>
          <cell r="E138">
            <v>-235066.14</v>
          </cell>
        </row>
        <row r="139">
          <cell r="A139">
            <v>2102040000</v>
          </cell>
          <cell r="B139" t="str">
            <v>OTROS DOCUMENTOS</v>
          </cell>
          <cell r="C139">
            <v>150000</v>
          </cell>
          <cell r="E139">
            <v>-162181.82999999999</v>
          </cell>
        </row>
        <row r="140">
          <cell r="A140">
            <v>2104000000</v>
          </cell>
          <cell r="B140" t="str">
            <v>OBLIGACIONES FINANCIERAS A CORTO PLAZO</v>
          </cell>
          <cell r="C140">
            <v>-744295.81</v>
          </cell>
          <cell r="E140">
            <v>-43795319.780000001</v>
          </cell>
        </row>
        <row r="141">
          <cell r="A141">
            <v>2104010000</v>
          </cell>
          <cell r="B141" t="str">
            <v>OBLIGACIONES POR CAPITAL</v>
          </cell>
          <cell r="C141">
            <v>432922.96</v>
          </cell>
          <cell r="E141">
            <v>-37821322.200000003</v>
          </cell>
        </row>
        <row r="142">
          <cell r="A142">
            <v>2104020000</v>
          </cell>
          <cell r="B142" t="str">
            <v>OBLIGACIONES POR INTERESES</v>
          </cell>
          <cell r="C142">
            <v>-1177218.77</v>
          </cell>
          <cell r="E142">
            <v>-5973997.5800000001</v>
          </cell>
        </row>
        <row r="143">
          <cell r="A143">
            <v>2105000000</v>
          </cell>
          <cell r="B143" t="str">
            <v>IMPUESTOS POR PAGAR</v>
          </cell>
          <cell r="C143">
            <v>0</v>
          </cell>
          <cell r="E143">
            <v>0</v>
          </cell>
        </row>
        <row r="144">
          <cell r="A144">
            <v>2105010000</v>
          </cell>
          <cell r="B144" t="str">
            <v>IMPUESTO AL VALOR AGREGADO (DEBITO FISCA</v>
          </cell>
          <cell r="C144">
            <v>0</v>
          </cell>
          <cell r="E144">
            <v>0</v>
          </cell>
        </row>
        <row r="145">
          <cell r="A145">
            <v>2105030000</v>
          </cell>
          <cell r="B145" t="str">
            <v>IMPUESTO AL REGIMEN COMPLEMENTARIO</v>
          </cell>
          <cell r="C145">
            <v>0</v>
          </cell>
          <cell r="E145">
            <v>0</v>
          </cell>
        </row>
        <row r="146">
          <cell r="A146">
            <v>2105040000</v>
          </cell>
          <cell r="B146" t="str">
            <v>RETENCION EN LA FUENTE</v>
          </cell>
          <cell r="C146">
            <v>0</v>
          </cell>
          <cell r="E146">
            <v>0</v>
          </cell>
        </row>
        <row r="147">
          <cell r="A147">
            <v>2105090000</v>
          </cell>
          <cell r="B147" t="str">
            <v>REGALIAS MINERAS</v>
          </cell>
          <cell r="C147">
            <v>0</v>
          </cell>
          <cell r="E147">
            <v>0</v>
          </cell>
        </row>
        <row r="148">
          <cell r="A148">
            <v>2106000000</v>
          </cell>
          <cell r="B148" t="str">
            <v>OBLIGACIONES POR PAGAR</v>
          </cell>
          <cell r="C148">
            <v>7135519.9100000001</v>
          </cell>
          <cell r="E148">
            <v>-12272580.93</v>
          </cell>
        </row>
        <row r="149">
          <cell r="A149">
            <v>2106010000</v>
          </cell>
          <cell r="B149" t="str">
            <v>SUELDOS Y JORNALES POR PAGAR</v>
          </cell>
          <cell r="C149">
            <v>1822878.02</v>
          </cell>
          <cell r="E149">
            <v>-5393480.6900000004</v>
          </cell>
        </row>
        <row r="150">
          <cell r="A150">
            <v>2106020000</v>
          </cell>
          <cell r="B150" t="str">
            <v>AGUINALDOS Y PRIMAS POR PAGAR</v>
          </cell>
          <cell r="C150">
            <v>0</v>
          </cell>
          <cell r="E150">
            <v>-100838.3</v>
          </cell>
        </row>
        <row r="151">
          <cell r="A151">
            <v>2106040000</v>
          </cell>
          <cell r="B151" t="str">
            <v>FINIQUITOS POR PAGAR</v>
          </cell>
          <cell r="C151">
            <v>1004344.85</v>
          </cell>
          <cell r="E151">
            <v>-190789.23</v>
          </cell>
        </row>
        <row r="152">
          <cell r="A152">
            <v>2106060000</v>
          </cell>
          <cell r="B152" t="str">
            <v>AGUINALDOS Y PRIMAS NO RECLAMADOS</v>
          </cell>
          <cell r="C152">
            <v>0</v>
          </cell>
          <cell r="E152">
            <v>-770657.13</v>
          </cell>
        </row>
        <row r="153">
          <cell r="A153">
            <v>2106070000</v>
          </cell>
          <cell r="B153" t="str">
            <v>APORTES Y RETENCIONES POR PAGAR</v>
          </cell>
          <cell r="C153">
            <v>4207631.04</v>
          </cell>
          <cell r="E153">
            <v>-5606052.96</v>
          </cell>
        </row>
        <row r="154">
          <cell r="A154">
            <v>2106080000</v>
          </cell>
          <cell r="B154" t="str">
            <v>RETENCIONES JUDICIALES</v>
          </cell>
          <cell r="C154">
            <v>100666</v>
          </cell>
          <cell r="E154">
            <v>-210762.62</v>
          </cell>
        </row>
        <row r="155">
          <cell r="A155">
            <v>2107000000</v>
          </cell>
          <cell r="B155" t="str">
            <v>PROVISIONES</v>
          </cell>
          <cell r="C155">
            <v>-721409.65</v>
          </cell>
          <cell r="E155">
            <v>-10820424.300000001</v>
          </cell>
        </row>
        <row r="156">
          <cell r="A156">
            <v>2107010000</v>
          </cell>
          <cell r="B156" t="str">
            <v>AGUINALDOS</v>
          </cell>
          <cell r="C156">
            <v>-721409.65</v>
          </cell>
          <cell r="E156">
            <v>-5570769.1900000004</v>
          </cell>
        </row>
        <row r="157">
          <cell r="A157">
            <v>2107030000</v>
          </cell>
          <cell r="B157" t="str">
            <v>OTROS</v>
          </cell>
          <cell r="C157">
            <v>0</v>
          </cell>
          <cell r="E157">
            <v>-5249655.1100000003</v>
          </cell>
        </row>
        <row r="158">
          <cell r="A158">
            <v>2108000000</v>
          </cell>
          <cell r="B158" t="str">
            <v>COBROS POR ADELANTADO</v>
          </cell>
          <cell r="C158">
            <v>-1707650.92</v>
          </cell>
          <cell r="E158">
            <v>-11837347.380000001</v>
          </cell>
        </row>
        <row r="159">
          <cell r="A159">
            <v>2108010000</v>
          </cell>
          <cell r="B159" t="str">
            <v>CLIENTES LOCALES</v>
          </cell>
          <cell r="C159">
            <v>-1912867</v>
          </cell>
          <cell r="E159">
            <v>-6647645.3499999996</v>
          </cell>
        </row>
        <row r="160">
          <cell r="A160">
            <v>2108020000</v>
          </cell>
          <cell r="B160" t="str">
            <v>CLIENTES INTERIOR</v>
          </cell>
          <cell r="C160">
            <v>205216.08</v>
          </cell>
          <cell r="E160">
            <v>-5189702.03</v>
          </cell>
        </row>
        <row r="162">
          <cell r="A162">
            <v>2200000000</v>
          </cell>
          <cell r="B162" t="str">
            <v>PASIVO NO CORRIENTE</v>
          </cell>
          <cell r="C162">
            <v>-4518884.2300000004</v>
          </cell>
          <cell r="E162">
            <v>-544334645.75999999</v>
          </cell>
        </row>
        <row r="163">
          <cell r="A163">
            <v>2201000000</v>
          </cell>
          <cell r="B163" t="str">
            <v>OBLIGACIONES FINANCIERAS A LARGO PLAZO</v>
          </cell>
          <cell r="C163">
            <v>0</v>
          </cell>
          <cell r="E163">
            <v>-214962498.06999999</v>
          </cell>
        </row>
        <row r="164">
          <cell r="A164">
            <v>2201010000</v>
          </cell>
          <cell r="B164" t="str">
            <v>OBLIGACIONES POR CAPITAL</v>
          </cell>
          <cell r="C164">
            <v>0</v>
          </cell>
          <cell r="E164">
            <v>-207020556.65000001</v>
          </cell>
        </row>
        <row r="165">
          <cell r="A165">
            <v>2201030000</v>
          </cell>
          <cell r="B165" t="str">
            <v>OBLIGACIONES POR INTERESES LP</v>
          </cell>
          <cell r="C165">
            <v>0</v>
          </cell>
          <cell r="E165">
            <v>-7941941.4199999999</v>
          </cell>
        </row>
        <row r="166">
          <cell r="A166">
            <v>2202000000</v>
          </cell>
          <cell r="B166" t="str">
            <v>PREVISIONES</v>
          </cell>
          <cell r="C166">
            <v>-515029.81</v>
          </cell>
          <cell r="E166">
            <v>-55650321.659999996</v>
          </cell>
        </row>
        <row r="167">
          <cell r="A167">
            <v>2202010000</v>
          </cell>
          <cell r="B167" t="str">
            <v>PREVISIONES BENEFICIOS SOCIALES</v>
          </cell>
          <cell r="C167">
            <v>-515029.81</v>
          </cell>
          <cell r="E167">
            <v>-55593338.979999997</v>
          </cell>
        </row>
        <row r="168">
          <cell r="A168">
            <v>2202020000</v>
          </cell>
          <cell r="B168" t="str">
            <v>OTRAS PREVISIONES</v>
          </cell>
          <cell r="C168">
            <v>0</v>
          </cell>
          <cell r="E168">
            <v>-56982.68</v>
          </cell>
        </row>
        <row r="169">
          <cell r="A169">
            <v>2203000000</v>
          </cell>
          <cell r="B169" t="str">
            <v>OTROS PASIVOS NO CORRIENTES</v>
          </cell>
          <cell r="C169">
            <v>-463.99</v>
          </cell>
          <cell r="E169">
            <v>-727817.83</v>
          </cell>
        </row>
        <row r="170">
          <cell r="A170">
            <v>2203050000</v>
          </cell>
          <cell r="B170" t="str">
            <v>CREDITOS DIFERIDOS</v>
          </cell>
          <cell r="C170">
            <v>-463.99</v>
          </cell>
          <cell r="E170">
            <v>-727817.83</v>
          </cell>
        </row>
        <row r="171">
          <cell r="A171">
            <v>2204000000</v>
          </cell>
          <cell r="B171" t="str">
            <v>CUENTAS CORRIENTES. UNIDADES.</v>
          </cell>
          <cell r="C171">
            <v>-4003390.43</v>
          </cell>
          <cell r="E171">
            <v>-272994008.19999999</v>
          </cell>
        </row>
        <row r="172">
          <cell r="A172">
            <v>2204010000</v>
          </cell>
          <cell r="B172" t="str">
            <v>LIMITADA</v>
          </cell>
          <cell r="C172">
            <v>-4010794.93</v>
          </cell>
          <cell r="E172">
            <v>-265654525.90000001</v>
          </cell>
        </row>
        <row r="173">
          <cell r="A173">
            <v>2204040000</v>
          </cell>
          <cell r="B173" t="str">
            <v>HORMIGON</v>
          </cell>
          <cell r="C173">
            <v>-210367.5</v>
          </cell>
          <cell r="E173">
            <v>-797949.8</v>
          </cell>
        </row>
        <row r="174">
          <cell r="A174">
            <v>2204050000</v>
          </cell>
          <cell r="B174" t="str">
            <v>CONSTRUCCIONES</v>
          </cell>
          <cell r="C174">
            <v>0</v>
          </cell>
          <cell r="E174">
            <v>-4749325.95</v>
          </cell>
        </row>
        <row r="175">
          <cell r="A175">
            <v>2204060000</v>
          </cell>
          <cell r="B175" t="str">
            <v>CERAMICA</v>
          </cell>
          <cell r="C175">
            <v>26040</v>
          </cell>
          <cell r="E175">
            <v>-943301.21</v>
          </cell>
        </row>
        <row r="176">
          <cell r="A176">
            <v>2204070000</v>
          </cell>
          <cell r="B176" t="str">
            <v>METAL</v>
          </cell>
          <cell r="C176">
            <v>201421</v>
          </cell>
          <cell r="E176">
            <v>-705675.05</v>
          </cell>
        </row>
        <row r="177">
          <cell r="A177">
            <v>2204080000</v>
          </cell>
          <cell r="B177" t="str">
            <v>COBOCE EDITORA OPINION</v>
          </cell>
          <cell r="C177">
            <v>-9689</v>
          </cell>
          <cell r="E177">
            <v>-143230.29</v>
          </cell>
        </row>
        <row r="179">
          <cell r="A179">
            <v>2400000000</v>
          </cell>
          <cell r="B179" t="str">
            <v>PATRIMONIO</v>
          </cell>
          <cell r="C179">
            <v>-8329486.9199999999</v>
          </cell>
          <cell r="E179">
            <v>-503765202.87</v>
          </cell>
        </row>
        <row r="180">
          <cell r="A180">
            <v>2401000000</v>
          </cell>
          <cell r="B180" t="str">
            <v>FONDO SOCIAL</v>
          </cell>
          <cell r="C180">
            <v>-8329486.9199999999</v>
          </cell>
          <cell r="E180">
            <v>-503765202.87</v>
          </cell>
        </row>
        <row r="181">
          <cell r="A181">
            <v>2401010000</v>
          </cell>
          <cell r="B181" t="str">
            <v>FONDO SOCIAL UNIDADES</v>
          </cell>
          <cell r="C181">
            <v>-8329486.9199999999</v>
          </cell>
          <cell r="E181">
            <v>-503765202.87</v>
          </cell>
        </row>
        <row r="182">
          <cell r="A182">
            <v>2901010000</v>
          </cell>
          <cell r="B182" t="str">
            <v>CUENTAS DE ORDEN DEBITOS</v>
          </cell>
          <cell r="C182">
            <v>0</v>
          </cell>
          <cell r="E182">
            <v>44638661.009999998</v>
          </cell>
        </row>
        <row r="183">
          <cell r="A183">
            <v>2901020000</v>
          </cell>
          <cell r="B183" t="str">
            <v>CUENTAS DE ORDEN CREDITOS</v>
          </cell>
          <cell r="C183">
            <v>0</v>
          </cell>
          <cell r="E183">
            <v>-44638661.009999998</v>
          </cell>
        </row>
        <row r="184">
          <cell r="A184" t="str">
            <v>***TOTAL UTILIDAD(+)/PERDIDA(-)***</v>
          </cell>
          <cell r="C184">
            <v>16599308.32</v>
          </cell>
          <cell r="E184">
            <v>30601500.170000002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6">
          <cell r="A6" t="str">
            <v>1.0.00.00</v>
          </cell>
          <cell r="B6" t="str">
            <v>ACTIVO</v>
          </cell>
          <cell r="C6">
            <v>10451600.93</v>
          </cell>
          <cell r="E6">
            <v>1223298754.48</v>
          </cell>
        </row>
        <row r="7">
          <cell r="A7" t="str">
            <v>1.1.00.00</v>
          </cell>
          <cell r="B7" t="str">
            <v>ACTIVO DISPONIBLE</v>
          </cell>
          <cell r="C7">
            <v>-6618346.7999999998</v>
          </cell>
          <cell r="E7">
            <v>11752391.220000001</v>
          </cell>
        </row>
        <row r="8">
          <cell r="A8" t="str">
            <v>1.1.01.00</v>
          </cell>
          <cell r="B8" t="str">
            <v>CAJA</v>
          </cell>
          <cell r="C8">
            <v>-559273.9</v>
          </cell>
          <cell r="E8">
            <v>1725842</v>
          </cell>
        </row>
        <row r="9">
          <cell r="A9" t="str">
            <v>1.1.01.01</v>
          </cell>
          <cell r="B9" t="str">
            <v>CAJA GENERAL MONEDA NACIONAL</v>
          </cell>
          <cell r="C9">
            <v>-560273.9</v>
          </cell>
          <cell r="E9">
            <v>1564942</v>
          </cell>
        </row>
        <row r="10">
          <cell r="A10" t="str">
            <v>1.1.01.03</v>
          </cell>
          <cell r="B10" t="str">
            <v>CAJA CHICA MONEDA NACIONAL</v>
          </cell>
          <cell r="C10">
            <v>1000</v>
          </cell>
          <cell r="E10">
            <v>160900</v>
          </cell>
        </row>
        <row r="11">
          <cell r="A11" t="str">
            <v>1.1.02.00</v>
          </cell>
          <cell r="B11" t="str">
            <v>BANCOS</v>
          </cell>
          <cell r="C11">
            <v>-6059075.1699999999</v>
          </cell>
          <cell r="E11">
            <v>10025666.51</v>
          </cell>
        </row>
        <row r="12">
          <cell r="A12" t="str">
            <v>1.1.02.01</v>
          </cell>
          <cell r="B12" t="str">
            <v>BANCO BISA</v>
          </cell>
          <cell r="C12">
            <v>-1317317.42</v>
          </cell>
          <cell r="E12">
            <v>935720.59</v>
          </cell>
        </row>
        <row r="13">
          <cell r="A13" t="str">
            <v>1.1.02.02</v>
          </cell>
          <cell r="B13" t="str">
            <v>BANCO MERCANTIL</v>
          </cell>
          <cell r="C13">
            <v>-4695315.91</v>
          </cell>
          <cell r="E13">
            <v>306986.07</v>
          </cell>
        </row>
        <row r="14">
          <cell r="A14" t="str">
            <v>1.1.02.04</v>
          </cell>
          <cell r="B14" t="str">
            <v>BANCO DE CREDITO</v>
          </cell>
          <cell r="C14">
            <v>-961318.46</v>
          </cell>
          <cell r="E14">
            <v>6102828.7199999997</v>
          </cell>
        </row>
        <row r="15">
          <cell r="A15" t="str">
            <v>1.1.02.05</v>
          </cell>
          <cell r="B15" t="str">
            <v>BANCO ECONÓMICO</v>
          </cell>
          <cell r="C15">
            <v>436607.41</v>
          </cell>
          <cell r="E15">
            <v>562377.63</v>
          </cell>
        </row>
        <row r="16">
          <cell r="A16" t="str">
            <v>1.1.02.06</v>
          </cell>
          <cell r="B16" t="str">
            <v>BANCO GANADERO</v>
          </cell>
          <cell r="C16">
            <v>186615.81</v>
          </cell>
          <cell r="E16">
            <v>235344.79</v>
          </cell>
        </row>
        <row r="17">
          <cell r="A17" t="str">
            <v>1.1.02.07</v>
          </cell>
          <cell r="B17" t="str">
            <v>BANCO UNION</v>
          </cell>
          <cell r="C17">
            <v>668445.61</v>
          </cell>
          <cell r="E17">
            <v>1147615.19</v>
          </cell>
        </row>
        <row r="18">
          <cell r="A18" t="str">
            <v>1.1.02.08</v>
          </cell>
          <cell r="B18" t="str">
            <v>BANCO NACIONAL</v>
          </cell>
          <cell r="C18">
            <v>-3985.72</v>
          </cell>
          <cell r="E18">
            <v>81000.31</v>
          </cell>
        </row>
        <row r="19">
          <cell r="A19" t="str">
            <v>1.1.02.10</v>
          </cell>
          <cell r="B19" t="str">
            <v>FONDO DE LA COMUNIDAD</v>
          </cell>
          <cell r="C19">
            <v>170.09</v>
          </cell>
          <cell r="E19">
            <v>79219.100000000006</v>
          </cell>
        </row>
        <row r="20">
          <cell r="A20" t="str">
            <v>1.1.02.11</v>
          </cell>
          <cell r="B20" t="str">
            <v>BANCO FASSIL S.A.</v>
          </cell>
          <cell r="C20">
            <v>0</v>
          </cell>
          <cell r="E20">
            <v>1072.05</v>
          </cell>
        </row>
        <row r="21">
          <cell r="A21" t="str">
            <v>1.1.02.12</v>
          </cell>
          <cell r="B21" t="str">
            <v>BANCO PRODEM S.A.</v>
          </cell>
          <cell r="C21">
            <v>-569399.44999999995</v>
          </cell>
          <cell r="E21">
            <v>93222.46</v>
          </cell>
        </row>
        <row r="22">
          <cell r="A22" t="str">
            <v>1.1.02.13</v>
          </cell>
          <cell r="B22" t="str">
            <v>BANCO FIE</v>
          </cell>
          <cell r="C22">
            <v>196422.87</v>
          </cell>
          <cell r="E22">
            <v>477876.66</v>
          </cell>
        </row>
        <row r="23">
          <cell r="A23" t="str">
            <v>1.1.02.15</v>
          </cell>
          <cell r="B23" t="str">
            <v>BANCO FORTALEZA</v>
          </cell>
          <cell r="C23">
            <v>0</v>
          </cell>
          <cell r="E23">
            <v>2402.94</v>
          </cell>
        </row>
        <row r="24">
          <cell r="A24" t="str">
            <v>1.1.03.00</v>
          </cell>
          <cell r="B24" t="str">
            <v>OTRAS INSTITUCIONES FINANCIERAS</v>
          </cell>
          <cell r="C24">
            <v>2.27</v>
          </cell>
          <cell r="E24">
            <v>882.71</v>
          </cell>
        </row>
        <row r="25">
          <cell r="A25" t="str">
            <v>1.1.03.01</v>
          </cell>
          <cell r="B25" t="str">
            <v>CIDRE IFD</v>
          </cell>
          <cell r="C25">
            <v>2.27</v>
          </cell>
          <cell r="E25">
            <v>882.71</v>
          </cell>
        </row>
        <row r="26">
          <cell r="A26" t="str">
            <v>1.2.00.00</v>
          </cell>
          <cell r="B26" t="str">
            <v>ACTIVO EXIGIBLE</v>
          </cell>
          <cell r="C26">
            <v>-2720256.17</v>
          </cell>
          <cell r="E26">
            <v>152419182.38999999</v>
          </cell>
        </row>
        <row r="27">
          <cell r="A27" t="str">
            <v>1.2.01.00</v>
          </cell>
          <cell r="B27" t="str">
            <v>CUENTAS POR COBRAR</v>
          </cell>
          <cell r="C27">
            <v>-2682200.0099999998</v>
          </cell>
          <cell r="E27">
            <v>73532323.090000004</v>
          </cell>
        </row>
        <row r="28">
          <cell r="A28" t="str">
            <v>1.2.01.01</v>
          </cell>
          <cell r="B28" t="str">
            <v>DEUDORES POR PRODUCTOS LOCALES M.N.</v>
          </cell>
          <cell r="C28">
            <v>-2875524.43</v>
          </cell>
          <cell r="E28">
            <v>18950429.43</v>
          </cell>
        </row>
        <row r="29">
          <cell r="A29" t="str">
            <v>1.2.01.05</v>
          </cell>
          <cell r="B29" t="str">
            <v>DEUDORES POR PRODUCTOS INTERIOR M.N.</v>
          </cell>
          <cell r="C29">
            <v>-5500</v>
          </cell>
          <cell r="E29">
            <v>46116452.090000004</v>
          </cell>
        </row>
        <row r="30">
          <cell r="A30" t="str">
            <v>1.2.01.13</v>
          </cell>
          <cell r="B30" t="str">
            <v>DEUDORES VARIOS</v>
          </cell>
          <cell r="C30">
            <v>198824.42</v>
          </cell>
          <cell r="E30">
            <v>8465441.5700000003</v>
          </cell>
        </row>
        <row r="31">
          <cell r="A31" t="str">
            <v>1.2.02.00</v>
          </cell>
          <cell r="B31" t="str">
            <v>CUENTAS CORRIENTES</v>
          </cell>
          <cell r="C31">
            <v>766271.39</v>
          </cell>
          <cell r="E31">
            <v>70754234.579999998</v>
          </cell>
        </row>
        <row r="32">
          <cell r="A32" t="str">
            <v>1.2.02.01</v>
          </cell>
          <cell r="B32" t="str">
            <v>PROVEEDORES</v>
          </cell>
          <cell r="C32">
            <v>766271.39</v>
          </cell>
          <cell r="E32">
            <v>70748180.079999998</v>
          </cell>
        </row>
        <row r="33">
          <cell r="A33" t="str">
            <v>1.2.02.02</v>
          </cell>
          <cell r="B33" t="str">
            <v>CONTRATISTAS</v>
          </cell>
          <cell r="C33">
            <v>0</v>
          </cell>
          <cell r="E33">
            <v>6054.5</v>
          </cell>
        </row>
        <row r="34">
          <cell r="A34" t="str">
            <v>1.2.02.05</v>
          </cell>
          <cell r="B34" t="str">
            <v>CREDITO FISCAL IVA</v>
          </cell>
          <cell r="C34">
            <v>0</v>
          </cell>
          <cell r="E34">
            <v>0</v>
          </cell>
        </row>
        <row r="35">
          <cell r="A35" t="str">
            <v>1.2.03.00</v>
          </cell>
          <cell r="B35" t="str">
            <v>DOCUMENTOS POR COBRAR</v>
          </cell>
          <cell r="C35">
            <v>7238.69</v>
          </cell>
          <cell r="E35">
            <v>4105977.32</v>
          </cell>
        </row>
        <row r="36">
          <cell r="A36" t="str">
            <v>1.2.03.03</v>
          </cell>
          <cell r="B36" t="str">
            <v>RECLAMOS EN CURSO</v>
          </cell>
          <cell r="C36">
            <v>7032.27</v>
          </cell>
          <cell r="E36">
            <v>124850.12</v>
          </cell>
        </row>
        <row r="37">
          <cell r="A37" t="str">
            <v>1.2.03.04</v>
          </cell>
          <cell r="B37" t="str">
            <v>OTROS DOCUMENTOS POR COBRAR</v>
          </cell>
          <cell r="C37">
            <v>206.42</v>
          </cell>
          <cell r="E37">
            <v>3981127.2</v>
          </cell>
        </row>
        <row r="38">
          <cell r="A38" t="str">
            <v>1.2.04.00</v>
          </cell>
          <cell r="B38" t="str">
            <v>ANTICIPOS Y PRESTAMOS</v>
          </cell>
          <cell r="C38">
            <v>-811566.24</v>
          </cell>
          <cell r="E38">
            <v>4026647.4</v>
          </cell>
        </row>
        <row r="39">
          <cell r="A39" t="str">
            <v>1.2.04.01</v>
          </cell>
          <cell r="B39" t="str">
            <v>ANTICIPOS AL PERSONAL</v>
          </cell>
          <cell r="C39">
            <v>-11000</v>
          </cell>
          <cell r="E39">
            <v>333.85</v>
          </cell>
        </row>
        <row r="40">
          <cell r="A40" t="str">
            <v>1.2.04.02</v>
          </cell>
          <cell r="B40" t="str">
            <v>PRESTAMOS AL PERSONAL M.N.</v>
          </cell>
          <cell r="C40">
            <v>3071.1</v>
          </cell>
          <cell r="E40">
            <v>31063.99</v>
          </cell>
        </row>
        <row r="41">
          <cell r="A41" t="str">
            <v>1.2.04.04</v>
          </cell>
          <cell r="B41" t="str">
            <v>PRESTAMOS EN PRODUCTOS O SERVICIOS</v>
          </cell>
          <cell r="C41">
            <v>-10691.86</v>
          </cell>
          <cell r="E41">
            <v>159666.76999999999</v>
          </cell>
        </row>
        <row r="42">
          <cell r="A42" t="str">
            <v>1.2.04.05</v>
          </cell>
          <cell r="B42" t="str">
            <v>PRESTAMOS MATERIALES DE ALMACEN</v>
          </cell>
          <cell r="C42">
            <v>307.82</v>
          </cell>
          <cell r="E42">
            <v>3406.97</v>
          </cell>
        </row>
        <row r="43">
          <cell r="A43" t="str">
            <v>1.2.04.06</v>
          </cell>
          <cell r="B43" t="str">
            <v>PAGOS ANTICIPADOS</v>
          </cell>
          <cell r="C43">
            <v>-439470.41</v>
          </cell>
          <cell r="E43">
            <v>3169489.92</v>
          </cell>
        </row>
        <row r="44">
          <cell r="A44" t="str">
            <v>1.2.04.08</v>
          </cell>
          <cell r="B44" t="str">
            <v>DEUDORES CON CARGO DE CUENTA M.N.</v>
          </cell>
          <cell r="C44">
            <v>-353782.89</v>
          </cell>
          <cell r="E44">
            <v>662669.88</v>
          </cell>
        </row>
        <row r="45">
          <cell r="A45" t="str">
            <v>1.2.04.10</v>
          </cell>
          <cell r="B45" t="str">
            <v>PULPERIAS</v>
          </cell>
          <cell r="C45">
            <v>0</v>
          </cell>
          <cell r="E45">
            <v>16.02</v>
          </cell>
        </row>
        <row r="46">
          <cell r="A46" t="str">
            <v>1.3.00.00</v>
          </cell>
          <cell r="B46" t="str">
            <v>ACTIVO REALIZABLE</v>
          </cell>
          <cell r="C46">
            <v>9209432.2599999998</v>
          </cell>
          <cell r="E46">
            <v>126852400.09</v>
          </cell>
        </row>
        <row r="47">
          <cell r="A47" t="str">
            <v>1.3.01.00</v>
          </cell>
          <cell r="B47" t="str">
            <v>EXISTENCIAS</v>
          </cell>
          <cell r="C47">
            <v>8044967.6299999999</v>
          </cell>
          <cell r="E47">
            <v>41381127.149999999</v>
          </cell>
        </row>
        <row r="48">
          <cell r="A48" t="str">
            <v>1.3.01.01</v>
          </cell>
          <cell r="B48" t="str">
            <v>MATERIA PRIMA E INSUMOS</v>
          </cell>
          <cell r="C48">
            <v>-1116978.96</v>
          </cell>
          <cell r="E48">
            <v>12446028.539999999</v>
          </cell>
        </row>
        <row r="49">
          <cell r="A49" t="str">
            <v>1.3.01.02</v>
          </cell>
          <cell r="B49" t="str">
            <v>PRODUCTOS EN PROCESO</v>
          </cell>
          <cell r="C49">
            <v>7719025.4199999999</v>
          </cell>
          <cell r="E49">
            <v>25417395.370000001</v>
          </cell>
        </row>
        <row r="50">
          <cell r="A50" t="str">
            <v>1.3.01.03</v>
          </cell>
          <cell r="B50" t="str">
            <v>PRODUCTOS TERMINADOS</v>
          </cell>
          <cell r="C50">
            <v>1442921.17</v>
          </cell>
          <cell r="E50">
            <v>3517703.24</v>
          </cell>
        </row>
        <row r="51">
          <cell r="A51" t="str">
            <v>1.3.04.00</v>
          </cell>
          <cell r="B51" t="str">
            <v>EXISTENCIA DE MATERIALES</v>
          </cell>
          <cell r="C51">
            <v>1164464.6299999999</v>
          </cell>
          <cell r="E51">
            <v>85471272.939999998</v>
          </cell>
        </row>
        <row r="52">
          <cell r="A52" t="str">
            <v>1.3.04.01</v>
          </cell>
          <cell r="B52" t="str">
            <v>MATERIALES EN ALMACEN</v>
          </cell>
          <cell r="C52">
            <v>204160.88</v>
          </cell>
          <cell r="E52">
            <v>49888426.090000004</v>
          </cell>
        </row>
        <row r="53">
          <cell r="A53" t="str">
            <v>1.3.04.02</v>
          </cell>
          <cell r="B53" t="str">
            <v>ALMACEN - AUXILIAR</v>
          </cell>
          <cell r="C53">
            <v>0</v>
          </cell>
          <cell r="E53">
            <v>8473242.8399999999</v>
          </cell>
        </row>
        <row r="54">
          <cell r="A54" t="str">
            <v>1.3.04.03</v>
          </cell>
          <cell r="B54" t="str">
            <v>PULPERIA IRPA - IRPA</v>
          </cell>
          <cell r="C54">
            <v>0</v>
          </cell>
          <cell r="E54">
            <v>22524.02</v>
          </cell>
        </row>
        <row r="55">
          <cell r="A55" t="str">
            <v>1.3.04.04</v>
          </cell>
          <cell r="B55" t="str">
            <v>MERCADERIAS EN TRANSITO</v>
          </cell>
          <cell r="C55">
            <v>1089487.82</v>
          </cell>
          <cell r="E55">
            <v>27087079.989999998</v>
          </cell>
        </row>
        <row r="56">
          <cell r="A56" t="str">
            <v>1.3.04.66</v>
          </cell>
          <cell r="B56" t="str">
            <v>CONST. CANAL EMISARIO 8VO. ANILLO SUR</v>
          </cell>
          <cell r="C56">
            <v>-129184.07</v>
          </cell>
          <cell r="E56">
            <v>0</v>
          </cell>
        </row>
        <row r="57">
          <cell r="A57" t="str">
            <v>1.4.00.00</v>
          </cell>
          <cell r="B57" t="str">
            <v>ACTIVO FIJO</v>
          </cell>
          <cell r="C57">
            <v>9379387.6799999997</v>
          </cell>
          <cell r="E57">
            <v>647420575.25999999</v>
          </cell>
        </row>
        <row r="58">
          <cell r="A58" t="str">
            <v>1.4.01.00</v>
          </cell>
          <cell r="B58" t="str">
            <v>BIENES DE USO</v>
          </cell>
          <cell r="C58">
            <v>20694909.899999999</v>
          </cell>
          <cell r="E58">
            <v>1969016353.1400001</v>
          </cell>
        </row>
        <row r="59">
          <cell r="A59" t="str">
            <v>1.4.01.01</v>
          </cell>
          <cell r="B59" t="str">
            <v>TERRENOS</v>
          </cell>
          <cell r="C59">
            <v>1292000.69</v>
          </cell>
          <cell r="E59">
            <v>71205576.689999998</v>
          </cell>
        </row>
        <row r="60">
          <cell r="A60" t="str">
            <v>1.4.01.02</v>
          </cell>
          <cell r="B60" t="str">
            <v>EDIFICIOS</v>
          </cell>
          <cell r="C60">
            <v>7527440.9299999997</v>
          </cell>
          <cell r="E60">
            <v>420515442.99000001</v>
          </cell>
        </row>
        <row r="61">
          <cell r="A61" t="str">
            <v>1.4.01.03</v>
          </cell>
          <cell r="B61" t="str">
            <v>MUEBLES Y ENSERES DE OFICINA</v>
          </cell>
          <cell r="C61">
            <v>1807.75</v>
          </cell>
          <cell r="E61">
            <v>4642394.29</v>
          </cell>
        </row>
        <row r="62">
          <cell r="A62" t="str">
            <v>1.4.01.04</v>
          </cell>
          <cell r="B62" t="str">
            <v>MAQUINARIA Y EQUIPO</v>
          </cell>
          <cell r="C62">
            <v>5910196.71</v>
          </cell>
          <cell r="E62">
            <v>740574333.13999999</v>
          </cell>
        </row>
        <row r="63">
          <cell r="A63" t="str">
            <v>1.4.01.05</v>
          </cell>
          <cell r="B63" t="str">
            <v>VEHICULOS</v>
          </cell>
          <cell r="C63">
            <v>21388.05</v>
          </cell>
          <cell r="E63">
            <v>35209967.380000003</v>
          </cell>
        </row>
        <row r="64">
          <cell r="A64" t="str">
            <v>1.4.01.06</v>
          </cell>
          <cell r="B64" t="str">
            <v>MAQUINARIA DE CONSTRUCCION</v>
          </cell>
          <cell r="C64">
            <v>76140.31</v>
          </cell>
          <cell r="E64">
            <v>17632921.870000001</v>
          </cell>
        </row>
        <row r="65">
          <cell r="A65" t="str">
            <v>1.4.01.07</v>
          </cell>
          <cell r="B65" t="str">
            <v>EQUIPO PESADO</v>
          </cell>
          <cell r="C65">
            <v>65926.539999999994</v>
          </cell>
          <cell r="E65">
            <v>123122375.09999999</v>
          </cell>
        </row>
        <row r="66">
          <cell r="A66" t="str">
            <v>1.4.01.08</v>
          </cell>
          <cell r="B66" t="str">
            <v>INSTALACIONES INDUSTRIALES</v>
          </cell>
          <cell r="C66">
            <v>5655813.1200000001</v>
          </cell>
          <cell r="E66">
            <v>504463920.95999998</v>
          </cell>
        </row>
        <row r="67">
          <cell r="A67" t="str">
            <v>1.4.01.09</v>
          </cell>
          <cell r="B67" t="str">
            <v>HERRAMIENTAS E IMPLEMENTOS</v>
          </cell>
          <cell r="C67">
            <v>3013.22</v>
          </cell>
          <cell r="E67">
            <v>19226582.859999999</v>
          </cell>
        </row>
        <row r="68">
          <cell r="A68" t="str">
            <v>1.4.01.10</v>
          </cell>
          <cell r="B68" t="str">
            <v>TINGLADOS</v>
          </cell>
          <cell r="C68">
            <v>70406.61</v>
          </cell>
          <cell r="E68">
            <v>14895775.199999999</v>
          </cell>
        </row>
        <row r="69">
          <cell r="A69" t="str">
            <v>1.4.01.11</v>
          </cell>
          <cell r="B69" t="str">
            <v>EQUIPOS DE COMPUTACION</v>
          </cell>
          <cell r="C69">
            <v>17358.86</v>
          </cell>
          <cell r="E69">
            <v>7870212.1299999999</v>
          </cell>
        </row>
        <row r="70">
          <cell r="A70" t="str">
            <v>1.4.01.12</v>
          </cell>
          <cell r="B70" t="str">
            <v>EQUIPOS DE LABORATORIO</v>
          </cell>
          <cell r="C70">
            <v>53417.11</v>
          </cell>
          <cell r="E70">
            <v>9490747.2100000009</v>
          </cell>
        </row>
        <row r="71">
          <cell r="A71" t="str">
            <v>1.4.01.15</v>
          </cell>
          <cell r="B71" t="str">
            <v>CANALES DE RIEGO Y POZOS</v>
          </cell>
          <cell r="C71">
            <v>0</v>
          </cell>
          <cell r="E71">
            <v>166103.32</v>
          </cell>
        </row>
        <row r="72">
          <cell r="A72" t="str">
            <v>1.4.02.00</v>
          </cell>
          <cell r="B72" t="str">
            <v>DEPRECIACION ACUMULADA</v>
          </cell>
          <cell r="C72">
            <v>-11315522.220000001</v>
          </cell>
          <cell r="E72">
            <v>-1321595777.8800001</v>
          </cell>
        </row>
        <row r="73">
          <cell r="A73" t="str">
            <v>1.4.02.02</v>
          </cell>
          <cell r="B73" t="str">
            <v>EDIFICIOS</v>
          </cell>
          <cell r="C73">
            <v>-3102879.99</v>
          </cell>
          <cell r="E73">
            <v>-129726262.63</v>
          </cell>
        </row>
        <row r="74">
          <cell r="A74" t="str">
            <v>1.4.02.03</v>
          </cell>
          <cell r="B74" t="str">
            <v>MUEBLES Y ENSERES DE OFICINA</v>
          </cell>
          <cell r="C74">
            <v>-2472.91</v>
          </cell>
          <cell r="E74">
            <v>-4617902.8</v>
          </cell>
        </row>
        <row r="75">
          <cell r="A75" t="str">
            <v>1.4.02.04</v>
          </cell>
          <cell r="B75" t="str">
            <v>MAQUINARIA Y EQUIPO</v>
          </cell>
          <cell r="C75">
            <v>-4042056.49</v>
          </cell>
          <cell r="E75">
            <v>-595380018.04999995</v>
          </cell>
        </row>
        <row r="76">
          <cell r="A76" t="str">
            <v>1.4.02.05</v>
          </cell>
          <cell r="B76" t="str">
            <v>VEHICULOS</v>
          </cell>
          <cell r="C76">
            <v>-28029.34</v>
          </cell>
          <cell r="E76">
            <v>-34512908.170000002</v>
          </cell>
        </row>
        <row r="77">
          <cell r="A77" t="str">
            <v>1.4.02.06</v>
          </cell>
          <cell r="B77" t="str">
            <v>MAQUINARIA DE CONSTRUCCION</v>
          </cell>
          <cell r="C77">
            <v>-13164.25</v>
          </cell>
          <cell r="E77">
            <v>-17335103.350000001</v>
          </cell>
        </row>
        <row r="78">
          <cell r="A78" t="str">
            <v>1.4.02.07</v>
          </cell>
          <cell r="B78" t="str">
            <v>EQUIPO PESADO</v>
          </cell>
          <cell r="C78">
            <v>-79844.83</v>
          </cell>
          <cell r="E78">
            <v>-121841405.79000001</v>
          </cell>
        </row>
        <row r="79">
          <cell r="A79" t="str">
            <v>1.4.02.08</v>
          </cell>
          <cell r="B79" t="str">
            <v>INSTALACIONES INDUSTRIALES</v>
          </cell>
          <cell r="C79">
            <v>-3859238.43</v>
          </cell>
          <cell r="E79">
            <v>-368806020.08999997</v>
          </cell>
        </row>
        <row r="80">
          <cell r="A80" t="str">
            <v>1.4.02.09</v>
          </cell>
          <cell r="B80" t="str">
            <v>HERRAMIENTAS E IMPLEMENTOS</v>
          </cell>
          <cell r="C80">
            <v>-5247.51</v>
          </cell>
          <cell r="E80">
            <v>-19162504.870000001</v>
          </cell>
        </row>
        <row r="81">
          <cell r="A81" t="str">
            <v>1.4.02.10</v>
          </cell>
          <cell r="B81" t="str">
            <v>TINGLADOS</v>
          </cell>
          <cell r="C81">
            <v>-95455.91</v>
          </cell>
          <cell r="E81">
            <v>-14523407.970000001</v>
          </cell>
        </row>
        <row r="82">
          <cell r="A82" t="str">
            <v>1.4.02.11</v>
          </cell>
          <cell r="B82" t="str">
            <v>EQUIPOS DE COMPUTACION</v>
          </cell>
          <cell r="C82">
            <v>-28200.04</v>
          </cell>
          <cell r="E82">
            <v>-7388857.4100000001</v>
          </cell>
        </row>
        <row r="83">
          <cell r="A83" t="str">
            <v>1.4.02.12</v>
          </cell>
          <cell r="B83" t="str">
            <v>EQUIPOS DE LABORATORIO</v>
          </cell>
          <cell r="C83">
            <v>-58932.52</v>
          </cell>
          <cell r="E83">
            <v>-8135283.4299999997</v>
          </cell>
        </row>
        <row r="84">
          <cell r="A84" t="str">
            <v>1.4.02.15</v>
          </cell>
          <cell r="B84" t="str">
            <v>CANALES DE RIEGO Y POZOS</v>
          </cell>
          <cell r="C84">
            <v>0</v>
          </cell>
          <cell r="E84">
            <v>-166103.32</v>
          </cell>
        </row>
        <row r="85">
          <cell r="A85" t="str">
            <v>1.5.00.00</v>
          </cell>
          <cell r="B85" t="str">
            <v>INVERSIONES</v>
          </cell>
          <cell r="C85">
            <v>17468.419999999998</v>
          </cell>
          <cell r="E85">
            <v>26722097.09</v>
          </cell>
        </row>
        <row r="86">
          <cell r="A86" t="str">
            <v>1.5.02.00</v>
          </cell>
          <cell r="B86" t="str">
            <v>OTRAS INVERSIONES</v>
          </cell>
          <cell r="C86">
            <v>17468.419999999998</v>
          </cell>
          <cell r="E86">
            <v>26722097.09</v>
          </cell>
        </row>
        <row r="87">
          <cell r="A87" t="str">
            <v>1.5.02.01</v>
          </cell>
          <cell r="B87" t="str">
            <v>ACCIONES</v>
          </cell>
          <cell r="C87">
            <v>17468.419999999998</v>
          </cell>
          <cell r="E87">
            <v>26321277.079999998</v>
          </cell>
        </row>
        <row r="88">
          <cell r="A88" t="str">
            <v>1.5.02.03</v>
          </cell>
          <cell r="B88" t="str">
            <v>LINEAS TELEFONICAS</v>
          </cell>
          <cell r="C88">
            <v>0</v>
          </cell>
          <cell r="E88">
            <v>261000</v>
          </cell>
        </row>
        <row r="89">
          <cell r="A89" t="str">
            <v>1.5.02.05</v>
          </cell>
          <cell r="B89" t="str">
            <v>OTRAS INVERSIONES</v>
          </cell>
          <cell r="C89">
            <v>0</v>
          </cell>
          <cell r="E89">
            <v>139820.01</v>
          </cell>
        </row>
        <row r="90">
          <cell r="A90" t="str">
            <v>1.6.00.00</v>
          </cell>
          <cell r="B90" t="str">
            <v>OTROS ACTIVOS</v>
          </cell>
          <cell r="C90">
            <v>2076290.98</v>
          </cell>
          <cell r="E90">
            <v>249110100.96000001</v>
          </cell>
        </row>
        <row r="91">
          <cell r="A91" t="str">
            <v>1.6.01.00</v>
          </cell>
          <cell r="B91" t="str">
            <v>DOCUMENTOS POR COBRAR A LARGO PLAZO</v>
          </cell>
          <cell r="C91">
            <v>-2800</v>
          </cell>
          <cell r="E91">
            <v>60593803.57</v>
          </cell>
        </row>
        <row r="92">
          <cell r="A92" t="str">
            <v>1.6.01.02</v>
          </cell>
          <cell r="B92" t="str">
            <v>CREDITOS M.E.</v>
          </cell>
          <cell r="C92">
            <v>0</v>
          </cell>
          <cell r="E92">
            <v>48732905.649999999</v>
          </cell>
        </row>
        <row r="93">
          <cell r="A93" t="str">
            <v>1.6.01.04</v>
          </cell>
          <cell r="B93" t="str">
            <v>DOCUMENTOS EN EJECUCION</v>
          </cell>
          <cell r="C93">
            <v>-2800</v>
          </cell>
          <cell r="E93">
            <v>11860897.92</v>
          </cell>
        </row>
        <row r="94">
          <cell r="A94" t="str">
            <v>1.6.01.05</v>
          </cell>
          <cell r="B94" t="str">
            <v>CUENTAS INCOBRABLES</v>
          </cell>
          <cell r="C94">
            <v>0</v>
          </cell>
          <cell r="E94">
            <v>3212209.75</v>
          </cell>
        </row>
        <row r="95">
          <cell r="A95" t="str">
            <v>1.6.01.06</v>
          </cell>
          <cell r="B95" t="str">
            <v>(PREVISION CUENTAS INCOBRABLES)</v>
          </cell>
          <cell r="C95">
            <v>0</v>
          </cell>
          <cell r="E95">
            <v>-3212209.75</v>
          </cell>
        </row>
        <row r="96">
          <cell r="A96" t="str">
            <v>1.6.02.00</v>
          </cell>
          <cell r="B96" t="str">
            <v>OBRAS EN EJECUCIÓN</v>
          </cell>
          <cell r="C96">
            <v>519441.7</v>
          </cell>
          <cell r="E96">
            <v>19350021.359999999</v>
          </cell>
        </row>
        <row r="97">
          <cell r="A97" t="str">
            <v>1.6.02.01</v>
          </cell>
          <cell r="B97" t="str">
            <v>AMPLIACIONES</v>
          </cell>
          <cell r="C97">
            <v>519441.7</v>
          </cell>
          <cell r="E97">
            <v>19350021.359999999</v>
          </cell>
        </row>
        <row r="98">
          <cell r="A98" t="str">
            <v>1.6.04.00</v>
          </cell>
          <cell r="B98" t="str">
            <v>BIENES ARRENDADOS</v>
          </cell>
          <cell r="C98">
            <v>0</v>
          </cell>
          <cell r="E98">
            <v>1752652.04</v>
          </cell>
        </row>
        <row r="99">
          <cell r="A99" t="str">
            <v>1.6.04.01</v>
          </cell>
          <cell r="B99" t="str">
            <v>VALOR DE ARRENDAMIENTO</v>
          </cell>
          <cell r="C99">
            <v>0</v>
          </cell>
          <cell r="E99">
            <v>1752652.04</v>
          </cell>
        </row>
        <row r="100">
          <cell r="A100" t="str">
            <v>1.6.05.00</v>
          </cell>
          <cell r="B100" t="str">
            <v>DIVERSOS</v>
          </cell>
          <cell r="C100">
            <v>-230880</v>
          </cell>
          <cell r="E100">
            <v>16879113.489999998</v>
          </cell>
        </row>
        <row r="101">
          <cell r="A101" t="str">
            <v>1.6.05.01</v>
          </cell>
          <cell r="B101" t="str">
            <v>REPUESTOS EN ALMACEN</v>
          </cell>
          <cell r="C101">
            <v>-230880</v>
          </cell>
          <cell r="E101">
            <v>16690093.25</v>
          </cell>
        </row>
        <row r="102">
          <cell r="A102" t="str">
            <v>1.6.05.02</v>
          </cell>
          <cell r="B102" t="str">
            <v>LIBROS Y BIBLIOTECAS</v>
          </cell>
          <cell r="C102">
            <v>0</v>
          </cell>
          <cell r="E102">
            <v>189020.24</v>
          </cell>
        </row>
        <row r="103">
          <cell r="A103" t="str">
            <v>1.6.06.00</v>
          </cell>
          <cell r="B103" t="str">
            <v>CUENTAS CORRIENTES UNIDADES</v>
          </cell>
          <cell r="C103">
            <v>1790529.28</v>
          </cell>
          <cell r="E103">
            <v>150534510.5</v>
          </cell>
        </row>
        <row r="104">
          <cell r="A104" t="str">
            <v>1.6.06.01</v>
          </cell>
          <cell r="B104" t="str">
            <v>LIMITADA</v>
          </cell>
          <cell r="C104">
            <v>15491.43</v>
          </cell>
          <cell r="E104">
            <v>128808457</v>
          </cell>
        </row>
        <row r="105">
          <cell r="A105" t="str">
            <v>1.6.06.03</v>
          </cell>
          <cell r="B105" t="str">
            <v>CERAMIL</v>
          </cell>
          <cell r="C105">
            <v>938413.39</v>
          </cell>
          <cell r="E105">
            <v>11713238.49</v>
          </cell>
        </row>
        <row r="106">
          <cell r="A106" t="str">
            <v>1.6.06.04</v>
          </cell>
          <cell r="B106" t="str">
            <v>HORMIGON</v>
          </cell>
          <cell r="C106">
            <v>582098.14</v>
          </cell>
          <cell r="E106">
            <v>5041404.2699999996</v>
          </cell>
        </row>
        <row r="107">
          <cell r="A107" t="str">
            <v>1.6.06.05</v>
          </cell>
          <cell r="B107" t="str">
            <v>CONSTRUCCIONES</v>
          </cell>
          <cell r="C107">
            <v>71984.479999999996</v>
          </cell>
          <cell r="E107">
            <v>2935747.22</v>
          </cell>
        </row>
        <row r="108">
          <cell r="A108" t="str">
            <v>1.6.06.06</v>
          </cell>
          <cell r="B108" t="str">
            <v>CERAMICA</v>
          </cell>
          <cell r="C108">
            <v>-19.5</v>
          </cell>
          <cell r="E108">
            <v>917594.42</v>
          </cell>
        </row>
        <row r="109">
          <cell r="A109" t="str">
            <v>1.6.06.07</v>
          </cell>
          <cell r="B109" t="str">
            <v>METAL</v>
          </cell>
          <cell r="C109">
            <v>37297.339999999997</v>
          </cell>
          <cell r="E109">
            <v>609970.92000000004</v>
          </cell>
        </row>
        <row r="110">
          <cell r="A110" t="str">
            <v>1.6.06.08</v>
          </cell>
          <cell r="B110" t="str">
            <v>COBOCE EDITORA OPINION</v>
          </cell>
          <cell r="C110">
            <v>145264</v>
          </cell>
          <cell r="E110">
            <v>508098.18</v>
          </cell>
        </row>
        <row r="111">
          <cell r="A111" t="str">
            <v>1.7.00.00</v>
          </cell>
          <cell r="B111" t="str">
            <v>ACTIVOS DIFERIDOS</v>
          </cell>
          <cell r="C111">
            <v>-892375.44</v>
          </cell>
          <cell r="E111">
            <v>9022007.4700000007</v>
          </cell>
        </row>
        <row r="112">
          <cell r="A112" t="str">
            <v>1.7.01.00</v>
          </cell>
          <cell r="B112" t="str">
            <v>ACTIVOS RETIRADOS</v>
          </cell>
          <cell r="C112">
            <v>0</v>
          </cell>
          <cell r="E112">
            <v>3580102.51</v>
          </cell>
        </row>
        <row r="113">
          <cell r="A113" t="str">
            <v>1.7.01.01</v>
          </cell>
          <cell r="B113" t="str">
            <v>BIENES DE USO RETIRADOS</v>
          </cell>
          <cell r="C113">
            <v>0</v>
          </cell>
          <cell r="E113">
            <v>3580102.51</v>
          </cell>
        </row>
        <row r="114">
          <cell r="A114" t="str">
            <v>1.7.02.00</v>
          </cell>
          <cell r="B114" t="str">
            <v>GASTOS DIFERIDOS</v>
          </cell>
          <cell r="C114">
            <v>-892375.44</v>
          </cell>
          <cell r="E114">
            <v>5441904.96</v>
          </cell>
        </row>
        <row r="115">
          <cell r="A115" t="str">
            <v>1.7.02.02</v>
          </cell>
          <cell r="B115" t="str">
            <v>GASTOS DE PRODUCCIÓN Y MANTENIMIENTO</v>
          </cell>
          <cell r="C115">
            <v>-892375.44</v>
          </cell>
          <cell r="E115">
            <v>960507.85</v>
          </cell>
        </row>
        <row r="116">
          <cell r="A116" t="str">
            <v>1.7.02.05</v>
          </cell>
          <cell r="B116" t="str">
            <v>VARIOS</v>
          </cell>
          <cell r="C116">
            <v>0</v>
          </cell>
          <cell r="E116">
            <v>4481397.1100000003</v>
          </cell>
        </row>
        <row r="117">
          <cell r="A117" t="str">
            <v>2.0.00.00</v>
          </cell>
          <cell r="B117" t="str">
            <v>PASIVO</v>
          </cell>
          <cell r="C117">
            <v>-11182713.65</v>
          </cell>
          <cell r="E117">
            <v>-1193428367.03</v>
          </cell>
        </row>
        <row r="118">
          <cell r="A118" t="str">
            <v>2.1.00.00</v>
          </cell>
          <cell r="B118" t="str">
            <v>PASIVO CORRIENTE</v>
          </cell>
          <cell r="C118">
            <v>-8439582.1999999993</v>
          </cell>
          <cell r="E118">
            <v>-142585386.94999999</v>
          </cell>
        </row>
        <row r="119">
          <cell r="A119" t="str">
            <v>2.1.01.00</v>
          </cell>
          <cell r="B119" t="str">
            <v>DEUDAS COMERCIALES</v>
          </cell>
          <cell r="C119">
            <v>-4111460.27</v>
          </cell>
          <cell r="E119">
            <v>-57119802.200000003</v>
          </cell>
        </row>
        <row r="120">
          <cell r="A120" t="str">
            <v>2.1.01.01</v>
          </cell>
          <cell r="B120" t="str">
            <v>PROVEEDORES</v>
          </cell>
          <cell r="C120">
            <v>-1788701.38</v>
          </cell>
          <cell r="E120">
            <v>-46790667.189999998</v>
          </cell>
        </row>
        <row r="121">
          <cell r="A121" t="str">
            <v>2.1.01.03</v>
          </cell>
          <cell r="B121" t="str">
            <v>TRANSPORTISTAS</v>
          </cell>
          <cell r="C121">
            <v>-2089755.19</v>
          </cell>
          <cell r="E121">
            <v>-5489412.8899999997</v>
          </cell>
        </row>
        <row r="122">
          <cell r="A122" t="str">
            <v>2.1.01.04</v>
          </cell>
          <cell r="B122" t="str">
            <v>ACREEDORES VARIOS</v>
          </cell>
          <cell r="C122">
            <v>-233003.7</v>
          </cell>
          <cell r="E122">
            <v>-4522298.25</v>
          </cell>
        </row>
        <row r="123">
          <cell r="A123" t="str">
            <v>2.1.01.09</v>
          </cell>
          <cell r="B123" t="str">
            <v>ACREEDORES POR DEPOSITOS EN GARANTIA</v>
          </cell>
          <cell r="C123">
            <v>0</v>
          </cell>
          <cell r="E123">
            <v>-47575.87</v>
          </cell>
        </row>
        <row r="124">
          <cell r="A124" t="str">
            <v>2.1.01.65</v>
          </cell>
          <cell r="B124" t="str">
            <v>PROVEEDORES AEROPUERTO POTOSI</v>
          </cell>
          <cell r="C124">
            <v>0</v>
          </cell>
          <cell r="E124">
            <v>-269848</v>
          </cell>
        </row>
        <row r="125">
          <cell r="A125" t="str">
            <v>2.1.02.00</v>
          </cell>
          <cell r="B125" t="str">
            <v>DOCUMENTOS POR PAGAR</v>
          </cell>
          <cell r="C125">
            <v>-2364.08</v>
          </cell>
          <cell r="E125">
            <v>-2414154.5099999998</v>
          </cell>
        </row>
        <row r="126">
          <cell r="A126" t="str">
            <v>2.1.02.02</v>
          </cell>
          <cell r="B126" t="str">
            <v>BANCARIOS</v>
          </cell>
          <cell r="C126">
            <v>0</v>
          </cell>
          <cell r="E126">
            <v>-2014542.46</v>
          </cell>
        </row>
        <row r="127">
          <cell r="A127" t="str">
            <v>2.1.02.03</v>
          </cell>
          <cell r="B127" t="str">
            <v>CONTRATOS</v>
          </cell>
          <cell r="C127">
            <v>-2364.08</v>
          </cell>
          <cell r="E127">
            <v>-237430.22</v>
          </cell>
        </row>
        <row r="128">
          <cell r="A128" t="str">
            <v>2.1.02.04</v>
          </cell>
          <cell r="B128" t="str">
            <v>OTROS DOCUMENTOS</v>
          </cell>
          <cell r="C128">
            <v>0</v>
          </cell>
          <cell r="E128">
            <v>-162181.82999999999</v>
          </cell>
        </row>
        <row r="129">
          <cell r="A129" t="str">
            <v>2.1.04.00</v>
          </cell>
          <cell r="B129" t="str">
            <v>OBLIGACIONES FINANCIERAS A CORTO PLAZO</v>
          </cell>
          <cell r="C129">
            <v>-636657.06999999995</v>
          </cell>
          <cell r="E129">
            <v>-44431976.850000001</v>
          </cell>
        </row>
        <row r="130">
          <cell r="A130" t="str">
            <v>2.1.04.01</v>
          </cell>
          <cell r="B130" t="str">
            <v>OBLIGACIONES POR CAPITAL</v>
          </cell>
          <cell r="C130">
            <v>400852.02</v>
          </cell>
          <cell r="E130">
            <v>-37420470.18</v>
          </cell>
        </row>
        <row r="131">
          <cell r="A131" t="str">
            <v>2.1.04.02</v>
          </cell>
          <cell r="B131" t="str">
            <v>OBLIGACIONES POR INTERESES</v>
          </cell>
          <cell r="C131">
            <v>-1037509.09</v>
          </cell>
          <cell r="E131">
            <v>-7011506.6699999999</v>
          </cell>
        </row>
        <row r="132">
          <cell r="A132" t="str">
            <v>2.1.05.00</v>
          </cell>
          <cell r="B132" t="str">
            <v>IMPUESTOS POR PAGAR</v>
          </cell>
          <cell r="C132">
            <v>0</v>
          </cell>
          <cell r="E132">
            <v>0</v>
          </cell>
        </row>
        <row r="133">
          <cell r="A133" t="str">
            <v>2.1.05.01</v>
          </cell>
          <cell r="B133" t="str">
            <v>IMPUESTO AL VALOR AGREGADO (DEBITO FISCA</v>
          </cell>
          <cell r="C133">
            <v>0</v>
          </cell>
          <cell r="E133">
            <v>0</v>
          </cell>
        </row>
        <row r="134">
          <cell r="A134" t="str">
            <v>2.1.05.03</v>
          </cell>
          <cell r="B134" t="str">
            <v>IMPUESTO AL REGIMEN COMPLEMENTARIO</v>
          </cell>
          <cell r="C134">
            <v>0</v>
          </cell>
          <cell r="E134">
            <v>0</v>
          </cell>
        </row>
        <row r="135">
          <cell r="A135" t="str">
            <v>2.1.05.04</v>
          </cell>
          <cell r="B135" t="str">
            <v>RETENCION EN LA FUENTE</v>
          </cell>
          <cell r="C135">
            <v>0</v>
          </cell>
          <cell r="E135">
            <v>0</v>
          </cell>
        </row>
        <row r="136">
          <cell r="A136" t="str">
            <v>2.1.05.09</v>
          </cell>
          <cell r="B136" t="str">
            <v>REGALIAS MINERAS</v>
          </cell>
          <cell r="C136">
            <v>0</v>
          </cell>
          <cell r="E136">
            <v>0</v>
          </cell>
        </row>
        <row r="137">
          <cell r="A137" t="str">
            <v>2.1.06.00</v>
          </cell>
          <cell r="B137" t="str">
            <v>OBLIGACIONES POR PAGAR</v>
          </cell>
          <cell r="C137">
            <v>-669606.29</v>
          </cell>
          <cell r="E137">
            <v>-12942187.220000001</v>
          </cell>
        </row>
        <row r="138">
          <cell r="A138" t="str">
            <v>2.1.06.01</v>
          </cell>
          <cell r="B138" t="str">
            <v>SUELDOS Y JORNALES POR PAGAR</v>
          </cell>
          <cell r="C138">
            <v>-412958.48</v>
          </cell>
          <cell r="E138">
            <v>-5806439.1699999999</v>
          </cell>
        </row>
        <row r="139">
          <cell r="A139" t="str">
            <v>2.1.06.02</v>
          </cell>
          <cell r="B139" t="str">
            <v>AGUINALDOS Y PRIMAS POR PAGAR</v>
          </cell>
          <cell r="C139">
            <v>0</v>
          </cell>
          <cell r="E139">
            <v>-100838.3</v>
          </cell>
        </row>
        <row r="140">
          <cell r="A140" t="str">
            <v>2.1.06.04</v>
          </cell>
          <cell r="B140" t="str">
            <v>FINIQUITOS POR PAGAR</v>
          </cell>
          <cell r="C140">
            <v>-257449.8</v>
          </cell>
          <cell r="E140">
            <v>-448239.03</v>
          </cell>
        </row>
        <row r="141">
          <cell r="A141" t="str">
            <v>2.1.06.06</v>
          </cell>
          <cell r="B141" t="str">
            <v>AGUINALDOS Y PRIMAS NO RECLAMADOS</v>
          </cell>
          <cell r="C141">
            <v>0</v>
          </cell>
          <cell r="E141">
            <v>-770657.13</v>
          </cell>
        </row>
        <row r="142">
          <cell r="A142" t="str">
            <v>2.1.06.07</v>
          </cell>
          <cell r="B142" t="str">
            <v>APORTES Y RETENCIONES POR PAGAR</v>
          </cell>
          <cell r="C142">
            <v>1801.99</v>
          </cell>
          <cell r="E142">
            <v>-5604250.9699999997</v>
          </cell>
        </row>
        <row r="143">
          <cell r="A143" t="str">
            <v>2.1.06.08</v>
          </cell>
          <cell r="B143" t="str">
            <v>RETENCIONES JUDICIALES</v>
          </cell>
          <cell r="C143">
            <v>-1000</v>
          </cell>
          <cell r="E143">
            <v>-211762.62</v>
          </cell>
        </row>
        <row r="144">
          <cell r="A144" t="str">
            <v>2.1.07.00</v>
          </cell>
          <cell r="B144" t="str">
            <v>PROVISIONES</v>
          </cell>
          <cell r="C144">
            <v>-776799.6</v>
          </cell>
          <cell r="E144">
            <v>-11597223.9</v>
          </cell>
        </row>
        <row r="145">
          <cell r="A145" t="str">
            <v>2.1.07.01</v>
          </cell>
          <cell r="B145" t="str">
            <v>AGUINALDOS</v>
          </cell>
          <cell r="C145">
            <v>-776799.6</v>
          </cell>
          <cell r="E145">
            <v>-6347568.79</v>
          </cell>
        </row>
        <row r="146">
          <cell r="A146" t="str">
            <v>2.1.07.03</v>
          </cell>
          <cell r="B146" t="str">
            <v>OTROS</v>
          </cell>
          <cell r="C146">
            <v>0</v>
          </cell>
          <cell r="E146">
            <v>-5249655.1100000003</v>
          </cell>
        </row>
        <row r="147">
          <cell r="A147" t="str">
            <v>2.1.08.00</v>
          </cell>
          <cell r="B147" t="str">
            <v>COBROS POR ADELANTADO</v>
          </cell>
          <cell r="C147">
            <v>-2242694.89</v>
          </cell>
          <cell r="E147">
            <v>-14080042.27</v>
          </cell>
        </row>
        <row r="148">
          <cell r="A148" t="str">
            <v>2.1.08.01</v>
          </cell>
          <cell r="B148" t="str">
            <v>CLIENTES LOCALES</v>
          </cell>
          <cell r="C148">
            <v>-2274799.0299999998</v>
          </cell>
          <cell r="E148">
            <v>-8922444.3800000008</v>
          </cell>
        </row>
        <row r="149">
          <cell r="A149" t="str">
            <v>2.1.08.02</v>
          </cell>
          <cell r="B149" t="str">
            <v>CLIENTES INTERIOR</v>
          </cell>
          <cell r="C149">
            <v>32104.14</v>
          </cell>
          <cell r="E149">
            <v>-5157597.8899999997</v>
          </cell>
        </row>
        <row r="150">
          <cell r="A150" t="str">
            <v>2.2.00.00</v>
          </cell>
          <cell r="B150" t="str">
            <v>PASIVO NO CORRIENTE</v>
          </cell>
          <cell r="C150">
            <v>6566401.2699999996</v>
          </cell>
          <cell r="E150">
            <v>-537768244.49000001</v>
          </cell>
        </row>
        <row r="151">
          <cell r="A151" t="str">
            <v>2.2.01.00</v>
          </cell>
          <cell r="B151" t="str">
            <v>OBLIGACIONES FINANCIERAS A LARGO PLAZO</v>
          </cell>
          <cell r="C151">
            <v>0</v>
          </cell>
          <cell r="E151">
            <v>-214962498.06999999</v>
          </cell>
        </row>
        <row r="152">
          <cell r="A152" t="str">
            <v>2.2.01.01</v>
          </cell>
          <cell r="B152" t="str">
            <v>OBLIGACIONES POR CAPITAL</v>
          </cell>
          <cell r="C152">
            <v>0</v>
          </cell>
          <cell r="E152">
            <v>-207020556.65000001</v>
          </cell>
        </row>
        <row r="153">
          <cell r="A153" t="str">
            <v>2.2.01.03</v>
          </cell>
          <cell r="B153" t="str">
            <v>OBLIGACIONES POR INTERESES LP</v>
          </cell>
          <cell r="C153">
            <v>0</v>
          </cell>
          <cell r="E153">
            <v>-7941941.4199999999</v>
          </cell>
        </row>
        <row r="154">
          <cell r="A154" t="str">
            <v>2.2.02.00</v>
          </cell>
          <cell r="B154" t="str">
            <v>PREVISIONES</v>
          </cell>
          <cell r="C154">
            <v>-331021.7</v>
          </cell>
          <cell r="E154">
            <v>-55981343.359999999</v>
          </cell>
        </row>
        <row r="155">
          <cell r="A155" t="str">
            <v>2.2.02.01</v>
          </cell>
          <cell r="B155" t="str">
            <v>PREVISIONES BENEFICIOS SOCIALES</v>
          </cell>
          <cell r="C155">
            <v>-331021.7</v>
          </cell>
          <cell r="E155">
            <v>-55924360.68</v>
          </cell>
        </row>
        <row r="156">
          <cell r="A156" t="str">
            <v>2.2.02.02</v>
          </cell>
          <cell r="B156" t="str">
            <v>OTRAS PREVISIONES</v>
          </cell>
          <cell r="C156">
            <v>0</v>
          </cell>
          <cell r="E156">
            <v>-56982.68</v>
          </cell>
        </row>
        <row r="157">
          <cell r="A157" t="str">
            <v>2.2.03.00</v>
          </cell>
          <cell r="B157" t="str">
            <v>OTROS PASIVOS NO CORRIENTES</v>
          </cell>
          <cell r="C157">
            <v>-21474.42</v>
          </cell>
          <cell r="E157">
            <v>-749292.25</v>
          </cell>
        </row>
        <row r="158">
          <cell r="A158" t="str">
            <v>2.2.03.05</v>
          </cell>
          <cell r="B158" t="str">
            <v>CREDITOS DIFERIDOS</v>
          </cell>
          <cell r="C158">
            <v>-21474.42</v>
          </cell>
          <cell r="E158">
            <v>-749292.25</v>
          </cell>
        </row>
        <row r="159">
          <cell r="A159" t="str">
            <v>2.2.04.00</v>
          </cell>
          <cell r="B159" t="str">
            <v>CUENTAS CORRIENTES. UNIDADES.</v>
          </cell>
          <cell r="C159">
            <v>6918897.3899999997</v>
          </cell>
          <cell r="E159">
            <v>-266075110.81</v>
          </cell>
        </row>
        <row r="160">
          <cell r="A160" t="str">
            <v>2.2.04.01</v>
          </cell>
          <cell r="B160" t="str">
            <v>LIMITADA</v>
          </cell>
          <cell r="C160">
            <v>7534812.2000000002</v>
          </cell>
          <cell r="E160">
            <v>-258119713.69999999</v>
          </cell>
        </row>
        <row r="161">
          <cell r="A161" t="str">
            <v>2.2.04.04</v>
          </cell>
          <cell r="B161" t="str">
            <v>HORMIGON</v>
          </cell>
          <cell r="C161">
            <v>-415569.6</v>
          </cell>
          <cell r="E161">
            <v>-1213519.3999999999</v>
          </cell>
        </row>
        <row r="162">
          <cell r="A162" t="str">
            <v>2.2.04.05</v>
          </cell>
          <cell r="B162" t="str">
            <v>CONSTRUCCIONES</v>
          </cell>
          <cell r="C162">
            <v>0</v>
          </cell>
          <cell r="E162">
            <v>-4749325.95</v>
          </cell>
        </row>
        <row r="163">
          <cell r="A163" t="str">
            <v>2.2.04.06</v>
          </cell>
          <cell r="B163" t="str">
            <v>CERAMICA</v>
          </cell>
          <cell r="C163">
            <v>0</v>
          </cell>
          <cell r="E163">
            <v>-943301.21</v>
          </cell>
        </row>
        <row r="164">
          <cell r="A164" t="str">
            <v>2.2.04.07</v>
          </cell>
          <cell r="B164" t="str">
            <v>METAL</v>
          </cell>
          <cell r="C164">
            <v>-190712.71</v>
          </cell>
          <cell r="E164">
            <v>-896387.76</v>
          </cell>
        </row>
        <row r="165">
          <cell r="A165" t="str">
            <v>2.2.04.08</v>
          </cell>
          <cell r="B165" t="str">
            <v>COBOCE EDITORA OPINION</v>
          </cell>
          <cell r="C165">
            <v>-9632.5</v>
          </cell>
          <cell r="E165">
            <v>-152862.79</v>
          </cell>
        </row>
        <row r="166">
          <cell r="A166" t="str">
            <v>2.4.00.00</v>
          </cell>
          <cell r="B166" t="str">
            <v>PATRIMONIO</v>
          </cell>
          <cell r="C166">
            <v>-9309532.7200000007</v>
          </cell>
          <cell r="E166">
            <v>-513074735.58999997</v>
          </cell>
        </row>
        <row r="167">
          <cell r="A167" t="str">
            <v>2.4.01.00</v>
          </cell>
          <cell r="B167" t="str">
            <v>FONDO SOCIAL</v>
          </cell>
          <cell r="C167">
            <v>-9309532.7200000007</v>
          </cell>
          <cell r="E167">
            <v>-513074735.58999997</v>
          </cell>
        </row>
        <row r="168">
          <cell r="A168" t="str">
            <v>2.4.01.01</v>
          </cell>
          <cell r="B168" t="str">
            <v>FONDO SOCIAL UNIDADES</v>
          </cell>
          <cell r="C168">
            <v>-9309532.7200000007</v>
          </cell>
          <cell r="E168">
            <v>-513074735.58999997</v>
          </cell>
        </row>
        <row r="169">
          <cell r="A169" t="str">
            <v>2.9.01.01</v>
          </cell>
          <cell r="B169" t="str">
            <v>CUENTAS DE ORDEN DEBITOS</v>
          </cell>
          <cell r="C169">
            <v>1457533.69</v>
          </cell>
          <cell r="E169">
            <v>46096194.700000003</v>
          </cell>
        </row>
        <row r="170">
          <cell r="A170" t="str">
            <v>2.9.01.02</v>
          </cell>
          <cell r="B170" t="str">
            <v>CUENTAS DE ORDEN CREDITOS</v>
          </cell>
          <cell r="C170">
            <v>-1457533.69</v>
          </cell>
          <cell r="E170">
            <v>-46096194.700000003</v>
          </cell>
        </row>
        <row r="171">
          <cell r="A171" t="str">
            <v>***TOTAL UTILIDAD(+)/PERDIDA(-)***</v>
          </cell>
          <cell r="C171">
            <v>-731112.72</v>
          </cell>
          <cell r="E171">
            <v>29870387.449999999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5">
          <cell r="A5" t="str">
            <v>CODIGO</v>
          </cell>
          <cell r="B5" t="str">
            <v>NOMBRE DE LA CUENTA</v>
          </cell>
          <cell r="C5" t="str">
            <v>EJECUTADO</v>
          </cell>
          <cell r="E5" t="str">
            <v>EJECUTADO</v>
          </cell>
        </row>
        <row r="6">
          <cell r="A6">
            <v>1000000000</v>
          </cell>
          <cell r="B6" t="str">
            <v>ACTIVO</v>
          </cell>
          <cell r="C6">
            <v>23945454.260000002</v>
          </cell>
          <cell r="E6">
            <v>1247244146.8499999</v>
          </cell>
        </row>
        <row r="9">
          <cell r="A9">
            <v>1100000000</v>
          </cell>
          <cell r="B9" t="str">
            <v>ACTIVO DISPONIBLE</v>
          </cell>
          <cell r="C9">
            <v>28744920.640000001</v>
          </cell>
          <cell r="E9">
            <v>40497311.859999999</v>
          </cell>
        </row>
        <row r="10">
          <cell r="A10">
            <v>1101000000</v>
          </cell>
          <cell r="B10" t="str">
            <v>CAJA</v>
          </cell>
          <cell r="C10">
            <v>7911217.2000000002</v>
          </cell>
          <cell r="E10">
            <v>9637059.1999999993</v>
          </cell>
        </row>
        <row r="11">
          <cell r="A11">
            <v>1101010000</v>
          </cell>
          <cell r="B11" t="str">
            <v>CAJA GENERAL MONEDA NACIONAL</v>
          </cell>
          <cell r="C11">
            <v>7911017.2000000002</v>
          </cell>
          <cell r="E11">
            <v>9475959.1999999993</v>
          </cell>
        </row>
        <row r="12">
          <cell r="A12">
            <v>1101030000</v>
          </cell>
          <cell r="B12" t="str">
            <v>CAJA CHICA MONEDA NACIONAL</v>
          </cell>
          <cell r="C12">
            <v>200</v>
          </cell>
          <cell r="E12">
            <v>161100</v>
          </cell>
        </row>
        <row r="13">
          <cell r="A13">
            <v>1102000000</v>
          </cell>
          <cell r="B13" t="str">
            <v>BANCOS</v>
          </cell>
          <cell r="C13">
            <v>20833701.23</v>
          </cell>
          <cell r="E13">
            <v>30859367.739999998</v>
          </cell>
        </row>
        <row r="14">
          <cell r="A14">
            <v>1102010000</v>
          </cell>
          <cell r="B14" t="str">
            <v>BANCO BISA</v>
          </cell>
          <cell r="C14">
            <v>1170767.67</v>
          </cell>
          <cell r="E14">
            <v>2106488.2599999998</v>
          </cell>
        </row>
        <row r="15">
          <cell r="A15">
            <v>1102020000</v>
          </cell>
          <cell r="B15" t="str">
            <v>BANCO MERCANTIL</v>
          </cell>
          <cell r="C15">
            <v>925959.85</v>
          </cell>
          <cell r="E15">
            <v>1232945.92</v>
          </cell>
        </row>
        <row r="16">
          <cell r="A16">
            <v>1102040000</v>
          </cell>
          <cell r="B16" t="str">
            <v>BANCO DE CREDITO</v>
          </cell>
          <cell r="C16">
            <v>11758721.539999999</v>
          </cell>
          <cell r="E16">
            <v>17861550.260000002</v>
          </cell>
        </row>
        <row r="17">
          <cell r="A17">
            <v>1102050000</v>
          </cell>
          <cell r="B17" t="str">
            <v>BANCO ECONÓMICO</v>
          </cell>
          <cell r="C17">
            <v>-447082.77</v>
          </cell>
          <cell r="E17">
            <v>115294.86</v>
          </cell>
        </row>
        <row r="18">
          <cell r="A18">
            <v>1102060000</v>
          </cell>
          <cell r="B18" t="str">
            <v>BANCO GANADERO</v>
          </cell>
          <cell r="C18">
            <v>-101562.11</v>
          </cell>
          <cell r="E18">
            <v>133782.68</v>
          </cell>
        </row>
        <row r="19">
          <cell r="A19">
            <v>1102070000</v>
          </cell>
          <cell r="B19" t="str">
            <v>BANCO UNION</v>
          </cell>
          <cell r="C19">
            <v>6566222.4400000004</v>
          </cell>
          <cell r="E19">
            <v>7713837.6299999999</v>
          </cell>
        </row>
        <row r="20">
          <cell r="A20">
            <v>1102080000</v>
          </cell>
          <cell r="B20" t="str">
            <v>BANCO NACIONAL</v>
          </cell>
          <cell r="C20">
            <v>177945.9</v>
          </cell>
          <cell r="E20">
            <v>258946.21</v>
          </cell>
        </row>
        <row r="21">
          <cell r="A21">
            <v>1102100000</v>
          </cell>
          <cell r="B21" t="str">
            <v>FONDO DE LA COMUNIDAD</v>
          </cell>
          <cell r="C21">
            <v>164.96</v>
          </cell>
          <cell r="E21">
            <v>79384.06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330409.87</v>
          </cell>
          <cell r="E23">
            <v>423632.33</v>
          </cell>
        </row>
        <row r="24">
          <cell r="A24">
            <v>1102130000</v>
          </cell>
          <cell r="B24" t="str">
            <v>BANCO FIE</v>
          </cell>
          <cell r="C24">
            <v>452153.88</v>
          </cell>
          <cell r="E24">
            <v>930030.54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6">
          <cell r="A26">
            <v>1103000000</v>
          </cell>
          <cell r="B26" t="str">
            <v>OTRAS INSTITUCIONES FINANCIERAS</v>
          </cell>
          <cell r="C26">
            <v>2.21</v>
          </cell>
          <cell r="E26">
            <v>884.92</v>
          </cell>
        </row>
        <row r="27">
          <cell r="A27">
            <v>1103010000</v>
          </cell>
          <cell r="B27" t="str">
            <v>CIDRE IFD</v>
          </cell>
          <cell r="C27">
            <v>2.21</v>
          </cell>
          <cell r="E27">
            <v>884.92</v>
          </cell>
        </row>
        <row r="29">
          <cell r="A29">
            <v>1200000000</v>
          </cell>
          <cell r="B29" t="str">
            <v>ACTIVO EXIGIBLE</v>
          </cell>
          <cell r="C29">
            <v>-1880831.03</v>
          </cell>
          <cell r="E29">
            <v>150538351.36000001</v>
          </cell>
        </row>
        <row r="30">
          <cell r="A30">
            <v>1201000000</v>
          </cell>
          <cell r="B30" t="str">
            <v>CUENTAS POR COBRAR</v>
          </cell>
          <cell r="C30">
            <v>-1627367.95</v>
          </cell>
          <cell r="E30">
            <v>71904955.140000001</v>
          </cell>
        </row>
        <row r="31">
          <cell r="A31">
            <v>1201010000</v>
          </cell>
          <cell r="B31" t="str">
            <v>DEUDORES POR PRODUCTOS LOCALES M.N.</v>
          </cell>
          <cell r="C31">
            <v>-1636661.76</v>
          </cell>
          <cell r="E31">
            <v>17313767.670000002</v>
          </cell>
        </row>
        <row r="32">
          <cell r="A32">
            <v>1201050000</v>
          </cell>
          <cell r="B32" t="str">
            <v>DEUDORES POR PRODUCTOS INTERIOR M.N.</v>
          </cell>
          <cell r="C32">
            <v>171492.76</v>
          </cell>
          <cell r="E32">
            <v>46287944.850000001</v>
          </cell>
        </row>
        <row r="33">
          <cell r="A33">
            <v>1201130000</v>
          </cell>
          <cell r="B33" t="str">
            <v>DEUDORES VARIOS</v>
          </cell>
          <cell r="C33">
            <v>-162198.95000000001</v>
          </cell>
          <cell r="E33">
            <v>8303242.6200000001</v>
          </cell>
        </row>
        <row r="34">
          <cell r="A34">
            <v>1202000000</v>
          </cell>
          <cell r="B34" t="str">
            <v>CUENTAS CORRIENTES</v>
          </cell>
          <cell r="C34">
            <v>-812645.34</v>
          </cell>
          <cell r="E34">
            <v>69941589.239999995</v>
          </cell>
        </row>
        <row r="35">
          <cell r="A35">
            <v>1202010000</v>
          </cell>
          <cell r="B35" t="str">
            <v>PROVEEDORES</v>
          </cell>
          <cell r="C35">
            <v>-812645.34</v>
          </cell>
          <cell r="E35">
            <v>69935534.739999995</v>
          </cell>
        </row>
        <row r="36">
          <cell r="A36">
            <v>1202020000</v>
          </cell>
          <cell r="B36" t="str">
            <v>CONTRATISTAS</v>
          </cell>
          <cell r="C36">
            <v>0</v>
          </cell>
          <cell r="E36">
            <v>6054.5</v>
          </cell>
        </row>
        <row r="37">
          <cell r="A37">
            <v>1202050000</v>
          </cell>
          <cell r="B37" t="str">
            <v>CREDITO FISCAL IVA</v>
          </cell>
          <cell r="C37">
            <v>0</v>
          </cell>
          <cell r="E37">
            <v>0</v>
          </cell>
        </row>
        <row r="38">
          <cell r="A38">
            <v>1203000000</v>
          </cell>
          <cell r="B38" t="str">
            <v>DOCUMENTOS POR COBRAR</v>
          </cell>
          <cell r="C38">
            <v>143817.32999999999</v>
          </cell>
          <cell r="E38">
            <v>4249794.6500000004</v>
          </cell>
        </row>
        <row r="39">
          <cell r="A39">
            <v>1203030000</v>
          </cell>
          <cell r="B39" t="str">
            <v>RECLAMOS EN CURSO</v>
          </cell>
          <cell r="C39">
            <v>-24322.33</v>
          </cell>
          <cell r="E39">
            <v>100527.79</v>
          </cell>
        </row>
        <row r="40">
          <cell r="A40">
            <v>1203040000</v>
          </cell>
          <cell r="B40" t="str">
            <v>OTROS DOCUMENTOS POR COBRAR</v>
          </cell>
          <cell r="C40">
            <v>168139.66</v>
          </cell>
          <cell r="E40">
            <v>4149266.86</v>
          </cell>
        </row>
        <row r="41">
          <cell r="A41">
            <v>1204000000</v>
          </cell>
          <cell r="B41" t="str">
            <v>ANTICIPOS Y PRESTAMOS</v>
          </cell>
          <cell r="C41">
            <v>415364.93</v>
          </cell>
          <cell r="E41">
            <v>4442012.33</v>
          </cell>
        </row>
        <row r="42">
          <cell r="A42">
            <v>1204010000</v>
          </cell>
          <cell r="B42" t="str">
            <v>ANTICIPOS AL PERSONAL</v>
          </cell>
          <cell r="C42">
            <v>0</v>
          </cell>
          <cell r="E42">
            <v>333.85</v>
          </cell>
        </row>
        <row r="43">
          <cell r="A43">
            <v>1204020000</v>
          </cell>
          <cell r="B43" t="str">
            <v>PRESTAMOS AL PERSONAL M.N.</v>
          </cell>
          <cell r="C43">
            <v>14563.85</v>
          </cell>
          <cell r="E43">
            <v>45627.839999999997</v>
          </cell>
        </row>
        <row r="44">
          <cell r="A44">
            <v>1204040000</v>
          </cell>
          <cell r="B44" t="str">
            <v>PRESTAMOS EN PRODUCTOS O SERVICIOS</v>
          </cell>
          <cell r="C44">
            <v>8030.55</v>
          </cell>
          <cell r="E44">
            <v>167697.32</v>
          </cell>
        </row>
        <row r="45">
          <cell r="A45">
            <v>1204050000</v>
          </cell>
          <cell r="B45" t="str">
            <v>PRESTAMOS MATERIALES DE ALMACEN</v>
          </cell>
          <cell r="C45">
            <v>-1269.55</v>
          </cell>
          <cell r="E45">
            <v>2137.42</v>
          </cell>
        </row>
        <row r="46">
          <cell r="A46">
            <v>1204060000</v>
          </cell>
          <cell r="B46" t="str">
            <v>PAGOS ANTICIPADOS</v>
          </cell>
          <cell r="C46">
            <v>416357.19</v>
          </cell>
          <cell r="E46">
            <v>3585847.11</v>
          </cell>
        </row>
        <row r="47">
          <cell r="A47">
            <v>1204080000</v>
          </cell>
          <cell r="B47" t="str">
            <v>DEUDORES CON CARGO DE CUENTA M.N.</v>
          </cell>
          <cell r="C47">
            <v>-22317.11</v>
          </cell>
          <cell r="E47">
            <v>640352.77</v>
          </cell>
        </row>
        <row r="48">
          <cell r="A48">
            <v>1204100000</v>
          </cell>
          <cell r="B48" t="str">
            <v>PULPERIAS</v>
          </cell>
          <cell r="C48">
            <v>0</v>
          </cell>
          <cell r="E48">
            <v>16.02</v>
          </cell>
        </row>
        <row r="50">
          <cell r="A50">
            <v>1300000000</v>
          </cell>
          <cell r="B50" t="str">
            <v>ACTIVO REALIZABLE</v>
          </cell>
          <cell r="C50">
            <v>12396737.07</v>
          </cell>
          <cell r="E50">
            <v>139249075.27000001</v>
          </cell>
        </row>
        <row r="51">
          <cell r="A51">
            <v>1301000000</v>
          </cell>
          <cell r="B51" t="str">
            <v>EXISTENCIAS</v>
          </cell>
          <cell r="C51">
            <v>7452835.3499999996</v>
          </cell>
          <cell r="E51">
            <v>48833962.5</v>
          </cell>
        </row>
        <row r="52">
          <cell r="A52">
            <v>1301010000</v>
          </cell>
          <cell r="B52" t="str">
            <v>MATERIA PRIMA E INSUMOS</v>
          </cell>
          <cell r="C52">
            <v>-1479166.18</v>
          </cell>
          <cell r="E52">
            <v>10966862.359999999</v>
          </cell>
        </row>
        <row r="53">
          <cell r="A53">
            <v>1301020000</v>
          </cell>
          <cell r="B53" t="str">
            <v>PRODUCTOS EN PROCESO</v>
          </cell>
          <cell r="C53">
            <v>8455443.0600000005</v>
          </cell>
          <cell r="E53">
            <v>33872838.43</v>
          </cell>
        </row>
        <row r="54">
          <cell r="A54">
            <v>1301030000</v>
          </cell>
          <cell r="B54" t="str">
            <v>PRODUCTOS TERMINADOS</v>
          </cell>
          <cell r="C54">
            <v>476558.47</v>
          </cell>
          <cell r="E54">
            <v>3994261.71</v>
          </cell>
        </row>
        <row r="55">
          <cell r="A55">
            <v>1304000000</v>
          </cell>
          <cell r="B55" t="str">
            <v>EXISTENCIA DE MATERIALES</v>
          </cell>
          <cell r="C55">
            <v>4943901.72</v>
          </cell>
          <cell r="E55">
            <v>90415112.769999996</v>
          </cell>
        </row>
        <row r="56">
          <cell r="A56">
            <v>1304010000</v>
          </cell>
          <cell r="B56" t="str">
            <v>MATERIALES EN ALMACEN</v>
          </cell>
          <cell r="C56">
            <v>434394.99</v>
          </cell>
          <cell r="E56">
            <v>50322821.079999998</v>
          </cell>
        </row>
        <row r="57">
          <cell r="A57">
            <v>1304020000</v>
          </cell>
          <cell r="B57" t="str">
            <v>ALMACEN - AUXILIAR</v>
          </cell>
          <cell r="C57">
            <v>-77062.03</v>
          </cell>
          <cell r="E57">
            <v>8396180.8100000005</v>
          </cell>
        </row>
        <row r="58">
          <cell r="A58">
            <v>1304030000</v>
          </cell>
          <cell r="B58" t="str">
            <v>PULPERIA IRPA - IRPA</v>
          </cell>
          <cell r="C58">
            <v>0</v>
          </cell>
          <cell r="E58">
            <v>22524.02</v>
          </cell>
        </row>
        <row r="59">
          <cell r="A59">
            <v>1304040000</v>
          </cell>
          <cell r="B59" t="str">
            <v>MERCADERIAS EN TRANSITO</v>
          </cell>
          <cell r="C59">
            <v>4586568.76</v>
          </cell>
          <cell r="E59">
            <v>31673586.859999999</v>
          </cell>
        </row>
        <row r="61">
          <cell r="A61">
            <v>1400000000</v>
          </cell>
          <cell r="B61" t="str">
            <v>ACTIVO FIJO</v>
          </cell>
          <cell r="C61">
            <v>9402770.8599999994</v>
          </cell>
          <cell r="E61">
            <v>656823346.12</v>
          </cell>
        </row>
        <row r="62">
          <cell r="A62">
            <v>1401000000</v>
          </cell>
          <cell r="B62" t="str">
            <v>BIENES DE USO</v>
          </cell>
          <cell r="C62">
            <v>20909053.620000001</v>
          </cell>
          <cell r="E62">
            <v>1989925406.76</v>
          </cell>
        </row>
        <row r="63">
          <cell r="A63">
            <v>1401010000</v>
          </cell>
          <cell r="B63" t="str">
            <v>TERRENOS</v>
          </cell>
          <cell r="C63">
            <v>1306528.04</v>
          </cell>
          <cell r="E63">
            <v>72512104.730000004</v>
          </cell>
        </row>
        <row r="64">
          <cell r="A64">
            <v>1401020000</v>
          </cell>
          <cell r="B64" t="str">
            <v>EDIFICIOS</v>
          </cell>
          <cell r="C64">
            <v>7612079.71</v>
          </cell>
          <cell r="E64">
            <v>428127522.69999999</v>
          </cell>
        </row>
        <row r="65">
          <cell r="A65">
            <v>1401030000</v>
          </cell>
          <cell r="B65" t="str">
            <v>MUEBLES Y ENSERES DE OFICINA</v>
          </cell>
          <cell r="C65">
            <v>2488.1999999999998</v>
          </cell>
          <cell r="E65">
            <v>4644882.49</v>
          </cell>
        </row>
        <row r="66">
          <cell r="A66">
            <v>1401040000</v>
          </cell>
          <cell r="B66" t="str">
            <v>MAQUINARIA Y EQUIPO</v>
          </cell>
          <cell r="C66">
            <v>5976651.2599999998</v>
          </cell>
          <cell r="E66">
            <v>746550984.39999998</v>
          </cell>
        </row>
        <row r="67">
          <cell r="A67">
            <v>1401050000</v>
          </cell>
          <cell r="B67" t="str">
            <v>VEHICULOS</v>
          </cell>
          <cell r="C67">
            <v>21628.44</v>
          </cell>
          <cell r="E67">
            <v>35231595.82</v>
          </cell>
        </row>
        <row r="68">
          <cell r="A68">
            <v>1401060000</v>
          </cell>
          <cell r="B68" t="str">
            <v>MAQUINARIA DE CONSTRUCCION</v>
          </cell>
          <cell r="C68">
            <v>58092.14</v>
          </cell>
          <cell r="E68">
            <v>17691014.010000002</v>
          </cell>
        </row>
        <row r="69">
          <cell r="A69">
            <v>1401070000</v>
          </cell>
          <cell r="B69" t="str">
            <v>EQUIPO PESADO</v>
          </cell>
          <cell r="C69">
            <v>66667.839999999997</v>
          </cell>
          <cell r="E69">
            <v>123189042.94</v>
          </cell>
        </row>
        <row r="70">
          <cell r="A70">
            <v>1401080000</v>
          </cell>
          <cell r="B70" t="str">
            <v>INSTALACIONES INDUSTRIALES</v>
          </cell>
          <cell r="C70">
            <v>5719407.2999999998</v>
          </cell>
          <cell r="E70">
            <v>510183328.25999999</v>
          </cell>
        </row>
        <row r="71">
          <cell r="A71">
            <v>1401090000</v>
          </cell>
          <cell r="B71" t="str">
            <v>HERRAMIENTAS E IMPLEMENTOS</v>
          </cell>
          <cell r="C71">
            <v>2740.68</v>
          </cell>
          <cell r="E71">
            <v>19229323.539999999</v>
          </cell>
        </row>
        <row r="72">
          <cell r="A72">
            <v>1401100000</v>
          </cell>
          <cell r="B72" t="str">
            <v>TINGLADOS</v>
          </cell>
          <cell r="C72">
            <v>71198.289999999994</v>
          </cell>
          <cell r="E72">
            <v>14966973.49</v>
          </cell>
        </row>
        <row r="73">
          <cell r="A73">
            <v>1401110000</v>
          </cell>
          <cell r="B73" t="str">
            <v>EQUIPOS DE COMPUTACION</v>
          </cell>
          <cell r="C73">
            <v>17553.990000000002</v>
          </cell>
          <cell r="E73">
            <v>7887766.1200000001</v>
          </cell>
        </row>
        <row r="74">
          <cell r="A74">
            <v>1401120000</v>
          </cell>
          <cell r="B74" t="str">
            <v>EQUIPOS DE LABORATORIO</v>
          </cell>
          <cell r="C74">
            <v>54017.73</v>
          </cell>
          <cell r="E74">
            <v>9544764.9399999995</v>
          </cell>
        </row>
        <row r="75">
          <cell r="A75">
            <v>1401150000</v>
          </cell>
          <cell r="B75" t="str">
            <v>CANALES DE RIEGO Y POZOS</v>
          </cell>
          <cell r="C75">
            <v>0</v>
          </cell>
          <cell r="E75">
            <v>166103.32</v>
          </cell>
        </row>
        <row r="76">
          <cell r="A76">
            <v>1402000000</v>
          </cell>
          <cell r="B76" t="str">
            <v>DEPRECIACION ACUMULADA</v>
          </cell>
          <cell r="C76">
            <v>-11506282.76</v>
          </cell>
          <cell r="E76">
            <v>-1333102060.6400001</v>
          </cell>
        </row>
        <row r="77">
          <cell r="A77">
            <v>1402020000</v>
          </cell>
          <cell r="B77" t="str">
            <v>EDIFICIOS</v>
          </cell>
          <cell r="C77">
            <v>-3159848.46</v>
          </cell>
          <cell r="E77">
            <v>-132886111.09</v>
          </cell>
        </row>
        <row r="78">
          <cell r="A78">
            <v>1402030000</v>
          </cell>
          <cell r="B78" t="str">
            <v>MUEBLES Y ENSERES DE OFICINA</v>
          </cell>
          <cell r="C78">
            <v>-3189.2</v>
          </cell>
          <cell r="E78">
            <v>-4621092</v>
          </cell>
        </row>
        <row r="79">
          <cell r="A79">
            <v>1402040000</v>
          </cell>
          <cell r="B79" t="str">
            <v>MAQUINARIA Y EQUIPO</v>
          </cell>
          <cell r="C79">
            <v>-4107372.73</v>
          </cell>
          <cell r="E79">
            <v>-599487390.77999997</v>
          </cell>
        </row>
        <row r="80">
          <cell r="A80">
            <v>1402050000</v>
          </cell>
          <cell r="B80" t="str">
            <v>VEHICULOS</v>
          </cell>
          <cell r="C80">
            <v>-28844.55</v>
          </cell>
          <cell r="E80">
            <v>-34541752.719999999</v>
          </cell>
        </row>
        <row r="81">
          <cell r="A81">
            <v>1402060000</v>
          </cell>
          <cell r="B81" t="str">
            <v>MAQUINARIA DE CONSTRUCCION</v>
          </cell>
          <cell r="C81">
            <v>-13965.82</v>
          </cell>
          <cell r="E81">
            <v>-17349069.170000002</v>
          </cell>
        </row>
        <row r="82">
          <cell r="A82">
            <v>1402070000</v>
          </cell>
          <cell r="B82" t="str">
            <v>EQUIPO PESADO</v>
          </cell>
          <cell r="C82">
            <v>-81705.98</v>
          </cell>
          <cell r="E82">
            <v>-121923111.77</v>
          </cell>
        </row>
        <row r="83">
          <cell r="A83">
            <v>1402080000</v>
          </cell>
          <cell r="B83" t="str">
            <v>INSTALACIONES INDUSTRIALES</v>
          </cell>
          <cell r="C83">
            <v>-3919868.35</v>
          </cell>
          <cell r="E83">
            <v>-372725888.44</v>
          </cell>
        </row>
        <row r="84">
          <cell r="A84">
            <v>1402090000</v>
          </cell>
          <cell r="B84" t="str">
            <v>HERRAMIENTAS E IMPLEMENTOS</v>
          </cell>
          <cell r="C84">
            <v>-4733.8100000000004</v>
          </cell>
          <cell r="E84">
            <v>-19167238.68</v>
          </cell>
        </row>
        <row r="85">
          <cell r="A85">
            <v>1402100000</v>
          </cell>
          <cell r="B85" t="str">
            <v>TINGLADOS</v>
          </cell>
          <cell r="C85">
            <v>-97353.75</v>
          </cell>
          <cell r="E85">
            <v>-14620761.720000001</v>
          </cell>
        </row>
        <row r="86">
          <cell r="A86">
            <v>1402110000</v>
          </cell>
          <cell r="B86" t="str">
            <v>EQUIPOS DE COMPUTACION</v>
          </cell>
          <cell r="C86">
            <v>-29024.44</v>
          </cell>
          <cell r="E86">
            <v>-7417881.8499999996</v>
          </cell>
        </row>
        <row r="87">
          <cell r="A87">
            <v>1402120000</v>
          </cell>
          <cell r="B87" t="str">
            <v>EQUIPOS DE LABORATORIO</v>
          </cell>
          <cell r="C87">
            <v>-60375.67</v>
          </cell>
          <cell r="E87">
            <v>-8195659.0999999996</v>
          </cell>
        </row>
        <row r="88">
          <cell r="A88">
            <v>1402150000</v>
          </cell>
          <cell r="B88" t="str">
            <v>CANALES DE RIEGO Y POZOS</v>
          </cell>
          <cell r="C88">
            <v>0</v>
          </cell>
          <cell r="E88">
            <v>-166103.32</v>
          </cell>
        </row>
        <row r="90">
          <cell r="A90">
            <v>1500000000</v>
          </cell>
          <cell r="B90" t="str">
            <v>INVERSIONES</v>
          </cell>
          <cell r="C90">
            <v>-26118777.079999998</v>
          </cell>
          <cell r="E90">
            <v>603320.01</v>
          </cell>
        </row>
        <row r="91">
          <cell r="A91">
            <v>1502000000</v>
          </cell>
          <cell r="B91" t="str">
            <v>OTRAS INVERSIONES</v>
          </cell>
          <cell r="C91">
            <v>-26118777.079999998</v>
          </cell>
          <cell r="E91">
            <v>603320.01</v>
          </cell>
        </row>
        <row r="92">
          <cell r="A92">
            <v>1502010000</v>
          </cell>
          <cell r="B92" t="str">
            <v>ACCIONES</v>
          </cell>
          <cell r="C92">
            <v>-26118777.079999998</v>
          </cell>
          <cell r="E92">
            <v>202500</v>
          </cell>
        </row>
        <row r="93">
          <cell r="A93">
            <v>1502030000</v>
          </cell>
          <cell r="B93" t="str">
            <v>LINEAS TELEFONICAS</v>
          </cell>
          <cell r="C93">
            <v>0</v>
          </cell>
          <cell r="E93">
            <v>261000</v>
          </cell>
        </row>
        <row r="94">
          <cell r="A94">
            <v>1502050000</v>
          </cell>
          <cell r="B94" t="str">
            <v>OTRAS INVERSIONES</v>
          </cell>
          <cell r="C94">
            <v>0</v>
          </cell>
          <cell r="E94">
            <v>139820.01</v>
          </cell>
        </row>
        <row r="96">
          <cell r="A96">
            <v>1600000000</v>
          </cell>
          <cell r="B96" t="str">
            <v>OTROS ACTIVOS</v>
          </cell>
          <cell r="C96">
            <v>1910579.87</v>
          </cell>
          <cell r="E96">
            <v>251020680.83000001</v>
          </cell>
        </row>
        <row r="97">
          <cell r="A97">
            <v>1601000000</v>
          </cell>
          <cell r="B97" t="str">
            <v>DOCUMENTOS POR COBRAR A LARGO PLAZO</v>
          </cell>
          <cell r="C97">
            <v>-700</v>
          </cell>
          <cell r="E97">
            <v>60593103.57</v>
          </cell>
        </row>
        <row r="98">
          <cell r="A98">
            <v>1601020000</v>
          </cell>
          <cell r="B98" t="str">
            <v>CREDITOS M.E.</v>
          </cell>
          <cell r="C98">
            <v>0</v>
          </cell>
          <cell r="E98">
            <v>48732905.649999999</v>
          </cell>
        </row>
        <row r="99">
          <cell r="A99">
            <v>1601040000</v>
          </cell>
          <cell r="B99" t="str">
            <v>DOCUMENTOS EN EJECUCION</v>
          </cell>
          <cell r="C99">
            <v>-700</v>
          </cell>
          <cell r="E99">
            <v>11860197.92</v>
          </cell>
        </row>
        <row r="100">
          <cell r="A100">
            <v>1601050000</v>
          </cell>
          <cell r="B100" t="str">
            <v>CUENTAS INCOBRABLES</v>
          </cell>
          <cell r="C100">
            <v>0</v>
          </cell>
          <cell r="E100">
            <v>3212209.75</v>
          </cell>
        </row>
        <row r="101">
          <cell r="A101">
            <v>1601060000</v>
          </cell>
          <cell r="B101" t="str">
            <v>(PREVISION CUENTAS INCOBRABLES)</v>
          </cell>
          <cell r="C101">
            <v>0</v>
          </cell>
          <cell r="E101">
            <v>-3212209.75</v>
          </cell>
        </row>
        <row r="102">
          <cell r="A102">
            <v>1602000000</v>
          </cell>
          <cell r="B102" t="str">
            <v>OBRAS EN EJECUCIÓN</v>
          </cell>
          <cell r="C102">
            <v>696219.82</v>
          </cell>
          <cell r="E102">
            <v>20046241.18</v>
          </cell>
        </row>
        <row r="103">
          <cell r="A103">
            <v>1602010000</v>
          </cell>
          <cell r="B103" t="str">
            <v>AMPLIACIONES</v>
          </cell>
          <cell r="C103">
            <v>696219.82</v>
          </cell>
          <cell r="E103">
            <v>20046241.18</v>
          </cell>
        </row>
        <row r="104">
          <cell r="A104">
            <v>1604000000</v>
          </cell>
          <cell r="B104" t="str">
            <v>BIENES ARRENDADOS</v>
          </cell>
          <cell r="C104">
            <v>-198709.06</v>
          </cell>
          <cell r="E104">
            <v>1553942.98</v>
          </cell>
        </row>
        <row r="105">
          <cell r="A105">
            <v>1604010000</v>
          </cell>
          <cell r="B105" t="str">
            <v>VALOR DE ARRENDAMIENTO</v>
          </cell>
          <cell r="C105">
            <v>-198709.06</v>
          </cell>
          <cell r="E105">
            <v>1553942.98</v>
          </cell>
        </row>
        <row r="106">
          <cell r="A106">
            <v>1605000000</v>
          </cell>
          <cell r="B106" t="str">
            <v>DIVERSOS</v>
          </cell>
          <cell r="C106">
            <v>343797.73</v>
          </cell>
          <cell r="E106">
            <v>17222911.219999999</v>
          </cell>
        </row>
        <row r="107">
          <cell r="A107">
            <v>1605010000</v>
          </cell>
          <cell r="B107" t="str">
            <v>REPUESTOS EN ALMACEN</v>
          </cell>
          <cell r="C107">
            <v>343797.73</v>
          </cell>
          <cell r="E107">
            <v>17033890.98</v>
          </cell>
        </row>
        <row r="108">
          <cell r="A108">
            <v>1605020000</v>
          </cell>
          <cell r="B108" t="str">
            <v>LIBROS Y BIBLIOTECAS</v>
          </cell>
          <cell r="C108">
            <v>0</v>
          </cell>
          <cell r="E108">
            <v>189020.24</v>
          </cell>
        </row>
        <row r="109">
          <cell r="A109">
            <v>1606000000</v>
          </cell>
          <cell r="B109" t="str">
            <v>CUENTAS CORRIENTES UNIDADES</v>
          </cell>
          <cell r="C109">
            <v>1069971.3799999999</v>
          </cell>
          <cell r="E109">
            <v>151604481.88</v>
          </cell>
        </row>
        <row r="110">
          <cell r="A110">
            <v>1606010000</v>
          </cell>
          <cell r="B110" t="str">
            <v>LIMITADA</v>
          </cell>
          <cell r="C110">
            <v>55883.66</v>
          </cell>
          <cell r="E110">
            <v>128864340.66</v>
          </cell>
        </row>
        <row r="111">
          <cell r="A111">
            <v>1606030000</v>
          </cell>
          <cell r="B111" t="str">
            <v>CERAMIL</v>
          </cell>
          <cell r="C111">
            <v>421641.98</v>
          </cell>
          <cell r="E111">
            <v>12134880.470000001</v>
          </cell>
        </row>
        <row r="112">
          <cell r="A112">
            <v>1606040000</v>
          </cell>
          <cell r="B112" t="str">
            <v>HORMIGON</v>
          </cell>
          <cell r="C112">
            <v>524452.29</v>
          </cell>
          <cell r="E112">
            <v>5565856.5599999996</v>
          </cell>
        </row>
        <row r="113">
          <cell r="A113">
            <v>1606050000</v>
          </cell>
          <cell r="B113" t="str">
            <v>CONSTRUCCIONES</v>
          </cell>
          <cell r="C113">
            <v>51544.58</v>
          </cell>
          <cell r="E113">
            <v>2987291.8</v>
          </cell>
        </row>
        <row r="114">
          <cell r="A114">
            <v>1606060000</v>
          </cell>
          <cell r="B114" t="str">
            <v>CERAMICA</v>
          </cell>
          <cell r="C114">
            <v>0</v>
          </cell>
          <cell r="E114">
            <v>917594.42</v>
          </cell>
        </row>
        <row r="115">
          <cell r="A115">
            <v>1606070000</v>
          </cell>
          <cell r="B115" t="str">
            <v>METAL</v>
          </cell>
          <cell r="C115">
            <v>12808.71</v>
          </cell>
          <cell r="E115">
            <v>622779.63</v>
          </cell>
        </row>
        <row r="116">
          <cell r="A116">
            <v>1606080000</v>
          </cell>
          <cell r="B116" t="str">
            <v>COBOCE EDITORA OPINION</v>
          </cell>
          <cell r="C116">
            <v>3640.16</v>
          </cell>
          <cell r="E116">
            <v>511738.34</v>
          </cell>
        </row>
        <row r="118">
          <cell r="A118">
            <v>1700000000</v>
          </cell>
          <cell r="B118" t="str">
            <v>ACTIVOS DIFERIDOS</v>
          </cell>
          <cell r="C118">
            <v>-509946.07</v>
          </cell>
          <cell r="E118">
            <v>8512061.4000000004</v>
          </cell>
        </row>
        <row r="119">
          <cell r="A119">
            <v>1701000000</v>
          </cell>
          <cell r="B119" t="str">
            <v>ACTIVOS RETIRADOS</v>
          </cell>
          <cell r="C119">
            <v>0</v>
          </cell>
          <cell r="E119">
            <v>3580102.51</v>
          </cell>
        </row>
        <row r="120">
          <cell r="A120">
            <v>1701010000</v>
          </cell>
          <cell r="B120" t="str">
            <v>BIENES DE USO RETIRADOS</v>
          </cell>
          <cell r="C120">
            <v>0</v>
          </cell>
          <cell r="E120">
            <v>3580102.51</v>
          </cell>
        </row>
        <row r="121">
          <cell r="A121">
            <v>1702000000</v>
          </cell>
          <cell r="B121" t="str">
            <v>GASTOS DIFERIDOS</v>
          </cell>
          <cell r="C121">
            <v>-509946.07</v>
          </cell>
          <cell r="E121">
            <v>4931958.8899999997</v>
          </cell>
        </row>
        <row r="122">
          <cell r="A122">
            <v>1702020000</v>
          </cell>
          <cell r="B122" t="str">
            <v>GASTOS DE PRODUCCIÓN Y MANTENIMIENTO</v>
          </cell>
          <cell r="C122">
            <v>-480253.93</v>
          </cell>
          <cell r="E122">
            <v>480253.92</v>
          </cell>
        </row>
        <row r="123">
          <cell r="A123">
            <v>1702050000</v>
          </cell>
          <cell r="B123" t="str">
            <v>VARIOS</v>
          </cell>
          <cell r="C123">
            <v>-29692.14</v>
          </cell>
          <cell r="E123">
            <v>4451704.97</v>
          </cell>
        </row>
        <row r="125">
          <cell r="A125">
            <v>2000000000</v>
          </cell>
          <cell r="B125" t="str">
            <v>PASIVO</v>
          </cell>
          <cell r="C125">
            <v>-11081198.57</v>
          </cell>
          <cell r="E125">
            <v>-1204821090.98</v>
          </cell>
        </row>
        <row r="128">
          <cell r="A128">
            <v>2100000000</v>
          </cell>
          <cell r="B128" t="str">
            <v>PASIVO CORRIENTE</v>
          </cell>
          <cell r="C128">
            <v>2130098.79</v>
          </cell>
          <cell r="E128">
            <v>-140461624.53999999</v>
          </cell>
        </row>
        <row r="129">
          <cell r="A129">
            <v>2101000000</v>
          </cell>
          <cell r="B129" t="str">
            <v>DEUDAS COMERCIALES</v>
          </cell>
          <cell r="C129">
            <v>1175738.28</v>
          </cell>
          <cell r="E129">
            <v>-55950400.299999997</v>
          </cell>
        </row>
        <row r="130">
          <cell r="A130">
            <v>2101010000</v>
          </cell>
          <cell r="B130" t="str">
            <v>PROVEEDORES</v>
          </cell>
          <cell r="C130">
            <v>-744192.51</v>
          </cell>
          <cell r="E130">
            <v>-47541196.079999998</v>
          </cell>
        </row>
        <row r="131">
          <cell r="A131">
            <v>2101030000</v>
          </cell>
          <cell r="B131" t="str">
            <v>TRANSPORTISTAS</v>
          </cell>
          <cell r="C131">
            <v>1699379.46</v>
          </cell>
          <cell r="E131">
            <v>-3790033.43</v>
          </cell>
        </row>
        <row r="132">
          <cell r="A132">
            <v>2101040000</v>
          </cell>
          <cell r="B132" t="str">
            <v>ACREEDORES VARIOS</v>
          </cell>
          <cell r="C132">
            <v>220551.33</v>
          </cell>
          <cell r="E132">
            <v>-4301746.92</v>
          </cell>
        </row>
        <row r="133">
          <cell r="A133">
            <v>2101090000</v>
          </cell>
          <cell r="B133" t="str">
            <v>ACREEDORES POR DEPOSITOS EN GARANTIA</v>
          </cell>
          <cell r="C133">
            <v>0</v>
          </cell>
          <cell r="E133">
            <v>-47575.87</v>
          </cell>
        </row>
        <row r="134">
          <cell r="A134">
            <v>2101650000</v>
          </cell>
          <cell r="B134" t="str">
            <v>PROVEEDORES AEROPUERTO POTOSI</v>
          </cell>
          <cell r="C134">
            <v>0</v>
          </cell>
          <cell r="E134">
            <v>-269848</v>
          </cell>
        </row>
        <row r="135">
          <cell r="A135">
            <v>2102000000</v>
          </cell>
          <cell r="B135" t="str">
            <v>DOCUMENTOS POR PAGAR</v>
          </cell>
          <cell r="C135">
            <v>290936.34000000003</v>
          </cell>
          <cell r="E135">
            <v>-2123218.17</v>
          </cell>
        </row>
        <row r="136">
          <cell r="A136">
            <v>2102020000</v>
          </cell>
          <cell r="B136" t="str">
            <v>BANCARIOS</v>
          </cell>
          <cell r="C136">
            <v>228401.2</v>
          </cell>
          <cell r="E136">
            <v>-1786141.26</v>
          </cell>
        </row>
        <row r="137">
          <cell r="A137">
            <v>2102030000</v>
          </cell>
          <cell r="B137" t="str">
            <v>CONTRATOS</v>
          </cell>
          <cell r="C137">
            <v>62535.14</v>
          </cell>
          <cell r="E137">
            <v>-174895.08</v>
          </cell>
        </row>
        <row r="138">
          <cell r="A138">
            <v>2102040000</v>
          </cell>
          <cell r="B138" t="str">
            <v>OTROS DOCUMENTOS</v>
          </cell>
          <cell r="C138">
            <v>0</v>
          </cell>
          <cell r="E138">
            <v>-162181.82999999999</v>
          </cell>
        </row>
        <row r="139">
          <cell r="A139">
            <v>2104000000</v>
          </cell>
          <cell r="B139" t="str">
            <v>OBLIGACIONES FINANCIERAS A CORTO PLAZO</v>
          </cell>
          <cell r="C139">
            <v>627391.11</v>
          </cell>
          <cell r="E139">
            <v>-43804585.740000002</v>
          </cell>
        </row>
        <row r="140">
          <cell r="A140">
            <v>2104010000</v>
          </cell>
          <cell r="B140" t="str">
            <v>OBLIGACIONES POR CAPITAL</v>
          </cell>
          <cell r="C140">
            <v>349011.23</v>
          </cell>
          <cell r="E140">
            <v>-37071458.950000003</v>
          </cell>
        </row>
        <row r="141">
          <cell r="A141">
            <v>2104020000</v>
          </cell>
          <cell r="B141" t="str">
            <v>OBLIGACIONES POR INTERESES</v>
          </cell>
          <cell r="C141">
            <v>278379.88</v>
          </cell>
          <cell r="E141">
            <v>-6733126.79</v>
          </cell>
        </row>
        <row r="142">
          <cell r="A142">
            <v>2105000000</v>
          </cell>
          <cell r="B142" t="str">
            <v>IMPUESTOS POR PAGAR</v>
          </cell>
          <cell r="C142">
            <v>0</v>
          </cell>
          <cell r="E142">
            <v>0</v>
          </cell>
        </row>
        <row r="143">
          <cell r="A143">
            <v>2105010000</v>
          </cell>
          <cell r="B143" t="str">
            <v>IMPUESTO AL VALOR AGREGADO (DEBITO FISCA</v>
          </cell>
          <cell r="C143">
            <v>0</v>
          </cell>
          <cell r="E143">
            <v>0</v>
          </cell>
        </row>
        <row r="144">
          <cell r="A144">
            <v>2105030000</v>
          </cell>
          <cell r="B144" t="str">
            <v>IMPUESTO AL REGIMEN COMPLEMENTARIO</v>
          </cell>
          <cell r="C144">
            <v>0</v>
          </cell>
          <cell r="E144">
            <v>0</v>
          </cell>
        </row>
        <row r="145">
          <cell r="A145">
            <v>2105040000</v>
          </cell>
          <cell r="B145" t="str">
            <v>RETENCION EN LA FUENTE</v>
          </cell>
          <cell r="C145">
            <v>0</v>
          </cell>
          <cell r="E145">
            <v>0</v>
          </cell>
        </row>
        <row r="146">
          <cell r="A146">
            <v>2105090000</v>
          </cell>
          <cell r="B146" t="str">
            <v>REGALIAS MINERAS</v>
          </cell>
          <cell r="C146">
            <v>0</v>
          </cell>
          <cell r="E146">
            <v>0</v>
          </cell>
        </row>
        <row r="147">
          <cell r="A147">
            <v>2106000000</v>
          </cell>
          <cell r="B147" t="str">
            <v>OBLIGACIONES POR PAGAR</v>
          </cell>
          <cell r="C147">
            <v>269602.61</v>
          </cell>
          <cell r="E147">
            <v>-12672584.609999999</v>
          </cell>
        </row>
        <row r="148">
          <cell r="A148">
            <v>2106010000</v>
          </cell>
          <cell r="B148" t="str">
            <v>SUELDOS Y JORNALES POR PAGAR</v>
          </cell>
          <cell r="C148">
            <v>243101.39</v>
          </cell>
          <cell r="E148">
            <v>-5563337.7800000003</v>
          </cell>
        </row>
        <row r="149">
          <cell r="A149">
            <v>2106020000</v>
          </cell>
          <cell r="B149" t="str">
            <v>AGUINALDOS Y PRIMAS POR PAGAR</v>
          </cell>
          <cell r="C149">
            <v>0</v>
          </cell>
          <cell r="E149">
            <v>-100838.3</v>
          </cell>
        </row>
        <row r="150">
          <cell r="A150">
            <v>2106040000</v>
          </cell>
          <cell r="B150" t="str">
            <v>FINIQUITOS POR PAGAR</v>
          </cell>
          <cell r="C150">
            <v>219906</v>
          </cell>
          <cell r="E150">
            <v>-228333.03</v>
          </cell>
        </row>
        <row r="151">
          <cell r="A151">
            <v>2106060000</v>
          </cell>
          <cell r="B151" t="str">
            <v>AGUINALDOS Y PRIMAS NO RECLAMADOS</v>
          </cell>
          <cell r="C151">
            <v>0</v>
          </cell>
          <cell r="E151">
            <v>-770657.13</v>
          </cell>
        </row>
        <row r="152">
          <cell r="A152">
            <v>2106070000</v>
          </cell>
          <cell r="B152" t="str">
            <v>APORTES Y RETENCIONES POR PAGAR</v>
          </cell>
          <cell r="C152">
            <v>-91738.78</v>
          </cell>
          <cell r="E152">
            <v>-5695989.75</v>
          </cell>
        </row>
        <row r="153">
          <cell r="A153">
            <v>2106080000</v>
          </cell>
          <cell r="B153" t="str">
            <v>RETENCIONES JUDICIALES</v>
          </cell>
          <cell r="C153">
            <v>-101666</v>
          </cell>
          <cell r="E153">
            <v>-313428.62</v>
          </cell>
        </row>
        <row r="154">
          <cell r="A154">
            <v>2107000000</v>
          </cell>
          <cell r="B154" t="str">
            <v>PROVISIONES</v>
          </cell>
          <cell r="C154">
            <v>-739838.09</v>
          </cell>
          <cell r="E154">
            <v>-12337061.99</v>
          </cell>
        </row>
        <row r="155">
          <cell r="A155">
            <v>2107010000</v>
          </cell>
          <cell r="B155" t="str">
            <v>AGUINALDOS</v>
          </cell>
          <cell r="C155">
            <v>-739838.09</v>
          </cell>
          <cell r="E155">
            <v>-7087406.8799999999</v>
          </cell>
        </row>
        <row r="156">
          <cell r="A156">
            <v>2107030000</v>
          </cell>
          <cell r="B156" t="str">
            <v>OTROS</v>
          </cell>
          <cell r="C156">
            <v>0</v>
          </cell>
          <cell r="E156">
            <v>-5249655.1100000003</v>
          </cell>
        </row>
        <row r="157">
          <cell r="A157">
            <v>2108000000</v>
          </cell>
          <cell r="B157" t="str">
            <v>COBROS POR ADELANTADO</v>
          </cell>
          <cell r="C157">
            <v>506268.54</v>
          </cell>
          <cell r="E157">
            <v>-13573773.73</v>
          </cell>
        </row>
        <row r="158">
          <cell r="A158">
            <v>2108010000</v>
          </cell>
          <cell r="B158" t="str">
            <v>CLIENTES LOCALES</v>
          </cell>
          <cell r="C158">
            <v>585709.44999999995</v>
          </cell>
          <cell r="E158">
            <v>-8336734.9299999997</v>
          </cell>
        </row>
        <row r="159">
          <cell r="A159">
            <v>2108020000</v>
          </cell>
          <cell r="B159" t="str">
            <v>CLIENTES INTERIOR</v>
          </cell>
          <cell r="C159">
            <v>-79440.91</v>
          </cell>
          <cell r="E159">
            <v>-5237038.8</v>
          </cell>
        </row>
        <row r="161">
          <cell r="A161">
            <v>2200000000</v>
          </cell>
          <cell r="B161" t="str">
            <v>PASIVO NO CORRIENTE</v>
          </cell>
          <cell r="C161">
            <v>-3797082.05</v>
          </cell>
          <cell r="E161">
            <v>-541870515.53999996</v>
          </cell>
        </row>
        <row r="162">
          <cell r="A162">
            <v>2201000000</v>
          </cell>
          <cell r="B162" t="str">
            <v>OBLIGACIONES FINANCIERAS A LARGO PLAZO</v>
          </cell>
          <cell r="C162">
            <v>0</v>
          </cell>
          <cell r="E162">
            <v>-214962498.06999999</v>
          </cell>
        </row>
        <row r="163">
          <cell r="A163">
            <v>2201010000</v>
          </cell>
          <cell r="B163" t="str">
            <v>OBLIGACIONES POR CAPITAL</v>
          </cell>
          <cell r="C163">
            <v>0</v>
          </cell>
          <cell r="E163">
            <v>-207020556.65000001</v>
          </cell>
        </row>
        <row r="164">
          <cell r="A164">
            <v>2201030000</v>
          </cell>
          <cell r="B164" t="str">
            <v>OBLIGACIONES POR INTERESES LP</v>
          </cell>
          <cell r="C164">
            <v>0</v>
          </cell>
          <cell r="E164">
            <v>-7941941.4199999999</v>
          </cell>
        </row>
        <row r="165">
          <cell r="A165">
            <v>2202000000</v>
          </cell>
          <cell r="B165" t="str">
            <v>PREVISIONES</v>
          </cell>
          <cell r="C165">
            <v>-1079452.26</v>
          </cell>
          <cell r="E165">
            <v>-57060795.619999997</v>
          </cell>
        </row>
        <row r="166">
          <cell r="A166">
            <v>2202010000</v>
          </cell>
          <cell r="B166" t="str">
            <v>PREVISIONES BENEFICIOS SOCIALES</v>
          </cell>
          <cell r="C166">
            <v>-1079452.26</v>
          </cell>
          <cell r="E166">
            <v>-57003812.939999998</v>
          </cell>
        </row>
        <row r="167">
          <cell r="A167">
            <v>2202020000</v>
          </cell>
          <cell r="B167" t="str">
            <v>OTRAS PREVISIONES</v>
          </cell>
          <cell r="C167">
            <v>0</v>
          </cell>
          <cell r="E167">
            <v>-56982.68</v>
          </cell>
        </row>
        <row r="168">
          <cell r="A168">
            <v>2203000000</v>
          </cell>
          <cell r="B168" t="str">
            <v>OTROS PASIVOS NO CORRIENTES</v>
          </cell>
          <cell r="C168">
            <v>-122.27</v>
          </cell>
          <cell r="E168">
            <v>-749414.52</v>
          </cell>
        </row>
        <row r="169">
          <cell r="A169">
            <v>2203050000</v>
          </cell>
          <cell r="B169" t="str">
            <v>CREDITOS DIFERIDOS</v>
          </cell>
          <cell r="C169">
            <v>-122.27</v>
          </cell>
          <cell r="E169">
            <v>-749414.52</v>
          </cell>
        </row>
        <row r="170">
          <cell r="A170">
            <v>2204000000</v>
          </cell>
          <cell r="B170" t="str">
            <v>CUENTAS CORRIENTES. UNIDADES.</v>
          </cell>
          <cell r="C170">
            <v>-2717507.52</v>
          </cell>
          <cell r="E170">
            <v>-269097807.32999998</v>
          </cell>
        </row>
        <row r="171">
          <cell r="A171">
            <v>2204010000</v>
          </cell>
          <cell r="B171" t="str">
            <v>LIMITADA</v>
          </cell>
          <cell r="C171">
            <v>-2627854.77</v>
          </cell>
          <cell r="E171">
            <v>-261052757.47</v>
          </cell>
        </row>
        <row r="172">
          <cell r="A172">
            <v>2204040000</v>
          </cell>
          <cell r="B172" t="str">
            <v>HORMIGON</v>
          </cell>
          <cell r="C172">
            <v>-501302.5</v>
          </cell>
          <cell r="E172">
            <v>-1714821.9</v>
          </cell>
        </row>
        <row r="173">
          <cell r="A173">
            <v>2204050000</v>
          </cell>
          <cell r="B173" t="str">
            <v>CONSTRUCCIONES</v>
          </cell>
          <cell r="C173">
            <v>0</v>
          </cell>
          <cell r="E173">
            <v>-4749325.95</v>
          </cell>
        </row>
        <row r="174">
          <cell r="A174">
            <v>2204060000</v>
          </cell>
          <cell r="B174" t="str">
            <v>CERAMICA</v>
          </cell>
          <cell r="C174">
            <v>0</v>
          </cell>
          <cell r="E174">
            <v>-943301.21</v>
          </cell>
        </row>
        <row r="175">
          <cell r="A175">
            <v>2204070000</v>
          </cell>
          <cell r="B175" t="str">
            <v>METAL</v>
          </cell>
          <cell r="C175">
            <v>421208.75</v>
          </cell>
          <cell r="E175">
            <v>-475179.01</v>
          </cell>
        </row>
        <row r="176">
          <cell r="A176">
            <v>2204080000</v>
          </cell>
          <cell r="B176" t="str">
            <v>COBOCE EDITORA OPINION</v>
          </cell>
          <cell r="C176">
            <v>-9559</v>
          </cell>
          <cell r="E176">
            <v>-162421.79</v>
          </cell>
        </row>
        <row r="178">
          <cell r="A178">
            <v>2400000000</v>
          </cell>
          <cell r="B178" t="str">
            <v>PATRIMONIO</v>
          </cell>
          <cell r="C178">
            <v>-9414215.3100000005</v>
          </cell>
          <cell r="E178">
            <v>-522488950.89999998</v>
          </cell>
        </row>
        <row r="179">
          <cell r="A179">
            <v>2401000000</v>
          </cell>
          <cell r="B179" t="str">
            <v>FONDO SOCIAL</v>
          </cell>
          <cell r="C179">
            <v>-9414215.3100000005</v>
          </cell>
          <cell r="E179">
            <v>-522488950.89999998</v>
          </cell>
        </row>
        <row r="180">
          <cell r="A180">
            <v>2401010000</v>
          </cell>
          <cell r="B180" t="str">
            <v>FONDO SOCIAL UNIDADES</v>
          </cell>
          <cell r="C180">
            <v>-9414215.3100000005</v>
          </cell>
          <cell r="E180">
            <v>-522488950.89999998</v>
          </cell>
        </row>
        <row r="181">
          <cell r="A181">
            <v>2901010000</v>
          </cell>
          <cell r="B181" t="str">
            <v>CUENTAS DE ORDEN DEBITOS</v>
          </cell>
          <cell r="C181">
            <v>0</v>
          </cell>
          <cell r="E181">
            <v>46096194.700000003</v>
          </cell>
        </row>
        <row r="182">
          <cell r="A182">
            <v>2901020000</v>
          </cell>
          <cell r="B182" t="str">
            <v>CUENTAS DE ORDEN CREDITOS</v>
          </cell>
          <cell r="C182">
            <v>0</v>
          </cell>
          <cell r="E182">
            <v>-46096194.700000003</v>
          </cell>
        </row>
        <row r="183">
          <cell r="A183" t="str">
            <v>***TOTAL UTILIDAD(+)/PERDIDA(-)***</v>
          </cell>
          <cell r="C183">
            <v>12864255.689999999</v>
          </cell>
          <cell r="E183">
            <v>42423055.869999997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6">
          <cell r="A6">
            <v>1000000000</v>
          </cell>
          <cell r="B6" t="str">
            <v>ACTIVO</v>
          </cell>
          <cell r="C6">
            <v>9434081.3800000008</v>
          </cell>
          <cell r="E6">
            <v>1212847153.55</v>
          </cell>
        </row>
        <row r="9">
          <cell r="A9">
            <v>1100000000</v>
          </cell>
          <cell r="B9" t="str">
            <v>ACTIVO DISPONIBLE</v>
          </cell>
          <cell r="C9">
            <v>-1110804.48</v>
          </cell>
          <cell r="E9">
            <v>18370738.02</v>
          </cell>
        </row>
        <row r="10">
          <cell r="A10">
            <v>1101000000</v>
          </cell>
          <cell r="B10" t="str">
            <v>CAJA</v>
          </cell>
          <cell r="C10">
            <v>-6527134.2800000003</v>
          </cell>
          <cell r="E10">
            <v>2285115.9</v>
          </cell>
        </row>
        <row r="11">
          <cell r="A11">
            <v>1101010000</v>
          </cell>
          <cell r="B11" t="str">
            <v>CAJA GENERAL MONEDA NACIONAL</v>
          </cell>
          <cell r="C11">
            <v>-6527134.2800000003</v>
          </cell>
          <cell r="E11">
            <v>2125215.9</v>
          </cell>
        </row>
        <row r="12">
          <cell r="A12">
            <v>1101030000</v>
          </cell>
          <cell r="B12" t="str">
            <v>CAJA CHICA MONEDA NACIONAL</v>
          </cell>
          <cell r="C12">
            <v>0</v>
          </cell>
          <cell r="E12">
            <v>159900</v>
          </cell>
        </row>
        <row r="13">
          <cell r="A13">
            <v>1102000000</v>
          </cell>
          <cell r="B13" t="str">
            <v>BANCOS</v>
          </cell>
          <cell r="C13">
            <v>5416327.5300000003</v>
          </cell>
          <cell r="E13">
            <v>16084741.68</v>
          </cell>
        </row>
        <row r="14">
          <cell r="A14">
            <v>1102010000</v>
          </cell>
          <cell r="B14" t="str">
            <v>BANCO BISA</v>
          </cell>
          <cell r="C14">
            <v>-2562470.63</v>
          </cell>
          <cell r="E14">
            <v>2253038.0099999998</v>
          </cell>
        </row>
        <row r="15">
          <cell r="A15">
            <v>1102020000</v>
          </cell>
          <cell r="B15" t="str">
            <v>BANCO MERCANTIL</v>
          </cell>
          <cell r="C15">
            <v>4056818.12</v>
          </cell>
          <cell r="E15">
            <v>5002301.9800000004</v>
          </cell>
        </row>
        <row r="16">
          <cell r="A16">
            <v>1102040000</v>
          </cell>
          <cell r="B16" t="str">
            <v>BANCO DE CREDITO</v>
          </cell>
          <cell r="C16">
            <v>6999600</v>
          </cell>
          <cell r="E16">
            <v>7064147.1799999997</v>
          </cell>
        </row>
        <row r="17">
          <cell r="A17">
            <v>1102050000</v>
          </cell>
          <cell r="B17" t="str">
            <v>BANCO ECONÓMICO</v>
          </cell>
          <cell r="C17">
            <v>-672719.66</v>
          </cell>
          <cell r="E17">
            <v>125770.22</v>
          </cell>
        </row>
        <row r="18">
          <cell r="A18">
            <v>1102060000</v>
          </cell>
          <cell r="B18" t="str">
            <v>BANCO GANADERO</v>
          </cell>
          <cell r="C18">
            <v>-983454.77</v>
          </cell>
          <cell r="E18">
            <v>48728.98</v>
          </cell>
        </row>
        <row r="19">
          <cell r="A19">
            <v>1102070000</v>
          </cell>
          <cell r="B19" t="str">
            <v>BANCO UNION</v>
          </cell>
          <cell r="C19">
            <v>-1106094.04</v>
          </cell>
          <cell r="E19">
            <v>479169.58</v>
          </cell>
        </row>
        <row r="20">
          <cell r="A20">
            <v>1102080000</v>
          </cell>
          <cell r="B20" t="str">
            <v>BANCO NACIONAL</v>
          </cell>
          <cell r="C20">
            <v>-64570.400000000001</v>
          </cell>
          <cell r="E20">
            <v>84986.03</v>
          </cell>
        </row>
        <row r="21">
          <cell r="A21">
            <v>1102100000</v>
          </cell>
          <cell r="B21" t="str">
            <v>FONDO DE LA COMUNIDAD</v>
          </cell>
          <cell r="C21">
            <v>169.73</v>
          </cell>
          <cell r="E21">
            <v>79049.009999999995</v>
          </cell>
        </row>
        <row r="22">
          <cell r="A22">
            <v>1102110000</v>
          </cell>
          <cell r="B22" t="str">
            <v>BANCO FASSIL S.A.</v>
          </cell>
          <cell r="C22">
            <v>0</v>
          </cell>
          <cell r="E22">
            <v>1072.05</v>
          </cell>
        </row>
        <row r="23">
          <cell r="A23">
            <v>1102120000</v>
          </cell>
          <cell r="B23" t="str">
            <v>BANCO PRODEM S.A.</v>
          </cell>
          <cell r="C23">
            <v>-15670.02</v>
          </cell>
          <cell r="E23">
            <v>662621.91</v>
          </cell>
        </row>
        <row r="24">
          <cell r="A24">
            <v>1102130000</v>
          </cell>
          <cell r="B24" t="str">
            <v>BANCO FIE</v>
          </cell>
          <cell r="C24">
            <v>-235280.8</v>
          </cell>
          <cell r="E24">
            <v>281453.78999999998</v>
          </cell>
        </row>
        <row r="25">
          <cell r="A25">
            <v>1102150000</v>
          </cell>
          <cell r="B25" t="str">
            <v>BANCO FORTALEZA</v>
          </cell>
          <cell r="C25">
            <v>0</v>
          </cell>
          <cell r="E25">
            <v>2402.94</v>
          </cell>
        </row>
        <row r="26">
          <cell r="A26">
            <v>1103000000</v>
          </cell>
          <cell r="B26" t="str">
            <v>OTRAS INSTITUCIONES FINANCIERAS</v>
          </cell>
          <cell r="C26">
            <v>2.27</v>
          </cell>
          <cell r="E26">
            <v>880.44</v>
          </cell>
        </row>
        <row r="27">
          <cell r="A27">
            <v>1103010000</v>
          </cell>
          <cell r="B27" t="str">
            <v>CIDRE IFD</v>
          </cell>
          <cell r="C27">
            <v>2.27</v>
          </cell>
          <cell r="E27">
            <v>880.44</v>
          </cell>
        </row>
        <row r="29">
          <cell r="A29">
            <v>1200000000</v>
          </cell>
          <cell r="B29" t="str">
            <v>ACTIVO EXIGIBLE</v>
          </cell>
          <cell r="C29">
            <v>2044917.67</v>
          </cell>
          <cell r="E29">
            <v>155139438.56</v>
          </cell>
        </row>
        <row r="30">
          <cell r="A30">
            <v>1201000000</v>
          </cell>
          <cell r="B30" t="str">
            <v>CUENTAS POR COBRAR</v>
          </cell>
          <cell r="C30">
            <v>920187.92</v>
          </cell>
          <cell r="E30">
            <v>76214523.099999994</v>
          </cell>
        </row>
        <row r="31">
          <cell r="A31">
            <v>1201010000</v>
          </cell>
          <cell r="B31" t="str">
            <v>DEUDORES POR PRODUCTOS LOCALES M.N.</v>
          </cell>
          <cell r="C31">
            <v>341801.66</v>
          </cell>
          <cell r="E31">
            <v>21825953.859999999</v>
          </cell>
        </row>
        <row r="32">
          <cell r="A32">
            <v>1201050000</v>
          </cell>
          <cell r="B32" t="str">
            <v>DEUDORES POR PRODUCTOS INTERIOR M.N.</v>
          </cell>
          <cell r="C32">
            <v>-14066.58</v>
          </cell>
          <cell r="E32">
            <v>46121952.090000004</v>
          </cell>
        </row>
        <row r="33">
          <cell r="A33">
            <v>1201130000</v>
          </cell>
          <cell r="B33" t="str">
            <v>DEUDORES VARIOS</v>
          </cell>
          <cell r="C33">
            <v>592452.84</v>
          </cell>
          <cell r="E33">
            <v>8266617.1500000004</v>
          </cell>
        </row>
        <row r="34">
          <cell r="A34">
            <v>1202000000</v>
          </cell>
          <cell r="B34" t="str">
            <v>CUENTAS CORRIENTES</v>
          </cell>
          <cell r="C34">
            <v>1172813.3500000001</v>
          </cell>
          <cell r="E34">
            <v>69987963.189999998</v>
          </cell>
        </row>
        <row r="35">
          <cell r="A35">
            <v>1202010000</v>
          </cell>
          <cell r="B35" t="str">
            <v>PROVEEDORES</v>
          </cell>
          <cell r="C35">
            <v>1172813.3500000001</v>
          </cell>
          <cell r="E35">
            <v>69981908.689999998</v>
          </cell>
        </row>
        <row r="36">
          <cell r="A36">
            <v>1202020000</v>
          </cell>
          <cell r="B36" t="str">
            <v>CONTRATISTAS</v>
          </cell>
          <cell r="C36">
            <v>0</v>
          </cell>
          <cell r="E36">
            <v>6054.5</v>
          </cell>
        </row>
        <row r="37">
          <cell r="A37">
            <v>1202050000</v>
          </cell>
          <cell r="B37" t="str">
            <v>CREDITO FISCAL IVA</v>
          </cell>
          <cell r="C37">
            <v>0</v>
          </cell>
          <cell r="E37">
            <v>0</v>
          </cell>
        </row>
        <row r="38">
          <cell r="A38">
            <v>1203000000</v>
          </cell>
          <cell r="B38" t="str">
            <v>DOCUMENTOS POR COBRAR</v>
          </cell>
          <cell r="C38">
            <v>128521.2</v>
          </cell>
          <cell r="E38">
            <v>4098738.63</v>
          </cell>
        </row>
        <row r="39">
          <cell r="A39">
            <v>1203030000</v>
          </cell>
          <cell r="B39" t="str">
            <v>RECLAMOS EN CURSO</v>
          </cell>
          <cell r="C39">
            <v>116374.22</v>
          </cell>
          <cell r="E39">
            <v>117817.85</v>
          </cell>
        </row>
        <row r="40">
          <cell r="A40">
            <v>1203040000</v>
          </cell>
          <cell r="B40" t="str">
            <v>OTROS DOCUMENTOS POR COBRAR</v>
          </cell>
          <cell r="C40">
            <v>12146.98</v>
          </cell>
          <cell r="E40">
            <v>3980920.78</v>
          </cell>
        </row>
        <row r="41">
          <cell r="A41">
            <v>1204000000</v>
          </cell>
          <cell r="B41" t="str">
            <v>ANTICIPOS Y PRESTAMOS</v>
          </cell>
          <cell r="C41">
            <v>-176604.79999999999</v>
          </cell>
          <cell r="E41">
            <v>4838213.6399999997</v>
          </cell>
        </row>
        <row r="42">
          <cell r="A42">
            <v>1204010000</v>
          </cell>
          <cell r="B42" t="str">
            <v>ANTICIPOS AL PERSONAL</v>
          </cell>
          <cell r="C42">
            <v>52.91</v>
          </cell>
          <cell r="E42">
            <v>11333.85</v>
          </cell>
        </row>
        <row r="43">
          <cell r="A43">
            <v>1204020000</v>
          </cell>
          <cell r="B43" t="str">
            <v>PRESTAMOS AL PERSONAL M.N.</v>
          </cell>
          <cell r="C43">
            <v>-31962.12</v>
          </cell>
          <cell r="E43">
            <v>27992.89</v>
          </cell>
        </row>
        <row r="44">
          <cell r="A44">
            <v>1204040000</v>
          </cell>
          <cell r="B44" t="str">
            <v>PRESTAMOS EN PRODUCTOS O SERVICIOS</v>
          </cell>
          <cell r="C44">
            <v>6210.2</v>
          </cell>
          <cell r="E44">
            <v>170358.63</v>
          </cell>
        </row>
        <row r="45">
          <cell r="A45">
            <v>1204050000</v>
          </cell>
          <cell r="B45" t="str">
            <v>PRESTAMOS MATERIALES DE ALMACEN</v>
          </cell>
          <cell r="C45">
            <v>1972.36</v>
          </cell>
          <cell r="E45">
            <v>3099.15</v>
          </cell>
        </row>
        <row r="46">
          <cell r="A46">
            <v>1204060000</v>
          </cell>
          <cell r="B46" t="str">
            <v>PAGOS ANTICIPADOS</v>
          </cell>
          <cell r="C46">
            <v>-437297.15</v>
          </cell>
          <cell r="E46">
            <v>3608960.33</v>
          </cell>
        </row>
        <row r="47">
          <cell r="A47">
            <v>1204080000</v>
          </cell>
          <cell r="B47" t="str">
            <v>DEUDORES CON CARGO DE CUENTA M.N.</v>
          </cell>
          <cell r="C47">
            <v>284419</v>
          </cell>
          <cell r="E47">
            <v>1016452.77</v>
          </cell>
        </row>
        <row r="48">
          <cell r="A48">
            <v>1204100000</v>
          </cell>
          <cell r="B48" t="str">
            <v>PULPERIAS</v>
          </cell>
          <cell r="C48">
            <v>0</v>
          </cell>
          <cell r="E48">
            <v>16.02</v>
          </cell>
        </row>
        <row r="50">
          <cell r="A50">
            <v>1300000000</v>
          </cell>
          <cell r="B50" t="str">
            <v>ACTIVO REALIZABLE</v>
          </cell>
          <cell r="C50">
            <v>1341334.58</v>
          </cell>
          <cell r="E50">
            <v>117642967.83</v>
          </cell>
        </row>
        <row r="51">
          <cell r="A51">
            <v>1301000000</v>
          </cell>
          <cell r="B51" t="str">
            <v>EXISTENCIAS</v>
          </cell>
          <cell r="C51">
            <v>-292736.40999999997</v>
          </cell>
          <cell r="E51">
            <v>33336159.52</v>
          </cell>
        </row>
        <row r="52">
          <cell r="A52">
            <v>1301010000</v>
          </cell>
          <cell r="B52" t="str">
            <v>MATERIA PRIMA E INSUMOS</v>
          </cell>
          <cell r="C52">
            <v>-2325805.9900000002</v>
          </cell>
          <cell r="E52">
            <v>13563007.5</v>
          </cell>
        </row>
        <row r="53">
          <cell r="A53">
            <v>1301020000</v>
          </cell>
          <cell r="B53" t="str">
            <v>PRODUCTOS EN PROCESO</v>
          </cell>
          <cell r="C53">
            <v>1829681.71</v>
          </cell>
          <cell r="E53">
            <v>17698369.949999999</v>
          </cell>
        </row>
        <row r="54">
          <cell r="A54">
            <v>1301030000</v>
          </cell>
          <cell r="B54" t="str">
            <v>PRODUCTOS TERMINADOS</v>
          </cell>
          <cell r="C54">
            <v>203387.87</v>
          </cell>
          <cell r="E54">
            <v>2074782.07</v>
          </cell>
        </row>
        <row r="55">
          <cell r="A55">
            <v>1304000000</v>
          </cell>
          <cell r="B55" t="str">
            <v>EXISTENCIA DE MATERIALES</v>
          </cell>
          <cell r="C55">
            <v>1634070.99</v>
          </cell>
          <cell r="E55">
            <v>84306808.310000002</v>
          </cell>
        </row>
        <row r="56">
          <cell r="A56">
            <v>1304010000</v>
          </cell>
          <cell r="B56" t="str">
            <v>MATERIALES EN ALMACEN</v>
          </cell>
          <cell r="C56">
            <v>1431528.03</v>
          </cell>
          <cell r="E56">
            <v>49684265.210000001</v>
          </cell>
        </row>
        <row r="57">
          <cell r="A57">
            <v>1304020000</v>
          </cell>
          <cell r="B57" t="str">
            <v>ALMACEN - AUXILIAR</v>
          </cell>
          <cell r="C57">
            <v>0</v>
          </cell>
          <cell r="E57">
            <v>8473242.8399999999</v>
          </cell>
        </row>
        <row r="58">
          <cell r="A58">
            <v>1304030000</v>
          </cell>
          <cell r="B58" t="str">
            <v>PULPERIA IRPA - IRPA</v>
          </cell>
          <cell r="C58">
            <v>0</v>
          </cell>
          <cell r="E58">
            <v>22524.02</v>
          </cell>
        </row>
        <row r="59">
          <cell r="A59">
            <v>1304040000</v>
          </cell>
          <cell r="B59" t="str">
            <v>MERCADERIAS EN TRANSITO</v>
          </cell>
          <cell r="C59">
            <v>73358.89</v>
          </cell>
          <cell r="E59">
            <v>25997592.170000002</v>
          </cell>
        </row>
        <row r="60">
          <cell r="A60">
            <v>1304660000</v>
          </cell>
          <cell r="B60" t="str">
            <v>CONST. CANAL EMISARIO 8VO. ANILLO SUR</v>
          </cell>
          <cell r="C60">
            <v>129184.07</v>
          </cell>
          <cell r="E60">
            <v>129184.07</v>
          </cell>
        </row>
        <row r="62">
          <cell r="A62">
            <v>1400000000</v>
          </cell>
          <cell r="B62" t="str">
            <v>ACTIVO FIJO</v>
          </cell>
          <cell r="C62">
            <v>8170941.04</v>
          </cell>
          <cell r="E62">
            <v>638041187.58000004</v>
          </cell>
        </row>
        <row r="63">
          <cell r="A63">
            <v>1401000000</v>
          </cell>
          <cell r="B63" t="str">
            <v>BIENES DE USO</v>
          </cell>
          <cell r="C63">
            <v>18477970.579999998</v>
          </cell>
          <cell r="E63">
            <v>1948321443.24</v>
          </cell>
        </row>
        <row r="64">
          <cell r="A64">
            <v>1401010000</v>
          </cell>
          <cell r="B64" t="str">
            <v>TERRENOS</v>
          </cell>
          <cell r="C64">
            <v>1155948.22</v>
          </cell>
          <cell r="E64">
            <v>69913576</v>
          </cell>
        </row>
        <row r="65">
          <cell r="A65">
            <v>1401020000</v>
          </cell>
          <cell r="B65" t="str">
            <v>EDIFICIOS</v>
          </cell>
          <cell r="C65">
            <v>6734773.6399999997</v>
          </cell>
          <cell r="E65">
            <v>412988002.06</v>
          </cell>
        </row>
        <row r="66">
          <cell r="A66">
            <v>1401030000</v>
          </cell>
          <cell r="B66" t="str">
            <v>MUEBLES Y ENSERES DE OFICINA</v>
          </cell>
          <cell r="C66">
            <v>2392.8200000000002</v>
          </cell>
          <cell r="E66">
            <v>4640586.54</v>
          </cell>
        </row>
        <row r="67">
          <cell r="A67">
            <v>1401040000</v>
          </cell>
          <cell r="B67" t="str">
            <v>MAQUINARIA Y EQUIPO</v>
          </cell>
          <cell r="C67">
            <v>5287831.0199999996</v>
          </cell>
          <cell r="E67">
            <v>734664136.42999995</v>
          </cell>
        </row>
        <row r="68">
          <cell r="A68">
            <v>1401050000</v>
          </cell>
          <cell r="B68" t="str">
            <v>VEHICULOS</v>
          </cell>
          <cell r="C68">
            <v>19135.73</v>
          </cell>
          <cell r="E68">
            <v>35188579.329999998</v>
          </cell>
        </row>
        <row r="69">
          <cell r="A69">
            <v>1401060000</v>
          </cell>
          <cell r="B69" t="str">
            <v>MAQUINARIA DE CONSTRUCCION</v>
          </cell>
          <cell r="C69">
            <v>9864.4500000000007</v>
          </cell>
          <cell r="E69">
            <v>17556781.559999999</v>
          </cell>
        </row>
        <row r="70">
          <cell r="A70">
            <v>1401070000</v>
          </cell>
          <cell r="B70" t="str">
            <v>EQUIPO PESADO</v>
          </cell>
          <cell r="C70">
            <v>58984.26</v>
          </cell>
          <cell r="E70">
            <v>123056448.56</v>
          </cell>
        </row>
        <row r="71">
          <cell r="A71">
            <v>1401080000</v>
          </cell>
          <cell r="B71" t="str">
            <v>INSTALACIONES INDUSTRIALES</v>
          </cell>
          <cell r="C71">
            <v>5060235.1500000004</v>
          </cell>
          <cell r="E71">
            <v>498808107.83999997</v>
          </cell>
        </row>
        <row r="72">
          <cell r="A72">
            <v>1401090000</v>
          </cell>
          <cell r="B72" t="str">
            <v>HERRAMIENTAS E IMPLEMENTOS</v>
          </cell>
          <cell r="C72">
            <v>2695.91</v>
          </cell>
          <cell r="E72">
            <v>19223569.640000001</v>
          </cell>
        </row>
        <row r="73">
          <cell r="A73">
            <v>1401100000</v>
          </cell>
          <cell r="B73" t="str">
            <v>TINGLADOS</v>
          </cell>
          <cell r="C73">
            <v>62992.56</v>
          </cell>
          <cell r="E73">
            <v>14825368.59</v>
          </cell>
        </row>
        <row r="74">
          <cell r="A74">
            <v>1401110000</v>
          </cell>
          <cell r="B74" t="str">
            <v>EQUIPOS DE COMPUTACION</v>
          </cell>
          <cell r="C74">
            <v>35324.730000000003</v>
          </cell>
          <cell r="E74">
            <v>7852853.2699999996</v>
          </cell>
        </row>
        <row r="75">
          <cell r="A75">
            <v>1401120000</v>
          </cell>
          <cell r="B75" t="str">
            <v>EQUIPOS DE LABORATORIO</v>
          </cell>
          <cell r="C75">
            <v>47792.09</v>
          </cell>
          <cell r="E75">
            <v>9437330.0999999996</v>
          </cell>
        </row>
        <row r="76">
          <cell r="A76">
            <v>1401150000</v>
          </cell>
          <cell r="B76" t="str">
            <v>CANALES DE RIEGO Y POZOS</v>
          </cell>
          <cell r="C76">
            <v>0</v>
          </cell>
          <cell r="E76">
            <v>166103.32</v>
          </cell>
        </row>
        <row r="77">
          <cell r="A77">
            <v>1402000000</v>
          </cell>
          <cell r="B77" t="str">
            <v>DEPRECIACION ACUMULADA</v>
          </cell>
          <cell r="C77">
            <v>-10307029.539999999</v>
          </cell>
          <cell r="E77">
            <v>-1310280255.6600001</v>
          </cell>
        </row>
        <row r="78">
          <cell r="A78">
            <v>1402020000</v>
          </cell>
          <cell r="B78" t="str">
            <v>EDIFICIOS</v>
          </cell>
          <cell r="C78">
            <v>-2837659.21</v>
          </cell>
          <cell r="E78">
            <v>-126623382.64</v>
          </cell>
        </row>
        <row r="79">
          <cell r="A79">
            <v>1402030000</v>
          </cell>
          <cell r="B79" t="str">
            <v>MUEBLES Y ENSERES DE OFICINA</v>
          </cell>
          <cell r="C79">
            <v>-3162.49</v>
          </cell>
          <cell r="E79">
            <v>-4615429.8899999997</v>
          </cell>
        </row>
        <row r="80">
          <cell r="A80">
            <v>1402040000</v>
          </cell>
          <cell r="B80" t="str">
            <v>MAQUINARIA Y EQUIPO</v>
          </cell>
          <cell r="C80">
            <v>-3671771.71</v>
          </cell>
          <cell r="E80">
            <v>-591337961.55999994</v>
          </cell>
        </row>
        <row r="81">
          <cell r="A81">
            <v>1402050000</v>
          </cell>
          <cell r="B81" t="str">
            <v>VEHICULOS</v>
          </cell>
          <cell r="C81">
            <v>-26471.15</v>
          </cell>
          <cell r="E81">
            <v>-34484878.829999998</v>
          </cell>
        </row>
        <row r="82">
          <cell r="A82">
            <v>1402060000</v>
          </cell>
          <cell r="B82" t="str">
            <v>MAQUINARIA DE CONSTRUCCION</v>
          </cell>
          <cell r="C82">
            <v>-12093.57</v>
          </cell>
          <cell r="E82">
            <v>-17321939.100000001</v>
          </cell>
        </row>
        <row r="83">
          <cell r="A83">
            <v>1402070000</v>
          </cell>
          <cell r="B83" t="str">
            <v>EQUIPO PESADO</v>
          </cell>
          <cell r="C83">
            <v>-74121.25</v>
          </cell>
          <cell r="E83">
            <v>-121761560.95999999</v>
          </cell>
        </row>
        <row r="84">
          <cell r="A84">
            <v>1402080000</v>
          </cell>
          <cell r="B84" t="str">
            <v>INSTALACIONES INDUSTRIALES</v>
          </cell>
          <cell r="C84">
            <v>-3500875.36</v>
          </cell>
          <cell r="E84">
            <v>-364946781.66000003</v>
          </cell>
        </row>
        <row r="85">
          <cell r="A85">
            <v>1402090000</v>
          </cell>
          <cell r="B85" t="str">
            <v>HERRAMIENTAS E IMPLEMENTOS</v>
          </cell>
          <cell r="C85">
            <v>-4940.29</v>
          </cell>
          <cell r="E85">
            <v>-19157257.359999999</v>
          </cell>
        </row>
        <row r="86">
          <cell r="A86">
            <v>1402100000</v>
          </cell>
          <cell r="B86" t="str">
            <v>TINGLADOS</v>
          </cell>
          <cell r="C86">
            <v>-87701.59</v>
          </cell>
          <cell r="E86">
            <v>-14427952.060000001</v>
          </cell>
        </row>
        <row r="87">
          <cell r="A87">
            <v>1402110000</v>
          </cell>
          <cell r="B87" t="str">
            <v>EQUIPOS DE COMPUTACION</v>
          </cell>
          <cell r="C87">
            <v>-33331.26</v>
          </cell>
          <cell r="E87">
            <v>-7360657.3700000001</v>
          </cell>
        </row>
        <row r="88">
          <cell r="A88">
            <v>1402120000</v>
          </cell>
          <cell r="B88" t="str">
            <v>EQUIPOS DE LABORATORIO</v>
          </cell>
          <cell r="C88">
            <v>-54901.66</v>
          </cell>
          <cell r="E88">
            <v>-8076350.9100000001</v>
          </cell>
        </row>
        <row r="89">
          <cell r="A89">
            <v>1402150000</v>
          </cell>
          <cell r="B89" t="str">
            <v>CANALES DE RIEGO Y POZOS</v>
          </cell>
          <cell r="C89">
            <v>0</v>
          </cell>
          <cell r="E89">
            <v>-166103.32</v>
          </cell>
        </row>
        <row r="91">
          <cell r="A91">
            <v>1500000000</v>
          </cell>
          <cell r="B91" t="str">
            <v>INVERSIONES</v>
          </cell>
          <cell r="C91">
            <v>-449113.75</v>
          </cell>
          <cell r="E91">
            <v>26704628.670000002</v>
          </cell>
        </row>
        <row r="92">
          <cell r="A92">
            <v>1502000000</v>
          </cell>
          <cell r="B92" t="str">
            <v>OTRAS INVERSIONES</v>
          </cell>
          <cell r="C92">
            <v>-449113.75</v>
          </cell>
          <cell r="E92">
            <v>26704628.670000002</v>
          </cell>
        </row>
        <row r="93">
          <cell r="A93">
            <v>1502010000</v>
          </cell>
          <cell r="B93" t="str">
            <v>ACCIONES</v>
          </cell>
          <cell r="C93">
            <v>-449113.75</v>
          </cell>
          <cell r="E93">
            <v>26303808.66</v>
          </cell>
        </row>
        <row r="94">
          <cell r="A94">
            <v>1502030000</v>
          </cell>
          <cell r="B94" t="str">
            <v>LINEAS TELEFONICAS</v>
          </cell>
          <cell r="C94">
            <v>0</v>
          </cell>
          <cell r="E94">
            <v>261000</v>
          </cell>
        </row>
        <row r="95">
          <cell r="A95">
            <v>1502050000</v>
          </cell>
          <cell r="B95" t="str">
            <v>OTRAS INVERSIONES</v>
          </cell>
          <cell r="C95">
            <v>0</v>
          </cell>
          <cell r="E95">
            <v>139820.01</v>
          </cell>
        </row>
        <row r="97">
          <cell r="A97">
            <v>1600000000</v>
          </cell>
          <cell r="B97" t="str">
            <v>OTROS ACTIVOS</v>
          </cell>
          <cell r="C97">
            <v>387662.67</v>
          </cell>
          <cell r="E97">
            <v>247033809.97999999</v>
          </cell>
        </row>
        <row r="98">
          <cell r="A98">
            <v>1601000000</v>
          </cell>
          <cell r="B98" t="str">
            <v>DOCUMENTOS POR COBRAR A LARGO PLAZO</v>
          </cell>
          <cell r="C98">
            <v>0</v>
          </cell>
          <cell r="E98">
            <v>60596603.57</v>
          </cell>
        </row>
        <row r="99">
          <cell r="A99">
            <v>1601020000</v>
          </cell>
          <cell r="B99" t="str">
            <v>CREDITOS M.E.</v>
          </cell>
          <cell r="C99">
            <v>0</v>
          </cell>
          <cell r="E99">
            <v>48732905.649999999</v>
          </cell>
        </row>
        <row r="100">
          <cell r="A100">
            <v>1601040000</v>
          </cell>
          <cell r="B100" t="str">
            <v>DOCUMENTOS EN EJECUCION</v>
          </cell>
          <cell r="C100">
            <v>0</v>
          </cell>
          <cell r="E100">
            <v>11863697.92</v>
          </cell>
        </row>
        <row r="101">
          <cell r="A101">
            <v>1601050000</v>
          </cell>
          <cell r="B101" t="str">
            <v>CUENTAS INCOBRABLES</v>
          </cell>
          <cell r="C101">
            <v>0</v>
          </cell>
          <cell r="E101">
            <v>3212209.75</v>
          </cell>
        </row>
        <row r="102">
          <cell r="A102">
            <v>1601060000</v>
          </cell>
          <cell r="B102" t="str">
            <v>(PREVISION CUENTAS INCOBRABLES)</v>
          </cell>
          <cell r="C102">
            <v>0</v>
          </cell>
          <cell r="E102">
            <v>-3212209.75</v>
          </cell>
        </row>
        <row r="103">
          <cell r="A103">
            <v>1602000000</v>
          </cell>
          <cell r="B103" t="str">
            <v>OBRAS EN EJECUCIÓN</v>
          </cell>
          <cell r="C103">
            <v>479973.01</v>
          </cell>
          <cell r="E103">
            <v>18830579.66</v>
          </cell>
        </row>
        <row r="104">
          <cell r="A104">
            <v>1602010000</v>
          </cell>
          <cell r="B104" t="str">
            <v>AMPLIACIONES</v>
          </cell>
          <cell r="C104">
            <v>479973.01</v>
          </cell>
          <cell r="E104">
            <v>18830579.66</v>
          </cell>
        </row>
        <row r="105">
          <cell r="A105">
            <v>1604000000</v>
          </cell>
          <cell r="B105" t="str">
            <v>BIENES ARRENDADOS</v>
          </cell>
          <cell r="C105">
            <v>0</v>
          </cell>
          <cell r="E105">
            <v>1752652.04</v>
          </cell>
        </row>
        <row r="106">
          <cell r="A106">
            <v>1604010000</v>
          </cell>
          <cell r="B106" t="str">
            <v>VALOR DE ARRENDAMIENTO</v>
          </cell>
          <cell r="C106">
            <v>0</v>
          </cell>
          <cell r="E106">
            <v>1752652.04</v>
          </cell>
        </row>
        <row r="107">
          <cell r="A107">
            <v>1605000000</v>
          </cell>
          <cell r="B107" t="str">
            <v>DIVERSOS</v>
          </cell>
          <cell r="C107">
            <v>-195420.13</v>
          </cell>
          <cell r="E107">
            <v>17109993.489999998</v>
          </cell>
        </row>
        <row r="108">
          <cell r="A108">
            <v>1605010000</v>
          </cell>
          <cell r="B108" t="str">
            <v>REPUESTOS EN ALMACEN</v>
          </cell>
          <cell r="C108">
            <v>-195420.13</v>
          </cell>
          <cell r="E108">
            <v>16920973.25</v>
          </cell>
        </row>
        <row r="109">
          <cell r="A109">
            <v>1605020000</v>
          </cell>
          <cell r="B109" t="str">
            <v>LIBROS Y BIBLIOTECAS</v>
          </cell>
          <cell r="C109">
            <v>0</v>
          </cell>
          <cell r="E109">
            <v>189020.24</v>
          </cell>
        </row>
        <row r="110">
          <cell r="A110">
            <v>1606000000</v>
          </cell>
          <cell r="B110" t="str">
            <v>CUENTAS CORRIENTES UNIDADES</v>
          </cell>
          <cell r="C110">
            <v>103109.79</v>
          </cell>
          <cell r="E110">
            <v>148743981.22</v>
          </cell>
        </row>
        <row r="111">
          <cell r="A111">
            <v>1606010000</v>
          </cell>
          <cell r="B111" t="str">
            <v>LIMITADA</v>
          </cell>
          <cell r="C111">
            <v>-334757.59000000003</v>
          </cell>
          <cell r="E111">
            <v>128792965.56999999</v>
          </cell>
        </row>
        <row r="112">
          <cell r="A112">
            <v>1606030000</v>
          </cell>
          <cell r="B112" t="str">
            <v>CERAMIL</v>
          </cell>
          <cell r="C112">
            <v>197677.92</v>
          </cell>
          <cell r="E112">
            <v>10774825.1</v>
          </cell>
        </row>
        <row r="113">
          <cell r="A113">
            <v>1606040000</v>
          </cell>
          <cell r="B113" t="str">
            <v>HORMIGON</v>
          </cell>
          <cell r="C113">
            <v>-108439.5</v>
          </cell>
          <cell r="E113">
            <v>4459306.13</v>
          </cell>
        </row>
        <row r="114">
          <cell r="A114">
            <v>1606050000</v>
          </cell>
          <cell r="B114" t="str">
            <v>CONSTRUCCIONES</v>
          </cell>
          <cell r="C114">
            <v>330844.65000000002</v>
          </cell>
          <cell r="E114">
            <v>2863762.74</v>
          </cell>
        </row>
        <row r="115">
          <cell r="A115">
            <v>1606060000</v>
          </cell>
          <cell r="B115" t="str">
            <v>CERAMICA</v>
          </cell>
          <cell r="C115">
            <v>10102</v>
          </cell>
          <cell r="E115">
            <v>917613.92</v>
          </cell>
        </row>
        <row r="116">
          <cell r="A116">
            <v>1606070000</v>
          </cell>
          <cell r="B116" t="str">
            <v>METAL</v>
          </cell>
          <cell r="C116">
            <v>3833.76</v>
          </cell>
          <cell r="E116">
            <v>572673.57999999996</v>
          </cell>
        </row>
        <row r="117">
          <cell r="A117">
            <v>1606080000</v>
          </cell>
          <cell r="B117" t="str">
            <v>COBOCE EDITORA OPINION</v>
          </cell>
          <cell r="C117">
            <v>3848.55</v>
          </cell>
          <cell r="E117">
            <v>362834.18</v>
          </cell>
        </row>
        <row r="119">
          <cell r="A119">
            <v>1700000000</v>
          </cell>
          <cell r="B119" t="str">
            <v>ACTIVOS DIFERIDOS</v>
          </cell>
          <cell r="C119">
            <v>-950856.35</v>
          </cell>
          <cell r="E119">
            <v>9914382.9100000001</v>
          </cell>
        </row>
        <row r="120">
          <cell r="A120">
            <v>1701000000</v>
          </cell>
          <cell r="B120" t="str">
            <v>ACTIVOS RETIRADOS</v>
          </cell>
          <cell r="C120">
            <v>0</v>
          </cell>
          <cell r="E120">
            <v>3580102.51</v>
          </cell>
        </row>
        <row r="121">
          <cell r="A121">
            <v>1701010000</v>
          </cell>
          <cell r="B121" t="str">
            <v>BIENES DE USO RETIRADOS</v>
          </cell>
          <cell r="C121">
            <v>0</v>
          </cell>
          <cell r="E121">
            <v>3580102.51</v>
          </cell>
        </row>
        <row r="122">
          <cell r="A122">
            <v>1702000000</v>
          </cell>
          <cell r="B122" t="str">
            <v>GASTOS DIFERIDOS</v>
          </cell>
          <cell r="C122">
            <v>-950856.35</v>
          </cell>
          <cell r="E122">
            <v>6334280.4000000004</v>
          </cell>
        </row>
        <row r="123">
          <cell r="A123">
            <v>1702020000</v>
          </cell>
          <cell r="B123" t="str">
            <v>GASTOS DE PRODUCCIÓN Y MANTENIMIENTO</v>
          </cell>
          <cell r="C123">
            <v>-950856.35</v>
          </cell>
          <cell r="E123">
            <v>1852883.29</v>
          </cell>
        </row>
        <row r="124">
          <cell r="A124">
            <v>1702050000</v>
          </cell>
          <cell r="B124" t="str">
            <v>VARIOS</v>
          </cell>
          <cell r="C124">
            <v>0</v>
          </cell>
          <cell r="E124">
            <v>4481397.1100000003</v>
          </cell>
        </row>
        <row r="126">
          <cell r="A126">
            <v>2000000000</v>
          </cell>
          <cell r="B126" t="str">
            <v>PASIVO</v>
          </cell>
          <cell r="C126">
            <v>7165226.9400000004</v>
          </cell>
          <cell r="E126">
            <v>-1182245653.3800001</v>
          </cell>
        </row>
        <row r="129">
          <cell r="A129">
            <v>2100000000</v>
          </cell>
          <cell r="B129" t="str">
            <v>PASIVO CORRIENTE</v>
          </cell>
          <cell r="C129">
            <v>20013598.09</v>
          </cell>
          <cell r="E129">
            <v>-134145804.75</v>
          </cell>
        </row>
        <row r="130">
          <cell r="A130">
            <v>2101000000</v>
          </cell>
          <cell r="B130" t="str">
            <v>DEUDAS COMERCIALES</v>
          </cell>
          <cell r="C130">
            <v>15752455.07</v>
          </cell>
          <cell r="E130">
            <v>-53008341.93</v>
          </cell>
        </row>
        <row r="131">
          <cell r="A131">
            <v>2101010000</v>
          </cell>
          <cell r="B131" t="str">
            <v>PROVEEDORES</v>
          </cell>
          <cell r="C131">
            <v>16142424.619999999</v>
          </cell>
          <cell r="E131">
            <v>-45001965.810000002</v>
          </cell>
        </row>
        <row r="132">
          <cell r="A132">
            <v>2101030000</v>
          </cell>
          <cell r="B132" t="str">
            <v>TRANSPORTISTAS</v>
          </cell>
          <cell r="C132">
            <v>-488736.94</v>
          </cell>
          <cell r="E132">
            <v>-3399657.7</v>
          </cell>
        </row>
        <row r="133">
          <cell r="A133">
            <v>2101040000</v>
          </cell>
          <cell r="B133" t="str">
            <v>ACREEDORES VARIOS</v>
          </cell>
          <cell r="C133">
            <v>98767.4</v>
          </cell>
          <cell r="E133">
            <v>-4289294.55</v>
          </cell>
        </row>
        <row r="134">
          <cell r="A134">
            <v>2101090000</v>
          </cell>
          <cell r="B134" t="str">
            <v>ACREEDORES POR DEPOSITOS EN GARANTIA</v>
          </cell>
          <cell r="C134">
            <v>-0.01</v>
          </cell>
          <cell r="E134">
            <v>-47575.87</v>
          </cell>
        </row>
        <row r="135">
          <cell r="A135">
            <v>2101650000</v>
          </cell>
          <cell r="B135" t="str">
            <v>PROVEEDORES AEROPUERTO POTOSI</v>
          </cell>
          <cell r="C135">
            <v>0</v>
          </cell>
          <cell r="E135">
            <v>-269848</v>
          </cell>
        </row>
        <row r="136">
          <cell r="A136">
            <v>2102000000</v>
          </cell>
          <cell r="B136" t="str">
            <v>DOCUMENTOS POR PAGAR</v>
          </cell>
          <cell r="C136">
            <v>298979.49</v>
          </cell>
          <cell r="E136">
            <v>-2411790.4300000002</v>
          </cell>
        </row>
        <row r="137">
          <cell r="A137">
            <v>2102020000</v>
          </cell>
          <cell r="B137" t="str">
            <v>BANCARIOS</v>
          </cell>
          <cell r="C137">
            <v>0</v>
          </cell>
          <cell r="E137">
            <v>-2014542.46</v>
          </cell>
        </row>
        <row r="138">
          <cell r="A138">
            <v>2102030000</v>
          </cell>
          <cell r="B138" t="str">
            <v>CONTRATOS</v>
          </cell>
          <cell r="C138">
            <v>148979.49</v>
          </cell>
          <cell r="E138">
            <v>-235066.14</v>
          </cell>
        </row>
        <row r="139">
          <cell r="A139">
            <v>2102040000</v>
          </cell>
          <cell r="B139" t="str">
            <v>OTROS DOCUMENTOS</v>
          </cell>
          <cell r="C139">
            <v>150000</v>
          </cell>
          <cell r="E139">
            <v>-162181.82999999999</v>
          </cell>
        </row>
        <row r="140">
          <cell r="A140">
            <v>2104000000</v>
          </cell>
          <cell r="B140" t="str">
            <v>OBLIGACIONES FINANCIERAS A CORTO PLAZO</v>
          </cell>
          <cell r="C140">
            <v>-744295.81</v>
          </cell>
          <cell r="E140">
            <v>-43795319.780000001</v>
          </cell>
        </row>
        <row r="141">
          <cell r="A141">
            <v>2104010000</v>
          </cell>
          <cell r="B141" t="str">
            <v>OBLIGACIONES POR CAPITAL</v>
          </cell>
          <cell r="C141">
            <v>432922.96</v>
          </cell>
          <cell r="E141">
            <v>-37821322.200000003</v>
          </cell>
        </row>
        <row r="142">
          <cell r="A142">
            <v>2104020000</v>
          </cell>
          <cell r="B142" t="str">
            <v>OBLIGACIONES POR INTERESES</v>
          </cell>
          <cell r="C142">
            <v>-1177218.77</v>
          </cell>
          <cell r="E142">
            <v>-5973997.5800000001</v>
          </cell>
        </row>
        <row r="143">
          <cell r="A143">
            <v>2105000000</v>
          </cell>
          <cell r="B143" t="str">
            <v>IMPUESTOS POR PAGAR</v>
          </cell>
          <cell r="C143">
            <v>0</v>
          </cell>
          <cell r="E143">
            <v>0</v>
          </cell>
        </row>
        <row r="144">
          <cell r="A144">
            <v>2105010000</v>
          </cell>
          <cell r="B144" t="str">
            <v>IMPUESTO AL VALOR AGREGADO (DEBITO FISCA</v>
          </cell>
          <cell r="C144">
            <v>0</v>
          </cell>
          <cell r="E144">
            <v>0</v>
          </cell>
        </row>
        <row r="145">
          <cell r="A145">
            <v>2105030000</v>
          </cell>
          <cell r="B145" t="str">
            <v>IMPUESTO AL REGIMEN COMPLEMENTARIO</v>
          </cell>
          <cell r="C145">
            <v>0</v>
          </cell>
          <cell r="E145">
            <v>0</v>
          </cell>
        </row>
        <row r="146">
          <cell r="A146">
            <v>2105040000</v>
          </cell>
          <cell r="B146" t="str">
            <v>RETENCION EN LA FUENTE</v>
          </cell>
          <cell r="C146">
            <v>0</v>
          </cell>
          <cell r="E146">
            <v>0</v>
          </cell>
        </row>
        <row r="147">
          <cell r="A147">
            <v>2105090000</v>
          </cell>
          <cell r="B147" t="str">
            <v>REGALIAS MINERAS</v>
          </cell>
          <cell r="C147">
            <v>0</v>
          </cell>
          <cell r="E147">
            <v>0</v>
          </cell>
        </row>
        <row r="148">
          <cell r="A148">
            <v>2106000000</v>
          </cell>
          <cell r="B148" t="str">
            <v>OBLIGACIONES POR PAGAR</v>
          </cell>
          <cell r="C148">
            <v>7135519.9100000001</v>
          </cell>
          <cell r="E148">
            <v>-12272580.93</v>
          </cell>
        </row>
        <row r="149">
          <cell r="A149">
            <v>2106010000</v>
          </cell>
          <cell r="B149" t="str">
            <v>SUELDOS Y JORNALES POR PAGAR</v>
          </cell>
          <cell r="C149">
            <v>1822878.02</v>
          </cell>
          <cell r="E149">
            <v>-5393480.6900000004</v>
          </cell>
        </row>
        <row r="150">
          <cell r="A150">
            <v>2106020000</v>
          </cell>
          <cell r="B150" t="str">
            <v>AGUINALDOS Y PRIMAS POR PAGAR</v>
          </cell>
          <cell r="C150">
            <v>0</v>
          </cell>
          <cell r="E150">
            <v>-100838.3</v>
          </cell>
        </row>
        <row r="151">
          <cell r="A151">
            <v>2106040000</v>
          </cell>
          <cell r="B151" t="str">
            <v>FINIQUITOS POR PAGAR</v>
          </cell>
          <cell r="C151">
            <v>1004344.85</v>
          </cell>
          <cell r="E151">
            <v>-190789.23</v>
          </cell>
        </row>
        <row r="152">
          <cell r="A152">
            <v>2106060000</v>
          </cell>
          <cell r="B152" t="str">
            <v>AGUINALDOS Y PRIMAS NO RECLAMADOS</v>
          </cell>
          <cell r="C152">
            <v>0</v>
          </cell>
          <cell r="E152">
            <v>-770657.13</v>
          </cell>
        </row>
        <row r="153">
          <cell r="A153">
            <v>2106070000</v>
          </cell>
          <cell r="B153" t="str">
            <v>APORTES Y RETENCIONES POR PAGAR</v>
          </cell>
          <cell r="C153">
            <v>4207631.04</v>
          </cell>
          <cell r="E153">
            <v>-5606052.96</v>
          </cell>
        </row>
        <row r="154">
          <cell r="A154">
            <v>2106080000</v>
          </cell>
          <cell r="B154" t="str">
            <v>RETENCIONES JUDICIALES</v>
          </cell>
          <cell r="C154">
            <v>100666</v>
          </cell>
          <cell r="E154">
            <v>-210762.62</v>
          </cell>
        </row>
        <row r="155">
          <cell r="A155">
            <v>2107000000</v>
          </cell>
          <cell r="B155" t="str">
            <v>PROVISIONES</v>
          </cell>
          <cell r="C155">
            <v>-721409.65</v>
          </cell>
          <cell r="E155">
            <v>-10820424.300000001</v>
          </cell>
        </row>
        <row r="156">
          <cell r="A156">
            <v>2107010000</v>
          </cell>
          <cell r="B156" t="str">
            <v>AGUINALDOS</v>
          </cell>
          <cell r="C156">
            <v>-721409.65</v>
          </cell>
          <cell r="E156">
            <v>-5570769.1900000004</v>
          </cell>
        </row>
        <row r="157">
          <cell r="A157">
            <v>2107030000</v>
          </cell>
          <cell r="B157" t="str">
            <v>OTROS</v>
          </cell>
          <cell r="C157">
            <v>0</v>
          </cell>
          <cell r="E157">
            <v>-5249655.1100000003</v>
          </cell>
        </row>
        <row r="158">
          <cell r="A158">
            <v>2108000000</v>
          </cell>
          <cell r="B158" t="str">
            <v>COBROS POR ADELANTADO</v>
          </cell>
          <cell r="C158">
            <v>-1707650.92</v>
          </cell>
          <cell r="E158">
            <v>-11837347.380000001</v>
          </cell>
        </row>
        <row r="159">
          <cell r="A159">
            <v>2108010000</v>
          </cell>
          <cell r="B159" t="str">
            <v>CLIENTES LOCALES</v>
          </cell>
          <cell r="C159">
            <v>-1912867</v>
          </cell>
          <cell r="E159">
            <v>-6647645.3499999996</v>
          </cell>
        </row>
        <row r="160">
          <cell r="A160">
            <v>2108020000</v>
          </cell>
          <cell r="B160" t="str">
            <v>CLIENTES INTERIOR</v>
          </cell>
          <cell r="C160">
            <v>205216.08</v>
          </cell>
          <cell r="E160">
            <v>-5189702.03</v>
          </cell>
        </row>
        <row r="162">
          <cell r="A162">
            <v>2200000000</v>
          </cell>
          <cell r="B162" t="str">
            <v>PASIVO NO CORRIENTE</v>
          </cell>
          <cell r="C162">
            <v>-4518884.2300000004</v>
          </cell>
          <cell r="E162">
            <v>-544334645.75999999</v>
          </cell>
        </row>
        <row r="163">
          <cell r="A163">
            <v>2201000000</v>
          </cell>
          <cell r="B163" t="str">
            <v>OBLIGACIONES FINANCIERAS A LARGO PLAZO</v>
          </cell>
          <cell r="C163">
            <v>0</v>
          </cell>
          <cell r="E163">
            <v>-214962498.06999999</v>
          </cell>
        </row>
        <row r="164">
          <cell r="A164">
            <v>2201010000</v>
          </cell>
          <cell r="B164" t="str">
            <v>OBLIGACIONES POR CAPITAL</v>
          </cell>
          <cell r="C164">
            <v>0</v>
          </cell>
          <cell r="E164">
            <v>-207020556.65000001</v>
          </cell>
        </row>
        <row r="165">
          <cell r="A165">
            <v>2201030000</v>
          </cell>
          <cell r="B165" t="str">
            <v>OBLIGACIONES POR INTERESES LP</v>
          </cell>
          <cell r="C165">
            <v>0</v>
          </cell>
          <cell r="E165">
            <v>-7941941.4199999999</v>
          </cell>
        </row>
        <row r="166">
          <cell r="A166">
            <v>2202000000</v>
          </cell>
          <cell r="B166" t="str">
            <v>PREVISIONES</v>
          </cell>
          <cell r="C166">
            <v>-515029.81</v>
          </cell>
          <cell r="E166">
            <v>-55650321.659999996</v>
          </cell>
        </row>
        <row r="167">
          <cell r="A167">
            <v>2202010000</v>
          </cell>
          <cell r="B167" t="str">
            <v>PREVISIONES BENEFICIOS SOCIALES</v>
          </cell>
          <cell r="C167">
            <v>-515029.81</v>
          </cell>
          <cell r="E167">
            <v>-55593338.979999997</v>
          </cell>
        </row>
        <row r="168">
          <cell r="A168">
            <v>2202020000</v>
          </cell>
          <cell r="B168" t="str">
            <v>OTRAS PREVISIONES</v>
          </cell>
          <cell r="C168">
            <v>0</v>
          </cell>
          <cell r="E168">
            <v>-56982.68</v>
          </cell>
        </row>
        <row r="169">
          <cell r="A169">
            <v>2203000000</v>
          </cell>
          <cell r="B169" t="str">
            <v>OTROS PASIVOS NO CORRIENTES</v>
          </cell>
          <cell r="C169">
            <v>-463.99</v>
          </cell>
          <cell r="E169">
            <v>-727817.83</v>
          </cell>
        </row>
        <row r="170">
          <cell r="A170">
            <v>2203050000</v>
          </cell>
          <cell r="B170" t="str">
            <v>CREDITOS DIFERIDOS</v>
          </cell>
          <cell r="C170">
            <v>-463.99</v>
          </cell>
          <cell r="E170">
            <v>-727817.83</v>
          </cell>
        </row>
        <row r="171">
          <cell r="A171">
            <v>2204000000</v>
          </cell>
          <cell r="B171" t="str">
            <v>CUENTAS CORRIENTES. UNIDADES.</v>
          </cell>
          <cell r="C171">
            <v>-4003390.43</v>
          </cell>
          <cell r="E171">
            <v>-272994008.19999999</v>
          </cell>
        </row>
        <row r="172">
          <cell r="A172">
            <v>2204010000</v>
          </cell>
          <cell r="B172" t="str">
            <v>LIMITADA</v>
          </cell>
          <cell r="C172">
            <v>-4010794.93</v>
          </cell>
          <cell r="E172">
            <v>-265654525.90000001</v>
          </cell>
        </row>
        <row r="173">
          <cell r="A173">
            <v>2204040000</v>
          </cell>
          <cell r="B173" t="str">
            <v>HORMIGON</v>
          </cell>
          <cell r="C173">
            <v>-210367.5</v>
          </cell>
          <cell r="E173">
            <v>-797949.8</v>
          </cell>
        </row>
        <row r="174">
          <cell r="A174">
            <v>2204050000</v>
          </cell>
          <cell r="B174" t="str">
            <v>CONSTRUCCIONES</v>
          </cell>
          <cell r="C174">
            <v>0</v>
          </cell>
          <cell r="E174">
            <v>-4749325.95</v>
          </cell>
        </row>
        <row r="175">
          <cell r="A175">
            <v>2204060000</v>
          </cell>
          <cell r="B175" t="str">
            <v>CERAMICA</v>
          </cell>
          <cell r="C175">
            <v>26040</v>
          </cell>
          <cell r="E175">
            <v>-943301.21</v>
          </cell>
        </row>
        <row r="176">
          <cell r="A176">
            <v>2204070000</v>
          </cell>
          <cell r="B176" t="str">
            <v>METAL</v>
          </cell>
          <cell r="C176">
            <v>201421</v>
          </cell>
          <cell r="E176">
            <v>-705675.05</v>
          </cell>
        </row>
        <row r="177">
          <cell r="A177">
            <v>2204080000</v>
          </cell>
          <cell r="B177" t="str">
            <v>COBOCE EDITORA OPINION</v>
          </cell>
          <cell r="C177">
            <v>-9689</v>
          </cell>
          <cell r="E177">
            <v>-143230.29</v>
          </cell>
        </row>
        <row r="179">
          <cell r="A179">
            <v>2400000000</v>
          </cell>
          <cell r="B179" t="str">
            <v>PATRIMONIO</v>
          </cell>
          <cell r="C179">
            <v>-8329486.9199999999</v>
          </cell>
          <cell r="E179">
            <v>-503765202.87</v>
          </cell>
        </row>
        <row r="180">
          <cell r="A180">
            <v>2401000000</v>
          </cell>
          <cell r="B180" t="str">
            <v>FONDO SOCIAL</v>
          </cell>
          <cell r="C180">
            <v>-8329486.9199999999</v>
          </cell>
          <cell r="E180">
            <v>-503765202.87</v>
          </cell>
        </row>
        <row r="181">
          <cell r="A181">
            <v>2401010000</v>
          </cell>
          <cell r="B181" t="str">
            <v>FONDO SOCIAL UNIDADES</v>
          </cell>
          <cell r="C181">
            <v>-8329486.9199999999</v>
          </cell>
          <cell r="E181">
            <v>-503765202.87</v>
          </cell>
        </row>
        <row r="182">
          <cell r="A182">
            <v>2901010000</v>
          </cell>
          <cell r="B182" t="str">
            <v>CUENTAS DE ORDEN DEBITOS</v>
          </cell>
          <cell r="C182">
            <v>0</v>
          </cell>
          <cell r="E182">
            <v>44638661.009999998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supuesto ventas 25"/>
      <sheetName val="Presupuesto ventas 2026"/>
      <sheetName val="Presupuesto 25"/>
      <sheetName val="Presupuesto 26"/>
      <sheetName val="BCO"/>
      <sheetName val="Ventas"/>
      <sheetName val="Obligaciones financieras"/>
      <sheetName val="EEFF historicoss"/>
      <sheetName val="Molino 4"/>
      <sheetName val="EEFF proyectados"/>
      <sheetName val="EEFF base"/>
      <sheetName val="Costos"/>
      <sheetName val="Control y Supuestos"/>
      <sheetName val="EEFF"/>
      <sheetName val="Presu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43951</v>
          </cell>
          <cell r="C1">
            <v>43982</v>
          </cell>
          <cell r="D1">
            <v>44012</v>
          </cell>
          <cell r="E1">
            <v>44043</v>
          </cell>
          <cell r="F1">
            <v>44074</v>
          </cell>
          <cell r="G1">
            <v>44104</v>
          </cell>
          <cell r="H1">
            <v>44135</v>
          </cell>
          <cell r="I1">
            <v>44165</v>
          </cell>
          <cell r="J1">
            <v>44196</v>
          </cell>
          <cell r="K1">
            <v>44227</v>
          </cell>
          <cell r="L1">
            <v>44255</v>
          </cell>
          <cell r="M1">
            <v>44286</v>
          </cell>
          <cell r="N1">
            <v>2020</v>
          </cell>
          <cell r="O1">
            <v>44316</v>
          </cell>
          <cell r="P1">
            <v>44347</v>
          </cell>
          <cell r="Q1">
            <v>44377</v>
          </cell>
          <cell r="R1">
            <v>44408</v>
          </cell>
          <cell r="S1">
            <v>44439</v>
          </cell>
          <cell r="T1">
            <v>44469</v>
          </cell>
          <cell r="U1">
            <v>44500</v>
          </cell>
          <cell r="V1">
            <v>44530</v>
          </cell>
          <cell r="W1">
            <v>44561</v>
          </cell>
          <cell r="X1">
            <v>44592</v>
          </cell>
          <cell r="Y1">
            <v>44620</v>
          </cell>
          <cell r="Z1">
            <v>44651</v>
          </cell>
          <cell r="AA1">
            <v>2021</v>
          </cell>
          <cell r="AB1">
            <v>44681</v>
          </cell>
          <cell r="AC1">
            <v>44712</v>
          </cell>
          <cell r="AD1">
            <v>44742</v>
          </cell>
          <cell r="AE1">
            <v>44773</v>
          </cell>
          <cell r="AF1">
            <v>44804</v>
          </cell>
          <cell r="AG1">
            <v>44834</v>
          </cell>
          <cell r="AH1">
            <v>44865</v>
          </cell>
          <cell r="AI1">
            <v>44895</v>
          </cell>
          <cell r="AJ1">
            <v>44926</v>
          </cell>
          <cell r="AK1">
            <v>44957</v>
          </cell>
          <cell r="AL1">
            <v>44985</v>
          </cell>
          <cell r="AM1">
            <v>45016</v>
          </cell>
          <cell r="AN1">
            <v>2022</v>
          </cell>
          <cell r="AO1">
            <v>45046</v>
          </cell>
          <cell r="AP1">
            <v>45077</v>
          </cell>
          <cell r="AQ1">
            <v>45107</v>
          </cell>
          <cell r="AR1">
            <v>45138</v>
          </cell>
          <cell r="AS1">
            <v>45169</v>
          </cell>
          <cell r="AT1">
            <v>45199</v>
          </cell>
          <cell r="AU1">
            <v>45230</v>
          </cell>
          <cell r="AV1">
            <v>45260</v>
          </cell>
          <cell r="AW1">
            <v>45291</v>
          </cell>
          <cell r="AX1">
            <v>45322</v>
          </cell>
          <cell r="AY1">
            <v>45351</v>
          </cell>
          <cell r="AZ1">
            <v>45382</v>
          </cell>
          <cell r="BA1">
            <v>2023</v>
          </cell>
          <cell r="BB1">
            <v>45412</v>
          </cell>
          <cell r="BC1">
            <v>45443</v>
          </cell>
          <cell r="BD1">
            <v>45473</v>
          </cell>
          <cell r="BE1">
            <v>45504</v>
          </cell>
          <cell r="BF1">
            <v>45535</v>
          </cell>
          <cell r="BG1">
            <v>45565</v>
          </cell>
          <cell r="BH1">
            <v>45596</v>
          </cell>
          <cell r="BI1">
            <v>45626</v>
          </cell>
          <cell r="BJ1">
            <v>45657</v>
          </cell>
          <cell r="BK1">
            <v>45688</v>
          </cell>
          <cell r="BL1">
            <v>45716</v>
          </cell>
          <cell r="BM1">
            <v>45747</v>
          </cell>
          <cell r="BN1">
            <v>2024</v>
          </cell>
          <cell r="BO1">
            <v>45777</v>
          </cell>
          <cell r="BP1">
            <v>45808</v>
          </cell>
          <cell r="BQ1">
            <v>45838</v>
          </cell>
          <cell r="BR1">
            <v>45869</v>
          </cell>
          <cell r="BS1">
            <v>45900</v>
          </cell>
          <cell r="BT1">
            <v>45930</v>
          </cell>
          <cell r="BU1">
            <v>45961</v>
          </cell>
          <cell r="BV1">
            <v>45991</v>
          </cell>
          <cell r="BW1">
            <v>46022</v>
          </cell>
          <cell r="BX1">
            <v>46053</v>
          </cell>
          <cell r="BY1">
            <v>46081</v>
          </cell>
          <cell r="BZ1">
            <v>46112</v>
          </cell>
          <cell r="CA1">
            <v>2025</v>
          </cell>
          <cell r="CB1">
            <v>46142</v>
          </cell>
          <cell r="CC1">
            <v>46173</v>
          </cell>
          <cell r="CD1">
            <v>46203</v>
          </cell>
          <cell r="CE1">
            <v>46234</v>
          </cell>
          <cell r="CF1">
            <v>46265</v>
          </cell>
          <cell r="CG1">
            <v>46295</v>
          </cell>
          <cell r="CH1">
            <v>46326</v>
          </cell>
          <cell r="CI1">
            <v>46356</v>
          </cell>
          <cell r="CJ1">
            <v>46387</v>
          </cell>
          <cell r="CK1">
            <v>46418</v>
          </cell>
          <cell r="CL1">
            <v>46446</v>
          </cell>
          <cell r="CM1">
            <v>46477</v>
          </cell>
          <cell r="CN1">
            <v>2026</v>
          </cell>
          <cell r="CO1">
            <v>46507</v>
          </cell>
          <cell r="CP1">
            <v>46538</v>
          </cell>
          <cell r="CQ1">
            <v>46568</v>
          </cell>
          <cell r="CR1">
            <v>46599</v>
          </cell>
          <cell r="CS1">
            <v>46630</v>
          </cell>
          <cell r="CT1">
            <v>46660</v>
          </cell>
          <cell r="CU1">
            <v>46691</v>
          </cell>
          <cell r="CV1">
            <v>46721</v>
          </cell>
          <cell r="CW1">
            <v>46752</v>
          </cell>
          <cell r="CX1">
            <v>46783</v>
          </cell>
          <cell r="CY1">
            <v>46812</v>
          </cell>
          <cell r="CZ1">
            <v>46843</v>
          </cell>
          <cell r="DA1">
            <v>2027</v>
          </cell>
          <cell r="DB1">
            <v>46873</v>
          </cell>
          <cell r="DC1">
            <v>46904</v>
          </cell>
          <cell r="DD1">
            <v>46934</v>
          </cell>
          <cell r="DE1">
            <v>46965</v>
          </cell>
          <cell r="DF1">
            <v>46996</v>
          </cell>
          <cell r="DG1">
            <v>47026</v>
          </cell>
          <cell r="DH1">
            <v>47057</v>
          </cell>
          <cell r="DI1">
            <v>47087</v>
          </cell>
          <cell r="DJ1">
            <v>47118</v>
          </cell>
          <cell r="DK1">
            <v>47149</v>
          </cell>
          <cell r="DL1">
            <v>47177</v>
          </cell>
          <cell r="DM1">
            <v>47208</v>
          </cell>
          <cell r="DN1">
            <v>2028</v>
          </cell>
          <cell r="DO1">
            <v>47238</v>
          </cell>
          <cell r="DP1">
            <v>47269</v>
          </cell>
          <cell r="DQ1">
            <v>47299</v>
          </cell>
          <cell r="DR1">
            <v>47330</v>
          </cell>
          <cell r="DS1">
            <v>47361</v>
          </cell>
          <cell r="DT1">
            <v>47391</v>
          </cell>
          <cell r="DU1">
            <v>47422</v>
          </cell>
          <cell r="DV1">
            <v>47452</v>
          </cell>
          <cell r="DW1">
            <v>47483</v>
          </cell>
          <cell r="DX1">
            <v>47514</v>
          </cell>
          <cell r="DY1">
            <v>47542</v>
          </cell>
          <cell r="DZ1">
            <v>47573</v>
          </cell>
          <cell r="EA1">
            <v>2029</v>
          </cell>
          <cell r="EB1">
            <v>47603</v>
          </cell>
          <cell r="EC1">
            <v>47634</v>
          </cell>
          <cell r="ED1">
            <v>47664</v>
          </cell>
          <cell r="EE1">
            <v>47695</v>
          </cell>
          <cell r="EF1">
            <v>47726</v>
          </cell>
          <cell r="EG1">
            <v>47756</v>
          </cell>
          <cell r="EH1">
            <v>47787</v>
          </cell>
          <cell r="EI1">
            <v>47817</v>
          </cell>
          <cell r="EJ1">
            <v>47848</v>
          </cell>
          <cell r="EK1">
            <v>47879</v>
          </cell>
          <cell r="EL1">
            <v>47907</v>
          </cell>
          <cell r="EM1">
            <v>47938</v>
          </cell>
          <cell r="EN1">
            <v>2030</v>
          </cell>
        </row>
        <row r="2">
          <cell r="A2" t="str">
            <v xml:space="preserve">Estado de Resultados </v>
          </cell>
          <cell r="B2">
            <v>2021</v>
          </cell>
          <cell r="C2">
            <v>2021</v>
          </cell>
          <cell r="D2">
            <v>2021</v>
          </cell>
          <cell r="E2">
            <v>2020</v>
          </cell>
          <cell r="F2">
            <v>2020</v>
          </cell>
          <cell r="G2">
            <v>2020</v>
          </cell>
          <cell r="H2">
            <v>2020</v>
          </cell>
          <cell r="I2">
            <v>2020</v>
          </cell>
          <cell r="J2">
            <v>2020</v>
          </cell>
          <cell r="K2">
            <v>2020</v>
          </cell>
          <cell r="L2">
            <v>2020</v>
          </cell>
          <cell r="M2">
            <v>2020</v>
          </cell>
          <cell r="O2">
            <v>2021</v>
          </cell>
          <cell r="P2">
            <v>2021</v>
          </cell>
          <cell r="Q2">
            <v>2021</v>
          </cell>
          <cell r="R2">
            <v>2021</v>
          </cell>
          <cell r="S2">
            <v>2021</v>
          </cell>
          <cell r="T2">
            <v>2021</v>
          </cell>
          <cell r="U2">
            <v>2021</v>
          </cell>
          <cell r="V2">
            <v>2021</v>
          </cell>
          <cell r="W2">
            <v>2021</v>
          </cell>
          <cell r="X2">
            <v>2021</v>
          </cell>
          <cell r="Y2">
            <v>2021</v>
          </cell>
          <cell r="Z2">
            <v>2021</v>
          </cell>
          <cell r="AB2">
            <v>2022</v>
          </cell>
          <cell r="AC2">
            <v>2022</v>
          </cell>
          <cell r="AD2">
            <v>2022</v>
          </cell>
          <cell r="AE2">
            <v>2022</v>
          </cell>
          <cell r="AF2">
            <v>2022</v>
          </cell>
          <cell r="AG2">
            <v>2022</v>
          </cell>
          <cell r="AH2">
            <v>2022</v>
          </cell>
          <cell r="AI2">
            <v>2022</v>
          </cell>
          <cell r="AJ2">
            <v>2022</v>
          </cell>
          <cell r="AK2">
            <v>2022</v>
          </cell>
          <cell r="AL2">
            <v>2022</v>
          </cell>
          <cell r="AM2">
            <v>2022</v>
          </cell>
          <cell r="AO2">
            <v>2023</v>
          </cell>
          <cell r="AP2">
            <v>2023</v>
          </cell>
          <cell r="AQ2">
            <v>2023</v>
          </cell>
          <cell r="AR2">
            <v>2023</v>
          </cell>
          <cell r="AS2">
            <v>2023</v>
          </cell>
          <cell r="AT2">
            <v>2023</v>
          </cell>
          <cell r="AU2">
            <v>2023</v>
          </cell>
          <cell r="AV2">
            <v>2023</v>
          </cell>
          <cell r="AW2">
            <v>2023</v>
          </cell>
          <cell r="AX2">
            <v>2023</v>
          </cell>
          <cell r="AY2">
            <v>2023</v>
          </cell>
          <cell r="AZ2">
            <v>2023</v>
          </cell>
          <cell r="BB2">
            <v>2024</v>
          </cell>
          <cell r="BC2">
            <v>2024</v>
          </cell>
          <cell r="BD2">
            <v>2024</v>
          </cell>
          <cell r="BE2">
            <v>2024</v>
          </cell>
          <cell r="BF2">
            <v>2024</v>
          </cell>
          <cell r="BG2">
            <v>2024</v>
          </cell>
          <cell r="BH2">
            <v>2024</v>
          </cell>
          <cell r="BI2">
            <v>2024</v>
          </cell>
          <cell r="BJ2">
            <v>2024</v>
          </cell>
          <cell r="BK2">
            <v>2024</v>
          </cell>
          <cell r="BL2">
            <v>2024</v>
          </cell>
          <cell r="BM2">
            <v>2024</v>
          </cell>
          <cell r="BO2">
            <v>2025</v>
          </cell>
          <cell r="BP2">
            <v>2025</v>
          </cell>
          <cell r="BQ2">
            <v>2025</v>
          </cell>
          <cell r="BR2">
            <v>2025</v>
          </cell>
          <cell r="BS2">
            <v>2025</v>
          </cell>
          <cell r="BT2">
            <v>2025</v>
          </cell>
          <cell r="BU2">
            <v>2025</v>
          </cell>
          <cell r="BV2">
            <v>2025</v>
          </cell>
          <cell r="BW2">
            <v>2025</v>
          </cell>
          <cell r="BX2">
            <v>2025</v>
          </cell>
          <cell r="BY2">
            <v>2025</v>
          </cell>
          <cell r="BZ2">
            <v>2025</v>
          </cell>
          <cell r="CB2">
            <v>2026</v>
          </cell>
          <cell r="CC2">
            <v>2026</v>
          </cell>
          <cell r="CD2">
            <v>2026</v>
          </cell>
          <cell r="CE2">
            <v>2026</v>
          </cell>
          <cell r="CF2">
            <v>2026</v>
          </cell>
          <cell r="CG2">
            <v>2026</v>
          </cell>
          <cell r="CH2">
            <v>2026</v>
          </cell>
          <cell r="CI2">
            <v>2026</v>
          </cell>
          <cell r="CJ2">
            <v>2026</v>
          </cell>
          <cell r="CK2">
            <v>2026</v>
          </cell>
          <cell r="CL2">
            <v>2026</v>
          </cell>
          <cell r="CM2">
            <v>2026</v>
          </cell>
          <cell r="CO2">
            <v>2027</v>
          </cell>
          <cell r="CP2">
            <v>2027</v>
          </cell>
          <cell r="CQ2">
            <v>2027</v>
          </cell>
          <cell r="CR2">
            <v>2027</v>
          </cell>
          <cell r="CS2">
            <v>2027</v>
          </cell>
          <cell r="CT2">
            <v>2027</v>
          </cell>
          <cell r="CU2">
            <v>2027</v>
          </cell>
          <cell r="CV2">
            <v>2027</v>
          </cell>
          <cell r="CW2">
            <v>2027</v>
          </cell>
          <cell r="CX2">
            <v>2027</v>
          </cell>
          <cell r="CY2">
            <v>2027</v>
          </cell>
          <cell r="CZ2">
            <v>2027</v>
          </cell>
          <cell r="DB2">
            <v>2028</v>
          </cell>
          <cell r="DC2">
            <v>2028</v>
          </cell>
          <cell r="DD2">
            <v>2028</v>
          </cell>
          <cell r="DE2">
            <v>2028</v>
          </cell>
          <cell r="DF2">
            <v>2028</v>
          </cell>
          <cell r="DG2">
            <v>2028</v>
          </cell>
          <cell r="DH2">
            <v>2028</v>
          </cell>
          <cell r="DI2">
            <v>2028</v>
          </cell>
          <cell r="DJ2">
            <v>2028</v>
          </cell>
          <cell r="DK2">
            <v>2028</v>
          </cell>
          <cell r="DL2">
            <v>2028</v>
          </cell>
          <cell r="DM2">
            <v>2028</v>
          </cell>
          <cell r="DO2">
            <v>2029</v>
          </cell>
          <cell r="DP2">
            <v>2029</v>
          </cell>
          <cell r="DQ2">
            <v>2029</v>
          </cell>
          <cell r="DR2">
            <v>2029</v>
          </cell>
          <cell r="DS2">
            <v>2029</v>
          </cell>
          <cell r="DT2">
            <v>2029</v>
          </cell>
          <cell r="DU2">
            <v>2029</v>
          </cell>
          <cell r="DV2">
            <v>2029</v>
          </cell>
          <cell r="DW2">
            <v>2029</v>
          </cell>
          <cell r="DX2">
            <v>2029</v>
          </cell>
          <cell r="DY2">
            <v>2029</v>
          </cell>
          <cell r="DZ2">
            <v>2029</v>
          </cell>
          <cell r="EB2">
            <v>2030</v>
          </cell>
          <cell r="EC2">
            <v>2030</v>
          </cell>
          <cell r="ED2">
            <v>2030</v>
          </cell>
          <cell r="EE2">
            <v>2030</v>
          </cell>
          <cell r="EF2">
            <v>2030</v>
          </cell>
          <cell r="EG2">
            <v>2030</v>
          </cell>
          <cell r="EH2">
            <v>2030</v>
          </cell>
          <cell r="EI2">
            <v>2030</v>
          </cell>
          <cell r="EJ2">
            <v>2030</v>
          </cell>
          <cell r="EK2">
            <v>2030</v>
          </cell>
          <cell r="EL2">
            <v>2030</v>
          </cell>
          <cell r="EM2">
            <v>2030</v>
          </cell>
        </row>
        <row r="3">
          <cell r="A3" t="str">
            <v>(expresado en Bs)</v>
          </cell>
        </row>
        <row r="5">
          <cell r="A5" t="str">
            <v>INGRESOS OPERATIVOS</v>
          </cell>
          <cell r="B5">
            <v>6664112.6600000011</v>
          </cell>
          <cell r="C5">
            <v>19921230.020000007</v>
          </cell>
          <cell r="D5">
            <v>34544288.190000005</v>
          </cell>
          <cell r="E5">
            <v>27257020.650000006</v>
          </cell>
          <cell r="F5">
            <v>29492550.900000002</v>
          </cell>
          <cell r="G5">
            <v>44034351.13000004</v>
          </cell>
          <cell r="H5">
            <v>47652245.07000003</v>
          </cell>
          <cell r="I5">
            <v>38790648.829999983</v>
          </cell>
          <cell r="J5">
            <v>41803436.919999965</v>
          </cell>
          <cell r="K5">
            <v>25947391.590000004</v>
          </cell>
          <cell r="L5">
            <v>30759529.390000012</v>
          </cell>
          <cell r="M5">
            <v>32568825.170000028</v>
          </cell>
          <cell r="N5">
            <v>379435630.52000004</v>
          </cell>
          <cell r="O5">
            <v>36715743.199999981</v>
          </cell>
          <cell r="P5">
            <v>34420132.889999978</v>
          </cell>
          <cell r="Q5">
            <v>28810020.780000016</v>
          </cell>
          <cell r="R5">
            <v>48438428.189999975</v>
          </cell>
          <cell r="S5">
            <v>21311558.480000004</v>
          </cell>
          <cell r="T5">
            <v>28156194.670000013</v>
          </cell>
          <cell r="U5">
            <v>26851933.330000013</v>
          </cell>
          <cell r="V5">
            <v>28979517.960000008</v>
          </cell>
          <cell r="W5">
            <v>24590297.589999992</v>
          </cell>
          <cell r="X5">
            <v>17845191.310000002</v>
          </cell>
          <cell r="Y5">
            <v>27885454.489999995</v>
          </cell>
          <cell r="Z5">
            <v>28146513.449999996</v>
          </cell>
          <cell r="AA5">
            <v>352150986.33999997</v>
          </cell>
          <cell r="AB5">
            <v>33296493.399999995</v>
          </cell>
          <cell r="AC5">
            <v>27143425.57000003</v>
          </cell>
          <cell r="AD5">
            <v>26801770.579999994</v>
          </cell>
          <cell r="AE5">
            <v>33130220.829999976</v>
          </cell>
          <cell r="AF5">
            <v>40633231.509999976</v>
          </cell>
          <cell r="AG5">
            <v>34862424.859999985</v>
          </cell>
          <cell r="AH5">
            <v>39213250.199999966</v>
          </cell>
          <cell r="AI5">
            <v>39040759.199999981</v>
          </cell>
          <cell r="AJ5">
            <v>45561564.069999978</v>
          </cell>
          <cell r="AK5">
            <v>25636546.149999995</v>
          </cell>
          <cell r="AL5">
            <v>28957889.349999998</v>
          </cell>
          <cell r="AM5">
            <v>43878384.819999978</v>
          </cell>
          <cell r="AN5">
            <v>418155960.5399999</v>
          </cell>
          <cell r="AO5">
            <v>27830430.059999999</v>
          </cell>
          <cell r="AP5">
            <v>29395565.350000001</v>
          </cell>
          <cell r="AQ5">
            <v>32325750.850000001</v>
          </cell>
          <cell r="AR5">
            <v>33791663.299999997</v>
          </cell>
          <cell r="AS5">
            <v>37781578.539999999</v>
          </cell>
          <cell r="AT5">
            <v>33754569.810000002</v>
          </cell>
          <cell r="AU5">
            <v>42512451.609999999</v>
          </cell>
          <cell r="AV5">
            <v>35905824.469999999</v>
          </cell>
          <cell r="AW5">
            <v>35422531.700000003</v>
          </cell>
          <cell r="AX5">
            <v>55428653.460000001</v>
          </cell>
          <cell r="AY5">
            <v>26525657.09</v>
          </cell>
          <cell r="AZ5">
            <v>47089941.869999997</v>
          </cell>
          <cell r="BA5">
            <v>437764618.10999995</v>
          </cell>
          <cell r="BB5">
            <v>51738407.869999997</v>
          </cell>
          <cell r="BC5">
            <v>31208457.460000001</v>
          </cell>
          <cell r="BD5">
            <v>28752480.579999998</v>
          </cell>
          <cell r="BE5">
            <v>27246878.329999998</v>
          </cell>
          <cell r="BF5">
            <v>32330703.41</v>
          </cell>
          <cell r="BG5">
            <v>28854165.98</v>
          </cell>
          <cell r="BH5">
            <v>27306657.91</v>
          </cell>
          <cell r="BI5">
            <v>45750390.670000002</v>
          </cell>
          <cell r="BJ5">
            <v>32770688.190000001</v>
          </cell>
          <cell r="BK5">
            <v>45612167.270000003</v>
          </cell>
          <cell r="BL5">
            <v>39629762.890000001</v>
          </cell>
          <cell r="BM5">
            <v>40921415.979999997</v>
          </cell>
          <cell r="BN5">
            <v>432122176.53999996</v>
          </cell>
          <cell r="BO5">
            <v>36690257.549999997</v>
          </cell>
          <cell r="BP5">
            <v>44235384.57</v>
          </cell>
          <cell r="BQ5">
            <v>39029367.32</v>
          </cell>
          <cell r="BR5">
            <v>54197570.82</v>
          </cell>
          <cell r="BS5">
            <v>24291089.52</v>
          </cell>
          <cell r="BT5">
            <v>51938199.030000001</v>
          </cell>
          <cell r="BU5">
            <v>60759933.960000001</v>
          </cell>
          <cell r="BV5">
            <v>50135309.590000004</v>
          </cell>
          <cell r="BW5">
            <v>71971308.310000002</v>
          </cell>
          <cell r="BX5">
            <v>32039382.399999999</v>
          </cell>
          <cell r="BY5">
            <v>26100000</v>
          </cell>
          <cell r="BZ5">
            <v>39172851.67033793</v>
          </cell>
          <cell r="CA5">
            <v>530560654.74033791</v>
          </cell>
          <cell r="CB5">
            <v>45979519.599933334</v>
          </cell>
          <cell r="CC5">
            <v>38838997.662333332</v>
          </cell>
          <cell r="CD5">
            <v>35685496.830333337</v>
          </cell>
          <cell r="CE5">
            <v>38753352.426333338</v>
          </cell>
          <cell r="CF5">
            <v>32724583.722333334</v>
          </cell>
          <cell r="CG5">
            <v>38544044.302833334</v>
          </cell>
          <cell r="CH5">
            <v>42192618.50433334</v>
          </cell>
          <cell r="CI5">
            <v>46473869.903733328</v>
          </cell>
          <cell r="CJ5">
            <v>43747689.225033335</v>
          </cell>
          <cell r="CK5">
            <v>48317177.340333335</v>
          </cell>
          <cell r="CL5">
            <v>32783088.00333333</v>
          </cell>
          <cell r="CM5">
            <v>44456306.982933328</v>
          </cell>
          <cell r="CN5">
            <v>488496744.50380003</v>
          </cell>
          <cell r="CO5">
            <v>40708062.041983329</v>
          </cell>
          <cell r="CP5">
            <v>40708062.041983329</v>
          </cell>
          <cell r="CQ5">
            <v>40708062.041983329</v>
          </cell>
          <cell r="CR5">
            <v>40708062.041983329</v>
          </cell>
          <cell r="CS5">
            <v>40708062.041983329</v>
          </cell>
          <cell r="CT5">
            <v>40708062.041983329</v>
          </cell>
          <cell r="CU5">
            <v>40708062.041983329</v>
          </cell>
          <cell r="CV5">
            <v>40708062.041983329</v>
          </cell>
          <cell r="CW5">
            <v>40708062.041983329</v>
          </cell>
          <cell r="CX5">
            <v>40708062.041983329</v>
          </cell>
          <cell r="CY5">
            <v>40708062.041983329</v>
          </cell>
          <cell r="CZ5">
            <v>40708062.041983329</v>
          </cell>
          <cell r="DA5">
            <v>488496744.50379986</v>
          </cell>
          <cell r="DB5">
            <v>42336384.523662664</v>
          </cell>
          <cell r="DC5">
            <v>42336384.523662664</v>
          </cell>
          <cell r="DD5">
            <v>42336384.523662664</v>
          </cell>
          <cell r="DE5">
            <v>42336384.523662664</v>
          </cell>
          <cell r="DF5">
            <v>42336384.523662664</v>
          </cell>
          <cell r="DG5">
            <v>42336384.523662664</v>
          </cell>
          <cell r="DH5">
            <v>42336384.523662664</v>
          </cell>
          <cell r="DI5">
            <v>42336384.523662664</v>
          </cell>
          <cell r="DJ5">
            <v>42336384.523662664</v>
          </cell>
          <cell r="DK5">
            <v>42336384.523662664</v>
          </cell>
          <cell r="DL5">
            <v>42336384.523662664</v>
          </cell>
          <cell r="DM5">
            <v>42336384.523662664</v>
          </cell>
          <cell r="DN5">
            <v>508036614.28395206</v>
          </cell>
          <cell r="DO5">
            <v>44029839.904609174</v>
          </cell>
          <cell r="DP5">
            <v>44029839.904609174</v>
          </cell>
          <cell r="DQ5">
            <v>44029839.904609174</v>
          </cell>
          <cell r="DR5">
            <v>44029839.904609174</v>
          </cell>
          <cell r="DS5">
            <v>44029839.904609174</v>
          </cell>
          <cell r="DT5">
            <v>44029839.904609174</v>
          </cell>
          <cell r="DU5">
            <v>44029839.904609174</v>
          </cell>
          <cell r="DV5">
            <v>44029839.904609174</v>
          </cell>
          <cell r="DW5">
            <v>44029839.904609174</v>
          </cell>
          <cell r="DX5">
            <v>44029839.904609174</v>
          </cell>
          <cell r="DY5">
            <v>44029839.904609174</v>
          </cell>
          <cell r="DZ5">
            <v>44029839.904609174</v>
          </cell>
          <cell r="EA5">
            <v>528358078.8553102</v>
          </cell>
          <cell r="EB5">
            <v>45791033.500793546</v>
          </cell>
          <cell r="EC5">
            <v>45791033.500793546</v>
          </cell>
          <cell r="ED5">
            <v>45791033.500793546</v>
          </cell>
          <cell r="EE5">
            <v>45791033.500793546</v>
          </cell>
          <cell r="EF5">
            <v>45791033.500793546</v>
          </cell>
          <cell r="EG5">
            <v>45791033.500793546</v>
          </cell>
          <cell r="EH5">
            <v>45791033.500793546</v>
          </cell>
          <cell r="EI5">
            <v>45791033.500793546</v>
          </cell>
          <cell r="EJ5">
            <v>45791033.500793546</v>
          </cell>
          <cell r="EK5">
            <v>45791033.500793546</v>
          </cell>
          <cell r="EL5">
            <v>45791033.500793546</v>
          </cell>
          <cell r="EM5">
            <v>45791033.500793546</v>
          </cell>
          <cell r="EN5">
            <v>549492402.00952268</v>
          </cell>
        </row>
        <row r="6">
          <cell r="A6" t="str">
            <v>COSTO DE VENTAS</v>
          </cell>
          <cell r="B6">
            <v>-3444837.55</v>
          </cell>
          <cell r="C6">
            <v>-26972886.640000004</v>
          </cell>
          <cell r="D6">
            <v>-25654074.140000001</v>
          </cell>
          <cell r="E6">
            <v>-20609235.31000001</v>
          </cell>
          <cell r="F6">
            <v>-24141780.239999987</v>
          </cell>
          <cell r="G6">
            <v>-30893015.149999999</v>
          </cell>
          <cell r="H6">
            <v>-25718305.479999997</v>
          </cell>
          <cell r="I6">
            <v>-28591610.619999994</v>
          </cell>
          <cell r="J6">
            <v>-25504256.69000002</v>
          </cell>
          <cell r="K6">
            <v>-27564824.509999998</v>
          </cell>
          <cell r="L6">
            <v>-19826524.749999978</v>
          </cell>
          <cell r="M6">
            <v>-24025722.479999878</v>
          </cell>
          <cell r="N6">
            <v>-282947073.55999988</v>
          </cell>
          <cell r="O6">
            <v>-24855585.18</v>
          </cell>
          <cell r="P6">
            <v>-31411664.010000002</v>
          </cell>
          <cell r="Q6">
            <v>-24265002.169999998</v>
          </cell>
          <cell r="R6">
            <v>-18015041.620000005</v>
          </cell>
          <cell r="S6">
            <v>-20166010.360000011</v>
          </cell>
          <cell r="T6">
            <v>-17008282.789999969</v>
          </cell>
          <cell r="U6">
            <v>-19508960.18999999</v>
          </cell>
          <cell r="V6">
            <v>-17366075.990000013</v>
          </cell>
          <cell r="W6">
            <v>-18723108.919999987</v>
          </cell>
          <cell r="X6">
            <v>-17335169.340000007</v>
          </cell>
          <cell r="Y6">
            <v>-21092757.369999982</v>
          </cell>
          <cell r="Z6">
            <v>-20506452.290000044</v>
          </cell>
          <cell r="AA6">
            <v>-250254110.23000002</v>
          </cell>
          <cell r="AB6">
            <v>-21812900.989999998</v>
          </cell>
          <cell r="AC6">
            <v>-25825361.879999999</v>
          </cell>
          <cell r="AD6">
            <v>-23122363.149999991</v>
          </cell>
          <cell r="AE6">
            <v>-22548912.140000008</v>
          </cell>
          <cell r="AF6">
            <v>-24808191.81000001</v>
          </cell>
          <cell r="AG6">
            <v>-26346447.489999972</v>
          </cell>
          <cell r="AH6">
            <v>-25834123.49000001</v>
          </cell>
          <cell r="AI6">
            <v>-27481272.009999987</v>
          </cell>
          <cell r="AJ6">
            <v>-26375762.419999987</v>
          </cell>
          <cell r="AK6">
            <v>-29198709.159999967</v>
          </cell>
          <cell r="AL6">
            <v>-33771967.400000028</v>
          </cell>
          <cell r="AM6">
            <v>-26525773.160000041</v>
          </cell>
          <cell r="AN6">
            <v>-313651785.09999996</v>
          </cell>
          <cell r="AO6">
            <v>-25660843.129999999</v>
          </cell>
          <cell r="AP6">
            <v>-29103751.23</v>
          </cell>
          <cell r="AQ6">
            <v>-26896296.43</v>
          </cell>
          <cell r="AR6">
            <v>-22900457.280000001</v>
          </cell>
          <cell r="AS6">
            <v>-26070343.530000001</v>
          </cell>
          <cell r="AT6">
            <v>-23634219.859999999</v>
          </cell>
          <cell r="AU6">
            <v>-23940070.66</v>
          </cell>
          <cell r="AV6">
            <v>-34966942.149999999</v>
          </cell>
          <cell r="AW6">
            <v>-22027243.370000001</v>
          </cell>
          <cell r="AX6">
            <v>-29163361.449999999</v>
          </cell>
          <cell r="AY6">
            <v>-27521643.870000001</v>
          </cell>
          <cell r="AZ6">
            <v>-35136626.670000002</v>
          </cell>
          <cell r="BA6">
            <v>-327021799.63</v>
          </cell>
          <cell r="BB6">
            <v>-33832217.420000002</v>
          </cell>
          <cell r="BC6">
            <v>-31825420.550000001</v>
          </cell>
          <cell r="BD6">
            <v>-28825967.93</v>
          </cell>
          <cell r="BE6">
            <v>-30193661.010000002</v>
          </cell>
          <cell r="BF6">
            <v>-27845660.010000002</v>
          </cell>
          <cell r="BG6">
            <v>-16075418.42</v>
          </cell>
          <cell r="BH6">
            <v>-18501311.039999999</v>
          </cell>
          <cell r="BI6">
            <v>-27622010.460000001</v>
          </cell>
          <cell r="BJ6">
            <v>-28637596.780000001</v>
          </cell>
          <cell r="BK6">
            <v>-27596156.079999998</v>
          </cell>
          <cell r="BL6">
            <v>-33592476.380000003</v>
          </cell>
          <cell r="BM6">
            <v>-40794323.18</v>
          </cell>
          <cell r="BN6">
            <v>-345342219.25999999</v>
          </cell>
          <cell r="BO6">
            <v>-31039969.25</v>
          </cell>
          <cell r="BP6">
            <v>-29106507.039999999</v>
          </cell>
          <cell r="BQ6">
            <v>-26748165.920000002</v>
          </cell>
          <cell r="BR6">
            <v>-28476868.149999999</v>
          </cell>
          <cell r="BS6">
            <v>-19961082.350000001</v>
          </cell>
          <cell r="BT6">
            <v>-22927242.530000001</v>
          </cell>
          <cell r="BU6">
            <v>-26638175.050000001</v>
          </cell>
          <cell r="BV6">
            <v>-33571840.729999997</v>
          </cell>
          <cell r="BW6">
            <v>-23252517.609999999</v>
          </cell>
          <cell r="BX6">
            <v>-32155191.890000001</v>
          </cell>
          <cell r="BY6">
            <v>-22696657.445299994</v>
          </cell>
          <cell r="BZ6">
            <v>-31910506.388234545</v>
          </cell>
          <cell r="CA6">
            <v>-328484724.35353452</v>
          </cell>
          <cell r="CB6">
            <v>-30772924.376596361</v>
          </cell>
          <cell r="CC6">
            <v>-32985187.404950682</v>
          </cell>
          <cell r="CD6">
            <v>-30468478.324916098</v>
          </cell>
          <cell r="CE6">
            <v>-33201601.266590748</v>
          </cell>
          <cell r="CF6">
            <v>-28164656.008211311</v>
          </cell>
          <cell r="CG6">
            <v>-32892620.648798611</v>
          </cell>
          <cell r="CH6">
            <v>-35589818.117749766</v>
          </cell>
          <cell r="CI6">
            <v>-39129447.734649874</v>
          </cell>
          <cell r="CJ6">
            <v>-36641938.883065283</v>
          </cell>
          <cell r="CK6">
            <v>-40609457.55783698</v>
          </cell>
          <cell r="CL6">
            <v>-27683108.063445978</v>
          </cell>
          <cell r="CM6">
            <v>-37461934.692354493</v>
          </cell>
          <cell r="CN6">
            <v>-405601173.07916617</v>
          </cell>
          <cell r="CO6">
            <v>-30123965.911067665</v>
          </cell>
          <cell r="CP6">
            <v>-30123965.911067665</v>
          </cell>
          <cell r="CQ6">
            <v>-30123965.911067665</v>
          </cell>
          <cell r="CR6">
            <v>-30123965.911067665</v>
          </cell>
          <cell r="CS6">
            <v>-30123965.911067665</v>
          </cell>
          <cell r="CT6">
            <v>-30123965.911067665</v>
          </cell>
          <cell r="CU6">
            <v>-30123965.911067665</v>
          </cell>
          <cell r="CV6">
            <v>-30123965.911067665</v>
          </cell>
          <cell r="CW6">
            <v>-30123965.911067665</v>
          </cell>
          <cell r="CX6">
            <v>-30123965.911067665</v>
          </cell>
          <cell r="CY6">
            <v>-30123965.911067665</v>
          </cell>
          <cell r="CZ6">
            <v>-30123965.911067665</v>
          </cell>
          <cell r="DA6">
            <v>-361487590.93281198</v>
          </cell>
          <cell r="DB6">
            <v>-31328924.547510371</v>
          </cell>
          <cell r="DC6">
            <v>-31328924.547510371</v>
          </cell>
          <cell r="DD6">
            <v>-31328924.547510371</v>
          </cell>
          <cell r="DE6">
            <v>-31328924.547510371</v>
          </cell>
          <cell r="DF6">
            <v>-31328924.547510371</v>
          </cell>
          <cell r="DG6">
            <v>-31328924.547510371</v>
          </cell>
          <cell r="DH6">
            <v>-31328924.547510371</v>
          </cell>
          <cell r="DI6">
            <v>-31328924.547510371</v>
          </cell>
          <cell r="DJ6">
            <v>-31328924.547510371</v>
          </cell>
          <cell r="DK6">
            <v>-31328924.547510371</v>
          </cell>
          <cell r="DL6">
            <v>-31328924.547510371</v>
          </cell>
          <cell r="DM6">
            <v>-31328924.547510371</v>
          </cell>
          <cell r="DN6">
            <v>-375947094.57012457</v>
          </cell>
          <cell r="DO6">
            <v>-32582081.529410787</v>
          </cell>
          <cell r="DP6">
            <v>-32582081.529410787</v>
          </cell>
          <cell r="DQ6">
            <v>-32582081.529410787</v>
          </cell>
          <cell r="DR6">
            <v>-32582081.529410787</v>
          </cell>
          <cell r="DS6">
            <v>-32582081.529410787</v>
          </cell>
          <cell r="DT6">
            <v>-32582081.529410787</v>
          </cell>
          <cell r="DU6">
            <v>-32582081.529410787</v>
          </cell>
          <cell r="DV6">
            <v>-32582081.529410787</v>
          </cell>
          <cell r="DW6">
            <v>-32582081.529410787</v>
          </cell>
          <cell r="DX6">
            <v>-32582081.529410787</v>
          </cell>
          <cell r="DY6">
            <v>-32582081.529410787</v>
          </cell>
          <cell r="DZ6">
            <v>-32582081.529410787</v>
          </cell>
          <cell r="EA6">
            <v>-390984978.35292941</v>
          </cell>
          <cell r="EB6">
            <v>-33885364.790587224</v>
          </cell>
          <cell r="EC6">
            <v>-33885364.790587224</v>
          </cell>
          <cell r="ED6">
            <v>-33885364.790587224</v>
          </cell>
          <cell r="EE6">
            <v>-33885364.790587224</v>
          </cell>
          <cell r="EF6">
            <v>-33885364.790587224</v>
          </cell>
          <cell r="EG6">
            <v>-33885364.790587224</v>
          </cell>
          <cell r="EH6">
            <v>-33885364.790587224</v>
          </cell>
          <cell r="EI6">
            <v>-33885364.790587224</v>
          </cell>
          <cell r="EJ6">
            <v>-33885364.790587224</v>
          </cell>
          <cell r="EK6">
            <v>-33885364.790587224</v>
          </cell>
          <cell r="EL6">
            <v>-33885364.790587224</v>
          </cell>
          <cell r="EM6">
            <v>-33885364.790587224</v>
          </cell>
          <cell r="EN6">
            <v>-406624377.48704678</v>
          </cell>
        </row>
        <row r="7">
          <cell r="A7" t="str">
            <v>MARGEN BRUTO</v>
          </cell>
          <cell r="B7">
            <v>3219275.1100000013</v>
          </cell>
          <cell r="C7">
            <v>-7051656.6199999973</v>
          </cell>
          <cell r="D7">
            <v>8890214.0500000045</v>
          </cell>
          <cell r="E7">
            <v>6647785.3399999961</v>
          </cell>
          <cell r="F7">
            <v>5350770.6600000151</v>
          </cell>
          <cell r="G7">
            <v>13141335.980000041</v>
          </cell>
          <cell r="H7">
            <v>21933939.590000033</v>
          </cell>
          <cell r="I7">
            <v>10199038.20999999</v>
          </cell>
          <cell r="J7">
            <v>16299180.229999945</v>
          </cell>
          <cell r="K7">
            <v>-1617432.9199999943</v>
          </cell>
          <cell r="L7">
            <v>10933004.640000034</v>
          </cell>
          <cell r="M7">
            <v>8543102.6900001504</v>
          </cell>
          <cell r="N7">
            <v>96488556.960000202</v>
          </cell>
          <cell r="O7">
            <v>11860158.019999981</v>
          </cell>
          <cell r="P7">
            <v>3008468.8799999766</v>
          </cell>
          <cell r="Q7">
            <v>4545018.610000018</v>
          </cell>
          <cell r="R7">
            <v>30423386.56999997</v>
          </cell>
          <cell r="S7">
            <v>1145548.1199999936</v>
          </cell>
          <cell r="T7">
            <v>11147911.880000044</v>
          </cell>
          <cell r="U7">
            <v>7342973.1400000229</v>
          </cell>
          <cell r="V7">
            <v>11613441.969999995</v>
          </cell>
          <cell r="W7">
            <v>5867188.6700000055</v>
          </cell>
          <cell r="X7">
            <v>510021.96999999508</v>
          </cell>
          <cell r="Y7">
            <v>6792697.1200000122</v>
          </cell>
          <cell r="Z7">
            <v>7640061.1599999517</v>
          </cell>
          <cell r="AA7">
            <v>101896876.10999997</v>
          </cell>
          <cell r="AB7">
            <v>11483592.409999996</v>
          </cell>
          <cell r="AC7">
            <v>1318063.6900000311</v>
          </cell>
          <cell r="AD7">
            <v>3679407.4300000034</v>
          </cell>
          <cell r="AE7">
            <v>10581308.689999968</v>
          </cell>
          <cell r="AF7">
            <v>15825039.699999966</v>
          </cell>
          <cell r="AG7">
            <v>8515977.3700000122</v>
          </cell>
          <cell r="AH7">
            <v>13379126.709999956</v>
          </cell>
          <cell r="AI7">
            <v>11559487.189999994</v>
          </cell>
          <cell r="AJ7">
            <v>19185801.649999991</v>
          </cell>
          <cell r="AK7">
            <v>-3562163.0099999718</v>
          </cell>
          <cell r="AL7">
            <v>-4814078.0500000305</v>
          </cell>
          <cell r="AM7">
            <v>17352611.659999937</v>
          </cell>
          <cell r="AN7">
            <v>104504175.43999985</v>
          </cell>
          <cell r="AO7">
            <v>2169586.9299999997</v>
          </cell>
          <cell r="AP7">
            <v>291814.12000000104</v>
          </cell>
          <cell r="AQ7">
            <v>5429454.4200000018</v>
          </cell>
          <cell r="AR7">
            <v>10891206.019999996</v>
          </cell>
          <cell r="AS7">
            <v>11711235.009999998</v>
          </cell>
          <cell r="AT7">
            <v>10120349.950000003</v>
          </cell>
          <cell r="AU7">
            <v>18572380.949999999</v>
          </cell>
          <cell r="AV7">
            <v>938882.3200000003</v>
          </cell>
          <cell r="AW7">
            <v>13395288.330000002</v>
          </cell>
          <cell r="AX7">
            <v>26265292.010000002</v>
          </cell>
          <cell r="AY7">
            <v>-995986.78000000119</v>
          </cell>
          <cell r="AZ7">
            <v>11953315.199999996</v>
          </cell>
          <cell r="BA7">
            <v>110742818.48000002</v>
          </cell>
          <cell r="BB7">
            <v>17906190.449999996</v>
          </cell>
          <cell r="BC7">
            <v>-616963.08999999985</v>
          </cell>
          <cell r="BD7">
            <v>-73487.35000000149</v>
          </cell>
          <cell r="BE7">
            <v>-2946782.6800000034</v>
          </cell>
          <cell r="BF7">
            <v>4485043.3999999985</v>
          </cell>
          <cell r="BG7">
            <v>12778747.560000001</v>
          </cell>
          <cell r="BH7">
            <v>8805346.870000001</v>
          </cell>
          <cell r="BI7">
            <v>18128380.210000001</v>
          </cell>
          <cell r="BJ7">
            <v>4133091.41</v>
          </cell>
          <cell r="BK7">
            <v>18016011.190000005</v>
          </cell>
          <cell r="BL7">
            <v>6037286.5099999979</v>
          </cell>
          <cell r="BM7">
            <v>127092.79999999702</v>
          </cell>
          <cell r="BN7">
            <v>86779957.279999986</v>
          </cell>
          <cell r="BO7">
            <v>5650288.299999997</v>
          </cell>
          <cell r="BP7">
            <v>15128877.530000001</v>
          </cell>
          <cell r="BQ7">
            <v>12281201.399999999</v>
          </cell>
          <cell r="BR7">
            <v>25720702.670000002</v>
          </cell>
          <cell r="BS7">
            <v>4330007.1699999981</v>
          </cell>
          <cell r="BT7">
            <v>29010956.5</v>
          </cell>
          <cell r="BU7">
            <v>34121758.909999996</v>
          </cell>
          <cell r="BV7">
            <v>16563468.860000007</v>
          </cell>
          <cell r="BW7">
            <v>48718790.700000003</v>
          </cell>
          <cell r="BX7">
            <v>-115809.49000000209</v>
          </cell>
          <cell r="BY7">
            <v>3403342.5547000058</v>
          </cell>
          <cell r="BZ7">
            <v>7262345.2821033858</v>
          </cell>
          <cell r="CA7">
            <v>202075930.38680342</v>
          </cell>
          <cell r="CB7">
            <v>15206595.223336972</v>
          </cell>
          <cell r="CC7">
            <v>5853810.2573826499</v>
          </cell>
          <cell r="CD7">
            <v>5217018.5054172389</v>
          </cell>
          <cell r="CE7">
            <v>5551751.15974259</v>
          </cell>
          <cell r="CF7">
            <v>4559927.7141220234</v>
          </cell>
          <cell r="CG7">
            <v>5651423.6540347226</v>
          </cell>
          <cell r="CH7">
            <v>6602800.3865835741</v>
          </cell>
          <cell r="CI7">
            <v>7344422.1690834537</v>
          </cell>
          <cell r="CJ7">
            <v>7105750.3419680521</v>
          </cell>
          <cell r="CK7">
            <v>7707719.7824963555</v>
          </cell>
          <cell r="CL7">
            <v>5099979.9398873523</v>
          </cell>
          <cell r="CM7">
            <v>6994372.2905788347</v>
          </cell>
          <cell r="CN7">
            <v>82895571.424633831</v>
          </cell>
          <cell r="CO7">
            <v>10584096.130915664</v>
          </cell>
          <cell r="CP7">
            <v>10584096.130915664</v>
          </cell>
          <cell r="CQ7">
            <v>10584096.130915664</v>
          </cell>
          <cell r="CR7">
            <v>10584096.130915664</v>
          </cell>
          <cell r="CS7">
            <v>10584096.130915664</v>
          </cell>
          <cell r="CT7">
            <v>10584096.130915664</v>
          </cell>
          <cell r="CU7">
            <v>10584096.130915664</v>
          </cell>
          <cell r="CV7">
            <v>10584096.130915664</v>
          </cell>
          <cell r="CW7">
            <v>10584096.130915664</v>
          </cell>
          <cell r="CX7">
            <v>10584096.130915664</v>
          </cell>
          <cell r="CY7">
            <v>10584096.130915664</v>
          </cell>
          <cell r="CZ7">
            <v>10584096.130915664</v>
          </cell>
          <cell r="DA7">
            <v>127009153.570988</v>
          </cell>
          <cell r="DB7">
            <v>11007459.976152293</v>
          </cell>
          <cell r="DC7">
            <v>11007459.976152293</v>
          </cell>
          <cell r="DD7">
            <v>11007459.976152293</v>
          </cell>
          <cell r="DE7">
            <v>11007459.976152293</v>
          </cell>
          <cell r="DF7">
            <v>11007459.976152293</v>
          </cell>
          <cell r="DG7">
            <v>11007459.976152293</v>
          </cell>
          <cell r="DH7">
            <v>11007459.976152293</v>
          </cell>
          <cell r="DI7">
            <v>11007459.976152293</v>
          </cell>
          <cell r="DJ7">
            <v>11007459.976152293</v>
          </cell>
          <cell r="DK7">
            <v>11007459.976152293</v>
          </cell>
          <cell r="DL7">
            <v>11007459.976152293</v>
          </cell>
          <cell r="DM7">
            <v>11007459.976152293</v>
          </cell>
          <cell r="DN7">
            <v>132089519.71382755</v>
          </cell>
          <cell r="DO7">
            <v>11447758.375198387</v>
          </cell>
          <cell r="DP7">
            <v>11447758.375198387</v>
          </cell>
          <cell r="DQ7">
            <v>11447758.375198387</v>
          </cell>
          <cell r="DR7">
            <v>11447758.375198387</v>
          </cell>
          <cell r="DS7">
            <v>11447758.375198387</v>
          </cell>
          <cell r="DT7">
            <v>11447758.375198387</v>
          </cell>
          <cell r="DU7">
            <v>11447758.375198387</v>
          </cell>
          <cell r="DV7">
            <v>11447758.375198387</v>
          </cell>
          <cell r="DW7">
            <v>11447758.375198387</v>
          </cell>
          <cell r="DX7">
            <v>11447758.375198387</v>
          </cell>
          <cell r="DY7">
            <v>11447758.375198387</v>
          </cell>
          <cell r="DZ7">
            <v>11447758.375198387</v>
          </cell>
          <cell r="EA7">
            <v>137373100.50238067</v>
          </cell>
          <cell r="EB7">
            <v>11905668.710206322</v>
          </cell>
          <cell r="EC7">
            <v>11905668.710206322</v>
          </cell>
          <cell r="ED7">
            <v>11905668.710206322</v>
          </cell>
          <cell r="EE7">
            <v>11905668.710206322</v>
          </cell>
          <cell r="EF7">
            <v>11905668.710206322</v>
          </cell>
          <cell r="EG7">
            <v>11905668.710206322</v>
          </cell>
          <cell r="EH7">
            <v>11905668.710206322</v>
          </cell>
          <cell r="EI7">
            <v>11905668.710206322</v>
          </cell>
          <cell r="EJ7">
            <v>11905668.710206322</v>
          </cell>
          <cell r="EK7">
            <v>11905668.710206322</v>
          </cell>
          <cell r="EL7">
            <v>11905668.710206322</v>
          </cell>
          <cell r="EM7">
            <v>11905668.710206322</v>
          </cell>
          <cell r="EN7">
            <v>142868024.5224759</v>
          </cell>
        </row>
        <row r="8">
          <cell r="A8" t="str">
            <v>GASTOS DE ADMINISTRACION</v>
          </cell>
          <cell r="B8">
            <v>-74493.139999999985</v>
          </cell>
          <cell r="C8">
            <v>-157643.63</v>
          </cell>
          <cell r="D8">
            <v>-650067.96</v>
          </cell>
          <cell r="E8">
            <v>-357899.74000000017</v>
          </cell>
          <cell r="F8">
            <v>-1749108.2700000009</v>
          </cell>
          <cell r="G8">
            <v>-923973.57999999903</v>
          </cell>
          <cell r="H8">
            <v>-1026261.2300000001</v>
          </cell>
          <cell r="I8">
            <v>-1562606.66</v>
          </cell>
          <cell r="J8">
            <v>-1387394.3399999999</v>
          </cell>
          <cell r="K8">
            <v>-952110.42999999947</v>
          </cell>
          <cell r="L8">
            <v>-898928.15000000014</v>
          </cell>
          <cell r="M8">
            <v>-836963.5900000002</v>
          </cell>
          <cell r="N8">
            <v>-10577450.720000001</v>
          </cell>
          <cell r="O8">
            <v>-1010363.1700000003</v>
          </cell>
          <cell r="P8">
            <v>-820053.04999999935</v>
          </cell>
          <cell r="Q8">
            <v>-1593950.2</v>
          </cell>
          <cell r="R8">
            <v>-997697.50999999978</v>
          </cell>
          <cell r="S8">
            <v>-881678.41000000061</v>
          </cell>
          <cell r="T8">
            <v>-1006446.4099999999</v>
          </cell>
          <cell r="U8">
            <v>-932409.27000000014</v>
          </cell>
          <cell r="V8">
            <v>-722672.47</v>
          </cell>
          <cell r="W8">
            <v>-1066462.4699999997</v>
          </cell>
          <cell r="X8">
            <v>-874068.32000000018</v>
          </cell>
          <cell r="Y8">
            <v>-1086018.01</v>
          </cell>
          <cell r="Z8">
            <v>-1598492.7300000004</v>
          </cell>
          <cell r="AA8">
            <v>-12590312.020000001</v>
          </cell>
          <cell r="AB8">
            <v>-913384.01000000013</v>
          </cell>
          <cell r="AC8">
            <v>-1232982.29</v>
          </cell>
          <cell r="AD8">
            <v>-1621716.66</v>
          </cell>
          <cell r="AE8">
            <v>-825555.24</v>
          </cell>
          <cell r="AF8">
            <v>-753230.84</v>
          </cell>
          <cell r="AG8">
            <v>-874034.76000000059</v>
          </cell>
          <cell r="AH8">
            <v>-863225.07999999984</v>
          </cell>
          <cell r="AI8">
            <v>-721682.14000000013</v>
          </cell>
          <cell r="AJ8">
            <v>-1183761.8699999999</v>
          </cell>
          <cell r="AK8">
            <v>-766293.41</v>
          </cell>
          <cell r="AL8">
            <v>-736838.49000000011</v>
          </cell>
          <cell r="AM8">
            <v>-851507.81000000017</v>
          </cell>
          <cell r="AN8">
            <v>-11344212.600000001</v>
          </cell>
          <cell r="AO8">
            <v>-753872.57</v>
          </cell>
          <cell r="AP8">
            <v>-940756.54</v>
          </cell>
          <cell r="AQ8">
            <v>-992983.88</v>
          </cell>
          <cell r="AR8">
            <v>-778109.73</v>
          </cell>
          <cell r="AS8">
            <v>-1110318.0800000001</v>
          </cell>
          <cell r="AT8">
            <v>-1479437.93</v>
          </cell>
          <cell r="AU8">
            <v>-1015844.17</v>
          </cell>
          <cell r="AV8">
            <v>-865259.05</v>
          </cell>
          <cell r="AW8">
            <v>-1088031.07</v>
          </cell>
          <cell r="AX8">
            <v>-705014.41</v>
          </cell>
          <cell r="AY8">
            <v>-812545.65</v>
          </cell>
          <cell r="AZ8">
            <v>-1069544.78</v>
          </cell>
          <cell r="BA8">
            <v>-11611717.859999999</v>
          </cell>
          <cell r="BB8">
            <v>-762056.68</v>
          </cell>
          <cell r="BC8">
            <v>-803591.32</v>
          </cell>
          <cell r="BD8">
            <v>-1372664.15</v>
          </cell>
          <cell r="BE8">
            <v>-899199.17</v>
          </cell>
          <cell r="BF8">
            <v>-744969.87</v>
          </cell>
          <cell r="BG8">
            <v>-821586.58</v>
          </cell>
          <cell r="BH8">
            <v>-782527.88</v>
          </cell>
          <cell r="BI8">
            <v>-1080400.23</v>
          </cell>
          <cell r="BJ8">
            <v>-950464.02</v>
          </cell>
          <cell r="BK8">
            <v>-723857.37</v>
          </cell>
          <cell r="BL8">
            <v>-722581.34</v>
          </cell>
          <cell r="BM8">
            <v>-998115.77</v>
          </cell>
          <cell r="BN8">
            <v>-10662014.379999997</v>
          </cell>
          <cell r="BO8">
            <v>-818156.95</v>
          </cell>
          <cell r="BP8">
            <v>-753385.32</v>
          </cell>
          <cell r="BQ8">
            <v>-1268038.97</v>
          </cell>
          <cell r="BR8">
            <v>-883562.16</v>
          </cell>
          <cell r="BS8">
            <v>-1308160.83</v>
          </cell>
          <cell r="BT8">
            <v>-1228978.45</v>
          </cell>
          <cell r="BU8">
            <v>-4895995.7699999996</v>
          </cell>
          <cell r="BV8">
            <v>-1049694.29</v>
          </cell>
          <cell r="BW8">
            <v>-1205608.68</v>
          </cell>
          <cell r="BX8">
            <v>-5261478.4000000004</v>
          </cell>
          <cell r="BY8">
            <v>-991771.72235376632</v>
          </cell>
          <cell r="BZ8">
            <v>-1488525.9222451977</v>
          </cell>
          <cell r="CA8">
            <v>-21153357.464598965</v>
          </cell>
          <cell r="CB8">
            <v>-1198227.3020523335</v>
          </cell>
          <cell r="CC8">
            <v>-1198227.3020523335</v>
          </cell>
          <cell r="CD8">
            <v>-1198227.3020523335</v>
          </cell>
          <cell r="CE8">
            <v>-1198227.3020523335</v>
          </cell>
          <cell r="CF8">
            <v>-1198227.3020523335</v>
          </cell>
          <cell r="CG8">
            <v>-1198227.3020523335</v>
          </cell>
          <cell r="CH8">
            <v>-1198227.3020523335</v>
          </cell>
          <cell r="CI8">
            <v>-1198227.3020523335</v>
          </cell>
          <cell r="CJ8">
            <v>-1198227.3020523335</v>
          </cell>
          <cell r="CK8">
            <v>-1198227.3020523335</v>
          </cell>
          <cell r="CL8">
            <v>-1198227.3020523335</v>
          </cell>
          <cell r="CM8">
            <v>-1198227.3020523335</v>
          </cell>
          <cell r="CN8">
            <v>-14378727.624628006</v>
          </cell>
          <cell r="CO8">
            <v>-1546862.2530675011</v>
          </cell>
          <cell r="CP8">
            <v>-1546862.2530675011</v>
          </cell>
          <cell r="CQ8">
            <v>-1546862.2530675011</v>
          </cell>
          <cell r="CR8">
            <v>-1546862.2530675011</v>
          </cell>
          <cell r="CS8">
            <v>-1546862.2530675011</v>
          </cell>
          <cell r="CT8">
            <v>-1546862.2530675011</v>
          </cell>
          <cell r="CU8">
            <v>-1546862.2530675011</v>
          </cell>
          <cell r="CV8">
            <v>-1546862.2530675011</v>
          </cell>
          <cell r="CW8">
            <v>-1546862.2530675011</v>
          </cell>
          <cell r="CX8">
            <v>-1546862.2530675011</v>
          </cell>
          <cell r="CY8">
            <v>-1546862.2530675011</v>
          </cell>
          <cell r="CZ8">
            <v>-1546862.2530675011</v>
          </cell>
          <cell r="DA8">
            <v>-18562347.036810014</v>
          </cell>
          <cell r="DB8">
            <v>-1608736.7431902012</v>
          </cell>
          <cell r="DC8">
            <v>-1608736.7431902012</v>
          </cell>
          <cell r="DD8">
            <v>-1608736.7431902012</v>
          </cell>
          <cell r="DE8">
            <v>-1608736.7431902012</v>
          </cell>
          <cell r="DF8">
            <v>-1608736.7431902012</v>
          </cell>
          <cell r="DG8">
            <v>-1608736.7431902012</v>
          </cell>
          <cell r="DH8">
            <v>-1608736.7431902012</v>
          </cell>
          <cell r="DI8">
            <v>-1608736.7431902012</v>
          </cell>
          <cell r="DJ8">
            <v>-1608736.7431902012</v>
          </cell>
          <cell r="DK8">
            <v>-1608736.7431902012</v>
          </cell>
          <cell r="DL8">
            <v>-1608736.7431902012</v>
          </cell>
          <cell r="DM8">
            <v>-1608736.7431902012</v>
          </cell>
          <cell r="DN8">
            <v>-19304840.918282416</v>
          </cell>
          <cell r="DO8">
            <v>-1673086.2129178096</v>
          </cell>
          <cell r="DP8">
            <v>-1673086.2129178096</v>
          </cell>
          <cell r="DQ8">
            <v>-1673086.2129178096</v>
          </cell>
          <cell r="DR8">
            <v>-1673086.2129178096</v>
          </cell>
          <cell r="DS8">
            <v>-1673086.2129178096</v>
          </cell>
          <cell r="DT8">
            <v>-1673086.2129178096</v>
          </cell>
          <cell r="DU8">
            <v>-1673086.2129178096</v>
          </cell>
          <cell r="DV8">
            <v>-1673086.2129178096</v>
          </cell>
          <cell r="DW8">
            <v>-1673086.2129178096</v>
          </cell>
          <cell r="DX8">
            <v>-1673086.2129178096</v>
          </cell>
          <cell r="DY8">
            <v>-1673086.2129178096</v>
          </cell>
          <cell r="DZ8">
            <v>-1673086.2129178096</v>
          </cell>
          <cell r="EA8">
            <v>-20077034.555013716</v>
          </cell>
          <cell r="EB8">
            <v>-1740009.6614345221</v>
          </cell>
          <cell r="EC8">
            <v>-1740009.6614345221</v>
          </cell>
          <cell r="ED8">
            <v>-1740009.6614345221</v>
          </cell>
          <cell r="EE8">
            <v>-1740009.6614345221</v>
          </cell>
          <cell r="EF8">
            <v>-1740009.6614345221</v>
          </cell>
          <cell r="EG8">
            <v>-1740009.6614345221</v>
          </cell>
          <cell r="EH8">
            <v>-1740009.6614345221</v>
          </cell>
          <cell r="EI8">
            <v>-1740009.6614345221</v>
          </cell>
          <cell r="EJ8">
            <v>-1740009.6614345221</v>
          </cell>
          <cell r="EK8">
            <v>-1740009.6614345221</v>
          </cell>
          <cell r="EL8">
            <v>-1740009.6614345221</v>
          </cell>
          <cell r="EM8">
            <v>-1740009.6614345221</v>
          </cell>
          <cell r="EN8">
            <v>-20880115.93721427</v>
          </cell>
        </row>
        <row r="9">
          <cell r="A9" t="str">
            <v>GASTOS DE COMERCIALIZACION</v>
          </cell>
          <cell r="B9">
            <v>-516721.68000000046</v>
          </cell>
          <cell r="C9">
            <v>-1234976.8399999994</v>
          </cell>
          <cell r="D9">
            <v>-3287363.7899999986</v>
          </cell>
          <cell r="E9">
            <v>-3265096.1300000013</v>
          </cell>
          <cell r="F9">
            <v>-4979347.299999998</v>
          </cell>
          <cell r="G9">
            <v>-4886068.6299999924</v>
          </cell>
          <cell r="H9">
            <v>-5035840.6799999932</v>
          </cell>
          <cell r="I9">
            <v>-5158539.160000002</v>
          </cell>
          <cell r="J9">
            <v>-5819740.330000001</v>
          </cell>
          <cell r="K9">
            <v>-4113132.9800000014</v>
          </cell>
          <cell r="L9">
            <v>-4067196.48</v>
          </cell>
          <cell r="M9">
            <v>-4312116.1100000031</v>
          </cell>
          <cell r="N9">
            <v>-46676140.109999985</v>
          </cell>
          <cell r="O9">
            <v>-4542206.0299999937</v>
          </cell>
          <cell r="P9">
            <v>-4217404.8399999961</v>
          </cell>
          <cell r="Q9">
            <v>-3889402.4900000053</v>
          </cell>
          <cell r="R9">
            <v>-3683709.5100000044</v>
          </cell>
          <cell r="S9">
            <v>-3083063.7900000005</v>
          </cell>
          <cell r="T9">
            <v>-3901941.8499999992</v>
          </cell>
          <cell r="U9">
            <v>-4988220.9199999971</v>
          </cell>
          <cell r="V9">
            <v>-4403776.5200000014</v>
          </cell>
          <cell r="W9">
            <v>-3876037.0899999957</v>
          </cell>
          <cell r="X9">
            <v>-3296998.4000000004</v>
          </cell>
          <cell r="Y9">
            <v>-3779455.5099999974</v>
          </cell>
          <cell r="Z9">
            <v>-5038152.6199999973</v>
          </cell>
          <cell r="AA9">
            <v>-48700369.569999985</v>
          </cell>
          <cell r="AB9">
            <v>-4213270.66</v>
          </cell>
          <cell r="AC9">
            <v>-4324148.3899999941</v>
          </cell>
          <cell r="AD9">
            <v>-4537455.9400000013</v>
          </cell>
          <cell r="AE9">
            <v>-4342952.6800000025</v>
          </cell>
          <cell r="AF9">
            <v>-4892960.3200000059</v>
          </cell>
          <cell r="AG9">
            <v>-5209167.1600000011</v>
          </cell>
          <cell r="AH9">
            <v>-5623047.6700000009</v>
          </cell>
          <cell r="AI9">
            <v>-4823771.5600000098</v>
          </cell>
          <cell r="AJ9">
            <v>-5546281.0600000145</v>
          </cell>
          <cell r="AK9">
            <v>-4260102.5799999973</v>
          </cell>
          <cell r="AL9">
            <v>-4010633.9199999985</v>
          </cell>
          <cell r="AM9">
            <v>-4638387.0699999966</v>
          </cell>
          <cell r="AN9">
            <v>-56422179.01000002</v>
          </cell>
          <cell r="AO9">
            <v>-4349703.57</v>
          </cell>
          <cell r="AP9">
            <v>-5670219.0899999999</v>
          </cell>
          <cell r="AQ9">
            <v>-5062639.82</v>
          </cell>
          <cell r="AR9">
            <v>-5039066.82</v>
          </cell>
          <cell r="AS9">
            <v>-5355148.21</v>
          </cell>
          <cell r="AT9">
            <v>-5162504.74</v>
          </cell>
          <cell r="AU9">
            <v>-6580880.2000000002</v>
          </cell>
          <cell r="AV9">
            <v>-5431534.9000000004</v>
          </cell>
          <cell r="AW9">
            <v>-5458995.5700000003</v>
          </cell>
          <cell r="AX9">
            <v>-5118902.97</v>
          </cell>
          <cell r="AY9">
            <v>-5156803.29</v>
          </cell>
          <cell r="AZ9">
            <v>-7871570.8200000003</v>
          </cell>
          <cell r="BA9">
            <v>-66257970</v>
          </cell>
          <cell r="BB9">
            <v>-5624672.1600000001</v>
          </cell>
          <cell r="BC9">
            <v>-6318041.1500000004</v>
          </cell>
          <cell r="BD9">
            <v>-5292556.83</v>
          </cell>
          <cell r="BE9">
            <v>-5662959.6200000001</v>
          </cell>
          <cell r="BF9">
            <v>-4586425.58</v>
          </cell>
          <cell r="BG9">
            <v>-4122134.53</v>
          </cell>
          <cell r="BH9">
            <v>-3533010.88</v>
          </cell>
          <cell r="BI9">
            <v>-3000055.49</v>
          </cell>
          <cell r="BJ9">
            <v>-3143658.66</v>
          </cell>
          <cell r="BK9">
            <v>-2706383.8</v>
          </cell>
          <cell r="BL9">
            <v>-2425202.79</v>
          </cell>
          <cell r="BM9">
            <v>-2728198.04</v>
          </cell>
          <cell r="BN9">
            <v>-49143299.530000001</v>
          </cell>
          <cell r="BO9">
            <v>-2036367.94</v>
          </cell>
          <cell r="BP9">
            <v>-2150087.54</v>
          </cell>
          <cell r="BQ9">
            <v>-2151965.6</v>
          </cell>
          <cell r="BR9">
            <v>-2082448.3</v>
          </cell>
          <cell r="BS9">
            <v>-1909851.08</v>
          </cell>
          <cell r="BT9">
            <v>-2215088.13</v>
          </cell>
          <cell r="BU9">
            <v>-2047390.85</v>
          </cell>
          <cell r="BV9">
            <v>-2031099.88</v>
          </cell>
          <cell r="BW9">
            <v>-2487313.23</v>
          </cell>
          <cell r="BX9">
            <v>-2369895.2999999998</v>
          </cell>
          <cell r="BY9">
            <v>-1389136.1263993485</v>
          </cell>
          <cell r="BZ9">
            <v>-2084920.4379061104</v>
          </cell>
          <cell r="CA9">
            <v>-24955564.41430546</v>
          </cell>
          <cell r="CB9">
            <v>-2293147.022579696</v>
          </cell>
          <cell r="CC9">
            <v>-2293147.022579696</v>
          </cell>
          <cell r="CD9">
            <v>-2293147.022579696</v>
          </cell>
          <cell r="CE9">
            <v>-2293147.022579696</v>
          </cell>
          <cell r="CF9">
            <v>-2293147.022579696</v>
          </cell>
          <cell r="CG9">
            <v>-2293147.022579696</v>
          </cell>
          <cell r="CH9">
            <v>-2293147.022579696</v>
          </cell>
          <cell r="CI9">
            <v>-2293147.022579696</v>
          </cell>
          <cell r="CJ9">
            <v>-2293147.022579696</v>
          </cell>
          <cell r="CK9">
            <v>-2293147.022579696</v>
          </cell>
          <cell r="CL9">
            <v>-2293147.022579696</v>
          </cell>
          <cell r="CM9">
            <v>-2293147.022579696</v>
          </cell>
          <cell r="CN9">
            <v>-27517764.270956352</v>
          </cell>
          <cell r="CO9">
            <v>-4884967.4450379992</v>
          </cell>
          <cell r="CP9">
            <v>-4884967.4450379992</v>
          </cell>
          <cell r="CQ9">
            <v>-4884967.4450379992</v>
          </cell>
          <cell r="CR9">
            <v>-4884967.4450379992</v>
          </cell>
          <cell r="CS9">
            <v>-4884967.4450379992</v>
          </cell>
          <cell r="CT9">
            <v>-4884967.4450379992</v>
          </cell>
          <cell r="CU9">
            <v>-4884967.4450379992</v>
          </cell>
          <cell r="CV9">
            <v>-4884967.4450379992</v>
          </cell>
          <cell r="CW9">
            <v>-4884967.4450379992</v>
          </cell>
          <cell r="CX9">
            <v>-4884967.4450379992</v>
          </cell>
          <cell r="CY9">
            <v>-4884967.4450379992</v>
          </cell>
          <cell r="CZ9">
            <v>-4884967.4450379992</v>
          </cell>
          <cell r="DA9">
            <v>-58619609.340455987</v>
          </cell>
          <cell r="DB9">
            <v>-5080366.1428395193</v>
          </cell>
          <cell r="DC9">
            <v>-5080366.1428395193</v>
          </cell>
          <cell r="DD9">
            <v>-5080366.1428395193</v>
          </cell>
          <cell r="DE9">
            <v>-5080366.1428395193</v>
          </cell>
          <cell r="DF9">
            <v>-5080366.1428395193</v>
          </cell>
          <cell r="DG9">
            <v>-5080366.1428395193</v>
          </cell>
          <cell r="DH9">
            <v>-5080366.1428395193</v>
          </cell>
          <cell r="DI9">
            <v>-5080366.1428395193</v>
          </cell>
          <cell r="DJ9">
            <v>-5080366.1428395193</v>
          </cell>
          <cell r="DK9">
            <v>-5080366.1428395193</v>
          </cell>
          <cell r="DL9">
            <v>-5080366.1428395193</v>
          </cell>
          <cell r="DM9">
            <v>-5080366.1428395193</v>
          </cell>
          <cell r="DN9">
            <v>-60964393.714074247</v>
          </cell>
          <cell r="DO9">
            <v>-5283580.788553101</v>
          </cell>
          <cell r="DP9">
            <v>-5283580.788553101</v>
          </cell>
          <cell r="DQ9">
            <v>-5283580.788553101</v>
          </cell>
          <cell r="DR9">
            <v>-5283580.788553101</v>
          </cell>
          <cell r="DS9">
            <v>-5283580.788553101</v>
          </cell>
          <cell r="DT9">
            <v>-5283580.788553101</v>
          </cell>
          <cell r="DU9">
            <v>-5283580.788553101</v>
          </cell>
          <cell r="DV9">
            <v>-5283580.788553101</v>
          </cell>
          <cell r="DW9">
            <v>-5283580.788553101</v>
          </cell>
          <cell r="DX9">
            <v>-5283580.788553101</v>
          </cell>
          <cell r="DY9">
            <v>-5283580.788553101</v>
          </cell>
          <cell r="DZ9">
            <v>-5283580.788553101</v>
          </cell>
          <cell r="EA9">
            <v>-63402969.462637223</v>
          </cell>
          <cell r="EB9">
            <v>-5494924.0200952254</v>
          </cell>
          <cell r="EC9">
            <v>-5494924.0200952254</v>
          </cell>
          <cell r="ED9">
            <v>-5494924.0200952254</v>
          </cell>
          <cell r="EE9">
            <v>-5494924.0200952254</v>
          </cell>
          <cell r="EF9">
            <v>-5494924.0200952254</v>
          </cell>
          <cell r="EG9">
            <v>-5494924.0200952254</v>
          </cell>
          <cell r="EH9">
            <v>-5494924.0200952254</v>
          </cell>
          <cell r="EI9">
            <v>-5494924.0200952254</v>
          </cell>
          <cell r="EJ9">
            <v>-5494924.0200952254</v>
          </cell>
          <cell r="EK9">
            <v>-5494924.0200952254</v>
          </cell>
          <cell r="EL9">
            <v>-5494924.0200952254</v>
          </cell>
          <cell r="EM9">
            <v>-5494924.0200952254</v>
          </cell>
          <cell r="EN9">
            <v>-65939088.24114272</v>
          </cell>
        </row>
        <row r="10">
          <cell r="A10" t="str">
            <v>OTROS GASTOS/INGRESOS</v>
          </cell>
          <cell r="B10">
            <v>-8850243.1799999978</v>
          </cell>
          <cell r="C10">
            <v>1434140.8399999999</v>
          </cell>
          <cell r="D10">
            <v>319948.7699999999</v>
          </cell>
          <cell r="E10">
            <v>253789.0400000001</v>
          </cell>
          <cell r="F10">
            <v>17421.039999999979</v>
          </cell>
          <cell r="G10">
            <v>495258.07999999996</v>
          </cell>
          <cell r="H10">
            <v>120511.19999999998</v>
          </cell>
          <cell r="I10">
            <v>-833757.17999999935</v>
          </cell>
          <cell r="J10">
            <v>-6624693.3000000007</v>
          </cell>
          <cell r="K10">
            <v>-530600.77</v>
          </cell>
          <cell r="L10">
            <v>-286240.37000000005</v>
          </cell>
          <cell r="M10">
            <v>-691127.02</v>
          </cell>
          <cell r="N10">
            <v>-15175592.849999996</v>
          </cell>
          <cell r="O10">
            <v>-1834322.7799999993</v>
          </cell>
          <cell r="P10">
            <v>-1714230.77</v>
          </cell>
          <cell r="Q10">
            <v>405132.28</v>
          </cell>
          <cell r="R10">
            <v>-738105.85000000009</v>
          </cell>
          <cell r="S10">
            <v>-1474028.9400000002</v>
          </cell>
          <cell r="T10">
            <v>-1156908.6500000001</v>
          </cell>
          <cell r="U10">
            <v>-183216.07999999996</v>
          </cell>
          <cell r="V10">
            <v>-1718022.2100000004</v>
          </cell>
          <cell r="W10">
            <v>4583759.2600000007</v>
          </cell>
          <cell r="X10">
            <v>-118731.84000000003</v>
          </cell>
          <cell r="Y10">
            <v>-63070.310000000041</v>
          </cell>
          <cell r="Z10">
            <v>517948.83999999991</v>
          </cell>
          <cell r="AA10">
            <v>-3493797.0499999993</v>
          </cell>
          <cell r="AB10">
            <v>-2078906.8299999989</v>
          </cell>
          <cell r="AC10">
            <v>-2043995.2499999991</v>
          </cell>
          <cell r="AD10">
            <v>99458.729999999952</v>
          </cell>
          <cell r="AE10">
            <v>181281.32000000004</v>
          </cell>
          <cell r="AF10">
            <v>53170.720000000059</v>
          </cell>
          <cell r="AG10">
            <v>-237288.13</v>
          </cell>
          <cell r="AH10">
            <v>-1001360.09</v>
          </cell>
          <cell r="AI10">
            <v>-643235.96</v>
          </cell>
          <cell r="AJ10">
            <v>1626854.2700000047</v>
          </cell>
          <cell r="AK10">
            <v>-310417.2199999998</v>
          </cell>
          <cell r="AL10">
            <v>308002.82999999984</v>
          </cell>
          <cell r="AM10">
            <v>238610.99000000025</v>
          </cell>
          <cell r="AN10">
            <v>-3807824.6199999936</v>
          </cell>
          <cell r="AO10">
            <v>-1276296.0699999998</v>
          </cell>
          <cell r="AP10">
            <v>-1148716.3800000001</v>
          </cell>
          <cell r="AQ10">
            <v>-857631.23</v>
          </cell>
          <cell r="AR10">
            <v>-1774094.5899999996</v>
          </cell>
          <cell r="AS10">
            <v>377374.22000000003</v>
          </cell>
          <cell r="AT10">
            <v>2545627.63</v>
          </cell>
          <cell r="AU10">
            <v>-774381.3</v>
          </cell>
          <cell r="AV10">
            <v>7023819.9500000011</v>
          </cell>
          <cell r="AW10">
            <v>12253.020000000048</v>
          </cell>
          <cell r="AX10">
            <v>319601.79000000004</v>
          </cell>
          <cell r="AY10">
            <v>988616.76</v>
          </cell>
          <cell r="AZ10">
            <v>338697.85</v>
          </cell>
          <cell r="BA10">
            <v>5774871.6500000004</v>
          </cell>
          <cell r="BB10">
            <v>840567.0399999998</v>
          </cell>
          <cell r="BC10">
            <v>301008.05000000005</v>
          </cell>
          <cell r="BD10">
            <v>750598.9</v>
          </cell>
          <cell r="BE10">
            <v>-7291701.9500000002</v>
          </cell>
          <cell r="BF10">
            <v>-181389.30000000005</v>
          </cell>
          <cell r="BG10">
            <v>-3577247.68</v>
          </cell>
          <cell r="BH10">
            <v>1501687.71</v>
          </cell>
          <cell r="BI10">
            <v>-663115.1</v>
          </cell>
          <cell r="BJ10">
            <v>1132985.1599999999</v>
          </cell>
          <cell r="BK10">
            <v>1206971.6399999999</v>
          </cell>
          <cell r="BL10">
            <v>-759820.28</v>
          </cell>
          <cell r="BM10">
            <v>4129074.16</v>
          </cell>
          <cell r="BN10">
            <v>-2610381.6500000013</v>
          </cell>
          <cell r="BO10">
            <v>-2002187.7000000002</v>
          </cell>
          <cell r="BP10">
            <v>-41543.619999999995</v>
          </cell>
          <cell r="BQ10">
            <v>501698.7</v>
          </cell>
          <cell r="BR10">
            <v>-2293853.1100000003</v>
          </cell>
          <cell r="BS10">
            <v>555075.16</v>
          </cell>
          <cell r="BT10">
            <v>-9457708.9299999997</v>
          </cell>
          <cell r="BU10">
            <v>2378553.4899999998</v>
          </cell>
          <cell r="BV10">
            <v>1322748.79</v>
          </cell>
          <cell r="BW10">
            <v>-282963.31000000006</v>
          </cell>
          <cell r="BX10">
            <v>2242947.16</v>
          </cell>
          <cell r="BY10">
            <v>-340237.41403151024</v>
          </cell>
          <cell r="BZ10">
            <v>-10530160.663507883</v>
          </cell>
          <cell r="CA10">
            <v>-17947631.447539393</v>
          </cell>
          <cell r="CN10">
            <v>0</v>
          </cell>
          <cell r="CO10">
            <v>-814161.24083966657</v>
          </cell>
          <cell r="CP10">
            <v>-814161.24083966657</v>
          </cell>
          <cell r="CQ10">
            <v>-814161.24083966657</v>
          </cell>
          <cell r="CR10">
            <v>-814161.24083966657</v>
          </cell>
          <cell r="CS10">
            <v>-814161.24083966657</v>
          </cell>
          <cell r="CT10">
            <v>-814161.24083966657</v>
          </cell>
          <cell r="CU10">
            <v>-814161.24083966657</v>
          </cell>
          <cell r="CV10">
            <v>-814161.24083966657</v>
          </cell>
          <cell r="CW10">
            <v>-814161.24083966657</v>
          </cell>
          <cell r="CX10">
            <v>-814161.24083966657</v>
          </cell>
          <cell r="CY10">
            <v>-814161.24083966657</v>
          </cell>
          <cell r="CZ10">
            <v>-814161.24083966657</v>
          </cell>
          <cell r="DA10">
            <v>-9769934.8900759984</v>
          </cell>
          <cell r="DB10">
            <v>-846727.69047325326</v>
          </cell>
          <cell r="DC10">
            <v>-846727.69047325326</v>
          </cell>
          <cell r="DD10">
            <v>-846727.69047325326</v>
          </cell>
          <cell r="DE10">
            <v>-846727.69047325326</v>
          </cell>
          <cell r="DF10">
            <v>-846727.69047325326</v>
          </cell>
          <cell r="DG10">
            <v>-846727.69047325326</v>
          </cell>
          <cell r="DH10">
            <v>-846727.69047325326</v>
          </cell>
          <cell r="DI10">
            <v>-846727.69047325326</v>
          </cell>
          <cell r="DJ10">
            <v>-846727.69047325326</v>
          </cell>
          <cell r="DK10">
            <v>-846727.69047325326</v>
          </cell>
          <cell r="DL10">
            <v>-846727.69047325326</v>
          </cell>
          <cell r="DM10">
            <v>-846727.69047325326</v>
          </cell>
          <cell r="DN10">
            <v>-10160732.285679037</v>
          </cell>
          <cell r="DO10">
            <v>-880596.79809218354</v>
          </cell>
          <cell r="DP10">
            <v>-880596.79809218354</v>
          </cell>
          <cell r="DQ10">
            <v>-880596.79809218354</v>
          </cell>
          <cell r="DR10">
            <v>-880596.79809218354</v>
          </cell>
          <cell r="DS10">
            <v>-880596.79809218354</v>
          </cell>
          <cell r="DT10">
            <v>-880596.79809218354</v>
          </cell>
          <cell r="DU10">
            <v>-880596.79809218354</v>
          </cell>
          <cell r="DV10">
            <v>-880596.79809218354</v>
          </cell>
          <cell r="DW10">
            <v>-880596.79809218354</v>
          </cell>
          <cell r="DX10">
            <v>-880596.79809218354</v>
          </cell>
          <cell r="DY10">
            <v>-880596.79809218354</v>
          </cell>
          <cell r="DZ10">
            <v>-880596.79809218354</v>
          </cell>
          <cell r="EA10">
            <v>-10567161.5771062</v>
          </cell>
          <cell r="EB10">
            <v>-915820.67001587094</v>
          </cell>
          <cell r="EC10">
            <v>-915820.67001587094</v>
          </cell>
          <cell r="ED10">
            <v>-915820.67001587094</v>
          </cell>
          <cell r="EE10">
            <v>-915820.67001587094</v>
          </cell>
          <cell r="EF10">
            <v>-915820.67001587094</v>
          </cell>
          <cell r="EG10">
            <v>-915820.67001587094</v>
          </cell>
          <cell r="EH10">
            <v>-915820.67001587094</v>
          </cell>
          <cell r="EI10">
            <v>-915820.67001587094</v>
          </cell>
          <cell r="EJ10">
            <v>-915820.67001587094</v>
          </cell>
          <cell r="EK10">
            <v>-915820.67001587094</v>
          </cell>
          <cell r="EL10">
            <v>-915820.67001587094</v>
          </cell>
          <cell r="EM10">
            <v>-915820.67001587094</v>
          </cell>
          <cell r="EN10">
            <v>-10989848.040190451</v>
          </cell>
        </row>
        <row r="11">
          <cell r="A11" t="str">
            <v>EBIT</v>
          </cell>
          <cell r="B11">
            <v>-6222182.8899999969</v>
          </cell>
          <cell r="C11">
            <v>-7010136.2499999963</v>
          </cell>
          <cell r="D11">
            <v>5272731.0700000059</v>
          </cell>
          <cell r="E11">
            <v>3278578.5099999947</v>
          </cell>
          <cell r="F11">
            <v>-1360263.8699999838</v>
          </cell>
          <cell r="G11">
            <v>7826551.8500000509</v>
          </cell>
          <cell r="H11">
            <v>15992348.88000004</v>
          </cell>
          <cell r="I11">
            <v>2644135.2099999883</v>
          </cell>
          <cell r="J11">
            <v>2467352.259999942</v>
          </cell>
          <cell r="K11">
            <v>-7213277.0999999959</v>
          </cell>
          <cell r="L11">
            <v>5680639.6400000332</v>
          </cell>
          <cell r="M11">
            <v>2702895.9700001474</v>
          </cell>
          <cell r="N11">
            <v>24059373.280000228</v>
          </cell>
          <cell r="O11">
            <v>4473266.0399999879</v>
          </cell>
          <cell r="P11">
            <v>-3743219.7800000189</v>
          </cell>
          <cell r="Q11">
            <v>-533201.79999998747</v>
          </cell>
          <cell r="R11">
            <v>25003873.699999966</v>
          </cell>
          <cell r="S11">
            <v>-4293223.0200000079</v>
          </cell>
          <cell r="T11">
            <v>5082614.9700000435</v>
          </cell>
          <cell r="U11">
            <v>1239126.8700000253</v>
          </cell>
          <cell r="V11">
            <v>4768970.7699999921</v>
          </cell>
          <cell r="W11">
            <v>5508448.3700000104</v>
          </cell>
          <cell r="X11">
            <v>-3779776.5900000054</v>
          </cell>
          <cell r="Y11">
            <v>1864153.2900000149</v>
          </cell>
          <cell r="Z11">
            <v>1521364.6499999538</v>
          </cell>
          <cell r="AA11">
            <v>37112397.469999976</v>
          </cell>
          <cell r="AB11">
            <v>4278030.9099999974</v>
          </cell>
          <cell r="AC11">
            <v>-6283062.239999962</v>
          </cell>
          <cell r="AD11">
            <v>-2380306.4399999981</v>
          </cell>
          <cell r="AE11">
            <v>5594082.0899999654</v>
          </cell>
          <cell r="AF11">
            <v>10232019.259999961</v>
          </cell>
          <cell r="AG11">
            <v>2195487.3200000105</v>
          </cell>
          <cell r="AH11">
            <v>5891493.8699999554</v>
          </cell>
          <cell r="AI11">
            <v>5370797.5299999835</v>
          </cell>
          <cell r="AJ11">
            <v>14082612.989999982</v>
          </cell>
          <cell r="AK11">
            <v>-8898976.2199999709</v>
          </cell>
          <cell r="AL11">
            <v>-9253547.6300000288</v>
          </cell>
          <cell r="AM11">
            <v>12101327.76999994</v>
          </cell>
          <cell r="AN11">
            <v>32929959.209999837</v>
          </cell>
          <cell r="AO11">
            <v>-4210285.28</v>
          </cell>
          <cell r="AP11">
            <v>-7467877.8899999987</v>
          </cell>
          <cell r="AQ11">
            <v>-1483800.5099999984</v>
          </cell>
          <cell r="AR11">
            <v>3299934.8799999952</v>
          </cell>
          <cell r="AS11">
            <v>5623142.9399999976</v>
          </cell>
          <cell r="AT11">
            <v>6024034.9100000029</v>
          </cell>
          <cell r="AU11">
            <v>10201275.279999997</v>
          </cell>
          <cell r="AV11">
            <v>1665908.3200000012</v>
          </cell>
          <cell r="AW11">
            <v>6860514.7100000018</v>
          </cell>
          <cell r="AX11">
            <v>20760976.420000002</v>
          </cell>
          <cell r="AY11">
            <v>-5976718.9600000009</v>
          </cell>
          <cell r="AZ11">
            <v>3350897.449999996</v>
          </cell>
          <cell r="BA11">
            <v>38648002.269999996</v>
          </cell>
          <cell r="BB11">
            <v>12360028.649999995</v>
          </cell>
          <cell r="BC11">
            <v>-7437587.5100000007</v>
          </cell>
          <cell r="BD11">
            <v>-5988109.4300000016</v>
          </cell>
          <cell r="BE11">
            <v>-16800643.420000002</v>
          </cell>
          <cell r="BF11">
            <v>-1027741.3500000017</v>
          </cell>
          <cell r="BG11">
            <v>4257778.7700000014</v>
          </cell>
          <cell r="BH11">
            <v>5991495.8200000012</v>
          </cell>
          <cell r="BI11">
            <v>13384809.390000001</v>
          </cell>
          <cell r="BJ11">
            <v>1171953.8899999999</v>
          </cell>
          <cell r="BK11">
            <v>15792741.660000004</v>
          </cell>
          <cell r="BL11">
            <v>2129682.0999999978</v>
          </cell>
          <cell r="BM11">
            <v>529853.14999999711</v>
          </cell>
          <cell r="BN11">
            <v>24364261.719999995</v>
          </cell>
          <cell r="BO11">
            <v>793575.7099999967</v>
          </cell>
          <cell r="BP11">
            <v>12183861.050000003</v>
          </cell>
          <cell r="BQ11">
            <v>9362895.5299999975</v>
          </cell>
          <cell r="BR11">
            <v>20460839.100000001</v>
          </cell>
          <cell r="BS11">
            <v>1667070.4199999981</v>
          </cell>
          <cell r="BT11">
            <v>16109180.990000002</v>
          </cell>
          <cell r="BU11">
            <v>29556925.779999994</v>
          </cell>
          <cell r="BV11">
            <v>14805423.480000008</v>
          </cell>
          <cell r="BW11">
            <v>44742905.480000004</v>
          </cell>
          <cell r="BX11">
            <v>-5504236.0300000021</v>
          </cell>
          <cell r="BY11">
            <v>682197.29191538086</v>
          </cell>
          <cell r="BZ11">
            <v>-6841261.7415558053</v>
          </cell>
          <cell r="CA11">
            <v>138019377.0603596</v>
          </cell>
          <cell r="CB11">
            <v>11715220.898704942</v>
          </cell>
          <cell r="CC11">
            <v>2362435.9327506199</v>
          </cell>
          <cell r="CD11">
            <v>1725644.1807852094</v>
          </cell>
          <cell r="CE11">
            <v>2060376.8351105601</v>
          </cell>
          <cell r="CF11">
            <v>1068553.3894899939</v>
          </cell>
          <cell r="CG11">
            <v>2160049.3294026926</v>
          </cell>
          <cell r="CH11">
            <v>3111426.0619515441</v>
          </cell>
          <cell r="CI11">
            <v>3853047.8444514237</v>
          </cell>
          <cell r="CJ11">
            <v>3614376.0173360221</v>
          </cell>
          <cell r="CK11">
            <v>4216345.4578643255</v>
          </cell>
          <cell r="CL11">
            <v>1608605.6152553228</v>
          </cell>
          <cell r="CM11">
            <v>3502997.9659468047</v>
          </cell>
          <cell r="CN11">
            <v>40999079.529049471</v>
          </cell>
          <cell r="CO11">
            <v>3338105.1919704974</v>
          </cell>
          <cell r="CP11">
            <v>3338105.1919704974</v>
          </cell>
          <cell r="CQ11">
            <v>3338105.1919704974</v>
          </cell>
          <cell r="CR11">
            <v>3338105.1919704974</v>
          </cell>
          <cell r="CS11">
            <v>3338105.1919704974</v>
          </cell>
          <cell r="CT11">
            <v>3338105.1919704974</v>
          </cell>
          <cell r="CU11">
            <v>3338105.1919704974</v>
          </cell>
          <cell r="CV11">
            <v>3338105.1919704974</v>
          </cell>
          <cell r="CW11">
            <v>3338105.1919704974</v>
          </cell>
          <cell r="CX11">
            <v>3338105.1919704974</v>
          </cell>
          <cell r="CY11">
            <v>3338105.1919704974</v>
          </cell>
          <cell r="CZ11">
            <v>3338105.1919704974</v>
          </cell>
          <cell r="DA11">
            <v>40057262.303645968</v>
          </cell>
          <cell r="DB11">
            <v>3471629.3996493197</v>
          </cell>
          <cell r="DC11">
            <v>3471629.3996493197</v>
          </cell>
          <cell r="DD11">
            <v>3471629.3996493197</v>
          </cell>
          <cell r="DE11">
            <v>3471629.3996493197</v>
          </cell>
          <cell r="DF11">
            <v>3471629.3996493197</v>
          </cell>
          <cell r="DG11">
            <v>3471629.3996493197</v>
          </cell>
          <cell r="DH11">
            <v>3471629.3996493197</v>
          </cell>
          <cell r="DI11">
            <v>3471629.3996493197</v>
          </cell>
          <cell r="DJ11">
            <v>3471629.3996493197</v>
          </cell>
          <cell r="DK11">
            <v>3471629.3996493197</v>
          </cell>
          <cell r="DL11">
            <v>3471629.3996493197</v>
          </cell>
          <cell r="DM11">
            <v>3471629.3996493197</v>
          </cell>
          <cell r="DN11">
            <v>41659552.795791835</v>
          </cell>
          <cell r="DO11">
            <v>3610494.5756352916</v>
          </cell>
          <cell r="DP11">
            <v>3610494.5756352916</v>
          </cell>
          <cell r="DQ11">
            <v>3610494.5756352916</v>
          </cell>
          <cell r="DR11">
            <v>3610494.5756352916</v>
          </cell>
          <cell r="DS11">
            <v>3610494.5756352916</v>
          </cell>
          <cell r="DT11">
            <v>3610494.5756352916</v>
          </cell>
          <cell r="DU11">
            <v>3610494.5756352916</v>
          </cell>
          <cell r="DV11">
            <v>3610494.5756352916</v>
          </cell>
          <cell r="DW11">
            <v>3610494.5756352916</v>
          </cell>
          <cell r="DX11">
            <v>3610494.5756352916</v>
          </cell>
          <cell r="DY11">
            <v>3610494.5756352916</v>
          </cell>
          <cell r="DZ11">
            <v>3610494.5756352916</v>
          </cell>
          <cell r="EA11">
            <v>43325934.9076235</v>
          </cell>
          <cell r="EB11">
            <v>3754914.358660704</v>
          </cell>
          <cell r="EC11">
            <v>3754914.358660704</v>
          </cell>
          <cell r="ED11">
            <v>3754914.358660704</v>
          </cell>
          <cell r="EE11">
            <v>3754914.358660704</v>
          </cell>
          <cell r="EF11">
            <v>3754914.358660704</v>
          </cell>
          <cell r="EG11">
            <v>3754914.358660704</v>
          </cell>
          <cell r="EH11">
            <v>3754914.358660704</v>
          </cell>
          <cell r="EI11">
            <v>3754914.358660704</v>
          </cell>
          <cell r="EJ11">
            <v>3754914.358660704</v>
          </cell>
          <cell r="EK11">
            <v>3754914.358660704</v>
          </cell>
          <cell r="EL11">
            <v>3754914.358660704</v>
          </cell>
          <cell r="EM11">
            <v>3754914.358660704</v>
          </cell>
          <cell r="EN11">
            <v>45058972.303928457</v>
          </cell>
        </row>
        <row r="12">
          <cell r="A12" t="str">
            <v>GASTOS FINANCIEROS</v>
          </cell>
          <cell r="B12">
            <v>-1408386.6800000002</v>
          </cell>
          <cell r="C12">
            <v>-1451912.43</v>
          </cell>
          <cell r="D12">
            <v>-1475919.9199999997</v>
          </cell>
          <cell r="E12">
            <v>-1457324.68</v>
          </cell>
          <cell r="F12">
            <v>-1489910.0100000002</v>
          </cell>
          <cell r="G12">
            <v>-1457887.9699999997</v>
          </cell>
          <cell r="H12">
            <v>-1560561.6099999996</v>
          </cell>
          <cell r="I12">
            <v>-1756350.1999999997</v>
          </cell>
          <cell r="J12">
            <v>-1298692.1499999994</v>
          </cell>
          <cell r="K12">
            <v>-1312431.97</v>
          </cell>
          <cell r="L12">
            <v>-1574335.2599999998</v>
          </cell>
          <cell r="M12">
            <v>-888575.34000000195</v>
          </cell>
          <cell r="N12">
            <v>-17132288.220000003</v>
          </cell>
          <cell r="O12">
            <v>-669568.18999999983</v>
          </cell>
          <cell r="P12">
            <v>-1292726.2899999996</v>
          </cell>
          <cell r="Q12">
            <v>-1633036.1999999997</v>
          </cell>
          <cell r="R12">
            <v>-1371028.33</v>
          </cell>
          <cell r="S12">
            <v>-940949.41999999946</v>
          </cell>
          <cell r="T12">
            <v>-1441283.8199999996</v>
          </cell>
          <cell r="U12">
            <v>-1429872.6599999997</v>
          </cell>
          <cell r="V12">
            <v>-1487990.1099999989</v>
          </cell>
          <cell r="W12">
            <v>-1114199.3499999996</v>
          </cell>
          <cell r="X12">
            <v>-2235575.6499999985</v>
          </cell>
          <cell r="Y12">
            <v>-1329944.96</v>
          </cell>
          <cell r="Z12">
            <v>-3004782.0499999993</v>
          </cell>
          <cell r="AA12">
            <v>-17950957.029999997</v>
          </cell>
          <cell r="AB12">
            <v>-1418932.7599999998</v>
          </cell>
          <cell r="AC12">
            <v>-1469377.7499999998</v>
          </cell>
          <cell r="AD12">
            <v>-1142671.3199999996</v>
          </cell>
          <cell r="AE12">
            <v>-1493808.41</v>
          </cell>
          <cell r="AF12">
            <v>-1618544.2599999998</v>
          </cell>
          <cell r="AG12">
            <v>-1428467.5399999996</v>
          </cell>
          <cell r="AH12">
            <v>-1445640.8399999999</v>
          </cell>
          <cell r="AI12">
            <v>-1397630.4200000002</v>
          </cell>
          <cell r="AJ12">
            <v>-1450597.73</v>
          </cell>
          <cell r="AK12">
            <v>-1466376.1200000015</v>
          </cell>
          <cell r="AL12">
            <v>-1304373.3199999998</v>
          </cell>
          <cell r="AM12">
            <v>-1434984.24</v>
          </cell>
          <cell r="AN12">
            <v>-17071404.710000001</v>
          </cell>
          <cell r="AO12">
            <v>-1427810.92</v>
          </cell>
          <cell r="AP12">
            <v>-1550155.5499999998</v>
          </cell>
          <cell r="AQ12">
            <v>-1527982.05</v>
          </cell>
          <cell r="AR12">
            <v>-1366811.6099999999</v>
          </cell>
          <cell r="AS12">
            <v>-1498656.73</v>
          </cell>
          <cell r="AT12">
            <v>-1766023.21</v>
          </cell>
          <cell r="AU12">
            <v>-1392649.5</v>
          </cell>
          <cell r="AV12">
            <v>-1701909.3699999999</v>
          </cell>
          <cell r="AW12">
            <v>-1121162.8900000001</v>
          </cell>
          <cell r="AX12">
            <v>-1580029.7899999998</v>
          </cell>
          <cell r="AY12">
            <v>-1303272.56</v>
          </cell>
          <cell r="AZ12">
            <v>-1890503.79</v>
          </cell>
          <cell r="BA12">
            <v>-18126967.969999999</v>
          </cell>
          <cell r="BB12">
            <v>-1397698.41</v>
          </cell>
          <cell r="BC12">
            <v>-1557213.9</v>
          </cell>
          <cell r="BD12">
            <v>-1446625.4700000002</v>
          </cell>
          <cell r="BE12">
            <v>-1037246.02</v>
          </cell>
          <cell r="BF12">
            <v>-2574987.29</v>
          </cell>
          <cell r="BG12">
            <v>-1759860.97</v>
          </cell>
          <cell r="BH12">
            <v>-2225091.13</v>
          </cell>
          <cell r="BI12">
            <v>-1486442.11</v>
          </cell>
          <cell r="BJ12">
            <v>-1262975.3999999999</v>
          </cell>
          <cell r="BK12">
            <v>-1308932.51</v>
          </cell>
          <cell r="BL12">
            <v>-1203301.8800000001</v>
          </cell>
          <cell r="BM12">
            <v>-1235477.8500000001</v>
          </cell>
          <cell r="BN12">
            <v>-18495852.939999998</v>
          </cell>
          <cell r="BO12">
            <v>-1181079.0900000001</v>
          </cell>
          <cell r="BP12">
            <v>-1168771.3800000001</v>
          </cell>
          <cell r="BQ12">
            <v>-1087488.3700000001</v>
          </cell>
          <cell r="BR12">
            <v>-1193301.0699999998</v>
          </cell>
          <cell r="BS12">
            <v>-1165279.8699999999</v>
          </cell>
          <cell r="BT12">
            <v>-1112472.3400000001</v>
          </cell>
          <cell r="BU12">
            <v>-1421872.72</v>
          </cell>
          <cell r="BV12">
            <v>-876720.06</v>
          </cell>
          <cell r="BW12">
            <v>-1026742.12</v>
          </cell>
          <cell r="BX12">
            <v>-1027591.4100000001</v>
          </cell>
          <cell r="BY12">
            <v>-385572.93385965301</v>
          </cell>
          <cell r="BZ12">
            <v>-972519.74475108134</v>
          </cell>
          <cell r="CA12">
            <v>-12619411.108610734</v>
          </cell>
          <cell r="CB12">
            <v>-151784.76133443517</v>
          </cell>
          <cell r="CC12">
            <v>-367103.17059097253</v>
          </cell>
          <cell r="CD12">
            <v>-906085.90568714926</v>
          </cell>
          <cell r="CE12">
            <v>-141929.77855008846</v>
          </cell>
          <cell r="CF12">
            <v>-2696288.2275969917</v>
          </cell>
          <cell r="CG12">
            <v>-878185.64732214937</v>
          </cell>
          <cell r="CH12">
            <v>-117405.80426795488</v>
          </cell>
          <cell r="CI12">
            <v>-2661695.8738110424</v>
          </cell>
          <cell r="CJ12">
            <v>-835678.58121234889</v>
          </cell>
          <cell r="CK12">
            <v>-94468.819403547473</v>
          </cell>
          <cell r="CL12">
            <v>-2627076.6000250946</v>
          </cell>
          <cell r="CM12">
            <v>-862959.58771108137</v>
          </cell>
          <cell r="CN12">
            <v>-12340662.757512856</v>
          </cell>
          <cell r="CO12">
            <v>-67886.758587931981</v>
          </cell>
          <cell r="CP12">
            <v>-2554949.1444624038</v>
          </cell>
          <cell r="CQ12">
            <v>-889923.32109214936</v>
          </cell>
          <cell r="CR12">
            <v>-41637.267980194629</v>
          </cell>
          <cell r="CS12">
            <v>-2583443.3724531974</v>
          </cell>
          <cell r="CT12">
            <v>-718215.65532666666</v>
          </cell>
          <cell r="CU12">
            <v>-24593.652272988089</v>
          </cell>
          <cell r="CV12">
            <v>-2575783.8015717654</v>
          </cell>
          <cell r="CW12">
            <v>-625285.64692833333</v>
          </cell>
          <cell r="CX12">
            <v>-23120.947694629187</v>
          </cell>
          <cell r="CY12">
            <v>-2533054.3626758177</v>
          </cell>
          <cell r="CZ12">
            <v>-537824.98271833337</v>
          </cell>
          <cell r="DA12">
            <v>-13175718.913764412</v>
          </cell>
          <cell r="DB12">
            <v>-21430.793076483671</v>
          </cell>
          <cell r="DC12">
            <v>-2475855.7928015077</v>
          </cell>
          <cell r="DD12">
            <v>-453107.71376666665</v>
          </cell>
          <cell r="DE12">
            <v>-19974.096156585194</v>
          </cell>
          <cell r="DF12">
            <v>-2479277.9482459771</v>
          </cell>
          <cell r="DG12">
            <v>-364738.38324666664</v>
          </cell>
          <cell r="DH12">
            <v>-18702.833959552481</v>
          </cell>
          <cell r="DI12">
            <v>-2434280.9127120837</v>
          </cell>
          <cell r="DJ12">
            <v>-275443.02008833335</v>
          </cell>
          <cell r="DK12">
            <v>-17230.129381193579</v>
          </cell>
          <cell r="DL12">
            <v>-2389283.8771781917</v>
          </cell>
          <cell r="DM12">
            <v>-105348.74954999999</v>
          </cell>
          <cell r="DN12">
            <v>-11054674.250163242</v>
          </cell>
          <cell r="DO12">
            <v>-15450.585990944834</v>
          </cell>
          <cell r="DP12">
            <v>-2277527.2337246551</v>
          </cell>
          <cell r="DQ12">
            <v>-156076.82</v>
          </cell>
          <cell r="DR12">
            <v>-14147.308476991277</v>
          </cell>
          <cell r="DS12">
            <v>-2299289.8061104058</v>
          </cell>
          <cell r="DT12">
            <v>-147003.82999999999</v>
          </cell>
          <cell r="DU12">
            <v>-12561.824302900217</v>
          </cell>
          <cell r="DV12">
            <v>-2254292.7705765134</v>
          </cell>
          <cell r="DW12">
            <v>-89467.07</v>
          </cell>
          <cell r="DX12">
            <v>-9002.726637627331</v>
          </cell>
          <cell r="DY12">
            <v>-2209295.7350426205</v>
          </cell>
          <cell r="DZ12">
            <v>-84694.77</v>
          </cell>
          <cell r="EA12">
            <v>-9568810.4808626585</v>
          </cell>
          <cell r="EB12">
            <v>-7866.2121282213293</v>
          </cell>
          <cell r="EC12">
            <v>-2103408.2701369836</v>
          </cell>
          <cell r="ED12">
            <v>-81665.37</v>
          </cell>
          <cell r="EE12">
            <v>-7553.3513268243287</v>
          </cell>
          <cell r="EF12">
            <v>-2119301.6639748351</v>
          </cell>
          <cell r="EG12">
            <v>-73512.14</v>
          </cell>
          <cell r="EH12">
            <v>-7202.1810447273283</v>
          </cell>
          <cell r="EI12">
            <v>-2074304.6284409426</v>
          </cell>
          <cell r="EJ12">
            <v>-70377.86</v>
          </cell>
          <cell r="EK12">
            <v>-6391.2970789243282</v>
          </cell>
          <cell r="EL12">
            <v>-2029307.5929070495</v>
          </cell>
          <cell r="EM12">
            <v>-65605.56</v>
          </cell>
          <cell r="EN12">
            <v>-8646496.1270385087</v>
          </cell>
        </row>
        <row r="13">
          <cell r="A13" t="str">
            <v>EBT</v>
          </cell>
          <cell r="B13">
            <v>-7630569.5699999966</v>
          </cell>
          <cell r="C13">
            <v>-8462048.679999996</v>
          </cell>
          <cell r="D13">
            <v>3796811.150000006</v>
          </cell>
          <cell r="E13">
            <v>1821253.8299999947</v>
          </cell>
          <cell r="F13">
            <v>-2850173.8799999841</v>
          </cell>
          <cell r="G13">
            <v>6368663.8800000511</v>
          </cell>
          <cell r="H13">
            <v>14431787.270000041</v>
          </cell>
          <cell r="I13">
            <v>887785.0099999886</v>
          </cell>
          <cell r="J13">
            <v>1168660.1099999426</v>
          </cell>
          <cell r="K13">
            <v>-8525709.0699999966</v>
          </cell>
          <cell r="L13">
            <v>4106304.3800000334</v>
          </cell>
          <cell r="M13">
            <v>1814320.6300001454</v>
          </cell>
          <cell r="N13">
            <v>6927085.0600002278</v>
          </cell>
          <cell r="O13">
            <v>3803697.849999988</v>
          </cell>
          <cell r="P13">
            <v>-5035946.0700000189</v>
          </cell>
          <cell r="Q13">
            <v>-2166237.999999987</v>
          </cell>
          <cell r="R13">
            <v>23632845.369999968</v>
          </cell>
          <cell r="S13">
            <v>-5234172.4400000069</v>
          </cell>
          <cell r="T13">
            <v>3641331.1500000441</v>
          </cell>
          <cell r="U13">
            <v>-190745.78999997443</v>
          </cell>
          <cell r="V13">
            <v>3280980.6599999932</v>
          </cell>
          <cell r="W13">
            <v>4394249.0200000107</v>
          </cell>
          <cell r="X13">
            <v>-6015352.2400000039</v>
          </cell>
          <cell r="Y13">
            <v>534208.33000001498</v>
          </cell>
          <cell r="Z13">
            <v>-1483417.4000000455</v>
          </cell>
          <cell r="AA13">
            <v>19161440.439999979</v>
          </cell>
          <cell r="AB13">
            <v>2859098.1499999976</v>
          </cell>
          <cell r="AC13">
            <v>-7752439.989999962</v>
          </cell>
          <cell r="AD13">
            <v>-3522977.7599999979</v>
          </cell>
          <cell r="AE13">
            <v>4100273.6799999652</v>
          </cell>
          <cell r="AF13">
            <v>8613474.9999999609</v>
          </cell>
          <cell r="AG13">
            <v>767019.78000001097</v>
          </cell>
          <cell r="AH13">
            <v>4445853.0299999556</v>
          </cell>
          <cell r="AI13">
            <v>3973167.1099999836</v>
          </cell>
          <cell r="AJ13">
            <v>12632015.259999981</v>
          </cell>
          <cell r="AK13">
            <v>-10365352.339999972</v>
          </cell>
          <cell r="AL13">
            <v>-10557920.950000029</v>
          </cell>
          <cell r="AM13">
            <v>10666343.52999994</v>
          </cell>
          <cell r="AN13">
            <v>15858554.499999832</v>
          </cell>
          <cell r="AO13">
            <v>-5638096.2000000002</v>
          </cell>
          <cell r="AP13">
            <v>-9018033.4399999976</v>
          </cell>
          <cell r="AQ13">
            <v>-3011782.5599999987</v>
          </cell>
          <cell r="AR13">
            <v>1933123.2699999954</v>
          </cell>
          <cell r="AS13">
            <v>4124486.2099999976</v>
          </cell>
          <cell r="AT13">
            <v>4258011.700000003</v>
          </cell>
          <cell r="AU13">
            <v>8808625.7799999975</v>
          </cell>
          <cell r="AV13">
            <v>-36001.04999999865</v>
          </cell>
          <cell r="AW13">
            <v>5739351.8200000022</v>
          </cell>
          <cell r="AX13">
            <v>19180946.630000003</v>
          </cell>
          <cell r="AY13">
            <v>-7279991.5200000014</v>
          </cell>
          <cell r="AZ13">
            <v>1460393.659999996</v>
          </cell>
          <cell r="BA13">
            <v>20521034.299999997</v>
          </cell>
          <cell r="BB13">
            <v>10962330.239999995</v>
          </cell>
          <cell r="BC13">
            <v>-8994801.4100000001</v>
          </cell>
          <cell r="BD13">
            <v>-7434734.9000000022</v>
          </cell>
          <cell r="BE13">
            <v>-17837889.440000001</v>
          </cell>
          <cell r="BF13">
            <v>-3602728.6400000015</v>
          </cell>
          <cell r="BG13">
            <v>2497917.8000000017</v>
          </cell>
          <cell r="BH13">
            <v>3766404.6900000013</v>
          </cell>
          <cell r="BI13">
            <v>11898367.280000001</v>
          </cell>
          <cell r="BJ13">
            <v>-91021.510000000009</v>
          </cell>
          <cell r="BK13">
            <v>14483809.150000004</v>
          </cell>
          <cell r="BL13">
            <v>926380.21999999764</v>
          </cell>
          <cell r="BM13">
            <v>-705624.70000000298</v>
          </cell>
          <cell r="BN13">
            <v>5868408.7799999928</v>
          </cell>
          <cell r="BO13">
            <v>-387503.38000000338</v>
          </cell>
          <cell r="BP13">
            <v>11015089.670000002</v>
          </cell>
          <cell r="BQ13">
            <v>8275407.1599999974</v>
          </cell>
          <cell r="BR13">
            <v>19267538.030000001</v>
          </cell>
          <cell r="BS13">
            <v>501790.54999999818</v>
          </cell>
          <cell r="BT13">
            <v>14996708.650000002</v>
          </cell>
          <cell r="BU13">
            <v>28135053.059999995</v>
          </cell>
          <cell r="BV13">
            <v>13928703.420000007</v>
          </cell>
          <cell r="BW13">
            <v>43716163.360000007</v>
          </cell>
          <cell r="BX13">
            <v>-6531827.4400000023</v>
          </cell>
          <cell r="BY13">
            <v>296624.35805572785</v>
          </cell>
          <cell r="BZ13">
            <v>-7813781.4863068871</v>
          </cell>
          <cell r="CA13">
            <v>125399965.95174882</v>
          </cell>
          <cell r="CB13">
            <v>11563436.137370506</v>
          </cell>
          <cell r="CC13">
            <v>1995332.7621596474</v>
          </cell>
          <cell r="CD13">
            <v>819558.27509806014</v>
          </cell>
          <cell r="CE13">
            <v>1918447.0565604717</v>
          </cell>
          <cell r="CF13">
            <v>-1627734.8381069978</v>
          </cell>
          <cell r="CG13">
            <v>1281863.6820805431</v>
          </cell>
          <cell r="CH13">
            <v>2994020.2576835891</v>
          </cell>
          <cell r="CI13">
            <v>1191351.9706403813</v>
          </cell>
          <cell r="CJ13">
            <v>2778697.4361236733</v>
          </cell>
          <cell r="CK13">
            <v>4121876.6384607782</v>
          </cell>
          <cell r="CL13">
            <v>-1018470.9847697718</v>
          </cell>
          <cell r="CM13">
            <v>2640038.3782357234</v>
          </cell>
          <cell r="CN13">
            <v>28658416.7715366</v>
          </cell>
          <cell r="CO13">
            <v>3270218.4333825652</v>
          </cell>
          <cell r="CP13">
            <v>783156.04750809353</v>
          </cell>
          <cell r="CQ13">
            <v>2448181.8708783481</v>
          </cell>
          <cell r="CR13">
            <v>3296467.9239903027</v>
          </cell>
          <cell r="CS13">
            <v>754661.8195173</v>
          </cell>
          <cell r="CT13">
            <v>2619889.5366438306</v>
          </cell>
          <cell r="CU13">
            <v>3313511.5396975093</v>
          </cell>
          <cell r="CV13">
            <v>762321.39039873192</v>
          </cell>
          <cell r="CW13">
            <v>2712819.5450421642</v>
          </cell>
          <cell r="CX13">
            <v>3314984.2442758684</v>
          </cell>
          <cell r="CY13">
            <v>805050.82929467969</v>
          </cell>
          <cell r="CZ13">
            <v>2800280.2092521638</v>
          </cell>
          <cell r="DA13">
            <v>26881543.389881559</v>
          </cell>
          <cell r="DB13">
            <v>3450198.6065728362</v>
          </cell>
          <cell r="DC13">
            <v>995773.60684781196</v>
          </cell>
          <cell r="DD13">
            <v>3018521.6858826531</v>
          </cell>
          <cell r="DE13">
            <v>3451655.3034927347</v>
          </cell>
          <cell r="DF13">
            <v>992351.45140334265</v>
          </cell>
          <cell r="DG13">
            <v>3106891.016402653</v>
          </cell>
          <cell r="DH13">
            <v>3452926.5656897672</v>
          </cell>
          <cell r="DI13">
            <v>1037348.486937236</v>
          </cell>
          <cell r="DJ13">
            <v>3196186.3795609865</v>
          </cell>
          <cell r="DK13">
            <v>3454399.2702681259</v>
          </cell>
          <cell r="DL13">
            <v>1082345.522471128</v>
          </cell>
          <cell r="DM13">
            <v>3366280.6500993199</v>
          </cell>
          <cell r="DN13">
            <v>30604878.545628596</v>
          </cell>
          <cell r="DO13">
            <v>3595043.9896443468</v>
          </cell>
          <cell r="DP13">
            <v>1332967.3419106365</v>
          </cell>
          <cell r="DQ13">
            <v>3454417.7556352918</v>
          </cell>
          <cell r="DR13">
            <v>3596347.2671583002</v>
          </cell>
          <cell r="DS13">
            <v>1311204.7695248858</v>
          </cell>
          <cell r="DT13">
            <v>3463490.7456352916</v>
          </cell>
          <cell r="DU13">
            <v>3597932.7513323915</v>
          </cell>
          <cell r="DV13">
            <v>1356201.8050587783</v>
          </cell>
          <cell r="DW13">
            <v>3521027.5056352918</v>
          </cell>
          <cell r="DX13">
            <v>3601491.8489976642</v>
          </cell>
          <cell r="DY13">
            <v>1401198.8405926712</v>
          </cell>
          <cell r="DZ13">
            <v>3525799.8056352916</v>
          </cell>
          <cell r="EA13">
            <v>33757124.426760837</v>
          </cell>
          <cell r="EB13">
            <v>3747048.1465324825</v>
          </cell>
          <cell r="EC13">
            <v>1651506.0885237204</v>
          </cell>
          <cell r="ED13">
            <v>3673248.9886607039</v>
          </cell>
          <cell r="EE13">
            <v>3747361.0073338798</v>
          </cell>
          <cell r="EF13">
            <v>1635612.6946858689</v>
          </cell>
          <cell r="EG13">
            <v>3681402.2186607039</v>
          </cell>
          <cell r="EH13">
            <v>3747712.1776159769</v>
          </cell>
          <cell r="EI13">
            <v>1680609.7302197614</v>
          </cell>
          <cell r="EJ13">
            <v>3684536.4986607041</v>
          </cell>
          <cell r="EK13">
            <v>3748523.0615817797</v>
          </cell>
          <cell r="EL13">
            <v>1725606.7657536545</v>
          </cell>
          <cell r="EM13">
            <v>3689308.7986607039</v>
          </cell>
          <cell r="EN13">
            <v>36412476.176889941</v>
          </cell>
        </row>
        <row r="14">
          <cell r="A14" t="str">
            <v>GASTOS TRIBUTARIOS</v>
          </cell>
          <cell r="B14">
            <v>-207031</v>
          </cell>
          <cell r="C14">
            <v>-624231.34</v>
          </cell>
          <cell r="D14">
            <v>-1568732.5799999998</v>
          </cell>
          <cell r="E14">
            <v>-955367.73</v>
          </cell>
          <cell r="F14">
            <v>-947133.42999999993</v>
          </cell>
          <cell r="G14">
            <v>-1453193.9500000002</v>
          </cell>
          <cell r="H14">
            <v>-2210380.08</v>
          </cell>
          <cell r="I14">
            <v>-1727330.3499999996</v>
          </cell>
          <cell r="J14">
            <v>-1962639.98</v>
          </cell>
          <cell r="K14">
            <v>-1170217.6399999999</v>
          </cell>
          <cell r="L14">
            <v>-1082999.1199999996</v>
          </cell>
          <cell r="M14">
            <v>-1273625.17</v>
          </cell>
          <cell r="N14">
            <v>-15182882.370000001</v>
          </cell>
          <cell r="O14">
            <v>-1669968.82</v>
          </cell>
          <cell r="P14">
            <v>-1198664.7500000002</v>
          </cell>
          <cell r="Q14">
            <v>-1098324.04</v>
          </cell>
          <cell r="R14">
            <v>-2370662.4199999995</v>
          </cell>
          <cell r="S14">
            <v>-986214.6</v>
          </cell>
          <cell r="T14">
            <v>-1480099.5300000003</v>
          </cell>
          <cell r="U14">
            <v>-1597686.6500000001</v>
          </cell>
          <cell r="V14">
            <v>-1620671.6200000003</v>
          </cell>
          <cell r="W14">
            <v>-1046683.02</v>
          </cell>
          <cell r="X14">
            <v>-650654.26000000013</v>
          </cell>
          <cell r="Y14">
            <v>-1014102.9800000002</v>
          </cell>
          <cell r="Z14">
            <v>-1093909.9700000004</v>
          </cell>
          <cell r="AA14">
            <v>-15827642.660000002</v>
          </cell>
          <cell r="AB14">
            <v>-1194803.4300000002</v>
          </cell>
          <cell r="AC14">
            <v>-986983.62999999989</v>
          </cell>
          <cell r="AD14">
            <v>-1023626.3999999999</v>
          </cell>
          <cell r="AE14">
            <v>-1530247.1300000001</v>
          </cell>
          <cell r="AF14">
            <v>-1850078.78</v>
          </cell>
          <cell r="AG14">
            <v>-1825250.7099999997</v>
          </cell>
          <cell r="AH14">
            <v>-2441202.9100000006</v>
          </cell>
          <cell r="AI14">
            <v>-1816652.1199999996</v>
          </cell>
          <cell r="AJ14">
            <v>-2174496.5799999996</v>
          </cell>
          <cell r="AK14">
            <v>-1151196.9800000004</v>
          </cell>
          <cell r="AL14">
            <v>-1150123.9400000002</v>
          </cell>
          <cell r="AM14">
            <v>-1816464.95</v>
          </cell>
          <cell r="AN14">
            <v>-18961127.559999999</v>
          </cell>
          <cell r="AO14">
            <v>-984960.49</v>
          </cell>
          <cell r="AP14">
            <v>-1029388.33</v>
          </cell>
          <cell r="AQ14">
            <v>-1386067.02</v>
          </cell>
          <cell r="AR14">
            <v>-1659345.75</v>
          </cell>
          <cell r="AS14">
            <v>-1821794.29</v>
          </cell>
          <cell r="AT14">
            <v>-2086413.84</v>
          </cell>
          <cell r="AU14">
            <v>-1967310.83</v>
          </cell>
          <cell r="AV14">
            <v>-2086132.3</v>
          </cell>
          <cell r="AW14">
            <v>-1713209.02</v>
          </cell>
          <cell r="AX14">
            <v>-1926358</v>
          </cell>
          <cell r="AY14">
            <v>-1022615.69</v>
          </cell>
          <cell r="AZ14">
            <v>-1887531.99</v>
          </cell>
          <cell r="BA14">
            <v>-19571127.550000001</v>
          </cell>
          <cell r="BB14">
            <v>-1794189.6</v>
          </cell>
          <cell r="BC14">
            <v>-1099608.99</v>
          </cell>
          <cell r="BD14">
            <v>-1466793.75</v>
          </cell>
          <cell r="BE14">
            <v>-1221670.54</v>
          </cell>
          <cell r="BF14">
            <v>-1274221</v>
          </cell>
          <cell r="BG14">
            <v>-1503925.92</v>
          </cell>
          <cell r="BH14">
            <v>-1327577.01</v>
          </cell>
          <cell r="BI14">
            <v>-1826703.19</v>
          </cell>
          <cell r="BJ14">
            <v>-1861510.74</v>
          </cell>
          <cell r="BK14">
            <v>-1710650.3</v>
          </cell>
          <cell r="BL14">
            <v>-1778091.3</v>
          </cell>
          <cell r="BM14">
            <v>-2005693.5</v>
          </cell>
          <cell r="BN14">
            <v>-18870635.84</v>
          </cell>
          <cell r="BO14">
            <v>-1657161</v>
          </cell>
          <cell r="BP14">
            <v>-1669831</v>
          </cell>
          <cell r="BQ14">
            <v>-1573809.6</v>
          </cell>
          <cell r="BR14">
            <v>-2668229.71</v>
          </cell>
          <cell r="BS14">
            <v>-1232903.27</v>
          </cell>
          <cell r="BT14">
            <v>-2132452.96</v>
          </cell>
          <cell r="BU14">
            <v>-1461083.87</v>
          </cell>
          <cell r="BV14">
            <v>-2700012.4</v>
          </cell>
          <cell r="BW14">
            <v>-3615515.31</v>
          </cell>
          <cell r="BX14">
            <v>-1281511.29</v>
          </cell>
          <cell r="BY14">
            <v>-1093785.2379118898</v>
          </cell>
          <cell r="BZ14">
            <v>-1641635.5127941663</v>
          </cell>
          <cell r="CA14">
            <v>-22727931.160706058</v>
          </cell>
          <cell r="CB14">
            <v>-1970925.1961464456</v>
          </cell>
          <cell r="CC14">
            <v>-2079337.6577464454</v>
          </cell>
          <cell r="CD14">
            <v>-1935619.6205464457</v>
          </cell>
          <cell r="CE14">
            <v>-2067817.0229464453</v>
          </cell>
          <cell r="CF14">
            <v>-1809274.2665464454</v>
          </cell>
          <cell r="CG14">
            <v>-2068556.3717464458</v>
          </cell>
          <cell r="CH14">
            <v>-2219888.6273464458</v>
          </cell>
          <cell r="CI14">
            <v>-2413085.9321464454</v>
          </cell>
          <cell r="CJ14">
            <v>-2281796.8985464456</v>
          </cell>
          <cell r="CK14">
            <v>-2493888.9173464458</v>
          </cell>
          <cell r="CL14">
            <v>-1819099.7153464456</v>
          </cell>
          <cell r="CM14">
            <v>-2353048.9025464458</v>
          </cell>
          <cell r="CN14">
            <v>-25512339.128957346</v>
          </cell>
          <cell r="CO14">
            <v>-1705972.3113227088</v>
          </cell>
          <cell r="CP14">
            <v>-1705972.3113227088</v>
          </cell>
          <cell r="CQ14">
            <v>-1705972.3113227088</v>
          </cell>
          <cell r="CR14">
            <v>-1705972.3113227088</v>
          </cell>
          <cell r="CS14">
            <v>-1705972.3113227088</v>
          </cell>
          <cell r="CT14">
            <v>-1705972.3113227088</v>
          </cell>
          <cell r="CU14">
            <v>-1705972.3113227088</v>
          </cell>
          <cell r="CV14">
            <v>-1705972.3113227088</v>
          </cell>
          <cell r="CW14">
            <v>-1705972.3113227088</v>
          </cell>
          <cell r="CX14">
            <v>-1705972.3113227088</v>
          </cell>
          <cell r="CY14">
            <v>-1705972.3113227088</v>
          </cell>
          <cell r="CZ14">
            <v>-1705972.3113227088</v>
          </cell>
          <cell r="DA14">
            <v>-20471667.735872507</v>
          </cell>
          <cell r="DB14">
            <v>-1774211.2037756173</v>
          </cell>
          <cell r="DC14">
            <v>-1774211.2037756173</v>
          </cell>
          <cell r="DD14">
            <v>-1774211.2037756173</v>
          </cell>
          <cell r="DE14">
            <v>-1774211.2037756173</v>
          </cell>
          <cell r="DF14">
            <v>-1774211.2037756173</v>
          </cell>
          <cell r="DG14">
            <v>-1774211.2037756173</v>
          </cell>
          <cell r="DH14">
            <v>-1774211.2037756173</v>
          </cell>
          <cell r="DI14">
            <v>-1774211.2037756173</v>
          </cell>
          <cell r="DJ14">
            <v>-1774211.2037756173</v>
          </cell>
          <cell r="DK14">
            <v>-1774211.2037756173</v>
          </cell>
          <cell r="DL14">
            <v>-1774211.2037756173</v>
          </cell>
          <cell r="DM14">
            <v>-1774211.2037756173</v>
          </cell>
          <cell r="DN14">
            <v>-21290534.445307415</v>
          </cell>
          <cell r="DO14">
            <v>-1845179.6519266421</v>
          </cell>
          <cell r="DP14">
            <v>-1845179.6519266421</v>
          </cell>
          <cell r="DQ14">
            <v>-1845179.6519266421</v>
          </cell>
          <cell r="DR14">
            <v>-1845179.6519266421</v>
          </cell>
          <cell r="DS14">
            <v>-1845179.6519266421</v>
          </cell>
          <cell r="DT14">
            <v>-1845179.6519266421</v>
          </cell>
          <cell r="DU14">
            <v>-1845179.6519266421</v>
          </cell>
          <cell r="DV14">
            <v>-1845179.6519266421</v>
          </cell>
          <cell r="DW14">
            <v>-1845179.6519266421</v>
          </cell>
          <cell r="DX14">
            <v>-1845179.6519266421</v>
          </cell>
          <cell r="DY14">
            <v>-1845179.6519266421</v>
          </cell>
          <cell r="DZ14">
            <v>-1845179.6519266421</v>
          </cell>
          <cell r="EA14">
            <v>-22142155.8231197</v>
          </cell>
          <cell r="EB14">
            <v>-1918986.838003708</v>
          </cell>
          <cell r="EC14">
            <v>-1918986.838003708</v>
          </cell>
          <cell r="ED14">
            <v>-1918986.838003708</v>
          </cell>
          <cell r="EE14">
            <v>-1918986.838003708</v>
          </cell>
          <cell r="EF14">
            <v>-1918986.838003708</v>
          </cell>
          <cell r="EG14">
            <v>-1918986.838003708</v>
          </cell>
          <cell r="EH14">
            <v>-1918986.838003708</v>
          </cell>
          <cell r="EI14">
            <v>-1918986.838003708</v>
          </cell>
          <cell r="EJ14">
            <v>-1918986.838003708</v>
          </cell>
          <cell r="EK14">
            <v>-1918986.838003708</v>
          </cell>
          <cell r="EL14">
            <v>-1918986.838003708</v>
          </cell>
          <cell r="EM14">
            <v>-1918986.838003708</v>
          </cell>
          <cell r="EN14">
            <v>-23027842.056044504</v>
          </cell>
        </row>
        <row r="15">
          <cell r="A15" t="str">
            <v>Resultado</v>
          </cell>
          <cell r="B15">
            <v>-7837600.5699999966</v>
          </cell>
          <cell r="C15">
            <v>-9086280.0199999958</v>
          </cell>
          <cell r="D15">
            <v>2228078.5700000059</v>
          </cell>
          <cell r="E15">
            <v>865886.09999999474</v>
          </cell>
          <cell r="F15">
            <v>-3797307.3099999838</v>
          </cell>
          <cell r="G15">
            <v>4915469.9300000509</v>
          </cell>
          <cell r="H15">
            <v>12221407.19000004</v>
          </cell>
          <cell r="I15">
            <v>-839545.34000001103</v>
          </cell>
          <cell r="J15">
            <v>-793979.87000005739</v>
          </cell>
          <cell r="K15">
            <v>-9695926.7099999972</v>
          </cell>
          <cell r="L15">
            <v>3023305.2600000338</v>
          </cell>
          <cell r="M15">
            <v>540695.46000014548</v>
          </cell>
          <cell r="N15">
            <v>1</v>
          </cell>
          <cell r="O15">
            <v>2133729.0299999882</v>
          </cell>
          <cell r="P15">
            <v>-6234610.8200000189</v>
          </cell>
          <cell r="Q15">
            <v>-3264562.039999987</v>
          </cell>
          <cell r="R15">
            <v>21262182.949999969</v>
          </cell>
          <cell r="S15">
            <v>-6220387.0400000066</v>
          </cell>
          <cell r="T15">
            <v>2161231.6200000439</v>
          </cell>
          <cell r="U15">
            <v>-1788432.4399999746</v>
          </cell>
          <cell r="V15">
            <v>1660309.0399999928</v>
          </cell>
          <cell r="W15">
            <v>3347566.0000000107</v>
          </cell>
          <cell r="X15">
            <v>-6666006.5000000037</v>
          </cell>
          <cell r="Y15">
            <v>-479894.64999998524</v>
          </cell>
          <cell r="Z15">
            <v>-2577327.3700000457</v>
          </cell>
          <cell r="AA15">
            <v>3333797.7799999844</v>
          </cell>
          <cell r="AB15">
            <v>1664294.7199999974</v>
          </cell>
          <cell r="AC15">
            <v>-8739423.6199999619</v>
          </cell>
          <cell r="AD15">
            <v>-4546604.1599999983</v>
          </cell>
          <cell r="AE15">
            <v>2570026.5499999654</v>
          </cell>
          <cell r="AF15">
            <v>6763396.2199999606</v>
          </cell>
          <cell r="AG15">
            <v>-1058230.9299999888</v>
          </cell>
          <cell r="AH15">
            <v>2004650.1199999549</v>
          </cell>
          <cell r="AI15">
            <v>2156514.9899999839</v>
          </cell>
          <cell r="AJ15">
            <v>10457518.679999981</v>
          </cell>
          <cell r="AK15">
            <v>-11516549.319999972</v>
          </cell>
          <cell r="AL15">
            <v>-11708044.890000029</v>
          </cell>
          <cell r="AM15">
            <v>8849878.5799999405</v>
          </cell>
          <cell r="AN15">
            <v>-3102573.0600001663</v>
          </cell>
          <cell r="AO15">
            <v>-6623056.6900000004</v>
          </cell>
          <cell r="AP15">
            <v>-10047421.769999998</v>
          </cell>
          <cell r="AQ15">
            <v>-4397849.5799999982</v>
          </cell>
          <cell r="AR15">
            <v>273777.51999999536</v>
          </cell>
          <cell r="AS15">
            <v>2302691.9199999976</v>
          </cell>
          <cell r="AT15">
            <v>2171597.8600000031</v>
          </cell>
          <cell r="AU15">
            <v>6841314.9499999974</v>
          </cell>
          <cell r="AV15">
            <v>-2122133.3499999987</v>
          </cell>
          <cell r="AW15">
            <v>4026142.8000000021</v>
          </cell>
          <cell r="AX15">
            <v>17254588.630000003</v>
          </cell>
          <cell r="AY15">
            <v>-8302607.2100000009</v>
          </cell>
          <cell r="AZ15">
            <v>-427138.33000000403</v>
          </cell>
          <cell r="BA15">
            <v>949906.74999999977</v>
          </cell>
          <cell r="BB15">
            <v>9168140.639999995</v>
          </cell>
          <cell r="BC15">
            <v>-10094410.4</v>
          </cell>
          <cell r="BD15">
            <v>-8901528.6500000022</v>
          </cell>
          <cell r="BE15">
            <v>-19059559.98</v>
          </cell>
          <cell r="BF15">
            <v>-4876949.6400000015</v>
          </cell>
          <cell r="BG15">
            <v>993991.88000000175</v>
          </cell>
          <cell r="BH15">
            <v>2438827.6800000016</v>
          </cell>
          <cell r="BI15">
            <v>10071664.090000002</v>
          </cell>
          <cell r="BJ15">
            <v>-1952532.25</v>
          </cell>
          <cell r="BK15">
            <v>12773158.850000003</v>
          </cell>
          <cell r="BL15">
            <v>-851711.0800000024</v>
          </cell>
          <cell r="BM15">
            <v>-2711318.200000003</v>
          </cell>
          <cell r="BN15">
            <v>-13002227.060000004</v>
          </cell>
          <cell r="BO15">
            <v>-2044664.3800000034</v>
          </cell>
          <cell r="BP15">
            <v>9345258.6700000018</v>
          </cell>
          <cell r="BQ15">
            <v>6701597.5599999968</v>
          </cell>
          <cell r="BR15">
            <v>16599308.32</v>
          </cell>
          <cell r="BS15">
            <v>-731112.72000000183</v>
          </cell>
          <cell r="BT15">
            <v>12864255.690000001</v>
          </cell>
          <cell r="BU15">
            <v>26673969.189999994</v>
          </cell>
          <cell r="BV15">
            <v>11228691.020000007</v>
          </cell>
          <cell r="BW15">
            <v>40100648.050000004</v>
          </cell>
          <cell r="BX15">
            <v>-7813338.7300000023</v>
          </cell>
          <cell r="BY15">
            <v>-797160.87985616201</v>
          </cell>
          <cell r="BZ15">
            <v>-9455416.9991010539</v>
          </cell>
          <cell r="CA15">
            <v>102672034.79104277</v>
          </cell>
          <cell r="CB15">
            <v>9592510.941224061</v>
          </cell>
          <cell r="CC15">
            <v>-84004.895586797968</v>
          </cell>
          <cell r="CD15">
            <v>-1116061.3454483855</v>
          </cell>
          <cell r="CE15">
            <v>-149369.96638597362</v>
          </cell>
          <cell r="CF15">
            <v>-3437009.1046534432</v>
          </cell>
          <cell r="CG15">
            <v>-786692.68966590264</v>
          </cell>
          <cell r="CH15">
            <v>774131.63033714332</v>
          </cell>
          <cell r="CI15">
            <v>-1221733.961506064</v>
          </cell>
          <cell r="CJ15">
            <v>496900.53757722769</v>
          </cell>
          <cell r="CK15">
            <v>1627987.7211143323</v>
          </cell>
          <cell r="CL15">
            <v>-2837570.7001162171</v>
          </cell>
          <cell r="CM15">
            <v>286989.47568927752</v>
          </cell>
          <cell r="CN15">
            <v>3146077.642579258</v>
          </cell>
          <cell r="CO15">
            <v>1564246.1220598563</v>
          </cell>
          <cell r="CP15">
            <v>-922816.26381461532</v>
          </cell>
          <cell r="CQ15">
            <v>742209.55955563928</v>
          </cell>
          <cell r="CR15">
            <v>1590495.6126675939</v>
          </cell>
          <cell r="CS15">
            <v>-951310.49180540885</v>
          </cell>
          <cell r="CT15">
            <v>913917.22532112175</v>
          </cell>
          <cell r="CU15">
            <v>1607539.2283748004</v>
          </cell>
          <cell r="CV15">
            <v>-943650.92092397693</v>
          </cell>
          <cell r="CW15">
            <v>1006847.2337194553</v>
          </cell>
          <cell r="CX15">
            <v>1609011.9329531596</v>
          </cell>
          <cell r="CY15">
            <v>-900921.48202802916</v>
          </cell>
          <cell r="CZ15">
            <v>1094307.8979294549</v>
          </cell>
          <cell r="DA15">
            <v>6409875.6540090507</v>
          </cell>
          <cell r="DB15">
            <v>1675987.4027972189</v>
          </cell>
          <cell r="DC15">
            <v>-778437.59692780534</v>
          </cell>
          <cell r="DD15">
            <v>1244310.4821070358</v>
          </cell>
          <cell r="DE15">
            <v>1677444.0997171174</v>
          </cell>
          <cell r="DF15">
            <v>-781859.75237227464</v>
          </cell>
          <cell r="DG15">
            <v>1332679.8126270357</v>
          </cell>
          <cell r="DH15">
            <v>1678715.36191415</v>
          </cell>
          <cell r="DI15">
            <v>-736862.71683838125</v>
          </cell>
          <cell r="DJ15">
            <v>1421975.1757853692</v>
          </cell>
          <cell r="DK15">
            <v>1680188.0664925086</v>
          </cell>
          <cell r="DL15">
            <v>-691865.68130448926</v>
          </cell>
          <cell r="DM15">
            <v>1592069.4463237026</v>
          </cell>
          <cell r="DN15">
            <v>9314344.1003211886</v>
          </cell>
          <cell r="DO15">
            <v>1749864.3377177047</v>
          </cell>
          <cell r="DP15">
            <v>-512212.31001600553</v>
          </cell>
          <cell r="DQ15">
            <v>1609238.1037086498</v>
          </cell>
          <cell r="DR15">
            <v>1751167.6152316581</v>
          </cell>
          <cell r="DS15">
            <v>-533974.88240175624</v>
          </cell>
          <cell r="DT15">
            <v>1618311.0937086495</v>
          </cell>
          <cell r="DU15">
            <v>1752753.0994057495</v>
          </cell>
          <cell r="DV15">
            <v>-488977.84686786379</v>
          </cell>
          <cell r="DW15">
            <v>1675847.8537086498</v>
          </cell>
          <cell r="DX15">
            <v>1756312.1970710221</v>
          </cell>
          <cell r="DY15">
            <v>-443980.81133397087</v>
          </cell>
          <cell r="DZ15">
            <v>1680620.1537086496</v>
          </cell>
          <cell r="EA15">
            <v>11614968.603641136</v>
          </cell>
          <cell r="EB15">
            <v>1828061.3085287744</v>
          </cell>
          <cell r="EC15">
            <v>-267480.74947998766</v>
          </cell>
          <cell r="ED15">
            <v>1754262.1506569958</v>
          </cell>
          <cell r="EE15">
            <v>1828374.1693301718</v>
          </cell>
          <cell r="EF15">
            <v>-283374.14331783913</v>
          </cell>
          <cell r="EG15">
            <v>1762415.3806569958</v>
          </cell>
          <cell r="EH15">
            <v>1828725.3396122688</v>
          </cell>
          <cell r="EI15">
            <v>-238377.10778394667</v>
          </cell>
          <cell r="EJ15">
            <v>1765549.6606569961</v>
          </cell>
          <cell r="EK15">
            <v>1829536.2235780717</v>
          </cell>
          <cell r="EL15">
            <v>-193380.07225005352</v>
          </cell>
          <cell r="EM15">
            <v>1770321.9606569959</v>
          </cell>
          <cell r="EN15">
            <v>13384634.120845441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CEA-3238-4EA8-ABCC-6582DECACA96}">
  <dimension ref="A1:P52"/>
  <sheetViews>
    <sheetView workbookViewId="0">
      <selection activeCell="C9" sqref="C9"/>
    </sheetView>
  </sheetViews>
  <sheetFormatPr baseColWidth="10" defaultColWidth="11.5546875" defaultRowHeight="14.4" x14ac:dyDescent="0.3"/>
  <cols>
    <col min="1" max="1" width="21.33203125" style="1" bestFit="1" customWidth="1"/>
    <col min="2" max="2" width="13.6640625" style="1" bestFit="1" customWidth="1"/>
    <col min="3" max="3" width="17.21875" style="1" bestFit="1" customWidth="1"/>
    <col min="4" max="5" width="15.109375" style="1" bestFit="1" customWidth="1"/>
    <col min="6" max="6" width="7.5546875" style="1" customWidth="1"/>
    <col min="7" max="7" width="7" style="1" customWidth="1"/>
    <col min="8" max="8" width="7.6640625" style="1" customWidth="1"/>
    <col min="9" max="9" width="15.109375" style="1" bestFit="1" customWidth="1"/>
    <col min="10" max="10" width="7.109375" style="1" customWidth="1"/>
    <col min="11" max="13" width="15.109375" style="1" bestFit="1" customWidth="1"/>
    <col min="14" max="14" width="7.6640625" style="1" customWidth="1"/>
    <col min="15" max="15" width="10" style="2" customWidth="1"/>
    <col min="16" max="16384" width="11.5546875" style="1"/>
  </cols>
  <sheetData>
    <row r="1" spans="1:16" x14ac:dyDescent="0.3">
      <c r="A1" s="1" t="s">
        <v>561</v>
      </c>
    </row>
    <row r="2" spans="1:16" ht="15" thickBot="1" x14ac:dyDescent="0.35"/>
    <row r="3" spans="1:16" ht="31.8" customHeight="1" x14ac:dyDescent="0.3">
      <c r="A3" s="164" t="s">
        <v>559</v>
      </c>
      <c r="B3" s="165" t="s">
        <v>557</v>
      </c>
      <c r="C3" s="166">
        <v>45748</v>
      </c>
      <c r="D3" s="166">
        <v>45778</v>
      </c>
      <c r="E3" s="166">
        <v>45809</v>
      </c>
      <c r="F3" s="166">
        <v>45839</v>
      </c>
      <c r="G3" s="166">
        <v>45870</v>
      </c>
      <c r="H3" s="166">
        <v>45901</v>
      </c>
      <c r="I3" s="166">
        <v>45931</v>
      </c>
      <c r="J3" s="166">
        <v>45962</v>
      </c>
      <c r="K3" s="166">
        <v>45992</v>
      </c>
      <c r="L3" s="166">
        <v>46023</v>
      </c>
      <c r="M3" s="166">
        <v>46054</v>
      </c>
      <c r="N3" s="166">
        <v>46082</v>
      </c>
      <c r="O3" s="181" t="s">
        <v>558</v>
      </c>
    </row>
    <row r="4" spans="1:16" x14ac:dyDescent="0.3">
      <c r="A4" s="171" t="s">
        <v>312</v>
      </c>
      <c r="B4" s="172" t="s">
        <v>544</v>
      </c>
      <c r="C4" s="172">
        <v>0</v>
      </c>
      <c r="D4" s="172">
        <v>0</v>
      </c>
      <c r="E4" s="172">
        <v>0</v>
      </c>
      <c r="F4" s="172">
        <v>0</v>
      </c>
      <c r="G4" s="172">
        <v>0</v>
      </c>
      <c r="H4" s="172">
        <v>0</v>
      </c>
      <c r="I4" s="172">
        <v>0</v>
      </c>
      <c r="J4" s="172">
        <v>0</v>
      </c>
      <c r="K4" s="172">
        <v>0</v>
      </c>
      <c r="L4" s="172">
        <v>0</v>
      </c>
      <c r="M4" s="172">
        <v>0</v>
      </c>
      <c r="N4" s="172">
        <v>0</v>
      </c>
      <c r="O4" s="173">
        <f>+SUM(C4:N4)</f>
        <v>0</v>
      </c>
    </row>
    <row r="5" spans="1:16" x14ac:dyDescent="0.3">
      <c r="A5" s="5" t="s">
        <v>545</v>
      </c>
      <c r="B5" s="167" t="s">
        <v>546</v>
      </c>
      <c r="C5" s="529">
        <v>351413.70600000006</v>
      </c>
      <c r="D5" s="529">
        <v>339393.93317500001</v>
      </c>
      <c r="E5" s="529">
        <v>354494.75880000007</v>
      </c>
      <c r="F5" s="529">
        <v>354619.42037499999</v>
      </c>
      <c r="G5" s="529">
        <v>345523.45800000004</v>
      </c>
      <c r="H5" s="529">
        <v>305317.84277500008</v>
      </c>
      <c r="I5" s="529">
        <v>350631.7927750001</v>
      </c>
      <c r="J5" s="529">
        <v>331024.38600000012</v>
      </c>
      <c r="K5" s="529">
        <v>360057.09437500004</v>
      </c>
      <c r="L5" s="529">
        <v>340934.60747500008</v>
      </c>
      <c r="M5" s="529">
        <v>349272.37427500007</v>
      </c>
      <c r="N5" s="529">
        <v>317190.09767500008</v>
      </c>
      <c r="O5" s="530">
        <f t="shared" ref="O5:O17" si="0">+SUM(C5:N5)</f>
        <v>4099873.4717000006</v>
      </c>
    </row>
    <row r="6" spans="1:16" x14ac:dyDescent="0.3">
      <c r="A6" s="171"/>
      <c r="B6" s="172" t="s">
        <v>547</v>
      </c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1"/>
      <c r="N6" s="531"/>
      <c r="O6" s="532">
        <f t="shared" si="0"/>
        <v>0</v>
      </c>
    </row>
    <row r="7" spans="1:16" x14ac:dyDescent="0.3">
      <c r="A7" s="5" t="s">
        <v>548</v>
      </c>
      <c r="B7" s="167" t="s">
        <v>546</v>
      </c>
      <c r="C7" s="529">
        <v>9917167.4034750015</v>
      </c>
      <c r="D7" s="529">
        <v>10623302.746875003</v>
      </c>
      <c r="E7" s="529">
        <v>10114239.055275002</v>
      </c>
      <c r="F7" s="529">
        <v>9180119.722500002</v>
      </c>
      <c r="G7" s="529">
        <v>11350209.520800002</v>
      </c>
      <c r="H7" s="529">
        <v>9717166.0745250024</v>
      </c>
      <c r="I7" s="529">
        <v>9416123.7525000013</v>
      </c>
      <c r="J7" s="529">
        <v>10121936.591250002</v>
      </c>
      <c r="K7" s="529">
        <v>10249954.687875003</v>
      </c>
      <c r="L7" s="529">
        <v>10694999.479500001</v>
      </c>
      <c r="M7" s="529">
        <v>8412943.5000000019</v>
      </c>
      <c r="N7" s="529">
        <v>6945764.2378500011</v>
      </c>
      <c r="O7" s="530">
        <f t="shared" si="0"/>
        <v>116743926.77242501</v>
      </c>
    </row>
    <row r="8" spans="1:16" x14ac:dyDescent="0.3">
      <c r="A8" s="175"/>
      <c r="B8" s="176" t="s">
        <v>547</v>
      </c>
      <c r="C8" s="533">
        <v>6233365.5425434243</v>
      </c>
      <c r="D8" s="533">
        <v>2807792.8296585218</v>
      </c>
      <c r="E8" s="533">
        <v>1937351.5846097763</v>
      </c>
      <c r="F8" s="533">
        <v>2872826.6655964036</v>
      </c>
      <c r="G8" s="533">
        <v>4727104.415698708</v>
      </c>
      <c r="H8" s="533">
        <v>2137879.8996705031</v>
      </c>
      <c r="I8" s="533">
        <v>3843703.1345214699</v>
      </c>
      <c r="J8" s="533">
        <v>3350387.2740440648</v>
      </c>
      <c r="K8" s="533">
        <v>3055433.933711627</v>
      </c>
      <c r="L8" s="533">
        <v>1785578.616260008</v>
      </c>
      <c r="M8" s="533">
        <v>1710313.9464795562</v>
      </c>
      <c r="N8" s="533">
        <v>3143108.1947690998</v>
      </c>
      <c r="O8" s="534">
        <f t="shared" si="0"/>
        <v>37604846.03756316</v>
      </c>
      <c r="P8" s="178"/>
    </row>
    <row r="9" spans="1:16" x14ac:dyDescent="0.3">
      <c r="A9" s="5" t="s">
        <v>549</v>
      </c>
      <c r="B9" s="167" t="s">
        <v>546</v>
      </c>
      <c r="C9" s="529">
        <v>11498586.202499999</v>
      </c>
      <c r="D9" s="529">
        <v>10917740.925000001</v>
      </c>
      <c r="E9" s="529">
        <v>11735029.473750001</v>
      </c>
      <c r="F9" s="529">
        <v>11930288.848125</v>
      </c>
      <c r="G9" s="529">
        <v>14115208.6425</v>
      </c>
      <c r="H9" s="529">
        <v>12782123.846249999</v>
      </c>
      <c r="I9" s="529">
        <v>13468256.676000001</v>
      </c>
      <c r="J9" s="529">
        <v>14666850.891000001</v>
      </c>
      <c r="K9" s="529">
        <v>15490902.6675</v>
      </c>
      <c r="L9" s="529">
        <v>15376966.53225</v>
      </c>
      <c r="M9" s="529">
        <v>16134129.837749999</v>
      </c>
      <c r="N9" s="529">
        <v>11715671.2125</v>
      </c>
      <c r="O9" s="530">
        <f t="shared" si="0"/>
        <v>159831755.75512502</v>
      </c>
    </row>
    <row r="10" spans="1:16" x14ac:dyDescent="0.3">
      <c r="A10" s="171"/>
      <c r="B10" s="172" t="s">
        <v>547</v>
      </c>
      <c r="C10" s="531">
        <v>6282807.4215167575</v>
      </c>
      <c r="D10" s="531">
        <v>4251963.7040131604</v>
      </c>
      <c r="E10" s="531">
        <v>6063528.024629754</v>
      </c>
      <c r="F10" s="531">
        <v>6524106.1107469583</v>
      </c>
      <c r="G10" s="531">
        <v>5807621.4488313794</v>
      </c>
      <c r="H10" s="531">
        <v>7617110.6458896045</v>
      </c>
      <c r="I10" s="531">
        <v>8130409.6823229399</v>
      </c>
      <c r="J10" s="531">
        <v>12250266.766116105</v>
      </c>
      <c r="K10" s="531">
        <v>7081478.3478696318</v>
      </c>
      <c r="L10" s="531">
        <v>13920110.493027562</v>
      </c>
      <c r="M10" s="531">
        <v>6369996.9522062633</v>
      </c>
      <c r="N10" s="531">
        <v>12632613.406093443</v>
      </c>
      <c r="O10" s="532">
        <f t="shared" si="0"/>
        <v>96932013.003263578</v>
      </c>
    </row>
    <row r="11" spans="1:16" x14ac:dyDescent="0.3">
      <c r="A11" s="179" t="s">
        <v>550</v>
      </c>
      <c r="B11" s="176" t="s">
        <v>546</v>
      </c>
      <c r="C11" s="533">
        <v>689397.29882100003</v>
      </c>
      <c r="D11" s="533">
        <v>880324.34298299998</v>
      </c>
      <c r="E11" s="533">
        <v>1006161.7170525001</v>
      </c>
      <c r="F11" s="533">
        <v>1013142.367329</v>
      </c>
      <c r="G11" s="533">
        <v>1070280.0378</v>
      </c>
      <c r="H11" s="533">
        <v>920451.51575999986</v>
      </c>
      <c r="I11" s="533">
        <v>911122.72339049994</v>
      </c>
      <c r="J11" s="533">
        <v>929140.22163749987</v>
      </c>
      <c r="K11" s="533">
        <v>914150.9049854998</v>
      </c>
      <c r="L11" s="533">
        <v>917600.89659749996</v>
      </c>
      <c r="M11" s="533">
        <v>830730.10221149994</v>
      </c>
      <c r="N11" s="533">
        <v>615386.06861250009</v>
      </c>
      <c r="O11" s="534">
        <f t="shared" si="0"/>
        <v>10697888.197180498</v>
      </c>
    </row>
    <row r="12" spans="1:16" x14ac:dyDescent="0.3">
      <c r="A12" s="175" t="s">
        <v>551</v>
      </c>
      <c r="B12" s="176" t="s">
        <v>546</v>
      </c>
      <c r="C12" s="533">
        <v>2881182.5310689998</v>
      </c>
      <c r="D12" s="533">
        <v>2750900.9346799999</v>
      </c>
      <c r="E12" s="533">
        <v>2728908.3511299998</v>
      </c>
      <c r="F12" s="533">
        <v>3116659.4703002498</v>
      </c>
      <c r="G12" s="533">
        <v>3177942.0017457502</v>
      </c>
      <c r="H12" s="533">
        <v>3016014.6192262494</v>
      </c>
      <c r="I12" s="533">
        <v>2901398.2371604997</v>
      </c>
      <c r="J12" s="533">
        <v>2904481.3898505</v>
      </c>
      <c r="K12" s="533">
        <v>3540754.3352620006</v>
      </c>
      <c r="L12" s="533">
        <v>2783464.3723852499</v>
      </c>
      <c r="M12" s="533">
        <v>2562275.16125225</v>
      </c>
      <c r="N12" s="533">
        <v>1750975.322861</v>
      </c>
      <c r="O12" s="534">
        <f t="shared" si="0"/>
        <v>34114956.72692275</v>
      </c>
    </row>
    <row r="13" spans="1:16" x14ac:dyDescent="0.3">
      <c r="A13" s="175" t="s">
        <v>552</v>
      </c>
      <c r="B13" s="176"/>
      <c r="C13" s="533">
        <v>363935.49999999994</v>
      </c>
      <c r="D13" s="533">
        <v>363239.49999999994</v>
      </c>
      <c r="E13" s="533">
        <v>362717.49999999994</v>
      </c>
      <c r="F13" s="533">
        <v>364283.49999999994</v>
      </c>
      <c r="G13" s="533">
        <v>364979.5</v>
      </c>
      <c r="H13" s="533">
        <v>365153.49999999994</v>
      </c>
      <c r="I13" s="533">
        <v>362891.5</v>
      </c>
      <c r="J13" s="533">
        <v>366023.49999999994</v>
      </c>
      <c r="K13" s="533">
        <v>368459.5</v>
      </c>
      <c r="L13" s="533">
        <v>371069.49999999994</v>
      </c>
      <c r="M13" s="533">
        <v>371765.5</v>
      </c>
      <c r="N13" s="533">
        <v>360281.5</v>
      </c>
      <c r="O13" s="534">
        <f t="shared" si="0"/>
        <v>4384800</v>
      </c>
    </row>
    <row r="14" spans="1:16" x14ac:dyDescent="0.3">
      <c r="A14" s="175" t="s">
        <v>553</v>
      </c>
      <c r="B14" s="176" t="s">
        <v>546</v>
      </c>
      <c r="C14" s="533">
        <v>28048.799999999996</v>
      </c>
      <c r="D14" s="533">
        <v>35322.003044999998</v>
      </c>
      <c r="E14" s="533">
        <v>40156.411650000002</v>
      </c>
      <c r="F14" s="533">
        <v>45343.983269999997</v>
      </c>
      <c r="G14" s="533">
        <v>42359.043371999993</v>
      </c>
      <c r="H14" s="533">
        <v>36673.374045000004</v>
      </c>
      <c r="I14" s="533">
        <v>36474.905294999997</v>
      </c>
      <c r="J14" s="533">
        <v>36971.332689000003</v>
      </c>
      <c r="K14" s="533">
        <v>36794.595756000002</v>
      </c>
      <c r="L14" s="533">
        <v>36882.199361999992</v>
      </c>
      <c r="M14" s="533">
        <v>33452.283347999997</v>
      </c>
      <c r="N14" s="533">
        <v>24754.109999999997</v>
      </c>
      <c r="O14" s="534">
        <f t="shared" si="0"/>
        <v>433233.04183200002</v>
      </c>
    </row>
    <row r="15" spans="1:16" x14ac:dyDescent="0.3">
      <c r="A15" s="180" t="s">
        <v>554</v>
      </c>
      <c r="B15" s="172" t="s">
        <v>546</v>
      </c>
      <c r="C15" s="531">
        <v>59461.89</v>
      </c>
      <c r="D15" s="531">
        <v>59461.89</v>
      </c>
      <c r="E15" s="531">
        <v>59461.89</v>
      </c>
      <c r="F15" s="531">
        <v>59461.89</v>
      </c>
      <c r="G15" s="531">
        <v>59461.89</v>
      </c>
      <c r="H15" s="531">
        <v>59461.89</v>
      </c>
      <c r="I15" s="531">
        <v>59461.89</v>
      </c>
      <c r="J15" s="531">
        <v>59461.89</v>
      </c>
      <c r="K15" s="531">
        <v>59461.89</v>
      </c>
      <c r="L15" s="531">
        <v>59461.89</v>
      </c>
      <c r="M15" s="531">
        <v>59461.89</v>
      </c>
      <c r="N15" s="531">
        <v>59461.89</v>
      </c>
      <c r="O15" s="532">
        <f t="shared" si="0"/>
        <v>713542.68</v>
      </c>
    </row>
    <row r="16" spans="1:16" x14ac:dyDescent="0.3">
      <c r="A16" s="5" t="s">
        <v>555</v>
      </c>
      <c r="B16" s="167" t="s">
        <v>544</v>
      </c>
      <c r="C16" s="529">
        <v>0</v>
      </c>
      <c r="D16" s="529">
        <v>0</v>
      </c>
      <c r="E16" s="529">
        <v>0</v>
      </c>
      <c r="F16" s="529">
        <v>0</v>
      </c>
      <c r="G16" s="529">
        <v>0</v>
      </c>
      <c r="H16" s="529">
        <v>0</v>
      </c>
      <c r="I16" s="529">
        <v>0</v>
      </c>
      <c r="J16" s="529">
        <v>0</v>
      </c>
      <c r="K16" s="529">
        <v>0</v>
      </c>
      <c r="L16" s="529">
        <v>0</v>
      </c>
      <c r="M16" s="529">
        <v>0</v>
      </c>
      <c r="N16" s="529">
        <v>0</v>
      </c>
      <c r="O16" s="530">
        <f t="shared" si="0"/>
        <v>0</v>
      </c>
    </row>
    <row r="17" spans="1:15" ht="15" thickBot="1" x14ac:dyDescent="0.35">
      <c r="A17" s="168" t="s">
        <v>556</v>
      </c>
      <c r="B17" s="169">
        <v>0.87</v>
      </c>
      <c r="C17" s="535">
        <f>+SUM(C4:C16)</f>
        <v>38305366.295925185</v>
      </c>
      <c r="D17" s="535">
        <f t="shared" ref="D17:N17" si="1">+SUM(D4:D16)</f>
        <v>33029442.809429687</v>
      </c>
      <c r="E17" s="535">
        <f t="shared" si="1"/>
        <v>34402048.766897038</v>
      </c>
      <c r="F17" s="535">
        <f t="shared" si="1"/>
        <v>35460851.978242613</v>
      </c>
      <c r="G17" s="535">
        <f t="shared" si="1"/>
        <v>41060689.958747841</v>
      </c>
      <c r="H17" s="535">
        <f t="shared" si="1"/>
        <v>36957353.208141357</v>
      </c>
      <c r="I17" s="535">
        <f t="shared" si="1"/>
        <v>39480474.293965407</v>
      </c>
      <c r="J17" s="535">
        <f t="shared" si="1"/>
        <v>45016544.242587179</v>
      </c>
      <c r="K17" s="535">
        <f t="shared" si="1"/>
        <v>41157447.957334772</v>
      </c>
      <c r="L17" s="535">
        <f t="shared" si="1"/>
        <v>46287068.586857319</v>
      </c>
      <c r="M17" s="535">
        <f t="shared" si="1"/>
        <v>36834341.547522575</v>
      </c>
      <c r="N17" s="535">
        <f t="shared" si="1"/>
        <v>37565206.040361047</v>
      </c>
      <c r="O17" s="536">
        <f t="shared" si="0"/>
        <v>465556835.68601203</v>
      </c>
    </row>
    <row r="18" spans="1:15" ht="15.6" thickTop="1" thickBot="1" x14ac:dyDescent="0.35">
      <c r="A18" s="1" t="s">
        <v>560</v>
      </c>
    </row>
    <row r="19" spans="1:15" ht="28.8" x14ac:dyDescent="0.3">
      <c r="A19" s="164" t="s">
        <v>559</v>
      </c>
      <c r="B19" s="165" t="s">
        <v>557</v>
      </c>
      <c r="C19" s="166">
        <v>45748</v>
      </c>
      <c r="D19" s="166">
        <v>45778</v>
      </c>
      <c r="E19" s="166">
        <v>45809</v>
      </c>
      <c r="F19" s="166">
        <v>45839</v>
      </c>
      <c r="G19" s="166">
        <v>45870</v>
      </c>
      <c r="H19" s="166">
        <v>45901</v>
      </c>
      <c r="I19" s="166">
        <v>45931</v>
      </c>
      <c r="J19" s="166">
        <v>45962</v>
      </c>
      <c r="K19" s="166">
        <v>45992</v>
      </c>
      <c r="L19" s="166">
        <v>46023</v>
      </c>
      <c r="M19" s="166">
        <v>46054</v>
      </c>
      <c r="N19" s="166">
        <v>46082</v>
      </c>
      <c r="O19" s="181" t="s">
        <v>558</v>
      </c>
    </row>
    <row r="20" spans="1:15" x14ac:dyDescent="0.3">
      <c r="A20" s="171" t="s">
        <v>312</v>
      </c>
      <c r="B20" s="172" t="s">
        <v>544</v>
      </c>
      <c r="C20" s="172">
        <v>0</v>
      </c>
      <c r="D20" s="172">
        <v>0</v>
      </c>
      <c r="E20" s="172">
        <v>0</v>
      </c>
      <c r="F20" s="172">
        <v>0</v>
      </c>
      <c r="G20" s="172">
        <v>0</v>
      </c>
      <c r="H20" s="172">
        <v>0</v>
      </c>
      <c r="I20" s="172">
        <v>0</v>
      </c>
      <c r="J20" s="172">
        <v>0</v>
      </c>
      <c r="K20" s="172">
        <v>0</v>
      </c>
      <c r="L20" s="172">
        <v>0</v>
      </c>
      <c r="M20" s="172">
        <v>0</v>
      </c>
      <c r="N20" s="172">
        <v>0</v>
      </c>
      <c r="O20" s="173">
        <f>+SUM(C20:N20)</f>
        <v>0</v>
      </c>
    </row>
    <row r="21" spans="1:15" x14ac:dyDescent="0.3">
      <c r="A21" s="5" t="s">
        <v>545</v>
      </c>
      <c r="B21" s="167" t="s">
        <v>546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  <c r="O21" s="173">
        <f t="shared" ref="O21:O32" si="2">+SUM(C21:N21)</f>
        <v>0</v>
      </c>
    </row>
    <row r="22" spans="1:15" x14ac:dyDescent="0.3">
      <c r="A22" s="171"/>
      <c r="B22" s="172" t="s">
        <v>547</v>
      </c>
      <c r="C22" s="174">
        <v>350251.28188485099</v>
      </c>
      <c r="D22" s="174">
        <v>350284.90815999353</v>
      </c>
      <c r="E22" s="174">
        <v>350251.28188485099</v>
      </c>
      <c r="F22" s="174">
        <v>350284.90815999353</v>
      </c>
      <c r="G22" s="174">
        <v>350251.28188485099</v>
      </c>
      <c r="H22" s="174">
        <v>350284.90815999353</v>
      </c>
      <c r="I22" s="174">
        <v>350284.90815999353</v>
      </c>
      <c r="J22" s="174">
        <v>350251.28188485099</v>
      </c>
      <c r="K22" s="174">
        <v>350284.90815999353</v>
      </c>
      <c r="L22" s="174">
        <v>350284.90815999353</v>
      </c>
      <c r="M22" s="174">
        <v>350284.90815999353</v>
      </c>
      <c r="N22" s="174">
        <v>350284.90815999353</v>
      </c>
      <c r="O22" s="173">
        <f t="shared" si="2"/>
        <v>4203284.3928193524</v>
      </c>
    </row>
    <row r="23" spans="1:15" x14ac:dyDescent="0.3">
      <c r="A23" s="5" t="s">
        <v>548</v>
      </c>
      <c r="B23" s="167" t="s">
        <v>546</v>
      </c>
      <c r="C23" s="116">
        <v>8636287.3242426589</v>
      </c>
      <c r="D23" s="116">
        <v>9303755.5049340967</v>
      </c>
      <c r="E23" s="116">
        <v>8832843.9517484736</v>
      </c>
      <c r="F23" s="116">
        <v>8116655.230851219</v>
      </c>
      <c r="G23" s="116">
        <v>10291014.620710766</v>
      </c>
      <c r="H23" s="116">
        <v>8524291.2642057594</v>
      </c>
      <c r="I23" s="116">
        <v>8325319.5405231863</v>
      </c>
      <c r="J23" s="116">
        <v>8873063.3534120973</v>
      </c>
      <c r="K23" s="116">
        <v>8974658.3992477544</v>
      </c>
      <c r="L23" s="116">
        <v>9588897.8602034282</v>
      </c>
      <c r="M23" s="116">
        <v>7341892.377346972</v>
      </c>
      <c r="N23" s="116">
        <v>6132347.8094614157</v>
      </c>
      <c r="O23" s="173">
        <f t="shared" si="2"/>
        <v>102941027.23688783</v>
      </c>
    </row>
    <row r="24" spans="1:15" x14ac:dyDescent="0.3">
      <c r="A24" s="175"/>
      <c r="B24" s="176" t="s">
        <v>547</v>
      </c>
      <c r="C24" s="177">
        <v>4852204.9056641869</v>
      </c>
      <c r="D24" s="177">
        <v>2198066.8146724817</v>
      </c>
      <c r="E24" s="177">
        <v>1512351.9975766307</v>
      </c>
      <c r="F24" s="177">
        <v>2270467.4252947439</v>
      </c>
      <c r="G24" s="177">
        <v>3831127.5427344656</v>
      </c>
      <c r="H24" s="177">
        <v>1676405.4254136519</v>
      </c>
      <c r="I24" s="177">
        <v>3037775.6040573916</v>
      </c>
      <c r="J24" s="177">
        <v>2625318.9822302451</v>
      </c>
      <c r="K24" s="177">
        <v>2391365.5993874036</v>
      </c>
      <c r="L24" s="177">
        <v>1431014.3847796964</v>
      </c>
      <c r="M24" s="177">
        <v>1334175.5488149289</v>
      </c>
      <c r="N24" s="177">
        <v>2480522.4970759023</v>
      </c>
      <c r="O24" s="173">
        <f t="shared" si="2"/>
        <v>29640796.727701731</v>
      </c>
    </row>
    <row r="25" spans="1:15" x14ac:dyDescent="0.3">
      <c r="A25" s="5" t="s">
        <v>549</v>
      </c>
      <c r="B25" s="167" t="s">
        <v>546</v>
      </c>
      <c r="C25" s="116">
        <v>10208375.104461549</v>
      </c>
      <c r="D25" s="116">
        <v>9713790.1830533389</v>
      </c>
      <c r="E25" s="116">
        <v>10481997.985442063</v>
      </c>
      <c r="F25" s="116">
        <v>10644784.029718507</v>
      </c>
      <c r="G25" s="116">
        <v>12727555.855231427</v>
      </c>
      <c r="H25" s="116">
        <v>11487535.386808682</v>
      </c>
      <c r="I25" s="116">
        <v>12074988.412164764</v>
      </c>
      <c r="J25" s="116">
        <v>12728267.48821187</v>
      </c>
      <c r="K25" s="116">
        <v>13460537.825088197</v>
      </c>
      <c r="L25" s="116">
        <v>13633820.455826182</v>
      </c>
      <c r="M25" s="116">
        <v>14004581.238637229</v>
      </c>
      <c r="N25" s="116">
        <v>10549958.935074413</v>
      </c>
      <c r="O25" s="173">
        <f t="shared" si="2"/>
        <v>141716192.89971823</v>
      </c>
    </row>
    <row r="26" spans="1:15" x14ac:dyDescent="0.3">
      <c r="A26" s="171"/>
      <c r="B26" s="172" t="s">
        <v>547</v>
      </c>
      <c r="C26" s="174">
        <v>4897752.0307026599</v>
      </c>
      <c r="D26" s="174">
        <v>3466537.8880418763</v>
      </c>
      <c r="E26" s="174">
        <v>4775753.4000162119</v>
      </c>
      <c r="F26" s="174">
        <v>4981911.9015972102</v>
      </c>
      <c r="G26" s="174">
        <v>4641535.9450550331</v>
      </c>
      <c r="H26" s="174">
        <v>6188034.2207177477</v>
      </c>
      <c r="I26" s="174">
        <v>6782613.0289672604</v>
      </c>
      <c r="J26" s="174">
        <v>10529330.934039176</v>
      </c>
      <c r="K26" s="174">
        <v>5606895.5614879066</v>
      </c>
      <c r="L26" s="174">
        <v>11945707.335420789</v>
      </c>
      <c r="M26" s="174">
        <v>5425933.1566998018</v>
      </c>
      <c r="N26" s="174">
        <v>10866048.863063324</v>
      </c>
      <c r="O26" s="173">
        <f t="shared" si="2"/>
        <v>80108054.265808985</v>
      </c>
    </row>
    <row r="27" spans="1:15" x14ac:dyDescent="0.3">
      <c r="A27" s="175" t="s">
        <v>550</v>
      </c>
      <c r="B27" s="176" t="s">
        <v>546</v>
      </c>
      <c r="C27" s="177">
        <v>537446.51334139844</v>
      </c>
      <c r="D27" s="177">
        <v>677079.16497294162</v>
      </c>
      <c r="E27" s="177">
        <v>770055.67600553122</v>
      </c>
      <c r="F27" s="177">
        <v>869534.09924359061</v>
      </c>
      <c r="G27" s="177">
        <v>825511.55228262162</v>
      </c>
      <c r="H27" s="177">
        <v>706943.10336061497</v>
      </c>
      <c r="I27" s="177">
        <v>704249.64886382059</v>
      </c>
      <c r="J27" s="177">
        <v>716142.44815792667</v>
      </c>
      <c r="K27" s="177">
        <v>705588.37256384839</v>
      </c>
      <c r="L27" s="177">
        <v>709256.93393002078</v>
      </c>
      <c r="M27" s="177">
        <v>638935.01117702341</v>
      </c>
      <c r="N27" s="177">
        <v>474313.86078814743</v>
      </c>
      <c r="O27" s="173">
        <f t="shared" si="2"/>
        <v>8335056.384687487</v>
      </c>
    </row>
    <row r="28" spans="1:15" x14ac:dyDescent="0.3">
      <c r="A28" s="175" t="s">
        <v>551</v>
      </c>
      <c r="B28" s="176" t="s">
        <v>546</v>
      </c>
      <c r="C28" s="177">
        <v>1677737.9718225091</v>
      </c>
      <c r="D28" s="177">
        <v>1604502.4766245133</v>
      </c>
      <c r="E28" s="177">
        <v>1593636.3179182771</v>
      </c>
      <c r="F28" s="177">
        <v>1813372.8608449935</v>
      </c>
      <c r="G28" s="177">
        <v>1846007.2078546137</v>
      </c>
      <c r="H28" s="177">
        <v>1751231.1189714323</v>
      </c>
      <c r="I28" s="177">
        <v>1693671.8215654732</v>
      </c>
      <c r="J28" s="177">
        <v>1683033.2574774355</v>
      </c>
      <c r="K28" s="177">
        <v>2040087.9000594844</v>
      </c>
      <c r="L28" s="177">
        <v>1594067.6344583081</v>
      </c>
      <c r="M28" s="177">
        <v>1465033.8552126624</v>
      </c>
      <c r="N28" s="177">
        <v>1028454.0659430745</v>
      </c>
      <c r="O28" s="173">
        <f t="shared" si="2"/>
        <v>19790836.488752775</v>
      </c>
    </row>
    <row r="29" spans="1:15" x14ac:dyDescent="0.3">
      <c r="A29" s="175" t="s">
        <v>552</v>
      </c>
      <c r="B29" s="176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3">
        <f t="shared" si="2"/>
        <v>0</v>
      </c>
    </row>
    <row r="30" spans="1:15" x14ac:dyDescent="0.3">
      <c r="A30" s="180" t="s">
        <v>553</v>
      </c>
      <c r="B30" s="172" t="s">
        <v>546</v>
      </c>
      <c r="C30" s="174">
        <v>22936.232251959147</v>
      </c>
      <c r="D30" s="174">
        <v>28895.277394653716</v>
      </c>
      <c r="E30" s="174">
        <v>32863.231345810731</v>
      </c>
      <c r="F30" s="174">
        <v>37108.639719370476</v>
      </c>
      <c r="G30" s="174">
        <v>35229.953139985824</v>
      </c>
      <c r="H30" s="174">
        <v>30169.789183716523</v>
      </c>
      <c r="I30" s="174">
        <v>30054.894595977952</v>
      </c>
      <c r="J30" s="174">
        <v>30562.493904655774</v>
      </c>
      <c r="K30" s="174">
        <v>30111.986179049283</v>
      </c>
      <c r="L30" s="174">
        <v>30268.49893014826</v>
      </c>
      <c r="M30" s="174">
        <v>27267.544783224355</v>
      </c>
      <c r="N30" s="174">
        <v>20242.078668269034</v>
      </c>
      <c r="O30" s="173">
        <f t="shared" si="2"/>
        <v>355710.62009682105</v>
      </c>
    </row>
    <row r="31" spans="1:15" x14ac:dyDescent="0.3">
      <c r="A31" s="5" t="s">
        <v>554</v>
      </c>
      <c r="B31" s="167" t="s">
        <v>546</v>
      </c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73">
        <f t="shared" si="2"/>
        <v>0</v>
      </c>
    </row>
    <row r="32" spans="1:15" x14ac:dyDescent="0.3">
      <c r="A32" s="5" t="s">
        <v>555</v>
      </c>
      <c r="B32" s="167" t="s">
        <v>544</v>
      </c>
      <c r="C32" s="116">
        <v>0</v>
      </c>
      <c r="D32" s="116">
        <v>0</v>
      </c>
      <c r="E32" s="116">
        <v>0</v>
      </c>
      <c r="F32" s="116">
        <v>0</v>
      </c>
      <c r="G32" s="116">
        <v>0</v>
      </c>
      <c r="H32" s="116">
        <v>0</v>
      </c>
      <c r="I32" s="116">
        <v>0</v>
      </c>
      <c r="J32" s="116">
        <v>0</v>
      </c>
      <c r="K32" s="116">
        <v>0</v>
      </c>
      <c r="L32" s="116">
        <v>0</v>
      </c>
      <c r="M32" s="116">
        <v>0</v>
      </c>
      <c r="N32" s="116">
        <v>0</v>
      </c>
      <c r="O32" s="173">
        <f t="shared" si="2"/>
        <v>0</v>
      </c>
    </row>
    <row r="33" spans="1:15" ht="15" thickBot="1" x14ac:dyDescent="0.35">
      <c r="A33" s="168" t="s">
        <v>556</v>
      </c>
      <c r="B33" s="169" t="s">
        <v>428</v>
      </c>
      <c r="C33" s="118">
        <f>+SUM(C20:C32)</f>
        <v>31182991.364371773</v>
      </c>
      <c r="D33" s="118">
        <f t="shared" ref="D33:N33" si="3">+SUM(D20:D32)</f>
        <v>27342912.217853896</v>
      </c>
      <c r="E33" s="118">
        <f t="shared" si="3"/>
        <v>28349753.841937851</v>
      </c>
      <c r="F33" s="118">
        <f t="shared" si="3"/>
        <v>29084119.095429625</v>
      </c>
      <c r="G33" s="118">
        <f t="shared" si="3"/>
        <v>34548233.958893761</v>
      </c>
      <c r="H33" s="118">
        <f t="shared" si="3"/>
        <v>30714895.2168216</v>
      </c>
      <c r="I33" s="118">
        <f t="shared" si="3"/>
        <v>32998957.858897869</v>
      </c>
      <c r="J33" s="118">
        <f t="shared" si="3"/>
        <v>37535970.239318259</v>
      </c>
      <c r="K33" s="118">
        <f t="shared" si="3"/>
        <v>33559530.552173637</v>
      </c>
      <c r="L33" s="118">
        <f t="shared" si="3"/>
        <v>39283318.011708573</v>
      </c>
      <c r="M33" s="118">
        <f t="shared" si="3"/>
        <v>30588103.640831836</v>
      </c>
      <c r="N33" s="118">
        <f t="shared" si="3"/>
        <v>31902173.018234544</v>
      </c>
      <c r="O33" s="170">
        <f>+SUM(C33:N33)</f>
        <v>387090959.01647317</v>
      </c>
    </row>
    <row r="34" spans="1:15" ht="15" thickTop="1" x14ac:dyDescent="0.3">
      <c r="O34" s="1"/>
    </row>
    <row r="36" spans="1:15" x14ac:dyDescent="0.3">
      <c r="A36" s="164" t="s">
        <v>559</v>
      </c>
      <c r="B36" s="165" t="s">
        <v>557</v>
      </c>
      <c r="C36" s="183" t="s">
        <v>564</v>
      </c>
      <c r="D36" s="184" t="s">
        <v>563</v>
      </c>
      <c r="E36" s="184" t="s">
        <v>565</v>
      </c>
      <c r="F36" s="184" t="s">
        <v>562</v>
      </c>
    </row>
    <row r="37" spans="1:15" x14ac:dyDescent="0.3">
      <c r="A37" s="171" t="s">
        <v>312</v>
      </c>
      <c r="B37" s="172" t="s">
        <v>544</v>
      </c>
      <c r="C37" s="172">
        <f t="shared" ref="C37:C44" si="4">+O4</f>
        <v>0</v>
      </c>
      <c r="D37" s="117">
        <f>+O20</f>
        <v>0</v>
      </c>
      <c r="E37" s="117">
        <f>+C37-D37</f>
        <v>0</v>
      </c>
      <c r="F37" s="182"/>
    </row>
    <row r="38" spans="1:15" x14ac:dyDescent="0.3">
      <c r="A38" s="5" t="s">
        <v>545</v>
      </c>
      <c r="B38" s="167" t="s">
        <v>546</v>
      </c>
      <c r="C38" s="116">
        <f t="shared" si="4"/>
        <v>4099873.4717000006</v>
      </c>
      <c r="D38" s="117">
        <f>+O22</f>
        <v>4203284.3928193524</v>
      </c>
      <c r="E38" s="117">
        <f t="shared" ref="E38:E48" si="5">+C38-D38</f>
        <v>-103410.92111935187</v>
      </c>
      <c r="F38" s="182">
        <f t="shared" ref="F38:F47" si="6">+E38/C38</f>
        <v>-2.5222954277287206E-2</v>
      </c>
    </row>
    <row r="39" spans="1:15" x14ac:dyDescent="0.3">
      <c r="A39" s="171"/>
      <c r="B39" s="172" t="s">
        <v>547</v>
      </c>
      <c r="C39" s="174">
        <f t="shared" si="4"/>
        <v>0</v>
      </c>
      <c r="E39" s="117">
        <f t="shared" si="5"/>
        <v>0</v>
      </c>
      <c r="F39" s="182"/>
    </row>
    <row r="40" spans="1:15" x14ac:dyDescent="0.3">
      <c r="A40" s="5" t="s">
        <v>548</v>
      </c>
      <c r="B40" s="167" t="s">
        <v>546</v>
      </c>
      <c r="C40" s="116">
        <f t="shared" si="4"/>
        <v>116743926.77242501</v>
      </c>
      <c r="D40" s="117">
        <f t="shared" ref="D40:D45" si="7">+O23</f>
        <v>102941027.23688783</v>
      </c>
      <c r="E40" s="117">
        <f t="shared" si="5"/>
        <v>13802899.535537183</v>
      </c>
      <c r="F40" s="182">
        <f t="shared" si="6"/>
        <v>0.11823227055265917</v>
      </c>
    </row>
    <row r="41" spans="1:15" x14ac:dyDescent="0.3">
      <c r="A41" s="175"/>
      <c r="B41" s="176" t="s">
        <v>547</v>
      </c>
      <c r="C41" s="177">
        <f t="shared" si="4"/>
        <v>37604846.03756316</v>
      </c>
      <c r="D41" s="117">
        <f t="shared" si="7"/>
        <v>29640796.727701731</v>
      </c>
      <c r="E41" s="117">
        <f t="shared" si="5"/>
        <v>7964049.309861429</v>
      </c>
      <c r="F41" s="182">
        <f t="shared" si="6"/>
        <v>0.21178252669632547</v>
      </c>
    </row>
    <row r="42" spans="1:15" x14ac:dyDescent="0.3">
      <c r="A42" s="5" t="s">
        <v>549</v>
      </c>
      <c r="B42" s="167" t="s">
        <v>546</v>
      </c>
      <c r="C42" s="116">
        <f t="shared" si="4"/>
        <v>159831755.75512502</v>
      </c>
      <c r="D42" s="117">
        <f t="shared" si="7"/>
        <v>141716192.89971823</v>
      </c>
      <c r="E42" s="117">
        <f t="shared" si="5"/>
        <v>18115562.855406791</v>
      </c>
      <c r="F42" s="182">
        <f t="shared" si="6"/>
        <v>0.11334144938732499</v>
      </c>
    </row>
    <row r="43" spans="1:15" x14ac:dyDescent="0.3">
      <c r="A43" s="171"/>
      <c r="B43" s="172" t="s">
        <v>547</v>
      </c>
      <c r="C43" s="174">
        <f t="shared" si="4"/>
        <v>96932013.003263578</v>
      </c>
      <c r="D43" s="117">
        <f t="shared" si="7"/>
        <v>80108054.265808985</v>
      </c>
      <c r="E43" s="117">
        <f t="shared" si="5"/>
        <v>16823958.737454593</v>
      </c>
      <c r="F43" s="182">
        <f t="shared" si="6"/>
        <v>0.17356452441453116</v>
      </c>
    </row>
    <row r="44" spans="1:15" x14ac:dyDescent="0.3">
      <c r="A44" s="175" t="s">
        <v>550</v>
      </c>
      <c r="B44" s="176" t="s">
        <v>546</v>
      </c>
      <c r="C44" s="177">
        <f t="shared" si="4"/>
        <v>10697888.197180498</v>
      </c>
      <c r="D44" s="117">
        <f t="shared" si="7"/>
        <v>8335056.384687487</v>
      </c>
      <c r="E44" s="117">
        <f t="shared" si="5"/>
        <v>2362831.8124930114</v>
      </c>
      <c r="F44" s="182">
        <f t="shared" si="6"/>
        <v>0.22086899479055613</v>
      </c>
    </row>
    <row r="45" spans="1:15" x14ac:dyDescent="0.3">
      <c r="A45" s="175" t="s">
        <v>551</v>
      </c>
      <c r="B45" s="176" t="s">
        <v>546</v>
      </c>
      <c r="C45" s="177">
        <f>+O12+O13</f>
        <v>38499756.72692275</v>
      </c>
      <c r="D45" s="117">
        <f t="shared" si="7"/>
        <v>19790836.488752775</v>
      </c>
      <c r="E45" s="117">
        <f t="shared" si="5"/>
        <v>18708920.238169976</v>
      </c>
      <c r="F45" s="182">
        <f t="shared" si="6"/>
        <v>0.48594905081794687</v>
      </c>
    </row>
    <row r="46" spans="1:15" x14ac:dyDescent="0.3">
      <c r="A46" s="180" t="s">
        <v>553</v>
      </c>
      <c r="B46" s="172" t="s">
        <v>546</v>
      </c>
      <c r="C46" s="174">
        <f>+O14</f>
        <v>433233.04183200002</v>
      </c>
      <c r="D46" s="117">
        <f>+O30</f>
        <v>355710.62009682105</v>
      </c>
      <c r="E46" s="117">
        <f t="shared" si="5"/>
        <v>77522.42173517897</v>
      </c>
      <c r="F46" s="182">
        <f t="shared" si="6"/>
        <v>0.17893931037060828</v>
      </c>
    </row>
    <row r="47" spans="1:15" x14ac:dyDescent="0.3">
      <c r="A47" s="5" t="s">
        <v>554</v>
      </c>
      <c r="B47" s="167" t="s">
        <v>546</v>
      </c>
      <c r="C47" s="116">
        <f>+O15</f>
        <v>713542.68</v>
      </c>
      <c r="D47" s="117">
        <f>+O31</f>
        <v>0</v>
      </c>
      <c r="E47" s="117">
        <f t="shared" si="5"/>
        <v>713542.68</v>
      </c>
      <c r="F47" s="182">
        <f t="shared" si="6"/>
        <v>1</v>
      </c>
    </row>
    <row r="48" spans="1:15" x14ac:dyDescent="0.3">
      <c r="A48" s="5" t="s">
        <v>555</v>
      </c>
      <c r="B48" s="167" t="s">
        <v>544</v>
      </c>
      <c r="C48" s="116">
        <f>+O16</f>
        <v>0</v>
      </c>
      <c r="D48" s="117">
        <f>+O32</f>
        <v>0</v>
      </c>
      <c r="E48" s="117">
        <f t="shared" si="5"/>
        <v>0</v>
      </c>
      <c r="F48" s="182"/>
    </row>
    <row r="49" spans="1:14" ht="15" thickBot="1" x14ac:dyDescent="0.35">
      <c r="A49" s="168" t="s">
        <v>556</v>
      </c>
      <c r="B49" s="169"/>
      <c r="C49" s="118">
        <f>+SUM(C37:C48)</f>
        <v>465556835.68601197</v>
      </c>
      <c r="D49" s="118">
        <f>+SUM(D37:D48)</f>
        <v>387090959.01647323</v>
      </c>
      <c r="E49" s="118">
        <f>+C49-D49</f>
        <v>78465876.669538736</v>
      </c>
      <c r="F49" s="185">
        <f>+E49/C49</f>
        <v>0.16854199241627912</v>
      </c>
    </row>
    <row r="50" spans="1:14" ht="15" thickTop="1" x14ac:dyDescent="0.3"/>
    <row r="51" spans="1:14" x14ac:dyDescent="0.3">
      <c r="A51" s="1" t="s">
        <v>664</v>
      </c>
    </row>
    <row r="52" spans="1:14" x14ac:dyDescent="0.3">
      <c r="A52" s="1" t="s">
        <v>665</v>
      </c>
      <c r="C52" s="1">
        <f>C5+C7+C8*20+C9+C10*20</f>
        <v>272090626.59317863</v>
      </c>
      <c r="D52" s="1">
        <f t="shared" ref="D52:N52" si="8">D5+D7+D8*20+D9+D10*20</f>
        <v>163075568.27848363</v>
      </c>
      <c r="E52" s="1">
        <f t="shared" si="8"/>
        <v>182221355.4726156</v>
      </c>
      <c r="F52" s="1">
        <f t="shared" si="8"/>
        <v>209403683.51786724</v>
      </c>
      <c r="G52" s="1">
        <f t="shared" si="8"/>
        <v>236505458.91190174</v>
      </c>
      <c r="H52" s="1">
        <f t="shared" si="8"/>
        <v>217904418.67475215</v>
      </c>
      <c r="I52" s="1">
        <f t="shared" si="8"/>
        <v>262717268.55816323</v>
      </c>
      <c r="J52" s="1">
        <f t="shared" si="8"/>
        <v>337132892.67145342</v>
      </c>
      <c r="K52" s="1">
        <f t="shared" si="8"/>
        <v>228839160.08137518</v>
      </c>
      <c r="L52" s="1">
        <f t="shared" si="8"/>
        <v>340526682.8049764</v>
      </c>
      <c r="M52" s="1">
        <f t="shared" si="8"/>
        <v>186502563.68574136</v>
      </c>
      <c r="N52" s="1">
        <f t="shared" si="8"/>
        <v>334493057.56527585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5CF3-5969-4020-A056-E2850D2C368A}">
  <dimension ref="A1:O88"/>
  <sheetViews>
    <sheetView workbookViewId="0">
      <selection sqref="A1:O1"/>
    </sheetView>
  </sheetViews>
  <sheetFormatPr baseColWidth="10" defaultRowHeight="14.4" x14ac:dyDescent="0.3"/>
  <cols>
    <col min="2" max="2" width="42.88671875" bestFit="1" customWidth="1"/>
    <col min="3" max="14" width="14.21875" bestFit="1" customWidth="1"/>
    <col min="15" max="15" width="12.109375" bestFit="1" customWidth="1"/>
  </cols>
  <sheetData>
    <row r="1" spans="1:15" x14ac:dyDescent="0.3">
      <c r="A1" s="537" t="s">
        <v>295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</row>
    <row r="2" spans="1:15" ht="15" thickBot="1" x14ac:dyDescent="0.35">
      <c r="A2" s="71" t="s">
        <v>296</v>
      </c>
      <c r="B2" s="71"/>
      <c r="C2" s="72" t="s">
        <v>296</v>
      </c>
      <c r="D2" s="71" t="s">
        <v>296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15" thickTop="1" x14ac:dyDescent="0.3">
      <c r="A3" s="538" t="s">
        <v>297</v>
      </c>
      <c r="B3" s="538" t="s">
        <v>298</v>
      </c>
      <c r="C3" s="73">
        <v>45397</v>
      </c>
      <c r="D3" s="73">
        <v>45427</v>
      </c>
      <c r="E3" s="73">
        <v>45457</v>
      </c>
      <c r="F3" s="73">
        <v>45487</v>
      </c>
      <c r="G3" s="73">
        <v>45517</v>
      </c>
      <c r="H3" s="73">
        <v>45547</v>
      </c>
      <c r="I3" s="73">
        <v>45577</v>
      </c>
      <c r="J3" s="73">
        <v>45607</v>
      </c>
      <c r="K3" s="73">
        <v>45637</v>
      </c>
      <c r="L3" s="73">
        <v>45667</v>
      </c>
      <c r="M3" s="73">
        <v>45697</v>
      </c>
      <c r="N3" s="74">
        <v>45727</v>
      </c>
      <c r="O3" s="75" t="s">
        <v>299</v>
      </c>
    </row>
    <row r="4" spans="1:15" ht="15" thickBot="1" x14ac:dyDescent="0.35">
      <c r="A4" s="539"/>
      <c r="B4" s="539"/>
      <c r="C4" s="76" t="s">
        <v>428</v>
      </c>
      <c r="D4" s="76" t="s">
        <v>428</v>
      </c>
      <c r="E4" s="76" t="s">
        <v>428</v>
      </c>
      <c r="F4" s="76" t="s">
        <v>428</v>
      </c>
      <c r="G4" s="76" t="s">
        <v>428</v>
      </c>
      <c r="H4" s="76" t="s">
        <v>428</v>
      </c>
      <c r="I4" s="76" t="s">
        <v>428</v>
      </c>
      <c r="J4" s="76" t="s">
        <v>428</v>
      </c>
      <c r="K4" s="76" t="s">
        <v>428</v>
      </c>
      <c r="L4" s="76" t="s">
        <v>428</v>
      </c>
      <c r="M4" s="76" t="s">
        <v>428</v>
      </c>
      <c r="N4" s="77" t="s">
        <v>428</v>
      </c>
      <c r="O4" s="78" t="s">
        <v>428</v>
      </c>
    </row>
    <row r="5" spans="1:15" ht="15.6" thickTop="1" thickBot="1" x14ac:dyDescent="0.35">
      <c r="A5" s="7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1"/>
    </row>
    <row r="6" spans="1:15" ht="15" thickBot="1" x14ac:dyDescent="0.35">
      <c r="A6" s="82" t="s">
        <v>300</v>
      </c>
      <c r="B6" s="83" t="s">
        <v>301</v>
      </c>
      <c r="C6" s="84">
        <f>+C8</f>
        <v>39913011.925902069</v>
      </c>
      <c r="D6" s="84">
        <f t="shared" ref="D6:N6" si="0">+D8</f>
        <v>34637088.439406566</v>
      </c>
      <c r="E6" s="84">
        <f t="shared" si="0"/>
        <v>36009694.396873921</v>
      </c>
      <c r="F6" s="84">
        <f t="shared" si="0"/>
        <v>37068497.608219497</v>
      </c>
      <c r="G6" s="84">
        <f t="shared" si="0"/>
        <v>42668335.588724725</v>
      </c>
      <c r="H6" s="84">
        <f t="shared" si="0"/>
        <v>38564998.83811824</v>
      </c>
      <c r="I6" s="84">
        <f t="shared" si="0"/>
        <v>41088119.92394229</v>
      </c>
      <c r="J6" s="84">
        <f t="shared" si="0"/>
        <v>46624189.872564062</v>
      </c>
      <c r="K6" s="84">
        <f t="shared" si="0"/>
        <v>42765093.587311655</v>
      </c>
      <c r="L6" s="84">
        <f t="shared" si="0"/>
        <v>47894714.216834202</v>
      </c>
      <c r="M6" s="84">
        <f t="shared" si="0"/>
        <v>38441987.177499451</v>
      </c>
      <c r="N6" s="84">
        <f t="shared" si="0"/>
        <v>39172851.67033793</v>
      </c>
      <c r="O6" s="85">
        <f>SUM(C6:N6)</f>
        <v>484848583.24573463</v>
      </c>
    </row>
    <row r="7" spans="1:15" x14ac:dyDescent="0.3">
      <c r="A7" s="86"/>
      <c r="B7" s="81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1"/>
    </row>
    <row r="8" spans="1:15" x14ac:dyDescent="0.3">
      <c r="A8" s="88" t="s">
        <v>302</v>
      </c>
      <c r="B8" s="89" t="s">
        <v>303</v>
      </c>
      <c r="C8" s="90">
        <f t="shared" ref="C8:N8" si="1">+C9+C17</f>
        <v>39913011.925902069</v>
      </c>
      <c r="D8" s="90">
        <f t="shared" si="1"/>
        <v>34637088.439406566</v>
      </c>
      <c r="E8" s="90">
        <f t="shared" si="1"/>
        <v>36009694.396873921</v>
      </c>
      <c r="F8" s="90">
        <f t="shared" si="1"/>
        <v>37068497.608219497</v>
      </c>
      <c r="G8" s="90">
        <f t="shared" si="1"/>
        <v>42668335.588724725</v>
      </c>
      <c r="H8" s="90">
        <f t="shared" si="1"/>
        <v>38564998.83811824</v>
      </c>
      <c r="I8" s="90">
        <f t="shared" si="1"/>
        <v>41088119.92394229</v>
      </c>
      <c r="J8" s="90">
        <f t="shared" si="1"/>
        <v>46624189.872564062</v>
      </c>
      <c r="K8" s="90">
        <f t="shared" si="1"/>
        <v>42765093.587311655</v>
      </c>
      <c r="L8" s="90">
        <f t="shared" si="1"/>
        <v>47894714.216834202</v>
      </c>
      <c r="M8" s="90">
        <f t="shared" si="1"/>
        <v>38441987.177499451</v>
      </c>
      <c r="N8" s="90">
        <f t="shared" si="1"/>
        <v>39172851.67033793</v>
      </c>
      <c r="O8" s="89">
        <f t="shared" ref="O8:O21" si="2">SUM(C8:N8)</f>
        <v>484848583.24573463</v>
      </c>
    </row>
    <row r="9" spans="1:15" x14ac:dyDescent="0.3">
      <c r="A9" s="88" t="s">
        <v>304</v>
      </c>
      <c r="B9" s="89" t="s">
        <v>305</v>
      </c>
      <c r="C9" s="90">
        <f>SUM(C10:C10)+C16</f>
        <v>39913011.925902069</v>
      </c>
      <c r="D9" s="90">
        <f t="shared" ref="D9:N9" si="3">SUM(D10:D10)+D16</f>
        <v>34637088.439406566</v>
      </c>
      <c r="E9" s="90">
        <f t="shared" si="3"/>
        <v>36009694.396873921</v>
      </c>
      <c r="F9" s="90">
        <f t="shared" si="3"/>
        <v>37068497.608219497</v>
      </c>
      <c r="G9" s="90">
        <f t="shared" si="3"/>
        <v>42668335.588724725</v>
      </c>
      <c r="H9" s="90">
        <f t="shared" si="3"/>
        <v>38564998.83811824</v>
      </c>
      <c r="I9" s="90">
        <f t="shared" si="3"/>
        <v>41088119.92394229</v>
      </c>
      <c r="J9" s="90">
        <f t="shared" si="3"/>
        <v>46624189.872564062</v>
      </c>
      <c r="K9" s="90">
        <f t="shared" si="3"/>
        <v>42765093.587311655</v>
      </c>
      <c r="L9" s="90">
        <f t="shared" si="3"/>
        <v>47894714.216834202</v>
      </c>
      <c r="M9" s="90">
        <f t="shared" si="3"/>
        <v>38441987.177499451</v>
      </c>
      <c r="N9" s="90">
        <f t="shared" si="3"/>
        <v>39172851.67033793</v>
      </c>
      <c r="O9" s="89">
        <f t="shared" si="2"/>
        <v>484848583.24573463</v>
      </c>
    </row>
    <row r="10" spans="1:15" x14ac:dyDescent="0.3">
      <c r="A10" s="86" t="s">
        <v>306</v>
      </c>
      <c r="B10" s="81" t="s">
        <v>307</v>
      </c>
      <c r="C10" s="91">
        <f>SUM(C11:C15)</f>
        <v>38305366.295925185</v>
      </c>
      <c r="D10" s="91">
        <f t="shared" ref="D10:N10" si="4">SUM(D11:D15)</f>
        <v>33029442.809429687</v>
      </c>
      <c r="E10" s="91">
        <f t="shared" si="4"/>
        <v>34402048.766897038</v>
      </c>
      <c r="F10" s="91">
        <f t="shared" si="4"/>
        <v>35460851.978242613</v>
      </c>
      <c r="G10" s="91">
        <f t="shared" si="4"/>
        <v>41060689.958747841</v>
      </c>
      <c r="H10" s="91">
        <f t="shared" si="4"/>
        <v>36957353.208141357</v>
      </c>
      <c r="I10" s="91">
        <f t="shared" si="4"/>
        <v>39480474.293965407</v>
      </c>
      <c r="J10" s="91">
        <f t="shared" si="4"/>
        <v>45016544.242587179</v>
      </c>
      <c r="K10" s="91">
        <f t="shared" si="4"/>
        <v>41157447.957334772</v>
      </c>
      <c r="L10" s="91">
        <f t="shared" si="4"/>
        <v>46287068.586857319</v>
      </c>
      <c r="M10" s="91">
        <f t="shared" si="4"/>
        <v>36834341.547522567</v>
      </c>
      <c r="N10" s="91">
        <f t="shared" si="4"/>
        <v>37565206.040361047</v>
      </c>
      <c r="O10" s="81">
        <f t="shared" si="2"/>
        <v>465556835.68601197</v>
      </c>
    </row>
    <row r="11" spans="1:15" x14ac:dyDescent="0.3">
      <c r="A11" s="86"/>
      <c r="B11" s="92" t="s">
        <v>308</v>
      </c>
      <c r="C11" s="91">
        <v>34283340.276035182</v>
      </c>
      <c r="D11" s="91">
        <v>28940194.138721686</v>
      </c>
      <c r="E11" s="91">
        <v>30204642.897064533</v>
      </c>
      <c r="F11" s="91">
        <v>30861960.767343365</v>
      </c>
      <c r="G11" s="91">
        <v>36345667.485830091</v>
      </c>
      <c r="H11" s="91">
        <v>32559598.309110105</v>
      </c>
      <c r="I11" s="91">
        <v>35209125.038119413</v>
      </c>
      <c r="J11" s="91">
        <v>40720465.908410177</v>
      </c>
      <c r="K11" s="91">
        <v>36237826.731331266</v>
      </c>
      <c r="L11" s="91">
        <v>42118589.72851257</v>
      </c>
      <c r="M11" s="91">
        <v>32976656.610710822</v>
      </c>
      <c r="N11" s="91">
        <v>34754347.148887545</v>
      </c>
      <c r="O11" s="81">
        <f t="shared" si="2"/>
        <v>415212415.04007673</v>
      </c>
    </row>
    <row r="12" spans="1:15" x14ac:dyDescent="0.3">
      <c r="A12" s="86"/>
      <c r="B12" s="92" t="s">
        <v>309</v>
      </c>
      <c r="C12" s="91">
        <v>689397.29882100003</v>
      </c>
      <c r="D12" s="91">
        <v>880324.34298299998</v>
      </c>
      <c r="E12" s="91">
        <v>1006161.7170525001</v>
      </c>
      <c r="F12" s="91">
        <v>1013142.367329</v>
      </c>
      <c r="G12" s="91">
        <v>1070280.0378</v>
      </c>
      <c r="H12" s="91">
        <v>920451.51575999986</v>
      </c>
      <c r="I12" s="91">
        <v>911122.72339049994</v>
      </c>
      <c r="J12" s="91">
        <v>929140.22163749987</v>
      </c>
      <c r="K12" s="91">
        <v>914150.9049854998</v>
      </c>
      <c r="L12" s="91">
        <v>917600.89659749996</v>
      </c>
      <c r="M12" s="91">
        <v>830730.10221149994</v>
      </c>
      <c r="N12" s="91">
        <v>615386.06861250009</v>
      </c>
      <c r="O12" s="81">
        <f t="shared" si="2"/>
        <v>10697888.197180498</v>
      </c>
    </row>
    <row r="13" spans="1:15" x14ac:dyDescent="0.3">
      <c r="A13" s="86"/>
      <c r="B13" s="92" t="s">
        <v>310</v>
      </c>
      <c r="C13" s="91">
        <v>3332628.7210689997</v>
      </c>
      <c r="D13" s="91">
        <v>3208924.3277250002</v>
      </c>
      <c r="E13" s="91">
        <v>3191244.1527800001</v>
      </c>
      <c r="F13" s="91">
        <v>3585748.8435702501</v>
      </c>
      <c r="G13" s="91">
        <v>3644742.4351177504</v>
      </c>
      <c r="H13" s="91">
        <v>3477303.3832712495</v>
      </c>
      <c r="I13" s="91">
        <v>3360226.5324554997</v>
      </c>
      <c r="J13" s="91">
        <v>3366938.1125395</v>
      </c>
      <c r="K13" s="91">
        <v>4005470.3210180006</v>
      </c>
      <c r="L13" s="91">
        <v>3250877.9617472501</v>
      </c>
      <c r="M13" s="91">
        <v>3026954.8346002502</v>
      </c>
      <c r="N13" s="91">
        <v>2195472.822861</v>
      </c>
      <c r="O13" s="81">
        <f t="shared" si="2"/>
        <v>39646532.44875475</v>
      </c>
    </row>
    <row r="14" spans="1:15" x14ac:dyDescent="0.3">
      <c r="A14" s="86"/>
      <c r="B14" s="92" t="s">
        <v>311</v>
      </c>
      <c r="C14" s="91">
        <v>0</v>
      </c>
      <c r="D14" s="91">
        <v>0</v>
      </c>
      <c r="E14" s="91">
        <v>0</v>
      </c>
      <c r="F14" s="91">
        <v>0</v>
      </c>
      <c r="G14" s="91">
        <v>0</v>
      </c>
      <c r="H14" s="91">
        <v>0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81">
        <f t="shared" si="2"/>
        <v>0</v>
      </c>
    </row>
    <row r="15" spans="1:15" x14ac:dyDescent="0.3">
      <c r="A15" s="86"/>
      <c r="B15" s="92" t="s">
        <v>312</v>
      </c>
      <c r="C15" s="91">
        <v>0</v>
      </c>
      <c r="D15" s="91">
        <v>0</v>
      </c>
      <c r="E15" s="91">
        <v>0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81">
        <f t="shared" si="2"/>
        <v>0</v>
      </c>
    </row>
    <row r="16" spans="1:15" ht="15" customHeight="1" x14ac:dyDescent="0.3">
      <c r="A16" s="93"/>
      <c r="B16" s="94" t="s">
        <v>313</v>
      </c>
      <c r="C16" s="95">
        <v>1607645.6299768833</v>
      </c>
      <c r="D16" s="95">
        <v>1607645.6299768833</v>
      </c>
      <c r="E16" s="95">
        <v>1607645.6299768833</v>
      </c>
      <c r="F16" s="95">
        <v>1607645.6299768833</v>
      </c>
      <c r="G16" s="95">
        <v>1607645.6299768833</v>
      </c>
      <c r="H16" s="95">
        <v>1607645.6299768833</v>
      </c>
      <c r="I16" s="95">
        <v>1607645.6299768833</v>
      </c>
      <c r="J16" s="95">
        <v>1607645.6299768833</v>
      </c>
      <c r="K16" s="95">
        <v>1607645.6299768833</v>
      </c>
      <c r="L16" s="95">
        <v>1607645.6299768833</v>
      </c>
      <c r="M16" s="95">
        <v>1607645.6299768833</v>
      </c>
      <c r="N16" s="95">
        <v>1607645.6299768833</v>
      </c>
      <c r="O16" s="96">
        <f t="shared" si="2"/>
        <v>19291747.559722599</v>
      </c>
    </row>
    <row r="17" spans="1:15" x14ac:dyDescent="0.3">
      <c r="A17" s="88" t="s">
        <v>314</v>
      </c>
      <c r="B17" s="89" t="s">
        <v>315</v>
      </c>
      <c r="C17" s="90">
        <f t="shared" ref="C17:N17" si="5">SUM(C18:C22)</f>
        <v>0</v>
      </c>
      <c r="D17" s="90">
        <f t="shared" si="5"/>
        <v>0</v>
      </c>
      <c r="E17" s="90">
        <f t="shared" si="5"/>
        <v>0</v>
      </c>
      <c r="F17" s="90">
        <f t="shared" si="5"/>
        <v>0</v>
      </c>
      <c r="G17" s="90">
        <f t="shared" si="5"/>
        <v>0</v>
      </c>
      <c r="H17" s="90">
        <f t="shared" si="5"/>
        <v>0</v>
      </c>
      <c r="I17" s="90">
        <f t="shared" si="5"/>
        <v>0</v>
      </c>
      <c r="J17" s="90">
        <f t="shared" si="5"/>
        <v>0</v>
      </c>
      <c r="K17" s="90">
        <f t="shared" si="5"/>
        <v>0</v>
      </c>
      <c r="L17" s="90">
        <f t="shared" si="5"/>
        <v>0</v>
      </c>
      <c r="M17" s="90">
        <f t="shared" si="5"/>
        <v>0</v>
      </c>
      <c r="N17" s="90">
        <f t="shared" si="5"/>
        <v>0</v>
      </c>
      <c r="O17" s="89">
        <f t="shared" si="2"/>
        <v>0</v>
      </c>
    </row>
    <row r="18" spans="1:15" x14ac:dyDescent="0.3">
      <c r="A18" s="86" t="s">
        <v>316</v>
      </c>
      <c r="B18" s="97" t="s">
        <v>317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81">
        <f t="shared" si="2"/>
        <v>0</v>
      </c>
    </row>
    <row r="19" spans="1:15" x14ac:dyDescent="0.3">
      <c r="A19" s="86" t="s">
        <v>318</v>
      </c>
      <c r="B19" s="97" t="s">
        <v>319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81"/>
    </row>
    <row r="20" spans="1:15" x14ac:dyDescent="0.3">
      <c r="A20" s="86" t="s">
        <v>320</v>
      </c>
      <c r="B20" s="81" t="s">
        <v>321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81">
        <f t="shared" si="2"/>
        <v>0</v>
      </c>
    </row>
    <row r="21" spans="1:15" x14ac:dyDescent="0.3">
      <c r="A21" s="86" t="s">
        <v>322</v>
      </c>
      <c r="B21" s="81" t="s">
        <v>323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81">
        <f t="shared" si="2"/>
        <v>0</v>
      </c>
    </row>
    <row r="22" spans="1:15" x14ac:dyDescent="0.3">
      <c r="A22" s="86"/>
      <c r="B22" s="8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81">
        <f t="shared" ref="O22:O50" si="6">SUM(C22:N22)</f>
        <v>0</v>
      </c>
    </row>
    <row r="23" spans="1:15" x14ac:dyDescent="0.3">
      <c r="A23" s="88" t="s">
        <v>324</v>
      </c>
      <c r="B23" s="89" t="s">
        <v>325</v>
      </c>
      <c r="C23" s="90">
        <f t="shared" ref="C23:N23" si="7">SUM(C24)</f>
        <v>0</v>
      </c>
      <c r="D23" s="90">
        <f t="shared" si="7"/>
        <v>0</v>
      </c>
      <c r="E23" s="90">
        <f t="shared" si="7"/>
        <v>0</v>
      </c>
      <c r="F23" s="90">
        <f t="shared" si="7"/>
        <v>0</v>
      </c>
      <c r="G23" s="90">
        <f t="shared" si="7"/>
        <v>0</v>
      </c>
      <c r="H23" s="90">
        <f t="shared" si="7"/>
        <v>0</v>
      </c>
      <c r="I23" s="90">
        <f t="shared" si="7"/>
        <v>0</v>
      </c>
      <c r="J23" s="90">
        <f t="shared" si="7"/>
        <v>0</v>
      </c>
      <c r="K23" s="90">
        <f t="shared" si="7"/>
        <v>0</v>
      </c>
      <c r="L23" s="90">
        <f t="shared" si="7"/>
        <v>0</v>
      </c>
      <c r="M23" s="90">
        <f t="shared" si="7"/>
        <v>0</v>
      </c>
      <c r="N23" s="90">
        <f t="shared" si="7"/>
        <v>0</v>
      </c>
      <c r="O23" s="89">
        <f t="shared" si="6"/>
        <v>0</v>
      </c>
    </row>
    <row r="24" spans="1:15" x14ac:dyDescent="0.3">
      <c r="A24" s="86" t="s">
        <v>326</v>
      </c>
      <c r="B24" s="81" t="s">
        <v>327</v>
      </c>
      <c r="C24" s="91" t="s">
        <v>296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81">
        <f t="shared" si="6"/>
        <v>0</v>
      </c>
    </row>
    <row r="25" spans="1:15" ht="15" thickBot="1" x14ac:dyDescent="0.35">
      <c r="A25" s="86"/>
      <c r="B25" s="8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81">
        <f t="shared" si="6"/>
        <v>0</v>
      </c>
    </row>
    <row r="26" spans="1:15" ht="15" thickBot="1" x14ac:dyDescent="0.35">
      <c r="A26" s="98" t="s">
        <v>328</v>
      </c>
      <c r="B26" s="83" t="s">
        <v>329</v>
      </c>
      <c r="C26" s="99">
        <f>C27+C40+C55+C70+C74+C78+C82</f>
        <v>38385751.946388036</v>
      </c>
      <c r="D26" s="99">
        <f t="shared" ref="D26:N26" si="8">D27+D40+D55+D70+D74+D78+D82</f>
        <v>34363744.403784111</v>
      </c>
      <c r="E26" s="99">
        <f t="shared" si="8"/>
        <v>35417917.267780736</v>
      </c>
      <c r="F26" s="99">
        <f t="shared" si="8"/>
        <v>36188792.976836145</v>
      </c>
      <c r="G26" s="99">
        <f t="shared" si="8"/>
        <v>41846005.701697022</v>
      </c>
      <c r="H26" s="99">
        <f t="shared" si="8"/>
        <v>37871172.588914283</v>
      </c>
      <c r="I26" s="99">
        <f t="shared" si="8"/>
        <v>40242239.406363808</v>
      </c>
      <c r="J26" s="99">
        <f t="shared" si="8"/>
        <v>44970150.750529766</v>
      </c>
      <c r="K26" s="99">
        <f t="shared" si="8"/>
        <v>40860638.77768679</v>
      </c>
      <c r="L26" s="99">
        <f t="shared" si="8"/>
        <v>46761309.707205258</v>
      </c>
      <c r="M26" s="99">
        <f t="shared" si="8"/>
        <v>37740139.231523871</v>
      </c>
      <c r="N26" s="99">
        <f t="shared" si="8"/>
        <v>39079410.872817568</v>
      </c>
      <c r="O26" s="85">
        <f>SUM(C26:N26)</f>
        <v>473727273.63152736</v>
      </c>
    </row>
    <row r="27" spans="1:15" ht="15" thickBot="1" x14ac:dyDescent="0.35">
      <c r="A27" s="98" t="s">
        <v>330</v>
      </c>
      <c r="B27" s="85" t="s">
        <v>331</v>
      </c>
      <c r="C27" s="99">
        <f t="shared" ref="C27:N27" si="9">+C28+C35</f>
        <v>31191324.694371771</v>
      </c>
      <c r="D27" s="99">
        <f t="shared" si="9"/>
        <v>27351245.547853895</v>
      </c>
      <c r="E27" s="99">
        <f t="shared" si="9"/>
        <v>28358087.171937849</v>
      </c>
      <c r="F27" s="99">
        <f t="shared" si="9"/>
        <v>29092452.425429624</v>
      </c>
      <c r="G27" s="99">
        <f t="shared" si="9"/>
        <v>34556567.288893759</v>
      </c>
      <c r="H27" s="99">
        <f t="shared" si="9"/>
        <v>30723228.546821594</v>
      </c>
      <c r="I27" s="99">
        <f t="shared" si="9"/>
        <v>33007291.18889787</v>
      </c>
      <c r="J27" s="99">
        <f t="shared" si="9"/>
        <v>37544303.569318257</v>
      </c>
      <c r="K27" s="99">
        <f t="shared" si="9"/>
        <v>33567863.882173635</v>
      </c>
      <c r="L27" s="99">
        <f t="shared" si="9"/>
        <v>39291651.341708571</v>
      </c>
      <c r="M27" s="99">
        <f t="shared" si="9"/>
        <v>30596436.970831834</v>
      </c>
      <c r="N27" s="99">
        <f t="shared" si="9"/>
        <v>31910506.388234545</v>
      </c>
      <c r="O27" s="85">
        <f t="shared" si="6"/>
        <v>387190959.01647317</v>
      </c>
    </row>
    <row r="28" spans="1:15" x14ac:dyDescent="0.3">
      <c r="A28" s="88" t="s">
        <v>332</v>
      </c>
      <c r="B28" s="100" t="s">
        <v>331</v>
      </c>
      <c r="C28" s="90">
        <f t="shared" ref="C28:N28" si="10">SUM(C29)</f>
        <v>31182991.364371773</v>
      </c>
      <c r="D28" s="90">
        <f t="shared" si="10"/>
        <v>27342912.217853896</v>
      </c>
      <c r="E28" s="90">
        <f t="shared" si="10"/>
        <v>28349753.841937851</v>
      </c>
      <c r="F28" s="90">
        <f t="shared" si="10"/>
        <v>29084119.095429625</v>
      </c>
      <c r="G28" s="90">
        <f t="shared" si="10"/>
        <v>34548233.958893761</v>
      </c>
      <c r="H28" s="90">
        <f t="shared" si="10"/>
        <v>30714895.216821596</v>
      </c>
      <c r="I28" s="90">
        <f t="shared" si="10"/>
        <v>32998957.858897872</v>
      </c>
      <c r="J28" s="90">
        <f t="shared" si="10"/>
        <v>37535970.239318259</v>
      </c>
      <c r="K28" s="90">
        <f t="shared" si="10"/>
        <v>33559530.552173637</v>
      </c>
      <c r="L28" s="90">
        <f t="shared" si="10"/>
        <v>39283318.011708573</v>
      </c>
      <c r="M28" s="90">
        <f t="shared" si="10"/>
        <v>30588103.640831836</v>
      </c>
      <c r="N28" s="90">
        <f t="shared" si="10"/>
        <v>31902173.018234544</v>
      </c>
      <c r="O28" s="89">
        <f t="shared" si="6"/>
        <v>387090959.01647317</v>
      </c>
    </row>
    <row r="29" spans="1:15" x14ac:dyDescent="0.3">
      <c r="A29" s="86" t="s">
        <v>333</v>
      </c>
      <c r="B29" s="97" t="s">
        <v>331</v>
      </c>
      <c r="C29" s="91">
        <f t="shared" ref="C29:N29" si="11">SUM(C30:C34)</f>
        <v>31182991.364371773</v>
      </c>
      <c r="D29" s="91">
        <f t="shared" si="11"/>
        <v>27342912.217853896</v>
      </c>
      <c r="E29" s="91">
        <f t="shared" si="11"/>
        <v>28349753.841937851</v>
      </c>
      <c r="F29" s="91">
        <f t="shared" si="11"/>
        <v>29084119.095429625</v>
      </c>
      <c r="G29" s="91">
        <f t="shared" si="11"/>
        <v>34548233.958893761</v>
      </c>
      <c r="H29" s="91">
        <f t="shared" si="11"/>
        <v>30714895.216821596</v>
      </c>
      <c r="I29" s="91">
        <f t="shared" si="11"/>
        <v>32998957.858897872</v>
      </c>
      <c r="J29" s="91">
        <f t="shared" si="11"/>
        <v>37535970.239318259</v>
      </c>
      <c r="K29" s="91">
        <f t="shared" si="11"/>
        <v>33559530.552173637</v>
      </c>
      <c r="L29" s="91">
        <f t="shared" si="11"/>
        <v>39283318.011708573</v>
      </c>
      <c r="M29" s="91">
        <f t="shared" si="11"/>
        <v>30588103.640831836</v>
      </c>
      <c r="N29" s="91">
        <f t="shared" si="11"/>
        <v>31902173.018234544</v>
      </c>
      <c r="O29" s="81">
        <f t="shared" si="6"/>
        <v>387090959.01647317</v>
      </c>
    </row>
    <row r="30" spans="1:15" x14ac:dyDescent="0.3">
      <c r="A30" s="86"/>
      <c r="B30" s="92" t="s">
        <v>308</v>
      </c>
      <c r="C30" s="91">
        <v>28944870.646955907</v>
      </c>
      <c r="D30" s="91">
        <v>25032435.298861787</v>
      </c>
      <c r="E30" s="91">
        <v>25953198.616668232</v>
      </c>
      <c r="F30" s="91">
        <v>26364103.495621674</v>
      </c>
      <c r="G30" s="91">
        <v>31841485.245616544</v>
      </c>
      <c r="H30" s="91">
        <v>28226551.205305833</v>
      </c>
      <c r="I30" s="91">
        <v>30570981.493872598</v>
      </c>
      <c r="J30" s="91">
        <v>35106232.03977824</v>
      </c>
      <c r="K30" s="91">
        <v>30783742.293371253</v>
      </c>
      <c r="L30" s="91">
        <v>36949724.944390088</v>
      </c>
      <c r="M30" s="91">
        <v>28456867.229658928</v>
      </c>
      <c r="N30" s="91">
        <v>30379163.012835052</v>
      </c>
      <c r="O30" s="81">
        <f>SUM(C30:N30)</f>
        <v>358609355.52293617</v>
      </c>
    </row>
    <row r="31" spans="1:15" x14ac:dyDescent="0.3">
      <c r="A31" s="86"/>
      <c r="B31" s="92" t="s">
        <v>309</v>
      </c>
      <c r="C31" s="91">
        <v>537446.51334139844</v>
      </c>
      <c r="D31" s="91">
        <v>677079.16497294162</v>
      </c>
      <c r="E31" s="91">
        <v>770055.67600553122</v>
      </c>
      <c r="F31" s="91">
        <v>869534.09924359061</v>
      </c>
      <c r="G31" s="91">
        <v>825511.55228262162</v>
      </c>
      <c r="H31" s="91">
        <v>706943.10336061497</v>
      </c>
      <c r="I31" s="91">
        <v>704249.64886382059</v>
      </c>
      <c r="J31" s="91">
        <v>716142.44815792667</v>
      </c>
      <c r="K31" s="91">
        <v>705588.37256384839</v>
      </c>
      <c r="L31" s="91">
        <v>709256.93393002078</v>
      </c>
      <c r="M31" s="91">
        <v>638935.01117702341</v>
      </c>
      <c r="N31" s="91">
        <v>474313.86078814743</v>
      </c>
      <c r="O31" s="81">
        <f t="shared" si="6"/>
        <v>8335056.384687487</v>
      </c>
    </row>
    <row r="32" spans="1:15" x14ac:dyDescent="0.3">
      <c r="A32" s="86"/>
      <c r="B32" s="92" t="s">
        <v>310</v>
      </c>
      <c r="C32" s="91">
        <v>1700674.2040744682</v>
      </c>
      <c r="D32" s="91">
        <v>1633397.754019167</v>
      </c>
      <c r="E32" s="91">
        <v>1626499.5492640878</v>
      </c>
      <c r="F32" s="91">
        <v>1850481.500564364</v>
      </c>
      <c r="G32" s="91">
        <v>1881237.1609945996</v>
      </c>
      <c r="H32" s="91">
        <v>1781400.9081551488</v>
      </c>
      <c r="I32" s="91">
        <v>1723726.7161614511</v>
      </c>
      <c r="J32" s="91">
        <v>1713595.7513820913</v>
      </c>
      <c r="K32" s="91">
        <v>2070199.8862385338</v>
      </c>
      <c r="L32" s="91">
        <v>1624336.1333884564</v>
      </c>
      <c r="M32" s="91">
        <v>1492301.3999958867</v>
      </c>
      <c r="N32" s="91">
        <v>1048696.1446113435</v>
      </c>
      <c r="O32" s="81">
        <f t="shared" si="6"/>
        <v>20146547.1088496</v>
      </c>
    </row>
    <row r="33" spans="1:15" x14ac:dyDescent="0.3">
      <c r="A33" s="86"/>
      <c r="B33" s="92" t="s">
        <v>311</v>
      </c>
      <c r="C33" s="91">
        <v>0</v>
      </c>
      <c r="D33" s="91">
        <v>0</v>
      </c>
      <c r="E33" s="91">
        <v>0</v>
      </c>
      <c r="F33" s="91">
        <v>0</v>
      </c>
      <c r="G33" s="91">
        <v>0</v>
      </c>
      <c r="H33" s="91">
        <v>0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81">
        <f t="shared" si="6"/>
        <v>0</v>
      </c>
    </row>
    <row r="34" spans="1:15" x14ac:dyDescent="0.3">
      <c r="A34" s="86"/>
      <c r="B34" s="92" t="s">
        <v>312</v>
      </c>
      <c r="C34" s="91">
        <v>0</v>
      </c>
      <c r="D34" s="91">
        <v>0</v>
      </c>
      <c r="E34" s="91">
        <v>0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81">
        <f t="shared" si="6"/>
        <v>0</v>
      </c>
    </row>
    <row r="35" spans="1:15" x14ac:dyDescent="0.3">
      <c r="A35" s="88" t="s">
        <v>334</v>
      </c>
      <c r="B35" s="100" t="s">
        <v>335</v>
      </c>
      <c r="C35" s="90">
        <f>+C36</f>
        <v>8333.33</v>
      </c>
      <c r="D35" s="90">
        <f t="shared" ref="D35:N35" si="12">+D36</f>
        <v>8333.33</v>
      </c>
      <c r="E35" s="90">
        <f t="shared" si="12"/>
        <v>8333.33</v>
      </c>
      <c r="F35" s="90">
        <f t="shared" si="12"/>
        <v>8333.33</v>
      </c>
      <c r="G35" s="90">
        <f t="shared" si="12"/>
        <v>8333.33</v>
      </c>
      <c r="H35" s="90">
        <f t="shared" si="12"/>
        <v>8333.33</v>
      </c>
      <c r="I35" s="90">
        <f t="shared" si="12"/>
        <v>8333.33</v>
      </c>
      <c r="J35" s="90">
        <f t="shared" si="12"/>
        <v>8333.33</v>
      </c>
      <c r="K35" s="90">
        <f t="shared" si="12"/>
        <v>8333.33</v>
      </c>
      <c r="L35" s="90">
        <f t="shared" si="12"/>
        <v>8333.33</v>
      </c>
      <c r="M35" s="90">
        <f t="shared" si="12"/>
        <v>8333.33</v>
      </c>
      <c r="N35" s="90">
        <f t="shared" si="12"/>
        <v>8333.3700000000008</v>
      </c>
      <c r="O35" s="89">
        <f t="shared" si="6"/>
        <v>100000</v>
      </c>
    </row>
    <row r="36" spans="1:15" x14ac:dyDescent="0.3">
      <c r="A36" s="86" t="s">
        <v>336</v>
      </c>
      <c r="B36" s="97" t="s">
        <v>335</v>
      </c>
      <c r="C36" s="91">
        <f t="shared" ref="C36:N36" si="13">+C37+C38</f>
        <v>8333.33</v>
      </c>
      <c r="D36" s="91">
        <f t="shared" si="13"/>
        <v>8333.33</v>
      </c>
      <c r="E36" s="91">
        <f t="shared" si="13"/>
        <v>8333.33</v>
      </c>
      <c r="F36" s="91">
        <f t="shared" si="13"/>
        <v>8333.33</v>
      </c>
      <c r="G36" s="91">
        <f t="shared" si="13"/>
        <v>8333.33</v>
      </c>
      <c r="H36" s="91">
        <f t="shared" si="13"/>
        <v>8333.33</v>
      </c>
      <c r="I36" s="91">
        <f t="shared" si="13"/>
        <v>8333.33</v>
      </c>
      <c r="J36" s="91">
        <f t="shared" si="13"/>
        <v>8333.33</v>
      </c>
      <c r="K36" s="91">
        <f t="shared" si="13"/>
        <v>8333.33</v>
      </c>
      <c r="L36" s="91">
        <f t="shared" si="13"/>
        <v>8333.33</v>
      </c>
      <c r="M36" s="91">
        <f t="shared" si="13"/>
        <v>8333.33</v>
      </c>
      <c r="N36" s="91">
        <f t="shared" si="13"/>
        <v>8333.3700000000008</v>
      </c>
      <c r="O36" s="81">
        <f t="shared" si="6"/>
        <v>100000</v>
      </c>
    </row>
    <row r="37" spans="1:15" x14ac:dyDescent="0.3">
      <c r="A37" s="86"/>
      <c r="B37" s="101" t="s">
        <v>337</v>
      </c>
      <c r="C37" s="80">
        <v>0</v>
      </c>
      <c r="D37" s="80">
        <v>0</v>
      </c>
      <c r="E37" s="80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>
        <v>0</v>
      </c>
      <c r="L37" s="80">
        <v>0</v>
      </c>
      <c r="M37" s="80">
        <v>0</v>
      </c>
      <c r="N37" s="80">
        <v>0</v>
      </c>
      <c r="O37" s="81">
        <f t="shared" si="6"/>
        <v>0</v>
      </c>
    </row>
    <row r="38" spans="1:15" x14ac:dyDescent="0.3">
      <c r="A38" s="86"/>
      <c r="B38" s="101" t="s">
        <v>338</v>
      </c>
      <c r="C38" s="80">
        <v>8333.33</v>
      </c>
      <c r="D38" s="80">
        <v>8333.33</v>
      </c>
      <c r="E38" s="80">
        <v>8333.33</v>
      </c>
      <c r="F38" s="80">
        <v>8333.33</v>
      </c>
      <c r="G38" s="80">
        <v>8333.33</v>
      </c>
      <c r="H38" s="80">
        <v>8333.33</v>
      </c>
      <c r="I38" s="80">
        <v>8333.33</v>
      </c>
      <c r="J38" s="80">
        <v>8333.33</v>
      </c>
      <c r="K38" s="80">
        <v>8333.33</v>
      </c>
      <c r="L38" s="80">
        <v>8333.33</v>
      </c>
      <c r="M38" s="80">
        <v>8333.33</v>
      </c>
      <c r="N38" s="80">
        <v>8333.3700000000008</v>
      </c>
      <c r="O38" s="81">
        <f t="shared" si="6"/>
        <v>100000</v>
      </c>
    </row>
    <row r="39" spans="1:15" ht="15" thickBot="1" x14ac:dyDescent="0.35">
      <c r="A39" s="86"/>
      <c r="B39" s="101" t="s">
        <v>339</v>
      </c>
      <c r="C39" s="91">
        <v>989.53144227142877</v>
      </c>
      <c r="D39" s="91">
        <v>989.53144227142877</v>
      </c>
      <c r="E39" s="91">
        <v>989.53144227142877</v>
      </c>
      <c r="F39" s="91">
        <v>989.53144227142877</v>
      </c>
      <c r="G39" s="91">
        <v>989.53144227142877</v>
      </c>
      <c r="H39" s="91">
        <v>989.53144227142877</v>
      </c>
      <c r="I39" s="91">
        <v>989.53144227142877</v>
      </c>
      <c r="J39" s="91">
        <v>989.53144227142877</v>
      </c>
      <c r="K39" s="91">
        <v>989.53144227142877</v>
      </c>
      <c r="L39" s="91">
        <v>989.53144227142877</v>
      </c>
      <c r="M39" s="91">
        <v>989.53144227142877</v>
      </c>
      <c r="N39" s="91">
        <v>989.53144227142877</v>
      </c>
      <c r="O39" s="81">
        <f t="shared" si="6"/>
        <v>11874.377307257148</v>
      </c>
    </row>
    <row r="40" spans="1:15" ht="15" thickBot="1" x14ac:dyDescent="0.35">
      <c r="A40" s="98" t="s">
        <v>340</v>
      </c>
      <c r="B40" s="83" t="s">
        <v>9</v>
      </c>
      <c r="C40" s="99">
        <f t="shared" ref="C40:N40" si="14">C41+C45+C48+C52</f>
        <v>978326.18665256049</v>
      </c>
      <c r="D40" s="99">
        <f t="shared" si="14"/>
        <v>978326.18665256049</v>
      </c>
      <c r="E40" s="99">
        <f t="shared" si="14"/>
        <v>978326.18665256049</v>
      </c>
      <c r="F40" s="99">
        <f t="shared" si="14"/>
        <v>978326.18665256049</v>
      </c>
      <c r="G40" s="99">
        <f t="shared" si="14"/>
        <v>978326.18665256049</v>
      </c>
      <c r="H40" s="99">
        <f t="shared" si="14"/>
        <v>978326.18665256049</v>
      </c>
      <c r="I40" s="99">
        <f t="shared" si="14"/>
        <v>978326.18665256049</v>
      </c>
      <c r="J40" s="99">
        <f t="shared" si="14"/>
        <v>978326.18665256049</v>
      </c>
      <c r="K40" s="99">
        <f t="shared" si="14"/>
        <v>978326.18665256049</v>
      </c>
      <c r="L40" s="99">
        <f t="shared" si="14"/>
        <v>978326.18665256049</v>
      </c>
      <c r="M40" s="99">
        <f t="shared" si="14"/>
        <v>978326.18665256049</v>
      </c>
      <c r="N40" s="99">
        <f t="shared" si="14"/>
        <v>978326.18665256049</v>
      </c>
      <c r="O40" s="85">
        <f t="shared" si="6"/>
        <v>11739914.239830725</v>
      </c>
    </row>
    <row r="41" spans="1:15" ht="15" thickBot="1" x14ac:dyDescent="0.35">
      <c r="A41" s="102" t="s">
        <v>341</v>
      </c>
      <c r="B41" s="103" t="s">
        <v>342</v>
      </c>
      <c r="C41" s="104">
        <f t="shared" ref="C41:N41" si="15">SUM(C42:C44)</f>
        <v>556964.24110606057</v>
      </c>
      <c r="D41" s="104">
        <f t="shared" si="15"/>
        <v>556964.24110606057</v>
      </c>
      <c r="E41" s="104">
        <f t="shared" si="15"/>
        <v>556964.24110606057</v>
      </c>
      <c r="F41" s="104">
        <f t="shared" si="15"/>
        <v>556964.24110606057</v>
      </c>
      <c r="G41" s="104">
        <f t="shared" si="15"/>
        <v>556964.24110606057</v>
      </c>
      <c r="H41" s="104">
        <f t="shared" si="15"/>
        <v>556964.24110606057</v>
      </c>
      <c r="I41" s="104">
        <f t="shared" si="15"/>
        <v>556964.24110606057</v>
      </c>
      <c r="J41" s="104">
        <f t="shared" si="15"/>
        <v>556964.24110606057</v>
      </c>
      <c r="K41" s="104">
        <f t="shared" si="15"/>
        <v>556964.24110606057</v>
      </c>
      <c r="L41" s="104">
        <f t="shared" si="15"/>
        <v>556964.24110606057</v>
      </c>
      <c r="M41" s="104">
        <f t="shared" si="15"/>
        <v>556964.24110606057</v>
      </c>
      <c r="N41" s="104">
        <f t="shared" si="15"/>
        <v>556964.24110606057</v>
      </c>
      <c r="O41" s="103">
        <f t="shared" si="6"/>
        <v>6683570.8932727249</v>
      </c>
    </row>
    <row r="42" spans="1:15" x14ac:dyDescent="0.3">
      <c r="A42" s="86" t="s">
        <v>343</v>
      </c>
      <c r="B42" s="81" t="s">
        <v>344</v>
      </c>
      <c r="C42" s="91">
        <v>401362.20027272723</v>
      </c>
      <c r="D42" s="91">
        <v>401362.20027272723</v>
      </c>
      <c r="E42" s="91">
        <v>401362.20027272723</v>
      </c>
      <c r="F42" s="91">
        <v>401362.20027272723</v>
      </c>
      <c r="G42" s="91">
        <v>401362.20027272723</v>
      </c>
      <c r="H42" s="91">
        <v>401362.20027272723</v>
      </c>
      <c r="I42" s="91">
        <v>401362.20027272723</v>
      </c>
      <c r="J42" s="91">
        <v>401362.20027272723</v>
      </c>
      <c r="K42" s="91">
        <v>401362.20027272723</v>
      </c>
      <c r="L42" s="91">
        <v>401362.20027272723</v>
      </c>
      <c r="M42" s="91">
        <v>401362.20027272723</v>
      </c>
      <c r="N42" s="91">
        <v>401362.20027272723</v>
      </c>
      <c r="O42" s="81">
        <f t="shared" si="6"/>
        <v>4816346.4032727266</v>
      </c>
    </row>
    <row r="43" spans="1:15" x14ac:dyDescent="0.3">
      <c r="A43" s="86" t="s">
        <v>345</v>
      </c>
      <c r="B43" s="81" t="s">
        <v>346</v>
      </c>
      <c r="C43" s="91">
        <v>67734.638999999996</v>
      </c>
      <c r="D43" s="91">
        <v>67734.638999999996</v>
      </c>
      <c r="E43" s="91">
        <v>67734.638999999996</v>
      </c>
      <c r="F43" s="91">
        <v>67734.638999999996</v>
      </c>
      <c r="G43" s="91">
        <v>67734.638999999996</v>
      </c>
      <c r="H43" s="91">
        <v>67734.638999999996</v>
      </c>
      <c r="I43" s="91">
        <v>67734.638999999996</v>
      </c>
      <c r="J43" s="91">
        <v>67734.638999999996</v>
      </c>
      <c r="K43" s="91">
        <v>67734.638999999996</v>
      </c>
      <c r="L43" s="91">
        <v>67734.638999999996</v>
      </c>
      <c r="M43" s="91">
        <v>67734.638999999996</v>
      </c>
      <c r="N43" s="91">
        <v>67734.638999999996</v>
      </c>
      <c r="O43" s="81">
        <f t="shared" si="6"/>
        <v>812815.66799999971</v>
      </c>
    </row>
    <row r="44" spans="1:15" ht="15" thickBot="1" x14ac:dyDescent="0.35">
      <c r="A44" s="86" t="s">
        <v>347</v>
      </c>
      <c r="B44" s="81" t="s">
        <v>348</v>
      </c>
      <c r="C44" s="91">
        <v>87867.401833333337</v>
      </c>
      <c r="D44" s="91">
        <v>87867.401833333337</v>
      </c>
      <c r="E44" s="91">
        <v>87867.401833333337</v>
      </c>
      <c r="F44" s="91">
        <v>87867.401833333337</v>
      </c>
      <c r="G44" s="91">
        <v>87867.401833333337</v>
      </c>
      <c r="H44" s="91">
        <v>87867.401833333337</v>
      </c>
      <c r="I44" s="91">
        <v>87867.401833333337</v>
      </c>
      <c r="J44" s="91">
        <v>87867.401833333337</v>
      </c>
      <c r="K44" s="91">
        <v>87867.401833333337</v>
      </c>
      <c r="L44" s="91">
        <v>87867.401833333337</v>
      </c>
      <c r="M44" s="91">
        <v>87867.401833333337</v>
      </c>
      <c r="N44" s="91">
        <v>87867.401833333337</v>
      </c>
      <c r="O44" s="81">
        <f t="shared" si="6"/>
        <v>1054408.8219999999</v>
      </c>
    </row>
    <row r="45" spans="1:15" ht="15" thickBot="1" x14ac:dyDescent="0.35">
      <c r="A45" s="102" t="s">
        <v>349</v>
      </c>
      <c r="B45" s="103" t="s">
        <v>350</v>
      </c>
      <c r="C45" s="104">
        <f t="shared" ref="C45:N45" si="16">SUM(C46:C47)</f>
        <v>11296.678147333332</v>
      </c>
      <c r="D45" s="104">
        <f t="shared" si="16"/>
        <v>11296.678147333332</v>
      </c>
      <c r="E45" s="104">
        <f t="shared" si="16"/>
        <v>11296.678147333332</v>
      </c>
      <c r="F45" s="104">
        <f t="shared" si="16"/>
        <v>11296.678147333332</v>
      </c>
      <c r="G45" s="104">
        <f t="shared" si="16"/>
        <v>11296.678147333332</v>
      </c>
      <c r="H45" s="104">
        <f t="shared" si="16"/>
        <v>11296.678147333332</v>
      </c>
      <c r="I45" s="104">
        <f t="shared" si="16"/>
        <v>11296.678147333332</v>
      </c>
      <c r="J45" s="104">
        <f t="shared" si="16"/>
        <v>11296.678147333332</v>
      </c>
      <c r="K45" s="104">
        <f t="shared" si="16"/>
        <v>11296.678147333332</v>
      </c>
      <c r="L45" s="104">
        <f t="shared" si="16"/>
        <v>11296.678147333332</v>
      </c>
      <c r="M45" s="104">
        <f t="shared" si="16"/>
        <v>11296.678147333332</v>
      </c>
      <c r="N45" s="104">
        <f t="shared" si="16"/>
        <v>11296.678147333332</v>
      </c>
      <c r="O45" s="103">
        <f t="shared" si="6"/>
        <v>135560.13776799996</v>
      </c>
    </row>
    <row r="46" spans="1:15" x14ac:dyDescent="0.3">
      <c r="A46" s="86" t="s">
        <v>351</v>
      </c>
      <c r="B46" s="81" t="s">
        <v>352</v>
      </c>
      <c r="C46" s="80">
        <v>11296.678147333332</v>
      </c>
      <c r="D46" s="80">
        <v>11296.678147333332</v>
      </c>
      <c r="E46" s="80">
        <v>11296.678147333332</v>
      </c>
      <c r="F46" s="80">
        <v>11296.678147333332</v>
      </c>
      <c r="G46" s="80">
        <v>11296.678147333332</v>
      </c>
      <c r="H46" s="80">
        <v>11296.678147333332</v>
      </c>
      <c r="I46" s="80">
        <v>11296.678147333332</v>
      </c>
      <c r="J46" s="80">
        <v>11296.678147333332</v>
      </c>
      <c r="K46" s="80">
        <v>11296.678147333332</v>
      </c>
      <c r="L46" s="80">
        <v>11296.678147333332</v>
      </c>
      <c r="M46" s="80">
        <v>11296.678147333332</v>
      </c>
      <c r="N46" s="80">
        <v>11296.678147333332</v>
      </c>
      <c r="O46" s="81">
        <f t="shared" si="6"/>
        <v>135560.13776799996</v>
      </c>
    </row>
    <row r="47" spans="1:15" ht="15" thickBot="1" x14ac:dyDescent="0.35">
      <c r="A47" s="86" t="s">
        <v>353</v>
      </c>
      <c r="B47" s="81" t="s">
        <v>354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1">
        <f t="shared" si="6"/>
        <v>0</v>
      </c>
    </row>
    <row r="48" spans="1:15" ht="15" thickBot="1" x14ac:dyDescent="0.35">
      <c r="A48" s="102" t="s">
        <v>355</v>
      </c>
      <c r="B48" s="103" t="s">
        <v>356</v>
      </c>
      <c r="C48" s="105">
        <f t="shared" ref="C48:N48" si="17">SUM(C49:C51)</f>
        <v>397790.82842049998</v>
      </c>
      <c r="D48" s="105">
        <f t="shared" si="17"/>
        <v>397790.82842049998</v>
      </c>
      <c r="E48" s="105">
        <f t="shared" si="17"/>
        <v>397790.82842049998</v>
      </c>
      <c r="F48" s="105">
        <f t="shared" si="17"/>
        <v>397790.82842049998</v>
      </c>
      <c r="G48" s="105">
        <f t="shared" si="17"/>
        <v>397790.82842049998</v>
      </c>
      <c r="H48" s="105">
        <f t="shared" si="17"/>
        <v>397790.82842049998</v>
      </c>
      <c r="I48" s="105">
        <f t="shared" si="17"/>
        <v>397790.82842049998</v>
      </c>
      <c r="J48" s="105">
        <f t="shared" si="17"/>
        <v>397790.82842049998</v>
      </c>
      <c r="K48" s="105">
        <f t="shared" si="17"/>
        <v>397790.82842049998</v>
      </c>
      <c r="L48" s="105">
        <f t="shared" si="17"/>
        <v>397790.82842049998</v>
      </c>
      <c r="M48" s="105">
        <f t="shared" si="17"/>
        <v>397790.82842049998</v>
      </c>
      <c r="N48" s="105">
        <f t="shared" si="17"/>
        <v>397790.82842049998</v>
      </c>
      <c r="O48" s="103">
        <f t="shared" si="6"/>
        <v>4773489.9410459995</v>
      </c>
    </row>
    <row r="49" spans="1:15" x14ac:dyDescent="0.3">
      <c r="A49" s="86" t="s">
        <v>357</v>
      </c>
      <c r="B49" s="81" t="s">
        <v>358</v>
      </c>
      <c r="C49" s="80">
        <v>379726.98848333332</v>
      </c>
      <c r="D49" s="80">
        <v>379726.98848333332</v>
      </c>
      <c r="E49" s="80">
        <v>379726.98848333332</v>
      </c>
      <c r="F49" s="80">
        <v>379726.98848333332</v>
      </c>
      <c r="G49" s="80">
        <v>379726.98848333332</v>
      </c>
      <c r="H49" s="80">
        <v>379726.98848333332</v>
      </c>
      <c r="I49" s="80">
        <v>379726.98848333332</v>
      </c>
      <c r="J49" s="80">
        <v>379726.98848333332</v>
      </c>
      <c r="K49" s="80">
        <v>379726.98848333332</v>
      </c>
      <c r="L49" s="80">
        <v>379726.98848333332</v>
      </c>
      <c r="M49" s="80">
        <v>379726.98848333332</v>
      </c>
      <c r="N49" s="80">
        <v>379726.98848333332</v>
      </c>
      <c r="O49" s="81">
        <f t="shared" si="6"/>
        <v>4556723.861800001</v>
      </c>
    </row>
    <row r="50" spans="1:15" x14ac:dyDescent="0.3">
      <c r="A50" s="86" t="s">
        <v>359</v>
      </c>
      <c r="B50" s="81" t="s">
        <v>360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1">
        <f t="shared" si="6"/>
        <v>0</v>
      </c>
    </row>
    <row r="51" spans="1:15" ht="15" thickBot="1" x14ac:dyDescent="0.35">
      <c r="A51" s="86" t="s">
        <v>361</v>
      </c>
      <c r="B51" s="81" t="s">
        <v>362</v>
      </c>
      <c r="C51" s="80">
        <v>18063.839937166667</v>
      </c>
      <c r="D51" s="80">
        <v>18063.839937166667</v>
      </c>
      <c r="E51" s="80">
        <v>18063.839937166667</v>
      </c>
      <c r="F51" s="80">
        <v>18063.839937166667</v>
      </c>
      <c r="G51" s="80">
        <v>18063.839937166667</v>
      </c>
      <c r="H51" s="80">
        <v>18063.839937166667</v>
      </c>
      <c r="I51" s="80">
        <v>18063.839937166667</v>
      </c>
      <c r="J51" s="80">
        <v>18063.839937166667</v>
      </c>
      <c r="K51" s="80">
        <v>18063.839937166667</v>
      </c>
      <c r="L51" s="80">
        <v>18063.839937166667</v>
      </c>
      <c r="M51" s="80">
        <v>18063.839937166667</v>
      </c>
      <c r="N51" s="80">
        <v>18063.839937166667</v>
      </c>
      <c r="O51" s="81">
        <f t="shared" ref="O51:O82" si="18">SUM(C51:N51)</f>
        <v>216766.07924599995</v>
      </c>
    </row>
    <row r="52" spans="1:15" ht="15" thickBot="1" x14ac:dyDescent="0.35">
      <c r="A52" s="102" t="s">
        <v>363</v>
      </c>
      <c r="B52" s="103" t="s">
        <v>364</v>
      </c>
      <c r="C52" s="105">
        <f t="shared" ref="C52:N52" si="19">SUM(C53)</f>
        <v>12274.438978666667</v>
      </c>
      <c r="D52" s="105">
        <f t="shared" si="19"/>
        <v>12274.438978666667</v>
      </c>
      <c r="E52" s="105">
        <f t="shared" si="19"/>
        <v>12274.438978666667</v>
      </c>
      <c r="F52" s="105">
        <f t="shared" si="19"/>
        <v>12274.438978666667</v>
      </c>
      <c r="G52" s="105">
        <f t="shared" si="19"/>
        <v>12274.438978666667</v>
      </c>
      <c r="H52" s="105">
        <f t="shared" si="19"/>
        <v>12274.438978666667</v>
      </c>
      <c r="I52" s="105">
        <f t="shared" si="19"/>
        <v>12274.438978666667</v>
      </c>
      <c r="J52" s="105">
        <f t="shared" si="19"/>
        <v>12274.438978666667</v>
      </c>
      <c r="K52" s="105">
        <f t="shared" si="19"/>
        <v>12274.438978666667</v>
      </c>
      <c r="L52" s="105">
        <f t="shared" si="19"/>
        <v>12274.438978666667</v>
      </c>
      <c r="M52" s="105">
        <f t="shared" si="19"/>
        <v>12274.438978666667</v>
      </c>
      <c r="N52" s="105">
        <f t="shared" si="19"/>
        <v>12274.438978666667</v>
      </c>
      <c r="O52" s="103">
        <f t="shared" si="18"/>
        <v>147293.26774400004</v>
      </c>
    </row>
    <row r="53" spans="1:15" x14ac:dyDescent="0.3">
      <c r="A53" s="86" t="s">
        <v>365</v>
      </c>
      <c r="B53" s="81" t="s">
        <v>366</v>
      </c>
      <c r="C53" s="80">
        <v>12274.438978666667</v>
      </c>
      <c r="D53" s="80">
        <v>12274.438978666667</v>
      </c>
      <c r="E53" s="80">
        <v>12274.438978666667</v>
      </c>
      <c r="F53" s="80">
        <v>12274.438978666667</v>
      </c>
      <c r="G53" s="80">
        <v>12274.438978666667</v>
      </c>
      <c r="H53" s="80">
        <v>12274.438978666667</v>
      </c>
      <c r="I53" s="80">
        <v>12274.438978666667</v>
      </c>
      <c r="J53" s="80">
        <v>12274.438978666667</v>
      </c>
      <c r="K53" s="80">
        <v>12274.438978666667</v>
      </c>
      <c r="L53" s="80">
        <v>12274.438978666667</v>
      </c>
      <c r="M53" s="80">
        <v>12274.438978666667</v>
      </c>
      <c r="N53" s="80">
        <v>12274.438978666667</v>
      </c>
      <c r="O53" s="81">
        <f t="shared" si="18"/>
        <v>147293.26774400004</v>
      </c>
    </row>
    <row r="54" spans="1:15" ht="15" thickBot="1" x14ac:dyDescent="0.35">
      <c r="A54" s="86"/>
      <c r="B54" s="81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1">
        <f t="shared" si="18"/>
        <v>0</v>
      </c>
    </row>
    <row r="55" spans="1:15" ht="15" thickBot="1" x14ac:dyDescent="0.35">
      <c r="A55" s="98" t="s">
        <v>367</v>
      </c>
      <c r="B55" s="83" t="s">
        <v>11</v>
      </c>
      <c r="C55" s="84">
        <f t="shared" ref="C55:N55" si="20">C56+C63+C67+C60</f>
        <v>3706864.3318145052</v>
      </c>
      <c r="D55" s="84">
        <f t="shared" si="20"/>
        <v>3706864.3318145052</v>
      </c>
      <c r="E55" s="84">
        <f t="shared" si="20"/>
        <v>3706864.3318145052</v>
      </c>
      <c r="F55" s="84">
        <f t="shared" si="20"/>
        <v>3706864.3318145052</v>
      </c>
      <c r="G55" s="84">
        <f t="shared" si="20"/>
        <v>3706864.3318145052</v>
      </c>
      <c r="H55" s="84">
        <f t="shared" si="20"/>
        <v>3706864.3318145052</v>
      </c>
      <c r="I55" s="84">
        <f t="shared" si="20"/>
        <v>3706864.3318145052</v>
      </c>
      <c r="J55" s="84">
        <f t="shared" si="20"/>
        <v>3706864.3318145052</v>
      </c>
      <c r="K55" s="84">
        <f t="shared" si="20"/>
        <v>3706864.3318145052</v>
      </c>
      <c r="L55" s="84">
        <f t="shared" si="20"/>
        <v>3706864.3318145052</v>
      </c>
      <c r="M55" s="84">
        <f t="shared" si="20"/>
        <v>3706864.3318145052</v>
      </c>
      <c r="N55" s="84">
        <f t="shared" si="20"/>
        <v>3706864.3318145052</v>
      </c>
      <c r="O55" s="85">
        <f t="shared" si="18"/>
        <v>44482371.981774062</v>
      </c>
    </row>
    <row r="56" spans="1:15" ht="15" thickBot="1" x14ac:dyDescent="0.35">
      <c r="A56" s="102" t="s">
        <v>368</v>
      </c>
      <c r="B56" s="103" t="s">
        <v>342</v>
      </c>
      <c r="C56" s="105">
        <f t="shared" ref="C56:N56" si="21">SUM(C57:C59)</f>
        <v>1146461.9834452614</v>
      </c>
      <c r="D56" s="105">
        <f t="shared" si="21"/>
        <v>1146461.9834452614</v>
      </c>
      <c r="E56" s="105">
        <f t="shared" si="21"/>
        <v>1146461.9834452614</v>
      </c>
      <c r="F56" s="105">
        <f t="shared" si="21"/>
        <v>1146461.9834452614</v>
      </c>
      <c r="G56" s="105">
        <f t="shared" si="21"/>
        <v>1146461.9834452614</v>
      </c>
      <c r="H56" s="105">
        <f t="shared" si="21"/>
        <v>1146461.9834452614</v>
      </c>
      <c r="I56" s="105">
        <f t="shared" si="21"/>
        <v>1146461.9834452614</v>
      </c>
      <c r="J56" s="105">
        <f t="shared" si="21"/>
        <v>1146461.9834452614</v>
      </c>
      <c r="K56" s="105">
        <f t="shared" si="21"/>
        <v>1146461.9834452614</v>
      </c>
      <c r="L56" s="105">
        <f t="shared" si="21"/>
        <v>1146461.9834452614</v>
      </c>
      <c r="M56" s="105">
        <f t="shared" si="21"/>
        <v>1146461.9834452614</v>
      </c>
      <c r="N56" s="105">
        <f t="shared" si="21"/>
        <v>1146461.9834452614</v>
      </c>
      <c r="O56" s="103">
        <f t="shared" si="18"/>
        <v>13757543.801343134</v>
      </c>
    </row>
    <row r="57" spans="1:15" x14ac:dyDescent="0.3">
      <c r="A57" s="86" t="s">
        <v>369</v>
      </c>
      <c r="B57" s="81" t="s">
        <v>344</v>
      </c>
      <c r="C57" s="80">
        <v>837598.38967424235</v>
      </c>
      <c r="D57" s="80">
        <v>837598.38967424235</v>
      </c>
      <c r="E57" s="80">
        <v>837598.38967424235</v>
      </c>
      <c r="F57" s="80">
        <v>837598.38967424235</v>
      </c>
      <c r="G57" s="80">
        <v>837598.38967424235</v>
      </c>
      <c r="H57" s="80">
        <v>837598.38967424235</v>
      </c>
      <c r="I57" s="80">
        <v>837598.38967424235</v>
      </c>
      <c r="J57" s="80">
        <v>837598.38967424235</v>
      </c>
      <c r="K57" s="80">
        <v>837598.38967424235</v>
      </c>
      <c r="L57" s="80">
        <v>837598.38967424235</v>
      </c>
      <c r="M57" s="80">
        <v>837598.38967424235</v>
      </c>
      <c r="N57" s="80">
        <v>837598.38967424235</v>
      </c>
      <c r="O57" s="81">
        <f t="shared" si="18"/>
        <v>10051180.676090909</v>
      </c>
    </row>
    <row r="58" spans="1:15" x14ac:dyDescent="0.3">
      <c r="A58" s="86" t="s">
        <v>370</v>
      </c>
      <c r="B58" s="81" t="s">
        <v>346</v>
      </c>
      <c r="C58" s="80">
        <v>144765.756062375</v>
      </c>
      <c r="D58" s="80">
        <v>144765.756062375</v>
      </c>
      <c r="E58" s="80">
        <v>144765.756062375</v>
      </c>
      <c r="F58" s="80">
        <v>144765.756062375</v>
      </c>
      <c r="G58" s="80">
        <v>144765.756062375</v>
      </c>
      <c r="H58" s="80">
        <v>144765.756062375</v>
      </c>
      <c r="I58" s="80">
        <v>144765.756062375</v>
      </c>
      <c r="J58" s="80">
        <v>144765.756062375</v>
      </c>
      <c r="K58" s="80">
        <v>144765.756062375</v>
      </c>
      <c r="L58" s="80">
        <v>144765.756062375</v>
      </c>
      <c r="M58" s="80">
        <v>144765.756062375</v>
      </c>
      <c r="N58" s="80">
        <v>144765.756062375</v>
      </c>
      <c r="O58" s="81">
        <f t="shared" si="18"/>
        <v>1737189.0727484997</v>
      </c>
    </row>
    <row r="59" spans="1:15" ht="15" thickBot="1" x14ac:dyDescent="0.35">
      <c r="A59" s="86" t="s">
        <v>371</v>
      </c>
      <c r="B59" s="81" t="s">
        <v>348</v>
      </c>
      <c r="C59" s="80">
        <v>164097.83770864393</v>
      </c>
      <c r="D59" s="80">
        <v>164097.83770864393</v>
      </c>
      <c r="E59" s="80">
        <v>164097.83770864393</v>
      </c>
      <c r="F59" s="80">
        <v>164097.83770864393</v>
      </c>
      <c r="G59" s="80">
        <v>164097.83770864393</v>
      </c>
      <c r="H59" s="80">
        <v>164097.83770864393</v>
      </c>
      <c r="I59" s="80">
        <v>164097.83770864393</v>
      </c>
      <c r="J59" s="80">
        <v>164097.83770864393</v>
      </c>
      <c r="K59" s="80">
        <v>164097.83770864393</v>
      </c>
      <c r="L59" s="80">
        <v>164097.83770864393</v>
      </c>
      <c r="M59" s="80">
        <v>164097.83770864393</v>
      </c>
      <c r="N59" s="80">
        <v>164097.83770864393</v>
      </c>
      <c r="O59" s="81">
        <f t="shared" si="18"/>
        <v>1969174.0525037267</v>
      </c>
    </row>
    <row r="60" spans="1:15" ht="15" thickBot="1" x14ac:dyDescent="0.35">
      <c r="A60" s="106" t="s">
        <v>372</v>
      </c>
      <c r="B60" s="103" t="s">
        <v>350</v>
      </c>
      <c r="C60" s="105">
        <f t="shared" ref="C60:N60" si="22">SUM(C61:C62)</f>
        <v>175308.48196271426</v>
      </c>
      <c r="D60" s="105">
        <f t="shared" si="22"/>
        <v>175308.48196271426</v>
      </c>
      <c r="E60" s="105">
        <f t="shared" si="22"/>
        <v>175308.48196271426</v>
      </c>
      <c r="F60" s="105">
        <f t="shared" si="22"/>
        <v>175308.48196271426</v>
      </c>
      <c r="G60" s="105">
        <f t="shared" si="22"/>
        <v>175308.48196271426</v>
      </c>
      <c r="H60" s="105">
        <f t="shared" si="22"/>
        <v>175308.48196271426</v>
      </c>
      <c r="I60" s="105">
        <f t="shared" si="22"/>
        <v>175308.48196271426</v>
      </c>
      <c r="J60" s="105">
        <f t="shared" si="22"/>
        <v>175308.48196271426</v>
      </c>
      <c r="K60" s="105">
        <f t="shared" si="22"/>
        <v>175308.48196271426</v>
      </c>
      <c r="L60" s="105">
        <f t="shared" si="22"/>
        <v>175308.48196271426</v>
      </c>
      <c r="M60" s="105">
        <f t="shared" si="22"/>
        <v>175308.48196271426</v>
      </c>
      <c r="N60" s="105">
        <f t="shared" si="22"/>
        <v>175308.48196271426</v>
      </c>
      <c r="O60" s="103">
        <f t="shared" si="18"/>
        <v>2103701.7835525717</v>
      </c>
    </row>
    <row r="61" spans="1:15" x14ac:dyDescent="0.3">
      <c r="A61" s="86" t="s">
        <v>373</v>
      </c>
      <c r="B61" s="81" t="s">
        <v>352</v>
      </c>
      <c r="C61" s="80">
        <v>175308.48196271426</v>
      </c>
      <c r="D61" s="80">
        <v>175308.48196271426</v>
      </c>
      <c r="E61" s="80">
        <v>175308.48196271426</v>
      </c>
      <c r="F61" s="80">
        <v>175308.48196271426</v>
      </c>
      <c r="G61" s="80">
        <v>175308.48196271426</v>
      </c>
      <c r="H61" s="80">
        <v>175308.48196271426</v>
      </c>
      <c r="I61" s="80">
        <v>175308.48196271426</v>
      </c>
      <c r="J61" s="80">
        <v>175308.48196271426</v>
      </c>
      <c r="K61" s="80">
        <v>175308.48196271426</v>
      </c>
      <c r="L61" s="80">
        <v>175308.48196271426</v>
      </c>
      <c r="M61" s="80">
        <v>175308.48196271426</v>
      </c>
      <c r="N61" s="80">
        <v>175308.48196271426</v>
      </c>
      <c r="O61" s="81">
        <f t="shared" si="18"/>
        <v>2103701.7835525717</v>
      </c>
    </row>
    <row r="62" spans="1:15" ht="15" thickBot="1" x14ac:dyDescent="0.35">
      <c r="A62" s="86" t="s">
        <v>374</v>
      </c>
      <c r="B62" s="81" t="s">
        <v>354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>
        <f t="shared" si="18"/>
        <v>0</v>
      </c>
    </row>
    <row r="63" spans="1:15" ht="15" thickBot="1" x14ac:dyDescent="0.35">
      <c r="A63" s="102" t="s">
        <v>375</v>
      </c>
      <c r="B63" s="103" t="s">
        <v>356</v>
      </c>
      <c r="C63" s="105">
        <f t="shared" ref="C63:N63" si="23">SUM(C64:C66)</f>
        <v>2385093.8664065292</v>
      </c>
      <c r="D63" s="105">
        <f t="shared" si="23"/>
        <v>2385093.8664065292</v>
      </c>
      <c r="E63" s="105">
        <f t="shared" si="23"/>
        <v>2385093.8664065292</v>
      </c>
      <c r="F63" s="105">
        <f t="shared" si="23"/>
        <v>2385093.8664065292</v>
      </c>
      <c r="G63" s="105">
        <f t="shared" si="23"/>
        <v>2385093.8664065292</v>
      </c>
      <c r="H63" s="105">
        <f t="shared" si="23"/>
        <v>2385093.8664065292</v>
      </c>
      <c r="I63" s="105">
        <f t="shared" si="23"/>
        <v>2385093.8664065292</v>
      </c>
      <c r="J63" s="105">
        <f t="shared" si="23"/>
        <v>2385093.8664065292</v>
      </c>
      <c r="K63" s="105">
        <f t="shared" si="23"/>
        <v>2385093.8664065292</v>
      </c>
      <c r="L63" s="105">
        <f t="shared" si="23"/>
        <v>2385093.8664065292</v>
      </c>
      <c r="M63" s="105">
        <f t="shared" si="23"/>
        <v>2385093.8664065292</v>
      </c>
      <c r="N63" s="105">
        <f t="shared" si="23"/>
        <v>2385093.8664065292</v>
      </c>
      <c r="O63" s="103">
        <f t="shared" si="18"/>
        <v>28621126.396878358</v>
      </c>
    </row>
    <row r="64" spans="1:15" x14ac:dyDescent="0.3">
      <c r="A64" s="86" t="s">
        <v>376</v>
      </c>
      <c r="B64" s="81" t="s">
        <v>358</v>
      </c>
      <c r="C64" s="80">
        <v>2385093.8664065292</v>
      </c>
      <c r="D64" s="80">
        <v>2385093.8664065292</v>
      </c>
      <c r="E64" s="80">
        <v>2385093.8664065292</v>
      </c>
      <c r="F64" s="80">
        <v>2385093.8664065292</v>
      </c>
      <c r="G64" s="80">
        <v>2385093.8664065292</v>
      </c>
      <c r="H64" s="80">
        <v>2385093.8664065292</v>
      </c>
      <c r="I64" s="80">
        <v>2385093.8664065292</v>
      </c>
      <c r="J64" s="80">
        <v>2385093.8664065292</v>
      </c>
      <c r="K64" s="80">
        <v>2385093.8664065292</v>
      </c>
      <c r="L64" s="80">
        <v>2385093.8664065292</v>
      </c>
      <c r="M64" s="80">
        <v>2385093.8664065292</v>
      </c>
      <c r="N64" s="80">
        <v>2385093.8664065292</v>
      </c>
      <c r="O64" s="81">
        <f t="shared" si="18"/>
        <v>28621126.396878358</v>
      </c>
    </row>
    <row r="65" spans="1:15" x14ac:dyDescent="0.3">
      <c r="A65" s="79" t="s">
        <v>377</v>
      </c>
      <c r="B65" s="107" t="s">
        <v>360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107">
        <f t="shared" si="18"/>
        <v>0</v>
      </c>
    </row>
    <row r="66" spans="1:15" ht="15" thickBot="1" x14ac:dyDescent="0.35">
      <c r="A66" s="79" t="s">
        <v>378</v>
      </c>
      <c r="B66" s="107" t="s">
        <v>362</v>
      </c>
      <c r="C66" s="71">
        <v>0</v>
      </c>
      <c r="D66" s="71">
        <v>0</v>
      </c>
      <c r="E66" s="71">
        <v>0</v>
      </c>
      <c r="F66" s="71">
        <v>0</v>
      </c>
      <c r="G66" s="71">
        <v>0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107">
        <f t="shared" si="18"/>
        <v>0</v>
      </c>
    </row>
    <row r="67" spans="1:15" ht="15" thickBot="1" x14ac:dyDescent="0.35">
      <c r="A67" s="102" t="s">
        <v>379</v>
      </c>
      <c r="B67" s="103" t="s">
        <v>364</v>
      </c>
      <c r="C67" s="105">
        <f t="shared" ref="C67:N67" si="24">SUM(C68)</f>
        <v>0</v>
      </c>
      <c r="D67" s="105">
        <f t="shared" si="24"/>
        <v>0</v>
      </c>
      <c r="E67" s="105">
        <f t="shared" si="24"/>
        <v>0</v>
      </c>
      <c r="F67" s="105">
        <f t="shared" si="24"/>
        <v>0</v>
      </c>
      <c r="G67" s="105">
        <f t="shared" si="24"/>
        <v>0</v>
      </c>
      <c r="H67" s="105">
        <f t="shared" si="24"/>
        <v>0</v>
      </c>
      <c r="I67" s="105">
        <f t="shared" si="24"/>
        <v>0</v>
      </c>
      <c r="J67" s="105">
        <f t="shared" si="24"/>
        <v>0</v>
      </c>
      <c r="K67" s="105">
        <f t="shared" si="24"/>
        <v>0</v>
      </c>
      <c r="L67" s="105">
        <f t="shared" si="24"/>
        <v>0</v>
      </c>
      <c r="M67" s="105">
        <f t="shared" si="24"/>
        <v>0</v>
      </c>
      <c r="N67" s="105">
        <f t="shared" si="24"/>
        <v>0</v>
      </c>
      <c r="O67" s="103">
        <f t="shared" si="18"/>
        <v>0</v>
      </c>
    </row>
    <row r="68" spans="1:15" x14ac:dyDescent="0.3">
      <c r="A68" s="86" t="s">
        <v>380</v>
      </c>
      <c r="B68" s="81" t="s">
        <v>366</v>
      </c>
      <c r="C68" s="80">
        <v>0</v>
      </c>
      <c r="D68" s="80">
        <v>0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1">
        <f t="shared" si="18"/>
        <v>0</v>
      </c>
    </row>
    <row r="69" spans="1:15" ht="15" thickBot="1" x14ac:dyDescent="0.35">
      <c r="A69" s="86"/>
      <c r="B69" s="81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1"/>
    </row>
    <row r="70" spans="1:15" ht="15" thickBot="1" x14ac:dyDescent="0.35">
      <c r="A70" s="108" t="s">
        <v>381</v>
      </c>
      <c r="B70" s="83" t="s">
        <v>13</v>
      </c>
      <c r="C70" s="84">
        <f t="shared" ref="C70:N70" si="25">C71</f>
        <v>1091527.1520230481</v>
      </c>
      <c r="D70" s="84">
        <f t="shared" si="25"/>
        <v>1091527.1520230481</v>
      </c>
      <c r="E70" s="84">
        <f t="shared" si="25"/>
        <v>1091527.1520230481</v>
      </c>
      <c r="F70" s="84">
        <f t="shared" si="25"/>
        <v>1091527.1520230481</v>
      </c>
      <c r="G70" s="84">
        <f t="shared" si="25"/>
        <v>1091527.1520230481</v>
      </c>
      <c r="H70" s="84">
        <f t="shared" si="25"/>
        <v>1091527.1520230481</v>
      </c>
      <c r="I70" s="84">
        <f t="shared" si="25"/>
        <v>1091527.1520230481</v>
      </c>
      <c r="J70" s="84">
        <f t="shared" si="25"/>
        <v>1091527.1520230481</v>
      </c>
      <c r="K70" s="84">
        <f t="shared" si="25"/>
        <v>1091527.1520230481</v>
      </c>
      <c r="L70" s="84">
        <f t="shared" si="25"/>
        <v>1091527.1520230481</v>
      </c>
      <c r="M70" s="84">
        <f t="shared" si="25"/>
        <v>1091527.1520230481</v>
      </c>
      <c r="N70" s="84">
        <f t="shared" si="25"/>
        <v>1091527.1520230481</v>
      </c>
      <c r="O70" s="85">
        <f t="shared" si="18"/>
        <v>13098325.824276574</v>
      </c>
    </row>
    <row r="71" spans="1:15" ht="15" thickBot="1" x14ac:dyDescent="0.35">
      <c r="A71" s="102" t="s">
        <v>382</v>
      </c>
      <c r="B71" s="103" t="s">
        <v>383</v>
      </c>
      <c r="C71" s="105">
        <f t="shared" ref="C71:N71" si="26">SUM(C72)</f>
        <v>1091527.1520230481</v>
      </c>
      <c r="D71" s="105">
        <f t="shared" si="26"/>
        <v>1091527.1520230481</v>
      </c>
      <c r="E71" s="105">
        <f t="shared" si="26"/>
        <v>1091527.1520230481</v>
      </c>
      <c r="F71" s="105">
        <f t="shared" si="26"/>
        <v>1091527.1520230481</v>
      </c>
      <c r="G71" s="105">
        <f t="shared" si="26"/>
        <v>1091527.1520230481</v>
      </c>
      <c r="H71" s="105">
        <f t="shared" si="26"/>
        <v>1091527.1520230481</v>
      </c>
      <c r="I71" s="105">
        <f t="shared" si="26"/>
        <v>1091527.1520230481</v>
      </c>
      <c r="J71" s="105">
        <f t="shared" si="26"/>
        <v>1091527.1520230481</v>
      </c>
      <c r="K71" s="105">
        <f t="shared" si="26"/>
        <v>1091527.1520230481</v>
      </c>
      <c r="L71" s="105">
        <f t="shared" si="26"/>
        <v>1091527.1520230481</v>
      </c>
      <c r="M71" s="105">
        <f t="shared" si="26"/>
        <v>1091527.1520230481</v>
      </c>
      <c r="N71" s="105">
        <f t="shared" si="26"/>
        <v>1091527.1520230481</v>
      </c>
      <c r="O71" s="103">
        <f t="shared" si="18"/>
        <v>13098325.824276574</v>
      </c>
    </row>
    <row r="72" spans="1:15" x14ac:dyDescent="0.3">
      <c r="A72" s="86" t="s">
        <v>384</v>
      </c>
      <c r="B72" s="81" t="s">
        <v>385</v>
      </c>
      <c r="C72" s="80">
        <v>1091527.1520230481</v>
      </c>
      <c r="D72" s="80">
        <v>1091527.1520230481</v>
      </c>
      <c r="E72" s="80">
        <v>1091527.1520230481</v>
      </c>
      <c r="F72" s="80">
        <v>1091527.1520230481</v>
      </c>
      <c r="G72" s="80">
        <v>1091527.1520230481</v>
      </c>
      <c r="H72" s="80">
        <v>1091527.1520230481</v>
      </c>
      <c r="I72" s="80">
        <v>1091527.1520230481</v>
      </c>
      <c r="J72" s="80">
        <v>1091527.1520230481</v>
      </c>
      <c r="K72" s="80">
        <v>1091527.1520230481</v>
      </c>
      <c r="L72" s="80">
        <v>1091527.1520230481</v>
      </c>
      <c r="M72" s="80">
        <v>1091527.1520230481</v>
      </c>
      <c r="N72" s="80">
        <v>1091527.1520230481</v>
      </c>
      <c r="O72" s="81">
        <f t="shared" si="18"/>
        <v>13098325.824276574</v>
      </c>
    </row>
    <row r="73" spans="1:15" ht="15" thickBot="1" x14ac:dyDescent="0.35">
      <c r="A73" s="86"/>
      <c r="B73" s="81" t="s">
        <v>296</v>
      </c>
      <c r="C73" s="80" t="s">
        <v>296</v>
      </c>
      <c r="D73" s="80" t="s">
        <v>296</v>
      </c>
      <c r="E73" s="80" t="s">
        <v>296</v>
      </c>
      <c r="F73" s="80" t="s">
        <v>296</v>
      </c>
      <c r="G73" s="80" t="s">
        <v>296</v>
      </c>
      <c r="H73" s="80" t="s">
        <v>296</v>
      </c>
      <c r="I73" s="80" t="s">
        <v>296</v>
      </c>
      <c r="J73" s="80" t="s">
        <v>296</v>
      </c>
      <c r="K73" s="80" t="s">
        <v>296</v>
      </c>
      <c r="L73" s="80" t="s">
        <v>296</v>
      </c>
      <c r="M73" s="80" t="s">
        <v>296</v>
      </c>
      <c r="N73" s="80" t="s">
        <v>296</v>
      </c>
      <c r="O73" s="81">
        <f t="shared" si="18"/>
        <v>0</v>
      </c>
    </row>
    <row r="74" spans="1:15" ht="15" thickBot="1" x14ac:dyDescent="0.35">
      <c r="A74" s="98" t="s">
        <v>386</v>
      </c>
      <c r="B74" s="83" t="s">
        <v>15</v>
      </c>
      <c r="C74" s="84">
        <f t="shared" ref="C74:N74" si="27">C75</f>
        <v>1417709.5815261558</v>
      </c>
      <c r="D74" s="84">
        <f t="shared" si="27"/>
        <v>1235781.1854401042</v>
      </c>
      <c r="E74" s="84">
        <f t="shared" si="27"/>
        <v>1283112.4253527713</v>
      </c>
      <c r="F74" s="84">
        <f t="shared" si="27"/>
        <v>1319622.8809164122</v>
      </c>
      <c r="G74" s="84">
        <f t="shared" si="27"/>
        <v>1512720.7423131438</v>
      </c>
      <c r="H74" s="84">
        <f t="shared" si="27"/>
        <v>1371226.3716025758</v>
      </c>
      <c r="I74" s="84">
        <f t="shared" si="27"/>
        <v>1458230.5469758189</v>
      </c>
      <c r="J74" s="84">
        <f t="shared" si="27"/>
        <v>1649129.5107213967</v>
      </c>
      <c r="K74" s="84">
        <f t="shared" si="27"/>
        <v>1516057.225023038</v>
      </c>
      <c r="L74" s="84">
        <f t="shared" si="27"/>
        <v>1692940.6950065743</v>
      </c>
      <c r="M74" s="84">
        <f t="shared" si="27"/>
        <v>1366984.5902019278</v>
      </c>
      <c r="N74" s="84">
        <f t="shared" si="27"/>
        <v>1392186.8140929097</v>
      </c>
      <c r="O74" s="85">
        <f t="shared" si="18"/>
        <v>17215702.569172829</v>
      </c>
    </row>
    <row r="75" spans="1:15" ht="15" thickBot="1" x14ac:dyDescent="0.35">
      <c r="A75" s="102" t="s">
        <v>387</v>
      </c>
      <c r="B75" s="103" t="s">
        <v>388</v>
      </c>
      <c r="C75" s="105">
        <f>SUM(C76:C77)</f>
        <v>1417709.5815261558</v>
      </c>
      <c r="D75" s="105">
        <f t="shared" ref="D75:N75" si="28">SUM(D76:D77)</f>
        <v>1235781.1854401042</v>
      </c>
      <c r="E75" s="105">
        <f t="shared" si="28"/>
        <v>1283112.4253527713</v>
      </c>
      <c r="F75" s="105">
        <f t="shared" si="28"/>
        <v>1319622.8809164122</v>
      </c>
      <c r="G75" s="105">
        <f t="shared" si="28"/>
        <v>1512720.7423131438</v>
      </c>
      <c r="H75" s="105">
        <f t="shared" si="28"/>
        <v>1371226.3716025758</v>
      </c>
      <c r="I75" s="105">
        <f t="shared" si="28"/>
        <v>1458230.5469758189</v>
      </c>
      <c r="J75" s="105">
        <f t="shared" si="28"/>
        <v>1649129.5107213967</v>
      </c>
      <c r="K75" s="105">
        <f t="shared" si="28"/>
        <v>1516057.225023038</v>
      </c>
      <c r="L75" s="105">
        <f t="shared" si="28"/>
        <v>1692940.6950065743</v>
      </c>
      <c r="M75" s="105">
        <f t="shared" si="28"/>
        <v>1366984.5902019278</v>
      </c>
      <c r="N75" s="105">
        <f t="shared" si="28"/>
        <v>1392186.8140929097</v>
      </c>
      <c r="O75" s="103">
        <f t="shared" si="18"/>
        <v>17215702.569172829</v>
      </c>
    </row>
    <row r="76" spans="1:15" x14ac:dyDescent="0.3">
      <c r="A76" s="86" t="s">
        <v>389</v>
      </c>
      <c r="B76" s="81" t="s">
        <v>390</v>
      </c>
      <c r="C76" s="80">
        <v>1369292.1406928224</v>
      </c>
      <c r="D76" s="80">
        <v>1187363.7446067708</v>
      </c>
      <c r="E76" s="80">
        <v>1234694.9845194379</v>
      </c>
      <c r="F76" s="80">
        <v>1271205.4400830788</v>
      </c>
      <c r="G76" s="80">
        <v>1464303.3014798104</v>
      </c>
      <c r="H76" s="80">
        <v>1322808.9307692423</v>
      </c>
      <c r="I76" s="80">
        <v>1409813.1061424855</v>
      </c>
      <c r="J76" s="80">
        <v>1600712.0698880632</v>
      </c>
      <c r="K76" s="80">
        <v>1467639.7841897046</v>
      </c>
      <c r="L76" s="80">
        <v>1644523.2541732409</v>
      </c>
      <c r="M76" s="80">
        <v>1318567.1493685944</v>
      </c>
      <c r="N76" s="80">
        <v>1343769.3732595763</v>
      </c>
      <c r="O76" s="81">
        <f t="shared" si="18"/>
        <v>16634693.279172828</v>
      </c>
    </row>
    <row r="77" spans="1:15" ht="15" thickBot="1" x14ac:dyDescent="0.35">
      <c r="A77" s="86" t="s">
        <v>391</v>
      </c>
      <c r="B77" s="101" t="s">
        <v>392</v>
      </c>
      <c r="C77" s="80">
        <v>48417.440833333334</v>
      </c>
      <c r="D77" s="80">
        <v>48417.440833333334</v>
      </c>
      <c r="E77" s="80">
        <v>48417.440833333334</v>
      </c>
      <c r="F77" s="80">
        <v>48417.440833333334</v>
      </c>
      <c r="G77" s="80">
        <v>48417.440833333334</v>
      </c>
      <c r="H77" s="80">
        <v>48417.440833333334</v>
      </c>
      <c r="I77" s="80">
        <v>48417.440833333334</v>
      </c>
      <c r="J77" s="80">
        <v>48417.440833333334</v>
      </c>
      <c r="K77" s="80">
        <v>48417.440833333334</v>
      </c>
      <c r="L77" s="80">
        <v>48417.440833333334</v>
      </c>
      <c r="M77" s="80">
        <v>48417.440833333334</v>
      </c>
      <c r="N77" s="80">
        <v>48417.440833333334</v>
      </c>
      <c r="O77" s="81">
        <f t="shared" si="18"/>
        <v>581009.29</v>
      </c>
    </row>
    <row r="78" spans="1:15" ht="15" thickBot="1" x14ac:dyDescent="0.35">
      <c r="A78" s="98" t="s">
        <v>393</v>
      </c>
      <c r="B78" s="83" t="s">
        <v>17</v>
      </c>
      <c r="C78" s="84">
        <f t="shared" ref="C78:N78" si="29">C79</f>
        <v>0</v>
      </c>
      <c r="D78" s="84">
        <f t="shared" si="29"/>
        <v>0</v>
      </c>
      <c r="E78" s="84">
        <f t="shared" si="29"/>
        <v>0</v>
      </c>
      <c r="F78" s="84">
        <f t="shared" si="29"/>
        <v>0</v>
      </c>
      <c r="G78" s="84">
        <f t="shared" si="29"/>
        <v>0</v>
      </c>
      <c r="H78" s="84">
        <f t="shared" si="29"/>
        <v>0</v>
      </c>
      <c r="I78" s="84">
        <f t="shared" si="29"/>
        <v>0</v>
      </c>
      <c r="J78" s="84">
        <f t="shared" si="29"/>
        <v>0</v>
      </c>
      <c r="K78" s="84">
        <f t="shared" si="29"/>
        <v>0</v>
      </c>
      <c r="L78" s="84">
        <f t="shared" si="29"/>
        <v>0</v>
      </c>
      <c r="M78" s="84">
        <f t="shared" si="29"/>
        <v>0</v>
      </c>
      <c r="N78" s="84">
        <f t="shared" si="29"/>
        <v>0</v>
      </c>
      <c r="O78" s="85">
        <f t="shared" si="18"/>
        <v>0</v>
      </c>
    </row>
    <row r="79" spans="1:15" ht="15" thickBot="1" x14ac:dyDescent="0.35">
      <c r="A79" s="102" t="s">
        <v>394</v>
      </c>
      <c r="B79" s="103" t="s">
        <v>395</v>
      </c>
      <c r="C79" s="105">
        <f>SUM(C80:C81)</f>
        <v>0</v>
      </c>
      <c r="D79" s="105">
        <f>SUM(D80:D81)</f>
        <v>0</v>
      </c>
      <c r="E79" s="105">
        <f>SUM(E80:E81)</f>
        <v>0</v>
      </c>
      <c r="F79" s="105">
        <f t="shared" ref="F79:N79" si="30">SUM(F80:F81)</f>
        <v>0</v>
      </c>
      <c r="G79" s="105">
        <f t="shared" si="30"/>
        <v>0</v>
      </c>
      <c r="H79" s="105">
        <f t="shared" si="30"/>
        <v>0</v>
      </c>
      <c r="I79" s="105">
        <f t="shared" si="30"/>
        <v>0</v>
      </c>
      <c r="J79" s="105">
        <f t="shared" si="30"/>
        <v>0</v>
      </c>
      <c r="K79" s="105">
        <f t="shared" si="30"/>
        <v>0</v>
      </c>
      <c r="L79" s="105">
        <f t="shared" si="30"/>
        <v>0</v>
      </c>
      <c r="M79" s="105">
        <f t="shared" si="30"/>
        <v>0</v>
      </c>
      <c r="N79" s="105">
        <f t="shared" si="30"/>
        <v>0</v>
      </c>
      <c r="O79" s="103">
        <f t="shared" si="18"/>
        <v>0</v>
      </c>
    </row>
    <row r="80" spans="1:15" x14ac:dyDescent="0.3">
      <c r="A80" s="86" t="s">
        <v>396</v>
      </c>
      <c r="B80" s="81" t="s">
        <v>17</v>
      </c>
      <c r="C80" s="80">
        <v>0</v>
      </c>
      <c r="D80" s="80">
        <v>0</v>
      </c>
      <c r="E80" s="80">
        <v>0</v>
      </c>
      <c r="F80" s="80">
        <v>0</v>
      </c>
      <c r="G80" s="80">
        <v>0</v>
      </c>
      <c r="H80" s="80">
        <v>0</v>
      </c>
      <c r="I80" s="80">
        <v>0</v>
      </c>
      <c r="J80" s="80">
        <v>0</v>
      </c>
      <c r="K80" s="80">
        <v>0</v>
      </c>
      <c r="L80" s="80">
        <v>0</v>
      </c>
      <c r="M80" s="80">
        <v>0</v>
      </c>
      <c r="N80" s="80">
        <v>0</v>
      </c>
      <c r="O80" s="81">
        <f t="shared" si="18"/>
        <v>0</v>
      </c>
    </row>
    <row r="81" spans="1:15" ht="15" thickBot="1" x14ac:dyDescent="0.35">
      <c r="A81" s="86"/>
      <c r="B81" s="81" t="s">
        <v>397</v>
      </c>
      <c r="C81" s="80">
        <v>0</v>
      </c>
      <c r="D81" s="80">
        <v>0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0</v>
      </c>
      <c r="K81" s="80">
        <v>0</v>
      </c>
      <c r="L81" s="80">
        <v>0</v>
      </c>
      <c r="M81" s="80">
        <v>0</v>
      </c>
      <c r="N81" s="80">
        <v>0</v>
      </c>
      <c r="O81" s="81">
        <f t="shared" si="18"/>
        <v>0</v>
      </c>
    </row>
    <row r="82" spans="1:15" ht="15" thickBot="1" x14ac:dyDescent="0.35">
      <c r="A82" s="98" t="s">
        <v>398</v>
      </c>
      <c r="B82" s="83" t="s">
        <v>399</v>
      </c>
      <c r="C82" s="84">
        <f t="shared" ref="C82:N82" si="31">C83</f>
        <v>0</v>
      </c>
      <c r="D82" s="84">
        <f t="shared" si="31"/>
        <v>0</v>
      </c>
      <c r="E82" s="84">
        <f t="shared" si="31"/>
        <v>0</v>
      </c>
      <c r="F82" s="84">
        <f t="shared" si="31"/>
        <v>0</v>
      </c>
      <c r="G82" s="84">
        <f t="shared" si="31"/>
        <v>0</v>
      </c>
      <c r="H82" s="84">
        <f t="shared" si="31"/>
        <v>0</v>
      </c>
      <c r="I82" s="84">
        <f t="shared" si="31"/>
        <v>0</v>
      </c>
      <c r="J82" s="84">
        <f t="shared" si="31"/>
        <v>0</v>
      </c>
      <c r="K82" s="84">
        <f t="shared" si="31"/>
        <v>0</v>
      </c>
      <c r="L82" s="84">
        <f t="shared" si="31"/>
        <v>0</v>
      </c>
      <c r="M82" s="84">
        <f t="shared" si="31"/>
        <v>0</v>
      </c>
      <c r="N82" s="84">
        <f t="shared" si="31"/>
        <v>0</v>
      </c>
      <c r="O82" s="85">
        <f t="shared" si="18"/>
        <v>0</v>
      </c>
    </row>
    <row r="83" spans="1:15" ht="15" thickBot="1" x14ac:dyDescent="0.35">
      <c r="A83" s="102" t="s">
        <v>400</v>
      </c>
      <c r="B83" s="103" t="s">
        <v>401</v>
      </c>
      <c r="C83" s="105">
        <f t="shared" ref="C83:N83" si="32">SUM(C84)</f>
        <v>0</v>
      </c>
      <c r="D83" s="105">
        <f t="shared" si="32"/>
        <v>0</v>
      </c>
      <c r="E83" s="105">
        <f t="shared" si="32"/>
        <v>0</v>
      </c>
      <c r="F83" s="105">
        <f t="shared" si="32"/>
        <v>0</v>
      </c>
      <c r="G83" s="105">
        <f t="shared" si="32"/>
        <v>0</v>
      </c>
      <c r="H83" s="105">
        <f t="shared" si="32"/>
        <v>0</v>
      </c>
      <c r="I83" s="105">
        <f t="shared" si="32"/>
        <v>0</v>
      </c>
      <c r="J83" s="105">
        <f t="shared" si="32"/>
        <v>0</v>
      </c>
      <c r="K83" s="105">
        <f t="shared" si="32"/>
        <v>0</v>
      </c>
      <c r="L83" s="105">
        <f t="shared" si="32"/>
        <v>0</v>
      </c>
      <c r="M83" s="105">
        <f t="shared" si="32"/>
        <v>0</v>
      </c>
      <c r="N83" s="105">
        <f t="shared" si="32"/>
        <v>0</v>
      </c>
      <c r="O83" s="103">
        <f>SUM(C83:N83)</f>
        <v>0</v>
      </c>
    </row>
    <row r="84" spans="1:15" x14ac:dyDescent="0.3">
      <c r="A84" s="86" t="s">
        <v>402</v>
      </c>
      <c r="B84" s="81" t="s">
        <v>403</v>
      </c>
      <c r="C84" s="80">
        <v>0</v>
      </c>
      <c r="D84" s="80">
        <v>0</v>
      </c>
      <c r="E84" s="80">
        <v>0</v>
      </c>
      <c r="F84" s="80">
        <v>0</v>
      </c>
      <c r="G84" s="80">
        <v>0</v>
      </c>
      <c r="H84" s="80">
        <v>0</v>
      </c>
      <c r="I84" s="80">
        <v>0</v>
      </c>
      <c r="J84" s="80">
        <v>0</v>
      </c>
      <c r="K84" s="80">
        <v>0</v>
      </c>
      <c r="L84" s="80">
        <v>0</v>
      </c>
      <c r="M84" s="80">
        <v>0</v>
      </c>
      <c r="N84" s="80">
        <v>0</v>
      </c>
      <c r="O84" s="81">
        <f>SUM(C84:N84)</f>
        <v>0</v>
      </c>
    </row>
    <row r="85" spans="1:15" ht="16.5" customHeight="1" thickBot="1" x14ac:dyDescent="0.35">
      <c r="A85" s="86"/>
      <c r="B85" s="81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1">
        <f>SUM(C85:N85)</f>
        <v>0</v>
      </c>
    </row>
    <row r="86" spans="1:15" ht="16.5" customHeight="1" thickBot="1" x14ac:dyDescent="0.35">
      <c r="A86" s="540" t="s">
        <v>404</v>
      </c>
      <c r="B86" s="541"/>
      <c r="C86" s="109">
        <f t="shared" ref="C86:O86" si="33">C6-C26</f>
        <v>1527259.9795140326</v>
      </c>
      <c r="D86" s="110">
        <f t="shared" si="33"/>
        <v>273344.03562245518</v>
      </c>
      <c r="E86" s="110">
        <f t="shared" si="33"/>
        <v>591777.12909318507</v>
      </c>
      <c r="F86" s="110">
        <f t="shared" si="33"/>
        <v>879704.63138335198</v>
      </c>
      <c r="G86" s="110">
        <f t="shared" si="33"/>
        <v>822329.88702770323</v>
      </c>
      <c r="H86" s="110">
        <f t="shared" si="33"/>
        <v>693826.24920395762</v>
      </c>
      <c r="I86" s="110">
        <f t="shared" si="33"/>
        <v>845880.51757848263</v>
      </c>
      <c r="J86" s="110">
        <f t="shared" si="33"/>
        <v>1654039.1220342964</v>
      </c>
      <c r="K86" s="110">
        <f t="shared" si="33"/>
        <v>1904454.8096248657</v>
      </c>
      <c r="L86" s="110">
        <f t="shared" si="33"/>
        <v>1133404.5096289441</v>
      </c>
      <c r="M86" s="110">
        <f t="shared" si="33"/>
        <v>701847.94597557932</v>
      </c>
      <c r="N86" s="111">
        <f t="shared" si="33"/>
        <v>93440.797520361841</v>
      </c>
      <c r="O86" s="112">
        <f t="shared" si="33"/>
        <v>11121309.614207268</v>
      </c>
    </row>
    <row r="88" spans="1:15" x14ac:dyDescent="0.3">
      <c r="B88" t="s">
        <v>278</v>
      </c>
      <c r="C88" s="113">
        <f>+'[1]4a. Cemento'!B118+'[1]4b.Yeso'!B114+'[1]4c.Morteros'!B115+'[1]4d.Adm'!B101+'[1]4e.Comer.'!B111</f>
        <v>2020006.0344743158</v>
      </c>
      <c r="D88" s="113">
        <f>+'[1]4a. Cemento'!C118+'[1]4b.Yeso'!C114+'[1]4c.Morteros'!C115+'[1]4d.Adm'!C101+'[1]4e.Comer.'!C111</f>
        <v>2020006.0344743158</v>
      </c>
      <c r="E88" s="113">
        <f>+'[1]4a. Cemento'!D118+'[1]4b.Yeso'!D114+'[1]4c.Morteros'!D115+'[1]4d.Adm'!D101+'[1]4e.Comer.'!D111</f>
        <v>2020006.0344743158</v>
      </c>
      <c r="F88" s="113">
        <f>+'[1]4a. Cemento'!E118+'[1]4b.Yeso'!E114+'[1]4c.Morteros'!E115+'[1]4d.Adm'!E101+'[1]4e.Comer.'!E111</f>
        <v>2020006.0344743158</v>
      </c>
      <c r="G88" s="113">
        <f>+'[1]4a. Cemento'!F118+'[1]4b.Yeso'!F114+'[1]4c.Morteros'!F115+'[1]4d.Adm'!F101+'[1]4e.Comer.'!F111</f>
        <v>2020006.0344743158</v>
      </c>
      <c r="H88" s="113">
        <f>+'[1]4a. Cemento'!G118+'[1]4b.Yeso'!G114+'[1]4c.Morteros'!G115+'[1]4d.Adm'!G101+'[1]4e.Comer.'!G111</f>
        <v>2020006.0344743158</v>
      </c>
      <c r="I88" s="113">
        <f>+'[1]4a. Cemento'!H118+'[1]4b.Yeso'!H114+'[1]4c.Morteros'!H115+'[1]4d.Adm'!H101+'[1]4e.Comer.'!H111</f>
        <v>2020006.0344743158</v>
      </c>
      <c r="J88" s="113">
        <f>+'[1]4a. Cemento'!I118+'[1]4b.Yeso'!I114+'[1]4c.Morteros'!I115+'[1]4d.Adm'!I101+'[1]4e.Comer.'!I111</f>
        <v>2020006.0344743158</v>
      </c>
      <c r="K88" s="113">
        <f>+'[1]4a. Cemento'!J118+'[1]4b.Yeso'!J114+'[1]4c.Morteros'!J115+'[1]4d.Adm'!J101+'[1]4e.Comer.'!J111</f>
        <v>2020006.0344743158</v>
      </c>
      <c r="L88" s="113">
        <f>+'[1]4a. Cemento'!K118+'[1]4b.Yeso'!K114+'[1]4c.Morteros'!K115+'[1]4d.Adm'!K101+'[1]4e.Comer.'!K111</f>
        <v>2020006.0344743158</v>
      </c>
      <c r="M88" s="113">
        <f>+'[1]4a. Cemento'!L118+'[1]4b.Yeso'!L114+'[1]4c.Morteros'!L115+'[1]4d.Adm'!L101+'[1]4e.Comer.'!L111</f>
        <v>2020006.0344743158</v>
      </c>
      <c r="N88" s="113">
        <f>+'[1]4a. Cemento'!M118+'[1]4b.Yeso'!M114+'[1]4c.Morteros'!M115+'[1]4d.Adm'!M101+'[1]4e.Comer.'!M111</f>
        <v>2020006.0344743158</v>
      </c>
    </row>
  </sheetData>
  <mergeCells count="4">
    <mergeCell ref="A1:O1"/>
    <mergeCell ref="A3:A4"/>
    <mergeCell ref="B3:B4"/>
    <mergeCell ref="A86:B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10A5-927F-40CD-BE87-D0C21D5D7100}">
  <dimension ref="A1:M53"/>
  <sheetViews>
    <sheetView workbookViewId="0">
      <selection sqref="A1:F1"/>
    </sheetView>
  </sheetViews>
  <sheetFormatPr baseColWidth="10" defaultRowHeight="14.4" x14ac:dyDescent="0.3"/>
  <cols>
    <col min="1" max="1" width="2.109375" bestFit="1" customWidth="1"/>
    <col min="2" max="2" width="36.88671875" bestFit="1" customWidth="1"/>
    <col min="3" max="3" width="9.5546875" bestFit="1" customWidth="1"/>
    <col min="4" max="4" width="7.88671875" bestFit="1" customWidth="1"/>
    <col min="5" max="5" width="8.44140625" bestFit="1" customWidth="1"/>
    <col min="6" max="6" width="11" bestFit="1" customWidth="1"/>
    <col min="7" max="7" width="13.88671875" bestFit="1" customWidth="1"/>
    <col min="8" max="8" width="25.6640625" bestFit="1" customWidth="1"/>
    <col min="9" max="9" width="11.21875" bestFit="1" customWidth="1"/>
  </cols>
  <sheetData>
    <row r="1" spans="1:11" x14ac:dyDescent="0.3">
      <c r="A1" s="542" t="s">
        <v>447</v>
      </c>
      <c r="B1" s="542"/>
      <c r="C1" s="542"/>
      <c r="D1" s="542"/>
      <c r="E1" s="542"/>
      <c r="F1" s="542"/>
    </row>
    <row r="2" spans="1:11" x14ac:dyDescent="0.3">
      <c r="A2" s="543" t="s">
        <v>629</v>
      </c>
      <c r="B2" s="543"/>
      <c r="C2" s="543"/>
      <c r="D2" s="543"/>
      <c r="E2" s="543"/>
      <c r="F2" s="543"/>
    </row>
    <row r="3" spans="1:11" x14ac:dyDescent="0.3">
      <c r="A3" s="544"/>
      <c r="B3" s="544"/>
    </row>
    <row r="4" spans="1:11" x14ac:dyDescent="0.3">
      <c r="A4" s="545" t="s">
        <v>448</v>
      </c>
      <c r="B4" s="546" t="s">
        <v>449</v>
      </c>
      <c r="C4" s="547" t="s">
        <v>630</v>
      </c>
      <c r="D4" s="547"/>
      <c r="E4" s="547"/>
      <c r="F4" s="547"/>
    </row>
    <row r="5" spans="1:11" ht="20.399999999999999" x14ac:dyDescent="0.3">
      <c r="A5" s="545"/>
      <c r="B5" s="546"/>
      <c r="C5" s="427" t="s">
        <v>450</v>
      </c>
      <c r="D5" s="427" t="s">
        <v>451</v>
      </c>
      <c r="E5" s="427" t="s">
        <v>452</v>
      </c>
      <c r="F5" s="477" t="s">
        <v>453</v>
      </c>
    </row>
    <row r="6" spans="1:11" x14ac:dyDescent="0.3">
      <c r="A6" s="454">
        <v>1</v>
      </c>
      <c r="B6" s="455" t="s">
        <v>454</v>
      </c>
      <c r="C6" s="456">
        <v>33002900</v>
      </c>
      <c r="D6" s="456">
        <v>3300290</v>
      </c>
      <c r="E6" s="457">
        <v>0.54158866152790686</v>
      </c>
      <c r="F6" s="456">
        <v>4810918.3673469387</v>
      </c>
      <c r="H6" s="490"/>
    </row>
    <row r="7" spans="1:11" x14ac:dyDescent="0.3">
      <c r="A7" s="458">
        <v>2</v>
      </c>
      <c r="B7" s="459" t="s">
        <v>455</v>
      </c>
      <c r="C7" s="460">
        <v>10250610</v>
      </c>
      <c r="D7" s="460">
        <v>1025061</v>
      </c>
      <c r="E7" s="501">
        <v>0.16821605722261063</v>
      </c>
      <c r="F7" s="460">
        <v>1494258.0174927113</v>
      </c>
      <c r="H7" s="490"/>
    </row>
    <row r="8" spans="1:11" x14ac:dyDescent="0.3">
      <c r="A8" s="454">
        <v>3</v>
      </c>
      <c r="B8" s="455" t="s">
        <v>456</v>
      </c>
      <c r="C8" s="456">
        <v>17683690</v>
      </c>
      <c r="D8" s="456">
        <v>1768369</v>
      </c>
      <c r="E8" s="457">
        <v>0.29019531583334973</v>
      </c>
      <c r="F8" s="456">
        <v>2577797.3760932945</v>
      </c>
    </row>
    <row r="9" spans="1:11" x14ac:dyDescent="0.3">
      <c r="A9" s="550" t="s">
        <v>457</v>
      </c>
      <c r="B9" s="550"/>
      <c r="C9" s="469">
        <v>60937200</v>
      </c>
      <c r="D9" s="469">
        <v>6093720</v>
      </c>
      <c r="E9" s="470">
        <v>1.0000000345838671</v>
      </c>
      <c r="F9" s="469">
        <v>8882973.7609329447</v>
      </c>
    </row>
    <row r="10" spans="1:11" x14ac:dyDescent="0.3">
      <c r="A10" s="488" t="s">
        <v>458</v>
      </c>
      <c r="B10" s="483" t="s">
        <v>459</v>
      </c>
    </row>
    <row r="11" spans="1:11" x14ac:dyDescent="0.3">
      <c r="A11" s="483"/>
    </row>
    <row r="12" spans="1:11" x14ac:dyDescent="0.3">
      <c r="A12" s="483"/>
      <c r="B12" s="551" t="s">
        <v>460</v>
      </c>
      <c r="C12" s="551"/>
    </row>
    <row r="13" spans="1:11" x14ac:dyDescent="0.3">
      <c r="A13" s="483"/>
    </row>
    <row r="14" spans="1:11" x14ac:dyDescent="0.3">
      <c r="A14" s="483"/>
      <c r="B14" s="478" t="s">
        <v>461</v>
      </c>
      <c r="C14" s="478" t="s">
        <v>462</v>
      </c>
      <c r="D14" s="495"/>
    </row>
    <row r="15" spans="1:11" x14ac:dyDescent="0.3">
      <c r="A15" s="483"/>
      <c r="B15" s="465" t="s">
        <v>631</v>
      </c>
      <c r="C15" s="461">
        <v>48226220.799999997</v>
      </c>
      <c r="D15" s="500"/>
      <c r="E15" s="422"/>
      <c r="F15" s="422"/>
      <c r="G15" s="422"/>
      <c r="H15" s="559" t="s">
        <v>463</v>
      </c>
      <c r="I15" s="559"/>
      <c r="J15" s="559"/>
      <c r="K15" s="559"/>
    </row>
    <row r="16" spans="1:11" x14ac:dyDescent="0.3">
      <c r="A16" s="483"/>
      <c r="B16" s="465" t="s">
        <v>464</v>
      </c>
      <c r="C16" s="461">
        <v>0</v>
      </c>
      <c r="D16" s="498"/>
      <c r="E16" s="499"/>
      <c r="F16" s="422"/>
      <c r="G16" s="422"/>
      <c r="H16" s="559" t="s">
        <v>465</v>
      </c>
      <c r="I16" s="559"/>
      <c r="J16" s="559"/>
      <c r="K16" s="559"/>
    </row>
    <row r="17" spans="1:11" x14ac:dyDescent="0.3">
      <c r="A17" s="483"/>
      <c r="B17" s="465" t="s">
        <v>466</v>
      </c>
      <c r="C17" s="461">
        <v>53625.59</v>
      </c>
      <c r="D17" s="558" t="s">
        <v>467</v>
      </c>
      <c r="E17" s="556" t="s">
        <v>468</v>
      </c>
      <c r="F17" s="556"/>
      <c r="G17" s="422"/>
      <c r="H17" s="559" t="s">
        <v>469</v>
      </c>
      <c r="I17" s="559"/>
      <c r="J17" s="559"/>
      <c r="K17" s="559"/>
    </row>
    <row r="18" spans="1:11" x14ac:dyDescent="0.3">
      <c r="A18" s="483"/>
      <c r="B18" s="465" t="s">
        <v>470</v>
      </c>
      <c r="C18" s="461">
        <v>0</v>
      </c>
      <c r="D18" s="558"/>
      <c r="E18" s="557" t="s">
        <v>471</v>
      </c>
      <c r="F18" s="557"/>
      <c r="G18" s="422"/>
      <c r="H18" s="559" t="s">
        <v>472</v>
      </c>
      <c r="I18" s="559"/>
      <c r="J18" s="559"/>
      <c r="K18" s="559"/>
    </row>
    <row r="19" spans="1:11" x14ac:dyDescent="0.3">
      <c r="A19" s="483"/>
      <c r="B19" s="465" t="s">
        <v>473</v>
      </c>
      <c r="C19" s="461">
        <v>6093720</v>
      </c>
      <c r="D19" s="498"/>
      <c r="E19" s="422"/>
      <c r="F19" s="422"/>
      <c r="G19" s="422"/>
      <c r="H19" s="559" t="s">
        <v>474</v>
      </c>
      <c r="I19" s="559"/>
      <c r="J19" s="559"/>
      <c r="K19" s="559"/>
    </row>
    <row r="20" spans="1:11" x14ac:dyDescent="0.3">
      <c r="A20" s="483"/>
      <c r="B20" s="423" t="s">
        <v>475</v>
      </c>
      <c r="C20" s="471">
        <v>7.9052853117635848</v>
      </c>
      <c r="D20" s="500"/>
      <c r="E20" s="422"/>
      <c r="F20" s="422"/>
      <c r="G20" s="422"/>
      <c r="H20" s="559" t="s">
        <v>476</v>
      </c>
      <c r="I20" s="559"/>
      <c r="J20" s="559"/>
      <c r="K20" s="559"/>
    </row>
    <row r="21" spans="1:11" x14ac:dyDescent="0.3">
      <c r="A21" s="483"/>
      <c r="B21" s="423" t="s">
        <v>477</v>
      </c>
      <c r="C21" s="471">
        <v>10</v>
      </c>
      <c r="D21" s="493"/>
    </row>
    <row r="22" spans="1:11" x14ac:dyDescent="0.3">
      <c r="A22" s="483"/>
    </row>
    <row r="23" spans="1:11" x14ac:dyDescent="0.3">
      <c r="A23" s="543" t="s">
        <v>632</v>
      </c>
      <c r="B23" s="543"/>
      <c r="C23" s="543"/>
      <c r="D23" s="543"/>
      <c r="E23" s="543"/>
      <c r="F23" s="543"/>
      <c r="G23" s="543"/>
      <c r="H23" s="543"/>
      <c r="I23" s="543"/>
    </row>
    <row r="24" spans="1:11" ht="15" thickBot="1" x14ac:dyDescent="0.35">
      <c r="A24" s="544"/>
      <c r="B24" s="544"/>
    </row>
    <row r="25" spans="1:11" x14ac:dyDescent="0.3">
      <c r="A25" s="545" t="s">
        <v>448</v>
      </c>
      <c r="B25" s="546" t="s">
        <v>449</v>
      </c>
      <c r="C25" s="547" t="s">
        <v>630</v>
      </c>
      <c r="D25" s="547"/>
      <c r="E25" s="552"/>
      <c r="F25" s="553" t="s">
        <v>633</v>
      </c>
      <c r="G25" s="554"/>
      <c r="H25" s="554"/>
      <c r="I25" s="555"/>
    </row>
    <row r="26" spans="1:11" ht="30.6" x14ac:dyDescent="0.3">
      <c r="A26" s="545"/>
      <c r="B26" s="546"/>
      <c r="C26" s="427" t="s">
        <v>450</v>
      </c>
      <c r="D26" s="427" t="s">
        <v>451</v>
      </c>
      <c r="E26" s="479" t="s">
        <v>452</v>
      </c>
      <c r="F26" s="480" t="s">
        <v>478</v>
      </c>
      <c r="G26" s="427" t="s">
        <v>479</v>
      </c>
      <c r="H26" s="427" t="s">
        <v>480</v>
      </c>
      <c r="I26" s="481" t="s">
        <v>481</v>
      </c>
    </row>
    <row r="27" spans="1:11" x14ac:dyDescent="0.3">
      <c r="A27" s="454">
        <v>1</v>
      </c>
      <c r="B27" s="455" t="s">
        <v>454</v>
      </c>
      <c r="C27" s="456">
        <v>33002900</v>
      </c>
      <c r="D27" s="456">
        <v>3300290</v>
      </c>
      <c r="E27" s="466">
        <v>0.54158871756496851</v>
      </c>
      <c r="F27" s="467">
        <v>48226220.799999997</v>
      </c>
      <c r="G27" s="463">
        <v>7.9052853117635848</v>
      </c>
      <c r="H27" s="464">
        <v>26089734.06156024</v>
      </c>
      <c r="I27" s="468">
        <v>3803168.2305481397</v>
      </c>
    </row>
    <row r="28" spans="1:11" x14ac:dyDescent="0.3">
      <c r="A28" s="458">
        <v>2</v>
      </c>
      <c r="B28" s="459" t="s">
        <v>455</v>
      </c>
      <c r="C28" s="460">
        <v>10250610</v>
      </c>
      <c r="D28" s="460">
        <v>1025061</v>
      </c>
      <c r="E28" s="502">
        <v>0.16821596660168173</v>
      </c>
      <c r="F28" s="503">
        <v>48226220.799999997</v>
      </c>
      <c r="G28" s="504">
        <v>7.9052853117635848</v>
      </c>
      <c r="H28" s="505">
        <v>8103399.6669616923</v>
      </c>
      <c r="I28" s="506">
        <v>1181253.5957670105</v>
      </c>
    </row>
    <row r="29" spans="1:11" x14ac:dyDescent="0.3">
      <c r="A29" s="454">
        <v>3</v>
      </c>
      <c r="B29" s="455" t="s">
        <v>456</v>
      </c>
      <c r="C29" s="456">
        <v>17683690</v>
      </c>
      <c r="D29" s="456">
        <v>1768369</v>
      </c>
      <c r="E29" s="466">
        <v>0.29019531583334973</v>
      </c>
      <c r="F29" s="467">
        <v>48226220.799999997</v>
      </c>
      <c r="G29" s="463">
        <v>7.9052853117635848</v>
      </c>
      <c r="H29" s="464">
        <v>13979461.48147806</v>
      </c>
      <c r="I29" s="468">
        <v>2037822.373393303</v>
      </c>
    </row>
    <row r="30" spans="1:11" ht="15" thickBot="1" x14ac:dyDescent="0.35">
      <c r="A30" s="550" t="s">
        <v>457</v>
      </c>
      <c r="B30" s="550"/>
      <c r="C30" s="469">
        <v>60937200</v>
      </c>
      <c r="D30" s="469">
        <v>6093720</v>
      </c>
      <c r="E30" s="472">
        <v>1</v>
      </c>
      <c r="F30" s="473"/>
      <c r="G30" s="474"/>
      <c r="H30" s="475">
        <v>48172595.209999986</v>
      </c>
      <c r="I30" s="476">
        <v>7022244.1997084524</v>
      </c>
    </row>
    <row r="31" spans="1:11" x14ac:dyDescent="0.3">
      <c r="A31" s="488" t="s">
        <v>458</v>
      </c>
      <c r="B31" s="483" t="s">
        <v>459</v>
      </c>
      <c r="H31" s="485"/>
    </row>
    <row r="32" spans="1:11" x14ac:dyDescent="0.3">
      <c r="A32" s="483"/>
    </row>
    <row r="33" spans="1:13" x14ac:dyDescent="0.3">
      <c r="A33" s="483"/>
      <c r="B33" s="551" t="s">
        <v>634</v>
      </c>
      <c r="C33" s="551"/>
      <c r="D33" s="551"/>
    </row>
    <row r="35" spans="1:13" x14ac:dyDescent="0.3">
      <c r="B35" s="478" t="s">
        <v>461</v>
      </c>
      <c r="C35" s="482" t="s">
        <v>428</v>
      </c>
      <c r="D35" s="482" t="s">
        <v>482</v>
      </c>
      <c r="G35" s="560" t="s">
        <v>483</v>
      </c>
      <c r="H35" s="560"/>
      <c r="I35" s="560"/>
      <c r="L35" s="510"/>
    </row>
    <row r="36" spans="1:13" x14ac:dyDescent="0.3">
      <c r="B36" s="465" t="s">
        <v>484</v>
      </c>
      <c r="C36" s="456">
        <v>11725000</v>
      </c>
      <c r="D36" s="456">
        <v>2263513.5135135138</v>
      </c>
      <c r="G36" s="484"/>
      <c r="H36" s="491" t="s">
        <v>485</v>
      </c>
      <c r="I36" s="485">
        <v>53625.59</v>
      </c>
      <c r="J36" s="484"/>
      <c r="L36" s="510"/>
    </row>
    <row r="37" spans="1:13" x14ac:dyDescent="0.3">
      <c r="B37" s="465" t="s">
        <v>486</v>
      </c>
      <c r="C37" s="456">
        <v>43571970</v>
      </c>
      <c r="D37" s="456">
        <v>4088241.5885273023</v>
      </c>
      <c r="G37" s="484"/>
      <c r="H37" s="491" t="s">
        <v>487</v>
      </c>
      <c r="I37" s="485">
        <v>4507876.3600000003</v>
      </c>
      <c r="J37" s="484"/>
      <c r="L37" s="510"/>
    </row>
    <row r="38" spans="1:13" x14ac:dyDescent="0.3">
      <c r="B38" s="465" t="s">
        <v>488</v>
      </c>
      <c r="C38" s="456">
        <v>-43409585.592779309</v>
      </c>
      <c r="D38" s="456">
        <v>-6327927.9289765749</v>
      </c>
      <c r="G38" s="484"/>
      <c r="H38" s="491" t="s">
        <v>489</v>
      </c>
      <c r="I38" s="485">
        <v>-17272481.150000006</v>
      </c>
      <c r="J38" s="484"/>
      <c r="L38" s="510"/>
    </row>
    <row r="39" spans="1:13" x14ac:dyDescent="0.3">
      <c r="B39" s="462" t="s">
        <v>490</v>
      </c>
      <c r="C39" s="461">
        <v>11887384.407220691</v>
      </c>
      <c r="D39" s="461">
        <v>23827.173064241186</v>
      </c>
      <c r="G39" s="484"/>
      <c r="H39" s="492" t="s">
        <v>491</v>
      </c>
      <c r="I39" s="487">
        <v>-12710979.200000007</v>
      </c>
      <c r="J39" s="484"/>
      <c r="L39" s="510"/>
    </row>
    <row r="40" spans="1:13" x14ac:dyDescent="0.3">
      <c r="B40" s="465" t="s">
        <v>492</v>
      </c>
      <c r="C40" s="456">
        <v>21115510</v>
      </c>
      <c r="D40" s="456">
        <v>3078062.6822157432</v>
      </c>
      <c r="F40" s="493"/>
      <c r="H40" s="494" t="s">
        <v>493</v>
      </c>
      <c r="I40" s="485">
        <v>60937200</v>
      </c>
      <c r="J40" s="486"/>
      <c r="L40" s="510"/>
    </row>
    <row r="41" spans="1:13" x14ac:dyDescent="0.3">
      <c r="B41" s="462" t="s">
        <v>494</v>
      </c>
      <c r="C41" s="461">
        <v>33002894.407220691</v>
      </c>
      <c r="D41" s="461">
        <v>4810917.552072987</v>
      </c>
      <c r="F41" s="495"/>
      <c r="H41" s="496" t="s">
        <v>283</v>
      </c>
      <c r="I41" s="487">
        <v>48226220.799999997</v>
      </c>
      <c r="J41" s="484"/>
      <c r="L41" s="510"/>
    </row>
    <row r="42" spans="1:13" x14ac:dyDescent="0.3">
      <c r="B42" s="465" t="s">
        <v>635</v>
      </c>
      <c r="C42" s="456">
        <v>-6913165.9384397585</v>
      </c>
      <c r="D42" s="456">
        <v>-1007750.1367987986</v>
      </c>
      <c r="F42" s="497"/>
      <c r="H42" s="495"/>
      <c r="I42" s="495"/>
    </row>
    <row r="43" spans="1:13" x14ac:dyDescent="0.3">
      <c r="B43" s="423" t="s">
        <v>495</v>
      </c>
      <c r="C43" s="469">
        <v>26089728.468780935</v>
      </c>
      <c r="D43" s="469">
        <v>3803167.4152741884</v>
      </c>
    </row>
    <row r="44" spans="1:13" x14ac:dyDescent="0.3">
      <c r="B44" s="423" t="s">
        <v>496</v>
      </c>
      <c r="C44" s="548">
        <v>3300290</v>
      </c>
      <c r="D44" s="548"/>
      <c r="F44" s="495"/>
      <c r="G44" s="495"/>
      <c r="M44" s="490"/>
    </row>
    <row r="45" spans="1:13" x14ac:dyDescent="0.3">
      <c r="B45" s="423" t="s">
        <v>497</v>
      </c>
      <c r="C45" s="549">
        <v>7.9052836171308991</v>
      </c>
      <c r="D45" s="549"/>
      <c r="E45" s="495"/>
    </row>
    <row r="47" spans="1:13" x14ac:dyDescent="0.3">
      <c r="C47" s="489"/>
    </row>
    <row r="48" spans="1:13" x14ac:dyDescent="0.3">
      <c r="C48" s="508"/>
      <c r="D48" s="509"/>
    </row>
    <row r="49" spans="3:4" x14ac:dyDescent="0.3">
      <c r="C49" s="507"/>
      <c r="D49" s="507"/>
    </row>
    <row r="50" spans="3:4" x14ac:dyDescent="0.3">
      <c r="C50" s="507"/>
    </row>
    <row r="51" spans="3:4" x14ac:dyDescent="0.3">
      <c r="C51" s="507"/>
    </row>
    <row r="52" spans="3:4" x14ac:dyDescent="0.3">
      <c r="C52" s="507"/>
    </row>
    <row r="53" spans="3:4" x14ac:dyDescent="0.3">
      <c r="C53" s="495"/>
    </row>
  </sheetData>
  <mergeCells count="28">
    <mergeCell ref="G35:I35"/>
    <mergeCell ref="H18:K18"/>
    <mergeCell ref="H19:K19"/>
    <mergeCell ref="H20:K20"/>
    <mergeCell ref="A30:B30"/>
    <mergeCell ref="B33:D33"/>
    <mergeCell ref="C44:D44"/>
    <mergeCell ref="C45:D45"/>
    <mergeCell ref="A9:B9"/>
    <mergeCell ref="B12:C12"/>
    <mergeCell ref="A23:I23"/>
    <mergeCell ref="A24:B24"/>
    <mergeCell ref="A25:A26"/>
    <mergeCell ref="B25:B26"/>
    <mergeCell ref="C25:E25"/>
    <mergeCell ref="F25:I25"/>
    <mergeCell ref="E17:F17"/>
    <mergeCell ref="E18:F18"/>
    <mergeCell ref="D17:D18"/>
    <mergeCell ref="H15:K15"/>
    <mergeCell ref="H16:K16"/>
    <mergeCell ref="H17:K17"/>
    <mergeCell ref="A1:F1"/>
    <mergeCell ref="A2:F2"/>
    <mergeCell ref="A3:B3"/>
    <mergeCell ref="A4:A5"/>
    <mergeCell ref="B4:B5"/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157E-5C28-4F2C-8CC1-58976681AAF7}">
  <dimension ref="A1:I23"/>
  <sheetViews>
    <sheetView workbookViewId="0"/>
  </sheetViews>
  <sheetFormatPr baseColWidth="10" defaultColWidth="11.5546875" defaultRowHeight="14.4" x14ac:dyDescent="0.3"/>
  <cols>
    <col min="1" max="1" width="11.5546875" style="1"/>
    <col min="2" max="2" width="16.33203125" style="1" bestFit="1" customWidth="1"/>
    <col min="3" max="3" width="14.44140625" style="1" customWidth="1"/>
    <col min="4" max="5" width="16.33203125" style="1" bestFit="1" customWidth="1"/>
    <col min="6" max="6" width="21.21875" style="1" bestFit="1" customWidth="1"/>
    <col min="7" max="12" width="16.33203125" style="1" bestFit="1" customWidth="1"/>
    <col min="13" max="16384" width="11.5546875" style="1"/>
  </cols>
  <sheetData>
    <row r="1" spans="1:9" s="511" customFormat="1" ht="43.2" x14ac:dyDescent="0.3">
      <c r="A1" s="511" t="s">
        <v>628</v>
      </c>
      <c r="B1" s="511" t="s">
        <v>426</v>
      </c>
      <c r="C1" s="511" t="s">
        <v>425</v>
      </c>
    </row>
    <row r="2" spans="1:9" x14ac:dyDescent="0.3">
      <c r="A2" s="114">
        <f>+'EEFF proyectados'!N1</f>
        <v>2020</v>
      </c>
      <c r="B2" s="33">
        <f>+'EEFF proyectados'!N5</f>
        <v>379435630.52000004</v>
      </c>
      <c r="C2" s="70"/>
    </row>
    <row r="3" spans="1:9" x14ac:dyDescent="0.3">
      <c r="A3" s="114">
        <f>+A2+1</f>
        <v>2021</v>
      </c>
      <c r="B3" s="33">
        <f>+'EEFF proyectados'!AA5</f>
        <v>352150986.33999997</v>
      </c>
      <c r="C3" s="70">
        <f>+B3/B2-1</f>
        <v>-7.1908492469744179E-2</v>
      </c>
    </row>
    <row r="4" spans="1:9" x14ac:dyDescent="0.3">
      <c r="A4" s="114">
        <f t="shared" ref="A4:A12" si="0">+A3+1</f>
        <v>2022</v>
      </c>
      <c r="B4" s="115">
        <f>+'EEFF proyectados'!AN5</f>
        <v>418155960.5399999</v>
      </c>
      <c r="C4" s="70">
        <f>+B4/B3-1</f>
        <v>0.18743373371180194</v>
      </c>
    </row>
    <row r="5" spans="1:9" x14ac:dyDescent="0.3">
      <c r="A5" s="114">
        <f t="shared" si="0"/>
        <v>2023</v>
      </c>
      <c r="B5" s="115">
        <f>+'EEFF proyectados'!BA5</f>
        <v>437764618.10999995</v>
      </c>
      <c r="C5" s="70">
        <f>+B5/B4-1</f>
        <v>4.6893167670449376E-2</v>
      </c>
    </row>
    <row r="6" spans="1:9" x14ac:dyDescent="0.3">
      <c r="A6" s="114">
        <f t="shared" si="0"/>
        <v>2024</v>
      </c>
      <c r="B6" s="115">
        <f>+'EEFF proyectados'!BN5</f>
        <v>432122176.53999996</v>
      </c>
      <c r="C6" s="70">
        <f>+B6/B5-1</f>
        <v>-1.2889213373069364E-2</v>
      </c>
      <c r="H6" s="1" t="s">
        <v>567</v>
      </c>
      <c r="I6" s="115">
        <v>200000</v>
      </c>
    </row>
    <row r="7" spans="1:9" x14ac:dyDescent="0.3">
      <c r="A7" s="114">
        <f t="shared" si="0"/>
        <v>2025</v>
      </c>
      <c r="B7" s="115">
        <f t="shared" ref="B7:B12" si="1">+B6*(1+C7)</f>
        <v>665811920.76266658</v>
      </c>
      <c r="C7" s="70">
        <f>+('Control y Supuestos'!F56/MONTH('Control y Supuestos'!F52)*12*0.7)/'Control y Supuestos'!E56</f>
        <v>0.54079553633145894</v>
      </c>
      <c r="H7" s="1" t="s">
        <v>570</v>
      </c>
      <c r="I7" s="1">
        <v>49</v>
      </c>
    </row>
    <row r="8" spans="1:9" x14ac:dyDescent="0.3">
      <c r="A8" s="114">
        <f t="shared" si="0"/>
        <v>2026</v>
      </c>
      <c r="B8" s="115">
        <f t="shared" si="1"/>
        <v>665811920.76266658</v>
      </c>
      <c r="C8" s="70">
        <v>0</v>
      </c>
      <c r="H8" s="1" t="s">
        <v>568</v>
      </c>
      <c r="I8" s="115">
        <f>+ROUND(I6/I7,0)</f>
        <v>4082</v>
      </c>
    </row>
    <row r="9" spans="1:9" x14ac:dyDescent="0.3">
      <c r="A9" s="114">
        <f t="shared" si="0"/>
        <v>2027</v>
      </c>
      <c r="B9" s="115">
        <f t="shared" si="1"/>
        <v>665811920.76266658</v>
      </c>
      <c r="C9" s="70">
        <v>0</v>
      </c>
      <c r="H9" s="1" t="s">
        <v>569</v>
      </c>
      <c r="I9" s="1">
        <v>53</v>
      </c>
    </row>
    <row r="10" spans="1:9" x14ac:dyDescent="0.3">
      <c r="A10" s="114">
        <f t="shared" si="0"/>
        <v>2028</v>
      </c>
      <c r="B10" s="115">
        <f t="shared" si="1"/>
        <v>665811920.76266658</v>
      </c>
      <c r="C10" s="70">
        <v>0</v>
      </c>
      <c r="H10" s="1" t="s">
        <v>572</v>
      </c>
      <c r="I10" s="1">
        <f>+I9-I7</f>
        <v>4</v>
      </c>
    </row>
    <row r="11" spans="1:9" x14ac:dyDescent="0.3">
      <c r="A11" s="114">
        <f t="shared" si="0"/>
        <v>2029</v>
      </c>
      <c r="B11" s="115">
        <f t="shared" si="1"/>
        <v>665811920.76266658</v>
      </c>
      <c r="C11" s="70">
        <v>0</v>
      </c>
      <c r="F11" s="186"/>
      <c r="H11" s="1" t="s">
        <v>571</v>
      </c>
      <c r="I11" s="188">
        <f>+I10*I8</f>
        <v>16328</v>
      </c>
    </row>
    <row r="12" spans="1:9" x14ac:dyDescent="0.3">
      <c r="A12" s="114">
        <f t="shared" si="0"/>
        <v>2030</v>
      </c>
      <c r="B12" s="115">
        <f t="shared" si="1"/>
        <v>665811920.76266658</v>
      </c>
      <c r="C12" s="70">
        <v>0</v>
      </c>
      <c r="F12" s="186"/>
    </row>
    <row r="13" spans="1:9" x14ac:dyDescent="0.3">
      <c r="F13" s="186"/>
    </row>
    <row r="14" spans="1:9" x14ac:dyDescent="0.3">
      <c r="F14" s="186"/>
    </row>
    <row r="15" spans="1:9" x14ac:dyDescent="0.3">
      <c r="F15" s="186"/>
    </row>
    <row r="16" spans="1:9" x14ac:dyDescent="0.3">
      <c r="F16" s="186"/>
    </row>
    <row r="17" spans="6:6" x14ac:dyDescent="0.3">
      <c r="F17" s="186"/>
    </row>
    <row r="18" spans="6:6" x14ac:dyDescent="0.3">
      <c r="F18" s="186"/>
    </row>
    <row r="19" spans="6:6" x14ac:dyDescent="0.3">
      <c r="F19" s="186"/>
    </row>
    <row r="20" spans="6:6" x14ac:dyDescent="0.3">
      <c r="F20" s="186"/>
    </row>
    <row r="21" spans="6:6" x14ac:dyDescent="0.3">
      <c r="F21" s="186"/>
    </row>
    <row r="22" spans="6:6" x14ac:dyDescent="0.3">
      <c r="F22" s="186"/>
    </row>
    <row r="23" spans="6:6" x14ac:dyDescent="0.3">
      <c r="F23" s="18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O390"/>
  <sheetViews>
    <sheetView workbookViewId="0"/>
  </sheetViews>
  <sheetFormatPr baseColWidth="10" defaultColWidth="11.5546875" defaultRowHeight="14.4" x14ac:dyDescent="0.3"/>
  <cols>
    <col min="1" max="1" width="4.33203125" style="1" bestFit="1" customWidth="1"/>
    <col min="2" max="2" width="7.6640625" style="3" bestFit="1" customWidth="1"/>
    <col min="3" max="3" width="12.5546875" style="1" customWidth="1"/>
    <col min="4" max="4" width="21.21875" style="1" customWidth="1"/>
    <col min="5" max="5" width="17.88671875" style="1" customWidth="1"/>
    <col min="6" max="7" width="20.6640625" style="1" bestFit="1" customWidth="1"/>
    <col min="8" max="8" width="17.44140625" style="1" bestFit="1" customWidth="1"/>
    <col min="9" max="9" width="17.44140625" style="356" customWidth="1"/>
    <col min="10" max="10" width="14.109375" style="356" customWidth="1"/>
    <col min="11" max="11" width="14.109375" style="1" customWidth="1"/>
    <col min="12" max="12" width="14.109375" customWidth="1"/>
    <col min="13" max="13" width="3.33203125" style="1" customWidth="1"/>
    <col min="14" max="14" width="10.6640625" style="355" customWidth="1"/>
    <col min="15" max="15" width="10.6640625" style="391" customWidth="1"/>
    <col min="16" max="16" width="16.21875" style="1" bestFit="1" customWidth="1"/>
    <col min="17" max="17" width="16.88671875" style="1" customWidth="1"/>
    <col min="18" max="18" width="18.88671875" style="1" bestFit="1" customWidth="1"/>
    <col min="19" max="19" width="13.44140625" style="1" customWidth="1"/>
    <col min="20" max="20" width="15.6640625" style="1" customWidth="1"/>
    <col min="21" max="21" width="14.88671875" style="1" bestFit="1" customWidth="1"/>
    <col min="22" max="22" width="16.109375" style="356" customWidth="1"/>
    <col min="23" max="27" width="15.6640625" style="356" customWidth="1"/>
    <col min="28" max="28" width="15.6640625" style="1" customWidth="1"/>
    <col min="29" max="29" width="3.33203125" style="55" customWidth="1"/>
    <col min="30" max="30" width="12.5546875" style="1" customWidth="1"/>
    <col min="31" max="31" width="17.6640625" style="3" customWidth="1"/>
    <col min="32" max="32" width="17.6640625" style="1" customWidth="1"/>
    <col min="33" max="33" width="15.88671875" style="1" customWidth="1"/>
    <col min="34" max="34" width="16.33203125" style="1" customWidth="1"/>
    <col min="35" max="35" width="16.109375" style="1" customWidth="1"/>
    <col min="36" max="36" width="14.21875" style="1" customWidth="1"/>
    <col min="37" max="37" width="16.109375" style="356" customWidth="1"/>
    <col min="38" max="41" width="15.6640625" style="356" customWidth="1"/>
    <col min="42" max="42" width="14.21875" style="1" customWidth="1"/>
    <col min="43" max="43" width="11.6640625" style="1" bestFit="1" customWidth="1"/>
    <col min="44" max="44" width="3.33203125" style="1" customWidth="1"/>
    <col min="45" max="45" width="12.5546875" style="1" customWidth="1"/>
    <col min="46" max="46" width="17.6640625" style="3" customWidth="1"/>
    <col min="47" max="47" width="17.6640625" style="1" customWidth="1"/>
    <col min="48" max="48" width="15.88671875" style="1" customWidth="1"/>
    <col min="49" max="49" width="16.33203125" style="1" customWidth="1"/>
    <col min="50" max="50" width="16.109375" style="1" customWidth="1"/>
    <col min="51" max="51" width="14.109375" style="1" customWidth="1"/>
    <col min="52" max="52" width="11.88671875" style="356" customWidth="1"/>
    <col min="53" max="53" width="13.109375" style="356" customWidth="1"/>
    <col min="54" max="54" width="11.77734375" style="356" customWidth="1"/>
    <col min="55" max="55" width="10.33203125" style="356" customWidth="1"/>
    <col min="56" max="56" width="13.88671875" style="356" customWidth="1"/>
    <col min="57" max="57" width="15" style="356" customWidth="1"/>
    <col min="58" max="58" width="15.6640625" style="1" customWidth="1"/>
    <col min="59" max="59" width="3.33203125" style="1" customWidth="1"/>
    <col min="60" max="60" width="12.5546875" style="1" customWidth="1"/>
    <col min="61" max="61" width="17.6640625" style="3" customWidth="1"/>
    <col min="62" max="62" width="17.6640625" style="1" customWidth="1"/>
    <col min="63" max="63" width="15.88671875" style="1" customWidth="1"/>
    <col min="64" max="64" width="16.33203125" style="1" customWidth="1"/>
    <col min="65" max="65" width="16.109375" style="1" customWidth="1"/>
    <col min="66" max="66" width="17.21875" style="1" customWidth="1"/>
    <col min="67" max="67" width="14.109375" style="1" customWidth="1"/>
    <col min="68" max="68" width="11.88671875" style="445" bestFit="1" customWidth="1"/>
    <col min="69" max="69" width="11.109375" style="356" customWidth="1"/>
    <col min="70" max="70" width="11.6640625" style="356" customWidth="1"/>
    <col min="71" max="72" width="15.6640625" style="356" customWidth="1"/>
    <col min="73" max="73" width="11.5546875" style="1"/>
    <col min="74" max="74" width="3.33203125" style="1" customWidth="1"/>
    <col min="75" max="75" width="12.5546875" style="1" customWidth="1"/>
    <col min="76" max="76" width="17.6640625" style="3" customWidth="1"/>
    <col min="77" max="77" width="17.6640625" style="1" customWidth="1"/>
    <col min="78" max="78" width="15.88671875" style="1" customWidth="1"/>
    <col min="79" max="80" width="16.33203125" style="1" customWidth="1"/>
    <col min="81" max="82" width="16.109375" style="1" customWidth="1"/>
    <col min="83" max="83" width="14.109375" style="1" customWidth="1"/>
    <col min="84" max="84" width="9.88671875" style="445" customWidth="1"/>
    <col min="85" max="85" width="11.109375" style="356" customWidth="1"/>
    <col min="86" max="86" width="14.21875" style="356" customWidth="1"/>
    <col min="87" max="87" width="14" style="356" customWidth="1"/>
    <col min="88" max="88" width="13.44140625" style="356" customWidth="1"/>
    <col min="89" max="89" width="11.5546875" style="1"/>
    <col min="90" max="90" width="3.33203125" style="1" customWidth="1"/>
    <col min="91" max="91" width="12.5546875" style="1" customWidth="1"/>
    <col min="92" max="92" width="17.6640625" style="3" customWidth="1"/>
    <col min="93" max="93" width="17.6640625" style="1" customWidth="1"/>
    <col min="94" max="94" width="15.88671875" style="1" customWidth="1"/>
    <col min="95" max="95" width="16.33203125" style="1" customWidth="1"/>
    <col min="96" max="96" width="16.109375" style="1" customWidth="1"/>
    <col min="97" max="97" width="14.109375" style="1" customWidth="1"/>
    <col min="98" max="98" width="11.5546875" style="1"/>
    <col min="99" max="99" width="3.33203125" style="1" customWidth="1"/>
    <col min="100" max="100" width="12.5546875" style="1" customWidth="1"/>
    <col min="101" max="101" width="17.6640625" style="3" customWidth="1"/>
    <col min="102" max="102" width="17.6640625" style="1" customWidth="1"/>
    <col min="103" max="103" width="15.88671875" style="1" customWidth="1"/>
    <col min="104" max="104" width="16.33203125" style="1" customWidth="1"/>
    <col min="105" max="105" width="16.109375" style="1" customWidth="1"/>
    <col min="106" max="106" width="14.109375" style="1" customWidth="1"/>
    <col min="107" max="107" width="11.5546875" style="1"/>
    <col min="108" max="108" width="3.33203125" style="1" customWidth="1"/>
    <col min="109" max="109" width="12.5546875" style="1" customWidth="1"/>
    <col min="110" max="110" width="17.6640625" style="3" customWidth="1"/>
    <col min="111" max="111" width="17.6640625" style="1" customWidth="1"/>
    <col min="112" max="112" width="20.109375" style="1" customWidth="1"/>
    <col min="113" max="113" width="16.33203125" style="1" customWidth="1"/>
    <col min="114" max="114" width="16.109375" style="1" customWidth="1"/>
    <col min="115" max="115" width="14.109375" style="1" customWidth="1"/>
    <col min="116" max="116" width="11.5546875" style="1"/>
    <col min="117" max="117" width="3.33203125" style="1" customWidth="1"/>
    <col min="118" max="118" width="12.5546875" style="1" customWidth="1"/>
    <col min="119" max="119" width="17.6640625" style="3" customWidth="1"/>
    <col min="120" max="120" width="17.6640625" style="1" customWidth="1"/>
    <col min="121" max="121" width="20.44140625" style="1" customWidth="1"/>
    <col min="122" max="122" width="16.33203125" style="1" customWidth="1"/>
    <col min="123" max="123" width="16.109375" style="1" customWidth="1"/>
    <col min="124" max="124" width="14.109375" style="1" customWidth="1"/>
    <col min="125" max="125" width="12.77734375" style="1" customWidth="1"/>
    <col min="126" max="126" width="3.33203125" style="1" hidden="1" customWidth="1"/>
    <col min="127" max="127" width="12.5546875" style="1" hidden="1" customWidth="1"/>
    <col min="128" max="128" width="17.6640625" style="3" hidden="1" customWidth="1"/>
    <col min="129" max="129" width="17.6640625" style="1" hidden="1" customWidth="1"/>
    <col min="130" max="130" width="18.33203125" style="1" hidden="1" customWidth="1"/>
    <col min="131" max="131" width="16.33203125" style="1" hidden="1" customWidth="1"/>
    <col min="132" max="132" width="16.109375" style="1" hidden="1" customWidth="1"/>
    <col min="133" max="133" width="14.109375" style="1" hidden="1" customWidth="1"/>
    <col min="134" max="134" width="11.5546875" style="1"/>
    <col min="135" max="135" width="3.33203125" style="1" customWidth="1"/>
    <col min="136" max="136" width="12.5546875" style="1" customWidth="1"/>
    <col min="137" max="137" width="17.6640625" style="3" customWidth="1"/>
    <col min="138" max="138" width="17.6640625" style="1" customWidth="1"/>
    <col min="139" max="139" width="17.5546875" style="1" customWidth="1"/>
    <col min="140" max="140" width="16.33203125" style="1" customWidth="1"/>
    <col min="141" max="142" width="16.109375" style="1" customWidth="1"/>
    <col min="143" max="143" width="14.109375" style="1" customWidth="1"/>
    <col min="144" max="144" width="11.5546875" style="1"/>
    <col min="145" max="145" width="3.33203125" style="1" customWidth="1"/>
    <col min="146" max="146" width="12.5546875" style="1" customWidth="1"/>
    <col min="147" max="147" width="17.6640625" style="3" customWidth="1"/>
    <col min="148" max="148" width="17.6640625" style="1" customWidth="1"/>
    <col min="149" max="149" width="15.88671875" style="1" customWidth="1"/>
    <col min="150" max="150" width="16.33203125" style="1" customWidth="1"/>
    <col min="151" max="151" width="16.109375" style="1" customWidth="1"/>
    <col min="152" max="152" width="14.109375" style="1" customWidth="1"/>
    <col min="153" max="153" width="11.5546875" style="1"/>
    <col min="154" max="154" width="3.33203125" style="1" customWidth="1"/>
    <col min="155" max="155" width="12.5546875" style="1" customWidth="1"/>
    <col min="156" max="156" width="17.6640625" style="3" customWidth="1"/>
    <col min="157" max="157" width="17.6640625" style="1" customWidth="1"/>
    <col min="158" max="158" width="15.88671875" style="1" customWidth="1"/>
    <col min="159" max="159" width="16.33203125" style="1" customWidth="1"/>
    <col min="160" max="160" width="16.109375" style="1" customWidth="1"/>
    <col min="161" max="161" width="14.109375" style="1" customWidth="1"/>
    <col min="162" max="162" width="11.5546875" style="1"/>
    <col min="163" max="163" width="3.33203125" style="1" customWidth="1"/>
    <col min="164" max="164" width="12.5546875" style="1" customWidth="1"/>
    <col min="165" max="165" width="17.6640625" style="3" customWidth="1"/>
    <col min="166" max="166" width="17.6640625" style="1" customWidth="1"/>
    <col min="167" max="167" width="15.88671875" style="1" customWidth="1"/>
    <col min="168" max="168" width="16.33203125" style="1" customWidth="1"/>
    <col min="169" max="169" width="16.109375" style="1" customWidth="1"/>
    <col min="170" max="170" width="14.109375" style="1" customWidth="1"/>
    <col min="171" max="171" width="11.5546875" style="1"/>
    <col min="172" max="172" width="3.33203125" style="1" customWidth="1"/>
    <col min="173" max="173" width="12.5546875" style="1" customWidth="1"/>
    <col min="174" max="174" width="17.6640625" style="3" customWidth="1"/>
    <col min="175" max="175" width="17.6640625" style="1" customWidth="1"/>
    <col min="176" max="176" width="15.88671875" style="1" customWidth="1"/>
    <col min="177" max="177" width="16.33203125" style="1" customWidth="1"/>
    <col min="178" max="178" width="16.109375" style="1" customWidth="1"/>
    <col min="179" max="179" width="14.109375" style="1" customWidth="1"/>
    <col min="180" max="180" width="11.5546875" style="1"/>
    <col min="181" max="181" width="3.33203125" style="1" customWidth="1"/>
    <col min="182" max="182" width="12.5546875" style="1" customWidth="1"/>
    <col min="183" max="183" width="17.6640625" style="3" customWidth="1"/>
    <col min="184" max="184" width="17.6640625" style="1" customWidth="1"/>
    <col min="185" max="185" width="15.88671875" style="1" customWidth="1"/>
    <col min="186" max="186" width="16.33203125" style="1" customWidth="1"/>
    <col min="187" max="187" width="16.109375" style="1" customWidth="1"/>
    <col min="188" max="188" width="14.109375" style="1" customWidth="1"/>
    <col min="189" max="189" width="11.5546875" style="1"/>
    <col min="190" max="190" width="3.33203125" style="1" customWidth="1"/>
    <col min="191" max="191" width="12.5546875" style="1" customWidth="1"/>
    <col min="192" max="192" width="17.6640625" style="3" customWidth="1"/>
    <col min="193" max="193" width="17.6640625" style="1" customWidth="1"/>
    <col min="194" max="194" width="15.88671875" style="1" customWidth="1"/>
    <col min="195" max="195" width="16.33203125" style="1" customWidth="1"/>
    <col min="196" max="196" width="16.109375" style="1" customWidth="1"/>
    <col min="197" max="197" width="14.109375" style="1" customWidth="1"/>
    <col min="198" max="16384" width="11.5546875" style="1"/>
  </cols>
  <sheetData>
    <row r="1" spans="1:197" x14ac:dyDescent="0.3">
      <c r="A1"/>
      <c r="B1"/>
      <c r="C1"/>
      <c r="D1"/>
      <c r="E1"/>
      <c r="F1"/>
      <c r="G1"/>
      <c r="H1"/>
      <c r="I1" s="361"/>
      <c r="J1" s="361"/>
      <c r="K1"/>
      <c r="N1" s="354" t="s">
        <v>114</v>
      </c>
      <c r="O1" s="355"/>
      <c r="Q1" s="8">
        <v>3167401</v>
      </c>
      <c r="S1" s="1" t="s">
        <v>636</v>
      </c>
      <c r="AE1" s="2" t="s">
        <v>114</v>
      </c>
      <c r="AG1" s="8">
        <v>2767412</v>
      </c>
      <c r="AT1" s="2" t="s">
        <v>114</v>
      </c>
      <c r="AV1" s="8">
        <v>2764418</v>
      </c>
      <c r="BI1" s="2" t="s">
        <v>114</v>
      </c>
      <c r="BK1" s="8">
        <v>1271559</v>
      </c>
      <c r="BX1" s="2" t="s">
        <v>114</v>
      </c>
      <c r="BZ1" s="8">
        <v>1358960</v>
      </c>
      <c r="CN1" s="2" t="s">
        <v>114</v>
      </c>
      <c r="CP1" s="8">
        <v>1295150</v>
      </c>
      <c r="CW1" s="2" t="s">
        <v>114</v>
      </c>
      <c r="CY1" s="8">
        <v>101194346</v>
      </c>
      <c r="DF1" s="2" t="s">
        <v>114</v>
      </c>
      <c r="DH1" s="8">
        <v>315101121500077</v>
      </c>
      <c r="DO1" s="2" t="s">
        <v>114</v>
      </c>
      <c r="DQ1" s="8" t="s">
        <v>637</v>
      </c>
      <c r="DX1" s="2"/>
      <c r="DZ1" s="8"/>
      <c r="EG1" s="2" t="s">
        <v>114</v>
      </c>
      <c r="EI1" s="8">
        <v>315101121500021</v>
      </c>
      <c r="EQ1" s="2" t="s">
        <v>114</v>
      </c>
      <c r="ES1" s="8">
        <v>2010014418</v>
      </c>
      <c r="EZ1" s="2" t="s">
        <v>114</v>
      </c>
      <c r="FB1" s="8">
        <v>2010014118</v>
      </c>
      <c r="FI1" s="2" t="s">
        <v>114</v>
      </c>
      <c r="FK1" s="8">
        <v>2010013918</v>
      </c>
      <c r="FR1" s="2" t="s">
        <v>114</v>
      </c>
      <c r="FT1" s="8">
        <v>2010014218</v>
      </c>
      <c r="GA1" s="2" t="s">
        <v>114</v>
      </c>
      <c r="GC1" s="8">
        <v>2010014318</v>
      </c>
      <c r="GJ1" s="2" t="s">
        <v>114</v>
      </c>
      <c r="GL1" s="8">
        <v>2010014018</v>
      </c>
    </row>
    <row r="2" spans="1:197" x14ac:dyDescent="0.3">
      <c r="E2" s="358"/>
      <c r="N2" s="354" t="s">
        <v>112</v>
      </c>
      <c r="O2" s="355"/>
      <c r="Q2" s="7" t="s">
        <v>113</v>
      </c>
      <c r="S2" s="3" t="s">
        <v>638</v>
      </c>
      <c r="T2" s="1" t="s">
        <v>639</v>
      </c>
      <c r="AE2" s="2" t="s">
        <v>112</v>
      </c>
      <c r="AG2" s="7" t="s">
        <v>131</v>
      </c>
      <c r="AT2" s="2" t="s">
        <v>112</v>
      </c>
      <c r="AV2" s="7" t="s">
        <v>131</v>
      </c>
      <c r="BI2" s="2" t="s">
        <v>112</v>
      </c>
      <c r="BK2" s="7" t="s">
        <v>134</v>
      </c>
      <c r="BX2" s="2" t="s">
        <v>112</v>
      </c>
      <c r="BZ2" s="7" t="s">
        <v>134</v>
      </c>
      <c r="CN2" s="2" t="s">
        <v>112</v>
      </c>
      <c r="CP2" s="7" t="s">
        <v>134</v>
      </c>
      <c r="CW2" s="2" t="s">
        <v>112</v>
      </c>
      <c r="CY2" s="7" t="s">
        <v>141</v>
      </c>
      <c r="DF2" s="2" t="s">
        <v>112</v>
      </c>
      <c r="DH2" s="7" t="s">
        <v>143</v>
      </c>
      <c r="DO2" s="2" t="s">
        <v>112</v>
      </c>
      <c r="DQ2" s="7" t="s">
        <v>143</v>
      </c>
      <c r="DX2" s="2"/>
      <c r="DZ2" s="7"/>
      <c r="EG2" s="2" t="s">
        <v>112</v>
      </c>
      <c r="EI2" s="7" t="s">
        <v>143</v>
      </c>
      <c r="EQ2" s="2" t="s">
        <v>112</v>
      </c>
      <c r="ES2" s="7" t="s">
        <v>145</v>
      </c>
      <c r="EZ2" s="2" t="s">
        <v>112</v>
      </c>
      <c r="FB2" s="7" t="s">
        <v>145</v>
      </c>
      <c r="FI2" s="2" t="s">
        <v>112</v>
      </c>
      <c r="FK2" s="7" t="s">
        <v>145</v>
      </c>
      <c r="FR2" s="2" t="s">
        <v>112</v>
      </c>
      <c r="FT2" s="7" t="s">
        <v>145</v>
      </c>
      <c r="GA2" s="2" t="s">
        <v>112</v>
      </c>
      <c r="GC2" s="7" t="s">
        <v>145</v>
      </c>
      <c r="GJ2" s="2" t="s">
        <v>112</v>
      </c>
      <c r="GL2" s="7" t="s">
        <v>145</v>
      </c>
    </row>
    <row r="3" spans="1:197" x14ac:dyDescent="0.3">
      <c r="E3" s="353"/>
      <c r="N3" s="354" t="s">
        <v>111</v>
      </c>
      <c r="O3" s="355"/>
      <c r="Q3" s="447" t="s">
        <v>136</v>
      </c>
      <c r="S3" s="3">
        <v>2</v>
      </c>
      <c r="T3" s="1" t="s">
        <v>640</v>
      </c>
      <c r="AE3" s="2" t="s">
        <v>111</v>
      </c>
      <c r="AG3" t="s">
        <v>135</v>
      </c>
      <c r="AT3" s="2" t="s">
        <v>111</v>
      </c>
      <c r="AV3" t="s">
        <v>135</v>
      </c>
      <c r="BI3" s="2" t="s">
        <v>111</v>
      </c>
      <c r="BK3" t="s">
        <v>133</v>
      </c>
      <c r="BX3" s="2" t="s">
        <v>111</v>
      </c>
      <c r="BZ3" t="s">
        <v>133</v>
      </c>
      <c r="CN3" s="2" t="s">
        <v>111</v>
      </c>
      <c r="CP3" t="s">
        <v>133</v>
      </c>
      <c r="CW3" s="2" t="s">
        <v>111</v>
      </c>
      <c r="CY3" s="357" t="s">
        <v>140</v>
      </c>
      <c r="DF3" s="2" t="s">
        <v>111</v>
      </c>
      <c r="DH3" s="357" t="s">
        <v>142</v>
      </c>
      <c r="DO3" s="2" t="s">
        <v>111</v>
      </c>
      <c r="DQ3" s="357" t="s">
        <v>142</v>
      </c>
      <c r="DX3" s="2"/>
      <c r="DZ3" s="357"/>
      <c r="EG3" s="2" t="s">
        <v>111</v>
      </c>
      <c r="EI3" s="357" t="s">
        <v>142</v>
      </c>
      <c r="EQ3" s="2" t="s">
        <v>111</v>
      </c>
      <c r="ES3" t="s">
        <v>144</v>
      </c>
      <c r="EZ3" s="2" t="s">
        <v>111</v>
      </c>
      <c r="FB3" t="s">
        <v>144</v>
      </c>
      <c r="FI3" s="2" t="s">
        <v>111</v>
      </c>
      <c r="FK3" t="s">
        <v>144</v>
      </c>
      <c r="FR3" s="2" t="s">
        <v>111</v>
      </c>
      <c r="FT3" t="s">
        <v>144</v>
      </c>
      <c r="GA3" s="2" t="s">
        <v>111</v>
      </c>
      <c r="GC3" t="s">
        <v>144</v>
      </c>
      <c r="GJ3" s="2" t="s">
        <v>111</v>
      </c>
      <c r="GL3" t="s">
        <v>144</v>
      </c>
    </row>
    <row r="4" spans="1:197" x14ac:dyDescent="0.3">
      <c r="A4"/>
      <c r="B4"/>
      <c r="C4"/>
      <c r="D4"/>
      <c r="E4"/>
      <c r="F4"/>
      <c r="G4"/>
      <c r="H4"/>
      <c r="I4" s="361"/>
      <c r="J4" s="361"/>
      <c r="K4"/>
      <c r="N4" s="354" t="s">
        <v>115</v>
      </c>
      <c r="O4" s="355"/>
      <c r="Q4" s="7" t="s">
        <v>116</v>
      </c>
      <c r="S4" s="3">
        <v>3</v>
      </c>
      <c r="T4" s="1" t="s">
        <v>641</v>
      </c>
      <c r="AE4" s="2" t="s">
        <v>115</v>
      </c>
      <c r="AG4" s="7" t="s">
        <v>116</v>
      </c>
      <c r="AT4" s="2" t="s">
        <v>115</v>
      </c>
      <c r="AV4" s="7" t="s">
        <v>116</v>
      </c>
      <c r="BI4" s="2" t="s">
        <v>115</v>
      </c>
      <c r="BK4" s="7" t="s">
        <v>116</v>
      </c>
      <c r="BX4" s="2" t="s">
        <v>115</v>
      </c>
      <c r="BZ4" s="7" t="s">
        <v>116</v>
      </c>
      <c r="CN4" s="2" t="s">
        <v>115</v>
      </c>
      <c r="CP4" s="7" t="s">
        <v>116</v>
      </c>
      <c r="CW4" s="2" t="s">
        <v>115</v>
      </c>
      <c r="CY4" s="7" t="s">
        <v>116</v>
      </c>
      <c r="DF4" s="2" t="s">
        <v>115</v>
      </c>
      <c r="DH4" s="7" t="s">
        <v>116</v>
      </c>
      <c r="DO4" s="2" t="s">
        <v>115</v>
      </c>
      <c r="DQ4" s="7" t="s">
        <v>116</v>
      </c>
      <c r="DX4" s="2"/>
      <c r="DZ4" s="7"/>
      <c r="EG4" s="2" t="s">
        <v>115</v>
      </c>
      <c r="EI4" s="7" t="s">
        <v>116</v>
      </c>
      <c r="EQ4" s="2" t="s">
        <v>115</v>
      </c>
      <c r="ES4" s="7" t="s">
        <v>116</v>
      </c>
      <c r="EZ4" s="2" t="s">
        <v>115</v>
      </c>
      <c r="FB4" s="7" t="s">
        <v>116</v>
      </c>
      <c r="FI4" s="2" t="s">
        <v>115</v>
      </c>
      <c r="FK4" s="7" t="s">
        <v>116</v>
      </c>
      <c r="FR4" s="2" t="s">
        <v>115</v>
      </c>
      <c r="FT4" s="7" t="s">
        <v>116</v>
      </c>
      <c r="GA4" s="2" t="s">
        <v>115</v>
      </c>
      <c r="GC4" s="7" t="s">
        <v>116</v>
      </c>
      <c r="GJ4" s="2" t="s">
        <v>115</v>
      </c>
      <c r="GL4" s="7" t="s">
        <v>116</v>
      </c>
    </row>
    <row r="5" spans="1:197" ht="21" x14ac:dyDescent="0.4">
      <c r="A5"/>
      <c r="B5"/>
      <c r="C5"/>
      <c r="D5"/>
      <c r="E5"/>
      <c r="F5"/>
      <c r="G5"/>
      <c r="H5"/>
      <c r="I5" s="361"/>
      <c r="J5" s="361"/>
      <c r="K5"/>
      <c r="N5" s="354" t="s">
        <v>117</v>
      </c>
      <c r="O5" s="355"/>
      <c r="Q5" s="448">
        <v>0.06</v>
      </c>
      <c r="S5" s="3">
        <v>4</v>
      </c>
      <c r="T5" s="1" t="s">
        <v>642</v>
      </c>
      <c r="AE5" s="2" t="s">
        <v>117</v>
      </c>
      <c r="AG5" s="9">
        <v>5.5E-2</v>
      </c>
      <c r="AT5" s="2" t="s">
        <v>117</v>
      </c>
      <c r="AV5" s="9">
        <v>0.06</v>
      </c>
      <c r="BI5" s="2" t="s">
        <v>117</v>
      </c>
      <c r="BK5" s="449">
        <v>0.06</v>
      </c>
      <c r="BX5" s="2" t="s">
        <v>117</v>
      </c>
      <c r="BZ5" s="9">
        <v>0.06</v>
      </c>
      <c r="CN5" s="2" t="s">
        <v>117</v>
      </c>
      <c r="CP5" s="9">
        <v>0.06</v>
      </c>
      <c r="CW5" s="2" t="s">
        <v>117</v>
      </c>
      <c r="CY5" s="9">
        <v>0.06</v>
      </c>
      <c r="DF5" s="2" t="s">
        <v>117</v>
      </c>
      <c r="DH5" s="9">
        <v>5.8000000000000003E-2</v>
      </c>
      <c r="DO5" s="2" t="s">
        <v>117</v>
      </c>
      <c r="DQ5" s="9">
        <v>5.8200000000000002E-2</v>
      </c>
      <c r="DX5" s="2"/>
      <c r="DZ5" s="9"/>
      <c r="EG5" s="2" t="s">
        <v>117</v>
      </c>
      <c r="EI5" s="9">
        <v>5.9900000000000002E-2</v>
      </c>
      <c r="EQ5" s="2" t="s">
        <v>117</v>
      </c>
      <c r="ES5" s="9">
        <v>0.06</v>
      </c>
      <c r="EZ5" s="2" t="s">
        <v>117</v>
      </c>
      <c r="FB5" s="9">
        <v>0.06</v>
      </c>
      <c r="FI5" s="2" t="s">
        <v>117</v>
      </c>
      <c r="FK5" s="9">
        <v>0.06</v>
      </c>
      <c r="FR5" s="2" t="s">
        <v>117</v>
      </c>
      <c r="FT5" s="9">
        <v>0.06</v>
      </c>
      <c r="GA5" s="2" t="s">
        <v>117</v>
      </c>
      <c r="GC5" s="9">
        <v>0.06</v>
      </c>
      <c r="GJ5" s="2" t="s">
        <v>117</v>
      </c>
      <c r="GL5" s="9">
        <v>0.06</v>
      </c>
    </row>
    <row r="6" spans="1:197" x14ac:dyDescent="0.3">
      <c r="A6"/>
      <c r="B6"/>
      <c r="C6"/>
      <c r="D6"/>
      <c r="E6"/>
      <c r="F6"/>
      <c r="G6"/>
      <c r="H6"/>
      <c r="I6" s="361"/>
      <c r="J6" s="361"/>
      <c r="K6"/>
      <c r="N6" s="354" t="s">
        <v>118</v>
      </c>
      <c r="O6" s="355"/>
      <c r="Q6" s="3" t="s">
        <v>119</v>
      </c>
      <c r="S6" s="3">
        <v>5</v>
      </c>
      <c r="T6"/>
      <c r="U6"/>
      <c r="W6" s="361"/>
      <c r="X6" s="361"/>
      <c r="Y6" s="361"/>
      <c r="Z6" s="361"/>
      <c r="AA6" s="361"/>
      <c r="AB6"/>
      <c r="AE6" s="2" t="s">
        <v>118</v>
      </c>
      <c r="AG6" s="7" t="s">
        <v>119</v>
      </c>
      <c r="AJ6"/>
      <c r="AL6" s="361"/>
      <c r="AM6" s="361"/>
      <c r="AN6" s="361"/>
      <c r="AO6" s="361"/>
      <c r="AP6"/>
      <c r="AT6" s="2" t="s">
        <v>118</v>
      </c>
      <c r="AV6" s="7" t="s">
        <v>119</v>
      </c>
      <c r="BA6" s="361"/>
      <c r="BB6" s="361"/>
      <c r="BC6" s="361"/>
      <c r="BD6" s="361"/>
      <c r="BE6" s="361"/>
      <c r="BI6" s="2" t="s">
        <v>118</v>
      </c>
      <c r="BK6" s="7" t="s">
        <v>119</v>
      </c>
      <c r="BQ6" s="361"/>
      <c r="BR6" s="361"/>
      <c r="BS6" s="361"/>
      <c r="BT6" s="361"/>
      <c r="BX6" s="2" t="s">
        <v>118</v>
      </c>
      <c r="BZ6" s="7" t="s">
        <v>119</v>
      </c>
      <c r="CG6" s="361"/>
      <c r="CH6" s="361"/>
      <c r="CI6" s="361"/>
      <c r="CJ6" s="361"/>
      <c r="CN6" s="2" t="s">
        <v>118</v>
      </c>
      <c r="CP6" s="7" t="s">
        <v>119</v>
      </c>
      <c r="CW6" s="2" t="s">
        <v>118</v>
      </c>
      <c r="CY6" s="7" t="s">
        <v>643</v>
      </c>
      <c r="DF6" s="2" t="s">
        <v>118</v>
      </c>
      <c r="DH6" s="7" t="s">
        <v>119</v>
      </c>
      <c r="DO6" s="2" t="s">
        <v>118</v>
      </c>
      <c r="DQ6" s="7" t="s">
        <v>119</v>
      </c>
      <c r="DX6" s="2"/>
      <c r="DZ6" s="7"/>
      <c r="EG6" s="2" t="s">
        <v>118</v>
      </c>
      <c r="EI6" s="7" t="s">
        <v>119</v>
      </c>
      <c r="EQ6" s="2" t="s">
        <v>118</v>
      </c>
      <c r="ES6" s="7" t="s">
        <v>119</v>
      </c>
      <c r="EZ6" s="2" t="s">
        <v>118</v>
      </c>
      <c r="FB6" s="7" t="s">
        <v>119</v>
      </c>
      <c r="FI6" s="2" t="s">
        <v>118</v>
      </c>
      <c r="FK6" s="7" t="s">
        <v>119</v>
      </c>
      <c r="FR6" s="2" t="s">
        <v>118</v>
      </c>
      <c r="FT6" s="7" t="s">
        <v>119</v>
      </c>
      <c r="GA6" s="2" t="s">
        <v>118</v>
      </c>
      <c r="GC6" s="7" t="s">
        <v>119</v>
      </c>
      <c r="GJ6" s="2" t="s">
        <v>118</v>
      </c>
      <c r="GL6" s="7" t="s">
        <v>119</v>
      </c>
    </row>
    <row r="7" spans="1:197" x14ac:dyDescent="0.3">
      <c r="A7"/>
      <c r="B7"/>
      <c r="C7"/>
      <c r="D7"/>
      <c r="E7"/>
      <c r="F7"/>
      <c r="G7"/>
      <c r="H7"/>
      <c r="I7" s="361"/>
      <c r="J7" s="361"/>
      <c r="K7"/>
      <c r="N7" s="354" t="s">
        <v>644</v>
      </c>
      <c r="O7" s="355"/>
      <c r="Q7" s="3"/>
      <c r="S7" s="3"/>
      <c r="T7"/>
      <c r="U7"/>
      <c r="W7" s="361"/>
      <c r="X7" s="361"/>
      <c r="Y7" s="361"/>
      <c r="Z7" s="361"/>
      <c r="AA7" s="361"/>
      <c r="AB7"/>
      <c r="AE7" s="2"/>
      <c r="AG7" s="7"/>
      <c r="AJ7"/>
      <c r="AL7" s="361"/>
      <c r="AM7" s="361"/>
      <c r="AN7" s="361"/>
      <c r="AO7" s="361"/>
      <c r="AP7"/>
      <c r="AT7" s="2"/>
      <c r="AV7" s="7"/>
      <c r="BA7" s="361"/>
      <c r="BB7" s="361"/>
      <c r="BC7" s="361"/>
      <c r="BD7" s="361"/>
      <c r="BE7" s="361"/>
      <c r="BI7" s="2"/>
      <c r="BK7" s="7"/>
      <c r="BQ7" s="361"/>
      <c r="BR7" s="361"/>
      <c r="BS7" s="361"/>
      <c r="BT7" s="361"/>
      <c r="BX7" s="2"/>
      <c r="BZ7" s="7"/>
      <c r="CG7" s="361"/>
      <c r="CH7" s="361"/>
      <c r="CI7" s="361"/>
      <c r="CJ7" s="361"/>
      <c r="CN7" s="2"/>
      <c r="CP7" s="7"/>
      <c r="CW7" s="2"/>
      <c r="CY7" s="7"/>
      <c r="DF7" s="2"/>
      <c r="DH7" s="7"/>
      <c r="DO7" s="2"/>
      <c r="DQ7" s="7"/>
      <c r="DX7" s="2"/>
      <c r="DZ7" s="7"/>
      <c r="EG7" s="2"/>
      <c r="EI7" s="7"/>
      <c r="EQ7" s="2"/>
      <c r="ES7" s="7"/>
      <c r="EZ7" s="2"/>
      <c r="FB7" s="7"/>
      <c r="FI7" s="2"/>
      <c r="FK7" s="7"/>
      <c r="FR7" s="2"/>
      <c r="FT7" s="7"/>
      <c r="GA7" s="2"/>
      <c r="GC7" s="7"/>
      <c r="GJ7" s="2"/>
      <c r="GL7" s="7"/>
    </row>
    <row r="8" spans="1:197" x14ac:dyDescent="0.3">
      <c r="A8"/>
      <c r="B8"/>
      <c r="C8"/>
      <c r="D8"/>
      <c r="E8"/>
      <c r="F8"/>
      <c r="G8"/>
      <c r="H8"/>
      <c r="I8" s="361"/>
      <c r="J8" s="361"/>
      <c r="K8"/>
      <c r="N8" s="2" t="s">
        <v>616</v>
      </c>
      <c r="O8" s="1"/>
      <c r="Q8" s="13">
        <f>+MAX(O25:O822)</f>
        <v>48248</v>
      </c>
      <c r="T8"/>
      <c r="U8"/>
      <c r="W8" s="361"/>
      <c r="X8" s="361"/>
      <c r="Y8" s="361"/>
      <c r="Z8" s="361"/>
      <c r="AA8" s="361"/>
      <c r="AB8"/>
      <c r="AE8" s="2" t="s">
        <v>616</v>
      </c>
      <c r="AG8" s="13">
        <f>+MAX(AE25:AE822)</f>
        <v>48058</v>
      </c>
      <c r="AJ8"/>
      <c r="AL8" s="361"/>
      <c r="AM8" s="361"/>
      <c r="AN8" s="361"/>
      <c r="AO8" s="361"/>
      <c r="AP8"/>
      <c r="AT8" s="2" t="s">
        <v>616</v>
      </c>
      <c r="AV8" s="13">
        <f>+MAX(AT25:AT822)</f>
        <v>48997</v>
      </c>
      <c r="BA8" s="361"/>
      <c r="BB8" s="361"/>
      <c r="BC8" s="361"/>
      <c r="BD8" s="361"/>
      <c r="BE8" s="361"/>
      <c r="BI8" s="2" t="s">
        <v>616</v>
      </c>
      <c r="BK8" s="13">
        <f>+MAX(BI25:BI822)</f>
        <v>47107</v>
      </c>
      <c r="BQ8" s="361"/>
      <c r="BR8" s="361"/>
      <c r="BS8" s="361"/>
      <c r="BT8" s="361"/>
      <c r="BX8" s="2" t="s">
        <v>616</v>
      </c>
      <c r="BZ8" s="13">
        <f>+MAX(BX25:BX822)</f>
        <v>47398</v>
      </c>
      <c r="CG8" s="361"/>
      <c r="CH8" s="361"/>
      <c r="CI8" s="361"/>
      <c r="CJ8" s="361"/>
      <c r="CN8" s="2" t="s">
        <v>616</v>
      </c>
      <c r="CP8" s="13">
        <f>+MAX(CN25:CN822)</f>
        <v>47375</v>
      </c>
      <c r="CW8" s="2" t="s">
        <v>616</v>
      </c>
      <c r="CY8" s="13">
        <f>+MAX(CW25:CW822)</f>
        <v>46609</v>
      </c>
      <c r="DF8" s="2" t="s">
        <v>616</v>
      </c>
      <c r="DH8" s="13">
        <f>+MAX(DF25:DF822)</f>
        <v>49111</v>
      </c>
      <c r="DO8" s="2" t="s">
        <v>616</v>
      </c>
      <c r="DQ8" s="13">
        <f>+MAX(DO25:DO822)</f>
        <v>48765</v>
      </c>
      <c r="DX8" s="2"/>
      <c r="DZ8" s="13"/>
      <c r="EG8" s="2" t="s">
        <v>616</v>
      </c>
      <c r="EI8" s="13">
        <f>+MAX(EG25:EG822)</f>
        <v>49111</v>
      </c>
      <c r="EQ8" s="2" t="s">
        <v>616</v>
      </c>
      <c r="ES8" s="13">
        <f>+MAX(EQ25:EQ822)</f>
        <v>46552</v>
      </c>
      <c r="EZ8" s="2" t="s">
        <v>616</v>
      </c>
      <c r="FB8" s="13">
        <f>+MAX(EZ25:EZ822)</f>
        <v>46552</v>
      </c>
      <c r="FI8" s="2" t="s">
        <v>616</v>
      </c>
      <c r="FK8" s="13">
        <f>+MAX(FI25:FI822)</f>
        <v>46552</v>
      </c>
      <c r="FR8" s="2" t="s">
        <v>616</v>
      </c>
      <c r="FT8" s="13">
        <f>+MAX(FR25:FR822)</f>
        <v>46552</v>
      </c>
      <c r="GA8" s="2" t="s">
        <v>616</v>
      </c>
      <c r="GC8" s="13">
        <f>+MAX(GA25:GA822)</f>
        <v>46714</v>
      </c>
      <c r="GJ8" s="2" t="s">
        <v>616</v>
      </c>
      <c r="GL8" s="13">
        <f>+MAX(GJ25:GJ822)</f>
        <v>46714</v>
      </c>
    </row>
    <row r="9" spans="1:197" x14ac:dyDescent="0.3">
      <c r="A9"/>
      <c r="B9"/>
      <c r="C9"/>
      <c r="D9"/>
      <c r="E9"/>
      <c r="F9"/>
      <c r="G9"/>
      <c r="H9"/>
      <c r="I9" s="361"/>
      <c r="J9" s="361"/>
      <c r="K9"/>
      <c r="N9" s="2" t="s">
        <v>645</v>
      </c>
      <c r="O9" s="1"/>
      <c r="Q9" s="512">
        <f>+Q8-[2]Caracteristicas!$I$19</f>
        <v>2348</v>
      </c>
      <c r="T9"/>
      <c r="U9"/>
      <c r="W9" s="361"/>
      <c r="X9" s="361"/>
      <c r="Y9" s="361"/>
      <c r="Z9" s="361"/>
      <c r="AA9" s="361"/>
      <c r="AB9"/>
      <c r="AE9" s="2"/>
      <c r="AG9" s="512">
        <f>+AG8-[2]Caracteristicas!$I$19</f>
        <v>2158</v>
      </c>
      <c r="AJ9"/>
      <c r="AL9" s="361"/>
      <c r="AM9" s="361"/>
      <c r="AN9" s="361"/>
      <c r="AO9" s="361"/>
      <c r="AP9"/>
      <c r="AT9" s="2"/>
      <c r="AV9" s="512">
        <f>+AV8-[2]Caracteristicas!$I$19</f>
        <v>3097</v>
      </c>
      <c r="BA9" s="361"/>
      <c r="BB9" s="361"/>
      <c r="BC9" s="361"/>
      <c r="BD9" s="361"/>
      <c r="BE9" s="361"/>
      <c r="BI9" s="2"/>
      <c r="BK9" s="512">
        <f>+BK8-[2]Caracteristicas!$I$19</f>
        <v>1207</v>
      </c>
      <c r="BQ9" s="361"/>
      <c r="BR9" s="361"/>
      <c r="BS9" s="361"/>
      <c r="BT9" s="361"/>
      <c r="BX9" s="2"/>
      <c r="BZ9" s="512">
        <f>+BZ8-[2]Caracteristicas!$I$19</f>
        <v>1498</v>
      </c>
      <c r="CG9" s="361"/>
      <c r="CH9" s="361"/>
      <c r="CI9" s="361"/>
      <c r="CJ9" s="361"/>
      <c r="CN9" s="2"/>
      <c r="CP9" s="512">
        <f>+CP8-[2]Caracteristicas!$I$19</f>
        <v>1475</v>
      </c>
      <c r="CW9" s="2"/>
      <c r="CY9" s="512">
        <f>+CY8-[2]Caracteristicas!$I$19</f>
        <v>709</v>
      </c>
      <c r="DF9" s="2"/>
      <c r="DH9" s="512">
        <f>+DH8-[2]Caracteristicas!$I$19</f>
        <v>3211</v>
      </c>
      <c r="DO9" s="2"/>
      <c r="DQ9" s="512">
        <f>+DQ8-[2]Caracteristicas!$I$19</f>
        <v>2865</v>
      </c>
      <c r="DX9" s="2"/>
      <c r="DZ9" s="13"/>
      <c r="EG9" s="2"/>
      <c r="EI9" s="512">
        <f>+EI8-[2]Caracteristicas!$I$19</f>
        <v>3211</v>
      </c>
      <c r="EQ9" s="2"/>
      <c r="ES9" s="512">
        <f>+ES8-[2]Caracteristicas!$I$19</f>
        <v>652</v>
      </c>
      <c r="EZ9" s="2"/>
      <c r="FB9" s="512">
        <f>+FB8-[2]Caracteristicas!$I$19</f>
        <v>652</v>
      </c>
      <c r="FI9" s="2"/>
      <c r="FK9" s="512">
        <f>+FK8-[2]Caracteristicas!$I$19</f>
        <v>652</v>
      </c>
      <c r="FR9" s="2"/>
      <c r="FT9" s="512">
        <f>+FT8-[2]Caracteristicas!$I$19</f>
        <v>652</v>
      </c>
      <c r="GA9" s="2"/>
      <c r="GC9" s="512">
        <f>+GC8-[2]Caracteristicas!$I$19</f>
        <v>814</v>
      </c>
      <c r="GJ9" s="2"/>
      <c r="GL9" s="512">
        <f>+GL8-[2]Caracteristicas!$I$19</f>
        <v>814</v>
      </c>
    </row>
    <row r="10" spans="1:197" x14ac:dyDescent="0.3">
      <c r="A10"/>
      <c r="B10"/>
      <c r="C10"/>
      <c r="D10"/>
      <c r="E10"/>
      <c r="F10"/>
      <c r="G10"/>
      <c r="H10"/>
      <c r="I10" s="361"/>
      <c r="J10" s="361"/>
      <c r="K10"/>
      <c r="N10" s="2" t="s">
        <v>646</v>
      </c>
      <c r="O10" s="1"/>
      <c r="Q10" s="13"/>
      <c r="T10"/>
      <c r="U10"/>
      <c r="W10" s="361"/>
      <c r="X10" s="361"/>
      <c r="Y10" s="361"/>
      <c r="Z10" s="361"/>
      <c r="AA10" s="361"/>
      <c r="AB10"/>
      <c r="AE10" s="2"/>
      <c r="AG10" s="13"/>
      <c r="AJ10"/>
      <c r="AL10" s="361"/>
      <c r="AM10" s="361"/>
      <c r="AN10" s="361"/>
      <c r="AO10" s="361"/>
      <c r="AP10"/>
      <c r="AT10" s="2"/>
      <c r="AV10" s="13"/>
      <c r="BA10" s="361"/>
      <c r="BB10" s="361"/>
      <c r="BC10" s="361"/>
      <c r="BD10" s="361"/>
      <c r="BE10" s="361"/>
      <c r="BI10" s="2"/>
      <c r="BK10" s="13"/>
      <c r="BQ10" s="361"/>
      <c r="BR10" s="361"/>
      <c r="BS10" s="361"/>
      <c r="BT10" s="361"/>
      <c r="BX10" s="2"/>
      <c r="BZ10" s="13"/>
      <c r="CG10" s="361"/>
      <c r="CH10" s="361"/>
      <c r="CI10" s="361"/>
      <c r="CJ10" s="361"/>
      <c r="CN10" s="2"/>
      <c r="CP10" s="13"/>
      <c r="CW10" s="2"/>
      <c r="CY10" s="13"/>
      <c r="DF10" s="2"/>
      <c r="DH10" s="13"/>
      <c r="DO10" s="2"/>
      <c r="DQ10" s="13"/>
      <c r="DX10" s="2"/>
      <c r="DZ10" s="13"/>
      <c r="EG10" s="2"/>
      <c r="EI10" s="13"/>
      <c r="EQ10" s="2"/>
      <c r="ES10" s="13"/>
      <c r="EZ10" s="2"/>
      <c r="FB10" s="13"/>
      <c r="FI10" s="2"/>
      <c r="FK10" s="13"/>
      <c r="FR10" s="2"/>
      <c r="FT10" s="13"/>
      <c r="GA10" s="2"/>
      <c r="GC10" s="13"/>
      <c r="GJ10" s="2"/>
      <c r="GL10" s="13"/>
    </row>
    <row r="11" spans="1:197" x14ac:dyDescent="0.3">
      <c r="A11"/>
      <c r="B11"/>
      <c r="C11"/>
      <c r="D11"/>
      <c r="E11"/>
      <c r="F11"/>
      <c r="G11"/>
      <c r="H11"/>
      <c r="I11" s="361"/>
      <c r="J11" s="361"/>
      <c r="K11"/>
      <c r="N11" s="362" t="s">
        <v>647</v>
      </c>
      <c r="O11" s="1"/>
      <c r="Q11" s="431">
        <f>+Q13/Q12</f>
        <v>230343292.43000001</v>
      </c>
      <c r="T11"/>
      <c r="U11"/>
      <c r="W11" s="361"/>
      <c r="X11" s="361"/>
      <c r="Y11" s="361"/>
      <c r="Z11" s="361"/>
      <c r="AA11" s="361"/>
      <c r="AB11"/>
      <c r="AE11" s="2"/>
      <c r="AG11" s="431">
        <f>+AG13/AG12</f>
        <v>1241907.93</v>
      </c>
      <c r="AJ11"/>
      <c r="AL11" s="361"/>
      <c r="AM11" s="361"/>
      <c r="AN11" s="361"/>
      <c r="AO11" s="361"/>
      <c r="AP11"/>
      <c r="AT11" s="2"/>
      <c r="AV11" s="431">
        <f>+AV13/AV12</f>
        <v>51796167.540000007</v>
      </c>
      <c r="BA11" s="361"/>
      <c r="BB11" s="361"/>
      <c r="BC11" s="361"/>
      <c r="BD11" s="361"/>
      <c r="BE11" s="361"/>
      <c r="BI11" s="2"/>
      <c r="BK11" s="431">
        <f>+BK13/BK12</f>
        <v>53476614.030000001</v>
      </c>
      <c r="BQ11" s="361"/>
      <c r="BR11" s="361"/>
      <c r="BS11" s="361"/>
      <c r="BT11" s="361"/>
      <c r="BX11" s="2"/>
      <c r="BZ11" s="431">
        <f>+BZ13/BZ12</f>
        <v>4838608.098000004</v>
      </c>
      <c r="CG11" s="361"/>
      <c r="CH11" s="361"/>
      <c r="CI11" s="361"/>
      <c r="CJ11" s="361"/>
      <c r="CN11" s="2"/>
      <c r="CP11" s="431">
        <f>+CP13/CP12</f>
        <v>1669085.8500000003</v>
      </c>
      <c r="CW11" s="2"/>
      <c r="CY11" s="431">
        <f>+CY13/CY12</f>
        <v>29810000.000000004</v>
      </c>
      <c r="DF11" s="2"/>
      <c r="DH11" s="431">
        <f>+DH13/DH12</f>
        <v>9174681.5399999991</v>
      </c>
      <c r="DO11" s="2"/>
      <c r="DQ11" s="431">
        <f>+DQ13/DQ12</f>
        <v>8467854.9770951178</v>
      </c>
      <c r="DX11" s="2"/>
      <c r="DZ11" s="431"/>
      <c r="EG11" s="2"/>
      <c r="EI11" s="431">
        <f>+EI13/EI12</f>
        <v>2794681.5</v>
      </c>
      <c r="EQ11" s="2"/>
      <c r="ES11" s="431">
        <f>+ES13/ES12</f>
        <v>309433.84400000004</v>
      </c>
      <c r="EZ11" s="2"/>
      <c r="FB11" s="431">
        <f>+FB13/FB12</f>
        <v>309433.84400000004</v>
      </c>
      <c r="FI11" s="2"/>
      <c r="FK11" s="431">
        <f>+FK13/FK12</f>
        <v>309433.84400000004</v>
      </c>
      <c r="FR11" s="2"/>
      <c r="FT11" s="431">
        <f>+FT13/FT12</f>
        <v>309433.84400000004</v>
      </c>
      <c r="GA11" s="2"/>
      <c r="GC11" s="431">
        <f>+GC13/GC12</f>
        <v>388403.55</v>
      </c>
      <c r="GJ11" s="2"/>
      <c r="GL11" s="431">
        <f>+GL13/GL12</f>
        <v>388403.55</v>
      </c>
    </row>
    <row r="12" spans="1:197" x14ac:dyDescent="0.3">
      <c r="D12" s="6"/>
      <c r="E12" s="359"/>
      <c r="F12" s="117"/>
      <c r="G12" s="438"/>
      <c r="H12" s="452"/>
      <c r="I12" s="361"/>
      <c r="J12" s="361"/>
      <c r="K12"/>
      <c r="N12" s="362" t="s">
        <v>127</v>
      </c>
      <c r="O12" s="355"/>
      <c r="P12" s="6"/>
      <c r="Q12" s="364">
        <v>0.57390184900285557</v>
      </c>
      <c r="T12"/>
      <c r="U12"/>
      <c r="W12" s="361"/>
      <c r="X12" s="361"/>
      <c r="Y12" s="361"/>
      <c r="Z12" s="361"/>
      <c r="AA12" s="361"/>
      <c r="AB12"/>
      <c r="AE12" s="11" t="s">
        <v>127</v>
      </c>
      <c r="AF12" s="6"/>
      <c r="AG12" s="30">
        <v>1</v>
      </c>
      <c r="AJ12"/>
      <c r="AL12" s="361"/>
      <c r="AM12" s="361"/>
      <c r="AN12" s="361"/>
      <c r="AO12" s="361"/>
      <c r="AP12"/>
      <c r="AT12" s="11" t="s">
        <v>127</v>
      </c>
      <c r="AU12" s="6"/>
      <c r="AV12" s="365">
        <f>+AV13/AV15</f>
        <v>0.30883590084398976</v>
      </c>
      <c r="AY12"/>
      <c r="BA12" s="361"/>
      <c r="BB12" s="361"/>
      <c r="BC12" s="361"/>
      <c r="BD12" s="361"/>
      <c r="BE12" s="361"/>
      <c r="BI12" s="11" t="s">
        <v>127</v>
      </c>
      <c r="BJ12" s="6"/>
      <c r="BK12" s="30">
        <v>1</v>
      </c>
      <c r="BO12"/>
      <c r="BQ12" s="361"/>
      <c r="BR12" s="361"/>
      <c r="BS12" s="361"/>
      <c r="BT12" s="361"/>
      <c r="BX12" s="11" t="s">
        <v>127</v>
      </c>
      <c r="BY12" s="6"/>
      <c r="BZ12" s="440">
        <f>+CA27/254312.71</f>
        <v>0.22702943184608065</v>
      </c>
      <c r="CE12"/>
      <c r="CG12" s="361"/>
      <c r="CH12" s="361"/>
      <c r="CI12" s="361"/>
      <c r="CJ12" s="361"/>
      <c r="CN12" s="11" t="s">
        <v>127</v>
      </c>
      <c r="CO12" s="6"/>
      <c r="CP12" s="30">
        <v>1</v>
      </c>
      <c r="CS12"/>
      <c r="CW12" s="11" t="s">
        <v>127</v>
      </c>
      <c r="CX12" s="6"/>
      <c r="CY12" s="30">
        <f>++CY13/CY15</f>
        <v>0.86082017741707817</v>
      </c>
      <c r="DB12"/>
      <c r="DF12" s="11" t="s">
        <v>127</v>
      </c>
      <c r="DG12" s="6"/>
      <c r="DH12" s="440">
        <v>0.99370811936295955</v>
      </c>
      <c r="DK12"/>
      <c r="DO12" s="11" t="s">
        <v>127</v>
      </c>
      <c r="DP12" s="6"/>
      <c r="DQ12" s="440">
        <f>+DQ13/DQ15</f>
        <v>0.13104946597317393</v>
      </c>
      <c r="DR12" s="1" t="s">
        <v>648</v>
      </c>
      <c r="DT12" s="30">
        <v>0.38897015820116093</v>
      </c>
      <c r="DX12" s="11"/>
      <c r="DY12" s="6"/>
      <c r="DZ12" s="366"/>
      <c r="EC12"/>
      <c r="EG12" s="11" t="s">
        <v>127</v>
      </c>
      <c r="EH12" s="6"/>
      <c r="EI12" s="30">
        <v>1</v>
      </c>
      <c r="EM12"/>
      <c r="EQ12" s="11" t="s">
        <v>127</v>
      </c>
      <c r="ER12" s="6"/>
      <c r="ES12" s="367">
        <v>1</v>
      </c>
      <c r="EV12"/>
      <c r="EZ12" s="11" t="s">
        <v>127</v>
      </c>
      <c r="FA12" s="6"/>
      <c r="FB12" s="367">
        <v>1</v>
      </c>
      <c r="FE12"/>
      <c r="FI12" s="11" t="s">
        <v>127</v>
      </c>
      <c r="FJ12" s="6"/>
      <c r="FK12" s="367">
        <v>1</v>
      </c>
      <c r="FN12"/>
      <c r="FR12" s="11" t="s">
        <v>127</v>
      </c>
      <c r="FS12" s="6"/>
      <c r="FT12" s="367">
        <v>1</v>
      </c>
      <c r="FW12"/>
      <c r="GA12" s="11" t="s">
        <v>127</v>
      </c>
      <c r="GB12" s="6"/>
      <c r="GC12" s="367">
        <v>1</v>
      </c>
      <c r="GE12" s="115">
        <v>100</v>
      </c>
      <c r="GF12"/>
      <c r="GJ12" s="11" t="s">
        <v>127</v>
      </c>
      <c r="GK12" s="6"/>
      <c r="GL12" s="367">
        <v>1</v>
      </c>
      <c r="GO12"/>
    </row>
    <row r="13" spans="1:197" x14ac:dyDescent="0.3">
      <c r="E13" s="358"/>
      <c r="G13" s="188"/>
      <c r="H13" s="113"/>
      <c r="I13" s="361"/>
      <c r="J13" s="361"/>
      <c r="K13"/>
      <c r="N13" s="362" t="s">
        <v>122</v>
      </c>
      <c r="O13" s="355"/>
      <c r="Q13" s="31">
        <f>+Q29</f>
        <v>132194441.43098247</v>
      </c>
      <c r="T13"/>
      <c r="U13"/>
      <c r="W13" s="361"/>
      <c r="X13" s="361"/>
      <c r="Y13" s="361"/>
      <c r="Z13" s="361"/>
      <c r="AA13" s="361"/>
      <c r="AB13"/>
      <c r="AE13" s="11" t="s">
        <v>122</v>
      </c>
      <c r="AG13" s="36">
        <f>+AG27</f>
        <v>1241907.93</v>
      </c>
      <c r="AJ13"/>
      <c r="AL13" s="361"/>
      <c r="AM13" s="361"/>
      <c r="AN13" s="361"/>
      <c r="AO13" s="361"/>
      <c r="AP13"/>
      <c r="AT13" s="11" t="s">
        <v>122</v>
      </c>
      <c r="AV13" s="36">
        <f>+AV28</f>
        <v>15996516.062482124</v>
      </c>
      <c r="AY13"/>
      <c r="BA13" s="361"/>
      <c r="BB13" s="361"/>
      <c r="BC13" s="361"/>
      <c r="BD13" s="361"/>
      <c r="BE13" s="361"/>
      <c r="BI13" s="11" t="s">
        <v>122</v>
      </c>
      <c r="BK13" s="36">
        <f>+BK26</f>
        <v>53476614.030000001</v>
      </c>
      <c r="BO13"/>
      <c r="BQ13" s="361"/>
      <c r="BR13" s="361"/>
      <c r="BS13" s="361"/>
      <c r="BT13" s="361"/>
      <c r="BX13" s="11" t="s">
        <v>122</v>
      </c>
      <c r="BZ13" s="36">
        <f>+BZ27+CB24</f>
        <v>1098506.4474147859</v>
      </c>
      <c r="CE13"/>
      <c r="CG13" s="361"/>
      <c r="CH13" s="361"/>
      <c r="CI13" s="361"/>
      <c r="CJ13" s="361"/>
      <c r="CN13" s="11" t="s">
        <v>122</v>
      </c>
      <c r="CP13" s="36">
        <f>+CP26</f>
        <v>1669085.8500000003</v>
      </c>
      <c r="CS13"/>
      <c r="CW13" s="11" t="s">
        <v>122</v>
      </c>
      <c r="CY13" s="36">
        <f>+CY26</f>
        <v>25661049.488803104</v>
      </c>
      <c r="DB13"/>
      <c r="DF13" s="11" t="s">
        <v>122</v>
      </c>
      <c r="DH13" s="36">
        <f>+DH26</f>
        <v>9116955.5388674606</v>
      </c>
      <c r="DK13"/>
      <c r="DO13" s="11" t="s">
        <v>122</v>
      </c>
      <c r="DQ13" s="36">
        <f>+DQ25</f>
        <v>1109707.8726865982</v>
      </c>
      <c r="DR13" s="1" t="s">
        <v>649</v>
      </c>
      <c r="DT13" s="188">
        <f>+DT12*DQ11</f>
        <v>3293742.8900651759</v>
      </c>
      <c r="DU13" s="33">
        <f>+DT13-DQ13</f>
        <v>2184035.017378578</v>
      </c>
      <c r="DX13" s="11"/>
      <c r="DZ13" s="36"/>
      <c r="EC13"/>
      <c r="EG13" s="11" t="s">
        <v>122</v>
      </c>
      <c r="EI13" s="36">
        <f>+EI27</f>
        <v>2794681.5</v>
      </c>
      <c r="EM13"/>
      <c r="EQ13" s="11" t="s">
        <v>122</v>
      </c>
      <c r="ES13" s="36">
        <f>+ES26</f>
        <v>309433.84400000004</v>
      </c>
      <c r="EV13"/>
      <c r="EZ13" s="11" t="s">
        <v>122</v>
      </c>
      <c r="FB13" s="36">
        <f>+FB26</f>
        <v>309433.84400000004</v>
      </c>
      <c r="FE13"/>
      <c r="FI13" s="11" t="s">
        <v>122</v>
      </c>
      <c r="FK13" s="36">
        <f>+FK26</f>
        <v>309433.84400000004</v>
      </c>
      <c r="FN13"/>
      <c r="FR13" s="11" t="s">
        <v>122</v>
      </c>
      <c r="FT13" s="36">
        <f>+FT26</f>
        <v>309433.84400000004</v>
      </c>
      <c r="FW13"/>
      <c r="GA13" s="11" t="s">
        <v>122</v>
      </c>
      <c r="GC13" s="36">
        <f>+GC26</f>
        <v>388403.55</v>
      </c>
      <c r="GE13" s="115">
        <f>+GE12/13.8</f>
        <v>7.2463768115942022</v>
      </c>
      <c r="GF13"/>
      <c r="GJ13" s="11" t="s">
        <v>122</v>
      </c>
      <c r="GL13" s="36">
        <f>+GL26</f>
        <v>388403.55</v>
      </c>
      <c r="GO13"/>
    </row>
    <row r="14" spans="1:197" x14ac:dyDescent="0.3">
      <c r="A14"/>
      <c r="B14"/>
      <c r="C14"/>
      <c r="D14"/>
      <c r="E14"/>
      <c r="F14"/>
      <c r="G14"/>
      <c r="H14" s="113"/>
      <c r="I14" s="361"/>
      <c r="J14" s="361"/>
      <c r="K14"/>
      <c r="N14" s="354" t="s">
        <v>650</v>
      </c>
      <c r="O14" s="355"/>
      <c r="Q14" s="28"/>
      <c r="T14"/>
      <c r="U14"/>
      <c r="W14" s="361"/>
      <c r="X14" s="361"/>
      <c r="Y14" s="361"/>
      <c r="Z14" s="361"/>
      <c r="AA14" s="361"/>
      <c r="AB14"/>
      <c r="AE14" s="1"/>
      <c r="AG14" s="10"/>
      <c r="AJ14"/>
      <c r="AL14" s="361"/>
      <c r="AM14" s="361"/>
      <c r="AN14" s="361"/>
      <c r="AO14" s="361"/>
      <c r="AP14"/>
      <c r="AT14" s="1"/>
      <c r="AV14" s="10"/>
      <c r="BA14" s="361"/>
      <c r="BB14" s="361"/>
      <c r="BC14" s="361"/>
      <c r="BD14" s="361"/>
      <c r="BE14" s="361"/>
      <c r="BI14" s="1"/>
      <c r="BK14" s="10"/>
      <c r="BQ14" s="361"/>
      <c r="BR14" s="361"/>
      <c r="BS14" s="361"/>
      <c r="BT14" s="361"/>
      <c r="BX14" s="1"/>
      <c r="BZ14" s="10"/>
      <c r="CG14" s="361"/>
      <c r="CH14" s="361"/>
      <c r="CI14" s="361"/>
      <c r="CJ14" s="361"/>
      <c r="CN14" s="1"/>
      <c r="CP14" s="10"/>
      <c r="CW14" s="1"/>
      <c r="CY14" s="10"/>
      <c r="DF14" s="1"/>
      <c r="DH14" s="10"/>
      <c r="DO14" s="1"/>
      <c r="DQ14" s="10"/>
      <c r="DX14" s="1"/>
      <c r="DZ14" s="10"/>
      <c r="EG14" s="1"/>
      <c r="EI14" s="10"/>
      <c r="EQ14" s="1"/>
      <c r="ES14" s="10"/>
      <c r="EZ14" s="1"/>
      <c r="FB14" s="10"/>
      <c r="FI14" s="1"/>
      <c r="FK14" s="10"/>
      <c r="FR14" s="1"/>
      <c r="FT14" s="10"/>
      <c r="GA14" s="1"/>
      <c r="GC14" s="10"/>
      <c r="GJ14" s="1"/>
      <c r="GL14" s="10"/>
    </row>
    <row r="15" spans="1:197" x14ac:dyDescent="0.3">
      <c r="E15" s="359"/>
      <c r="F15" s="117"/>
      <c r="J15" s="443"/>
      <c r="K15" s="360"/>
      <c r="N15" s="362" t="s">
        <v>120</v>
      </c>
      <c r="O15" s="355"/>
      <c r="Q15" s="29">
        <v>230617692.43000001</v>
      </c>
      <c r="T15"/>
      <c r="U15"/>
      <c r="W15" s="361"/>
      <c r="X15" s="361"/>
      <c r="Y15" s="361"/>
      <c r="Z15" s="361"/>
      <c r="AA15" s="361"/>
      <c r="AB15"/>
      <c r="AE15" s="11" t="s">
        <v>120</v>
      </c>
      <c r="AG15" s="36">
        <f>+AG12*AG13</f>
        <v>1241907.93</v>
      </c>
      <c r="AJ15"/>
      <c r="AL15" s="361"/>
      <c r="AM15" s="361"/>
      <c r="AN15" s="361"/>
      <c r="AO15" s="361"/>
      <c r="AP15"/>
      <c r="AT15" s="11" t="s">
        <v>120</v>
      </c>
      <c r="AV15" s="36">
        <f>+SUM([3]Consolidado1!$C$241:$C$245)</f>
        <v>51796167.540000007</v>
      </c>
      <c r="AY15" s="1">
        <f>187920.41+6784.89+626.79</f>
        <v>195332.09000000003</v>
      </c>
      <c r="BA15" s="361"/>
      <c r="BB15" s="361"/>
      <c r="BC15" s="361"/>
      <c r="BD15" s="361"/>
      <c r="BE15" s="361"/>
      <c r="BI15" s="11" t="s">
        <v>120</v>
      </c>
      <c r="BK15" s="36">
        <f>+BK25</f>
        <v>53476614.030000001</v>
      </c>
      <c r="BQ15" s="361"/>
      <c r="BR15" s="361"/>
      <c r="BS15" s="361"/>
      <c r="BT15" s="361"/>
      <c r="BX15" s="11" t="s">
        <v>120</v>
      </c>
      <c r="BZ15" s="36">
        <f>+BZ13/BZ12</f>
        <v>4838608.098000004</v>
      </c>
      <c r="CG15" s="361"/>
      <c r="CH15" s="361"/>
      <c r="CI15" s="361"/>
      <c r="CJ15" s="361"/>
      <c r="CN15" s="11" t="s">
        <v>120</v>
      </c>
      <c r="CP15" s="36">
        <v>1460450.15</v>
      </c>
      <c r="CW15" s="11" t="s">
        <v>120</v>
      </c>
      <c r="CY15" s="363">
        <f>+SUM([3]Consolidado1!$C$323:$C$328)</f>
        <v>29810000.000000004</v>
      </c>
      <c r="DF15" s="11" t="s">
        <v>120</v>
      </c>
      <c r="DH15" s="36">
        <f>+DH13/DH12</f>
        <v>9174681.5399999991</v>
      </c>
      <c r="DO15" s="11" t="s">
        <v>120</v>
      </c>
      <c r="DQ15" s="36">
        <f>+SUM([3]Consolidado1!$C$315:$C$319)</f>
        <v>8467854.9770951178</v>
      </c>
      <c r="DX15" s="11"/>
      <c r="DZ15" s="36"/>
      <c r="EG15" s="11" t="s">
        <v>120</v>
      </c>
      <c r="EI15" s="36"/>
      <c r="EQ15" s="11" t="s">
        <v>120</v>
      </c>
      <c r="ES15" s="36">
        <v>346343.01400000002</v>
      </c>
      <c r="EZ15" s="11" t="s">
        <v>120</v>
      </c>
      <c r="FB15" s="36">
        <v>346343.01400000002</v>
      </c>
      <c r="FI15" s="11" t="s">
        <v>120</v>
      </c>
      <c r="FK15" s="36">
        <v>346343.01400000002</v>
      </c>
      <c r="FR15" s="11" t="s">
        <v>120</v>
      </c>
      <c r="FT15" s="36">
        <v>346343.01400000002</v>
      </c>
      <c r="GA15" s="11" t="s">
        <v>120</v>
      </c>
      <c r="GC15" s="36">
        <v>426409.54</v>
      </c>
      <c r="GJ15" s="11" t="s">
        <v>120</v>
      </c>
      <c r="GL15" s="36">
        <v>426409.54</v>
      </c>
    </row>
    <row r="16" spans="1:197" x14ac:dyDescent="0.3">
      <c r="E16" s="358"/>
      <c r="G16" s="115"/>
      <c r="H16"/>
      <c r="I16" s="361"/>
      <c r="J16" s="361"/>
      <c r="K16"/>
      <c r="N16" s="362" t="s">
        <v>121</v>
      </c>
      <c r="O16" s="355"/>
      <c r="Q16" s="29">
        <v>16433142.600000007</v>
      </c>
      <c r="T16"/>
      <c r="U16"/>
      <c r="W16" s="361"/>
      <c r="X16" s="361"/>
      <c r="Y16" s="361"/>
      <c r="Z16" s="361"/>
      <c r="AA16" s="361"/>
      <c r="AB16"/>
      <c r="AE16" s="11" t="s">
        <v>121</v>
      </c>
      <c r="AG16" s="35"/>
      <c r="AJ16"/>
      <c r="AL16" s="361"/>
      <c r="AM16" s="361"/>
      <c r="AN16" s="361"/>
      <c r="AO16" s="361"/>
      <c r="AP16"/>
      <c r="AT16" s="11" t="s">
        <v>121</v>
      </c>
      <c r="AV16" s="35"/>
      <c r="AY16"/>
      <c r="BA16" s="361"/>
      <c r="BB16" s="361"/>
      <c r="BC16" s="361"/>
      <c r="BD16" s="361"/>
      <c r="BE16" s="361"/>
      <c r="BI16" s="11" t="s">
        <v>121</v>
      </c>
      <c r="BK16" s="35"/>
      <c r="BO16"/>
      <c r="BQ16" s="361"/>
      <c r="BR16" s="361"/>
      <c r="BS16" s="361"/>
      <c r="BT16" s="361"/>
      <c r="BX16" s="11" t="s">
        <v>121</v>
      </c>
      <c r="BZ16" s="35"/>
      <c r="CE16"/>
      <c r="CG16" s="361"/>
      <c r="CH16" s="361"/>
      <c r="CI16" s="361"/>
      <c r="CJ16" s="361"/>
      <c r="CN16" s="11" t="s">
        <v>121</v>
      </c>
      <c r="CP16" s="35"/>
      <c r="CS16"/>
      <c r="CW16" s="11" t="s">
        <v>121</v>
      </c>
      <c r="CY16" s="35"/>
      <c r="DB16"/>
      <c r="DF16" s="11" t="s">
        <v>121</v>
      </c>
      <c r="DH16" s="35"/>
      <c r="DK16"/>
      <c r="DO16" s="11" t="s">
        <v>121</v>
      </c>
      <c r="DQ16" s="35"/>
      <c r="DT16"/>
      <c r="DX16" s="11"/>
      <c r="DZ16" s="35"/>
      <c r="EC16"/>
      <c r="EG16" s="11" t="s">
        <v>121</v>
      </c>
      <c r="EI16" s="35"/>
      <c r="EM16"/>
      <c r="EQ16" s="11" t="s">
        <v>121</v>
      </c>
      <c r="EV16"/>
      <c r="EZ16" s="11" t="s">
        <v>121</v>
      </c>
      <c r="FE16"/>
      <c r="FI16" s="11" t="s">
        <v>121</v>
      </c>
      <c r="FN16"/>
      <c r="FR16" s="11" t="s">
        <v>121</v>
      </c>
      <c r="FW16"/>
      <c r="GA16" s="11" t="s">
        <v>121</v>
      </c>
      <c r="GF16"/>
      <c r="GJ16" s="11" t="s">
        <v>121</v>
      </c>
      <c r="GO16"/>
    </row>
    <row r="17" spans="1:197" x14ac:dyDescent="0.3">
      <c r="E17" s="359"/>
      <c r="F17" s="117"/>
      <c r="H17"/>
      <c r="I17" s="361"/>
      <c r="J17" s="361"/>
      <c r="K17"/>
      <c r="N17" s="362" t="s">
        <v>123</v>
      </c>
      <c r="O17" s="355"/>
      <c r="Q17" s="31">
        <f>+Q16*Q12</f>
        <v>9431010.9230675977</v>
      </c>
      <c r="T17"/>
      <c r="U17"/>
      <c r="W17" s="361"/>
      <c r="X17" s="361"/>
      <c r="Y17" s="361"/>
      <c r="Z17" s="361"/>
      <c r="AA17" s="361"/>
      <c r="AB17"/>
      <c r="AE17" s="11" t="s">
        <v>123</v>
      </c>
      <c r="AG17" s="36"/>
      <c r="AJ17"/>
      <c r="AL17" s="361"/>
      <c r="AM17" s="361"/>
      <c r="AN17" s="361"/>
      <c r="AO17" s="361"/>
      <c r="AP17"/>
      <c r="AT17" s="11" t="s">
        <v>123</v>
      </c>
      <c r="AV17" s="36"/>
      <c r="AY17"/>
      <c r="BA17" s="361"/>
      <c r="BB17" s="361"/>
      <c r="BC17" s="361"/>
      <c r="BD17" s="361"/>
      <c r="BE17" s="361"/>
      <c r="BI17" s="11" t="s">
        <v>123</v>
      </c>
      <c r="BK17" s="36"/>
      <c r="BO17"/>
      <c r="BQ17" s="361"/>
      <c r="BR17" s="361"/>
      <c r="BS17" s="361"/>
      <c r="BT17" s="361"/>
      <c r="BX17" s="11" t="s">
        <v>123</v>
      </c>
      <c r="BZ17" s="36"/>
      <c r="CE17"/>
      <c r="CG17" s="361"/>
      <c r="CH17" s="361"/>
      <c r="CI17" s="361"/>
      <c r="CJ17" s="361"/>
      <c r="CN17" s="11" t="s">
        <v>123</v>
      </c>
      <c r="CP17" s="36"/>
      <c r="CS17"/>
      <c r="CW17" s="11" t="s">
        <v>123</v>
      </c>
      <c r="CY17" s="36"/>
      <c r="DB17"/>
      <c r="DF17" s="11" t="s">
        <v>123</v>
      </c>
      <c r="DH17" s="36"/>
      <c r="DK17"/>
      <c r="DO17" s="11" t="s">
        <v>123</v>
      </c>
      <c r="DQ17" s="36"/>
      <c r="DT17"/>
      <c r="DX17" s="11"/>
      <c r="DZ17" s="36"/>
      <c r="EC17"/>
      <c r="EG17" s="11" t="s">
        <v>123</v>
      </c>
      <c r="EI17" s="36"/>
      <c r="EM17"/>
      <c r="EQ17" s="11" t="s">
        <v>123</v>
      </c>
      <c r="ES17" s="36"/>
      <c r="EV17"/>
      <c r="EZ17" s="11" t="s">
        <v>123</v>
      </c>
      <c r="FB17" s="36"/>
      <c r="FE17"/>
      <c r="FI17" s="11" t="s">
        <v>123</v>
      </c>
      <c r="FK17" s="36"/>
      <c r="FN17"/>
      <c r="FR17" s="11" t="s">
        <v>123</v>
      </c>
      <c r="FT17" s="36"/>
      <c r="FW17"/>
      <c r="GA17" s="11" t="s">
        <v>123</v>
      </c>
      <c r="GC17" s="36"/>
      <c r="GF17"/>
      <c r="GJ17" s="11" t="s">
        <v>123</v>
      </c>
      <c r="GL17" s="36"/>
      <c r="GO17"/>
    </row>
    <row r="18" spans="1:197" x14ac:dyDescent="0.3">
      <c r="E18" s="368"/>
      <c r="H18"/>
      <c r="I18" s="361"/>
      <c r="J18" s="361"/>
      <c r="K18"/>
      <c r="N18" s="362" t="s">
        <v>124</v>
      </c>
      <c r="O18" s="355"/>
      <c r="Q18" s="28">
        <v>20</v>
      </c>
      <c r="T18"/>
      <c r="U18"/>
      <c r="W18" s="361"/>
      <c r="X18" s="361"/>
      <c r="Y18" s="361"/>
      <c r="Z18" s="361"/>
      <c r="AA18" s="361"/>
      <c r="AB18"/>
      <c r="AE18" s="11" t="s">
        <v>124</v>
      </c>
      <c r="AG18" s="37"/>
      <c r="AJ18"/>
      <c r="AL18" s="361"/>
      <c r="AM18" s="361"/>
      <c r="AN18" s="361"/>
      <c r="AO18" s="361"/>
      <c r="AP18"/>
      <c r="AT18" s="11" t="s">
        <v>124</v>
      </c>
      <c r="AV18" s="37"/>
      <c r="AY18"/>
      <c r="BA18" s="361"/>
      <c r="BB18" s="361"/>
      <c r="BC18" s="361"/>
      <c r="BD18" s="361"/>
      <c r="BE18" s="361"/>
      <c r="BI18" s="11" t="s">
        <v>124</v>
      </c>
      <c r="BK18" s="37"/>
      <c r="BO18"/>
      <c r="BQ18" s="361"/>
      <c r="BR18" s="361"/>
      <c r="BS18" s="361"/>
      <c r="BT18" s="361"/>
      <c r="BX18" s="11" t="s">
        <v>124</v>
      </c>
      <c r="BZ18" s="37"/>
      <c r="CE18"/>
      <c r="CG18" s="361"/>
      <c r="CH18" s="361"/>
      <c r="CI18" s="361"/>
      <c r="CJ18" s="361"/>
      <c r="CN18" s="11" t="s">
        <v>124</v>
      </c>
      <c r="CP18" s="37"/>
      <c r="CS18"/>
      <c r="CW18" s="11" t="s">
        <v>124</v>
      </c>
      <c r="CY18" s="37"/>
      <c r="DB18"/>
      <c r="DF18" s="11" t="s">
        <v>124</v>
      </c>
      <c r="DH18" s="37"/>
      <c r="DK18"/>
      <c r="DO18" s="11" t="s">
        <v>124</v>
      </c>
      <c r="DQ18" s="37"/>
      <c r="DT18"/>
      <c r="DX18" s="11"/>
      <c r="DZ18" s="37"/>
      <c r="EC18"/>
      <c r="EG18" s="11" t="s">
        <v>124</v>
      </c>
      <c r="EI18" s="37"/>
      <c r="EM18"/>
      <c r="EQ18" s="11" t="s">
        <v>124</v>
      </c>
      <c r="ES18" s="37"/>
      <c r="EV18"/>
      <c r="EZ18" s="11" t="s">
        <v>124</v>
      </c>
      <c r="FB18" s="37"/>
      <c r="FE18"/>
      <c r="FI18" s="11" t="s">
        <v>124</v>
      </c>
      <c r="FK18" s="37"/>
      <c r="FN18"/>
      <c r="FR18" s="11" t="s">
        <v>124</v>
      </c>
      <c r="FT18" s="37"/>
      <c r="FW18"/>
      <c r="GA18" s="11" t="s">
        <v>124</v>
      </c>
      <c r="GC18" s="37"/>
      <c r="GF18"/>
      <c r="GJ18" s="11" t="s">
        <v>124</v>
      </c>
      <c r="GL18" s="37"/>
      <c r="GO18"/>
    </row>
    <row r="19" spans="1:197" x14ac:dyDescent="0.3">
      <c r="E19" s="369"/>
      <c r="H19"/>
      <c r="I19" s="361"/>
      <c r="J19" s="361"/>
      <c r="K19"/>
      <c r="N19" s="362" t="s">
        <v>125</v>
      </c>
      <c r="O19" s="355"/>
      <c r="Q19" s="31">
        <v>68600</v>
      </c>
      <c r="T19"/>
      <c r="U19"/>
      <c r="W19" s="361"/>
      <c r="X19" s="361"/>
      <c r="Y19" s="361"/>
      <c r="Z19" s="361"/>
      <c r="AA19" s="361"/>
      <c r="AB19"/>
      <c r="AE19" s="11" t="s">
        <v>132</v>
      </c>
      <c r="AG19" s="36">
        <v>51840.79</v>
      </c>
      <c r="AJ19"/>
      <c r="AL19" s="361"/>
      <c r="AM19" s="361"/>
      <c r="AN19" s="361"/>
      <c r="AO19" s="361"/>
      <c r="AP19"/>
      <c r="AT19" s="11" t="s">
        <v>132</v>
      </c>
      <c r="AV19" s="36">
        <v>51840.79</v>
      </c>
      <c r="AY19"/>
      <c r="BA19" s="361"/>
      <c r="BB19" s="361"/>
      <c r="BC19" s="361"/>
      <c r="BD19" s="361"/>
      <c r="BE19" s="361"/>
      <c r="BI19" s="11" t="s">
        <v>132</v>
      </c>
      <c r="BK19" s="36">
        <v>51840.79</v>
      </c>
      <c r="BO19"/>
      <c r="BQ19" s="361"/>
      <c r="BR19" s="361"/>
      <c r="BS19" s="361"/>
      <c r="BT19" s="361"/>
      <c r="BX19" s="11" t="s">
        <v>132</v>
      </c>
      <c r="BZ19" s="36">
        <f>+CA26</f>
        <v>57736.470062537075</v>
      </c>
      <c r="CE19"/>
      <c r="CG19" s="361"/>
      <c r="CH19" s="361"/>
      <c r="CI19" s="361"/>
      <c r="CJ19" s="361"/>
      <c r="CN19" s="11" t="s">
        <v>132</v>
      </c>
      <c r="CP19" s="36"/>
      <c r="CS19"/>
      <c r="CW19" s="11" t="s">
        <v>132</v>
      </c>
      <c r="CY19" s="36"/>
      <c r="DB19"/>
      <c r="DF19" s="11" t="s">
        <v>132</v>
      </c>
      <c r="DH19" s="36"/>
      <c r="DK19"/>
      <c r="DO19" s="11" t="s">
        <v>132</v>
      </c>
      <c r="DQ19" s="36"/>
      <c r="DT19"/>
      <c r="DX19" s="11"/>
      <c r="DZ19" s="36"/>
      <c r="EC19"/>
      <c r="EG19" s="11" t="s">
        <v>132</v>
      </c>
      <c r="EI19" s="36"/>
      <c r="EM19"/>
      <c r="EQ19" s="11" t="s">
        <v>132</v>
      </c>
      <c r="ES19" s="36"/>
      <c r="EV19"/>
      <c r="EZ19" s="11" t="s">
        <v>132</v>
      </c>
      <c r="FB19" s="36"/>
      <c r="FE19"/>
      <c r="FI19" s="11" t="s">
        <v>132</v>
      </c>
      <c r="FK19" s="36"/>
      <c r="FN19"/>
      <c r="FR19" s="11" t="s">
        <v>132</v>
      </c>
      <c r="FT19" s="36"/>
      <c r="FW19"/>
      <c r="GA19" s="11" t="s">
        <v>132</v>
      </c>
      <c r="GC19" s="36"/>
      <c r="GF19"/>
      <c r="GJ19" s="11" t="s">
        <v>132</v>
      </c>
      <c r="GL19" s="36"/>
      <c r="GO19"/>
    </row>
    <row r="20" spans="1:197" ht="14.4" customHeight="1" x14ac:dyDescent="0.3">
      <c r="E20" s="369"/>
      <c r="F20" s="12"/>
      <c r="H20"/>
      <c r="I20" s="361"/>
      <c r="J20" s="361"/>
      <c r="K20"/>
      <c r="N20" s="362" t="s">
        <v>126</v>
      </c>
      <c r="O20" s="355"/>
      <c r="Q20" s="31">
        <f>+Q19*Q12</f>
        <v>39369.666841595892</v>
      </c>
      <c r="T20"/>
      <c r="U20"/>
      <c r="W20" s="361"/>
      <c r="X20" s="361"/>
      <c r="Y20" s="361"/>
      <c r="Z20" s="361"/>
      <c r="AA20" s="361"/>
      <c r="AB20"/>
      <c r="AE20" s="11"/>
      <c r="AG20" s="31"/>
      <c r="AJ20"/>
      <c r="AL20" s="361"/>
      <c r="AM20" s="361"/>
      <c r="AN20" s="361"/>
      <c r="AO20" s="361"/>
      <c r="AP20"/>
      <c r="AT20" s="11"/>
      <c r="AV20" s="31"/>
      <c r="AY20"/>
      <c r="BA20" s="361"/>
      <c r="BB20" s="361"/>
      <c r="BC20" s="361"/>
      <c r="BD20" s="361"/>
      <c r="BE20" s="361"/>
      <c r="BI20" s="11"/>
      <c r="BK20" s="31"/>
      <c r="BO20"/>
      <c r="BQ20" s="361"/>
      <c r="BR20" s="361"/>
      <c r="BS20" s="361"/>
      <c r="BT20" s="361"/>
      <c r="BX20" s="11"/>
      <c r="BZ20" s="31"/>
      <c r="CE20"/>
      <c r="CG20" s="361"/>
      <c r="CH20" s="361"/>
      <c r="CI20" s="361"/>
      <c r="CJ20" s="361"/>
      <c r="CN20" s="11"/>
      <c r="CP20" s="31"/>
      <c r="CS20"/>
      <c r="CW20" s="11"/>
      <c r="CY20" s="31"/>
      <c r="DB20"/>
      <c r="DF20" s="11"/>
      <c r="DH20" s="31"/>
      <c r="DK20"/>
      <c r="DO20" s="11"/>
      <c r="DQ20" s="31"/>
      <c r="DT20"/>
      <c r="DX20" s="11"/>
      <c r="DZ20" s="31"/>
      <c r="EC20"/>
      <c r="EG20" s="11"/>
      <c r="EI20" s="31"/>
      <c r="EM20"/>
      <c r="EQ20" s="11"/>
      <c r="ES20" s="31"/>
      <c r="EV20"/>
      <c r="EZ20" s="11"/>
      <c r="FB20" s="31"/>
      <c r="FE20"/>
      <c r="FI20" s="11"/>
      <c r="FK20" s="31"/>
      <c r="FN20"/>
      <c r="FR20" s="11"/>
      <c r="FT20" s="31"/>
      <c r="FW20"/>
      <c r="GA20" s="11"/>
      <c r="GC20" s="31"/>
      <c r="GF20"/>
      <c r="GJ20" s="11"/>
      <c r="GL20" s="31"/>
      <c r="GO20"/>
    </row>
    <row r="21" spans="1:197" x14ac:dyDescent="0.3">
      <c r="E21" s="353"/>
      <c r="F21" s="188"/>
      <c r="G21" s="188"/>
      <c r="H21"/>
      <c r="I21" s="361"/>
      <c r="J21" s="361"/>
      <c r="K21"/>
      <c r="N21" s="362" t="s">
        <v>128</v>
      </c>
      <c r="O21" s="355"/>
      <c r="Q21" s="32">
        <v>30369494.399999999</v>
      </c>
      <c r="T21"/>
      <c r="U21"/>
      <c r="W21" s="361"/>
      <c r="X21" s="361"/>
      <c r="Y21" s="361"/>
      <c r="Z21" s="361"/>
      <c r="AA21" s="361"/>
      <c r="AB21"/>
      <c r="AE21" s="11"/>
      <c r="AG21" s="32"/>
      <c r="AJ21"/>
      <c r="AL21" s="361"/>
      <c r="AM21" s="361"/>
      <c r="AN21" s="361"/>
      <c r="AO21" s="361"/>
      <c r="AP21"/>
      <c r="AT21" s="11"/>
      <c r="AV21" s="32"/>
      <c r="AY21"/>
      <c r="BA21" s="361"/>
      <c r="BB21" s="361"/>
      <c r="BC21" s="361"/>
      <c r="BD21" s="361"/>
      <c r="BE21" s="361"/>
      <c r="BI21" s="11"/>
      <c r="BK21" s="32"/>
      <c r="BO21"/>
      <c r="BQ21" s="361"/>
      <c r="BR21" s="361"/>
      <c r="BS21" s="361"/>
      <c r="BT21" s="361"/>
      <c r="BX21" s="11"/>
      <c r="BZ21" s="32"/>
      <c r="CE21"/>
      <c r="CG21" s="361"/>
      <c r="CH21" s="361"/>
      <c r="CI21" s="361"/>
      <c r="CJ21" s="361"/>
      <c r="CN21" s="11"/>
      <c r="CP21" s="32"/>
      <c r="CS21"/>
      <c r="CW21" s="11"/>
      <c r="CY21" s="32"/>
      <c r="DB21"/>
      <c r="DF21" s="11"/>
      <c r="DH21" s="32"/>
      <c r="DK21"/>
      <c r="DO21" s="11"/>
      <c r="DQ21" s="32"/>
      <c r="DT21"/>
      <c r="DX21" s="11"/>
      <c r="DZ21" s="32"/>
      <c r="EC21"/>
      <c r="EG21" s="11"/>
      <c r="EI21" s="32"/>
      <c r="EM21"/>
      <c r="EQ21" s="11"/>
      <c r="ES21" s="32"/>
      <c r="EV21"/>
      <c r="EZ21" s="11"/>
      <c r="FB21" s="32"/>
      <c r="FE21"/>
      <c r="FI21" s="11"/>
      <c r="FK21" s="32"/>
      <c r="FN21"/>
      <c r="FR21" s="11"/>
      <c r="FT21" s="32"/>
      <c r="FW21"/>
      <c r="GA21" s="11"/>
      <c r="GC21" s="32"/>
      <c r="GF21"/>
      <c r="GJ21" s="11"/>
      <c r="GL21" s="32"/>
      <c r="GO21"/>
    </row>
    <row r="22" spans="1:197" x14ac:dyDescent="0.3">
      <c r="D22"/>
      <c r="E22"/>
      <c r="F22"/>
      <c r="G22"/>
      <c r="H22"/>
      <c r="I22" s="361"/>
      <c r="J22" s="361"/>
      <c r="K22"/>
      <c r="O22" s="370"/>
      <c r="P22"/>
      <c r="Q22"/>
      <c r="R22"/>
      <c r="S22"/>
      <c r="T22"/>
      <c r="U22"/>
      <c r="V22" s="361"/>
      <c r="W22" s="361"/>
      <c r="X22" s="361"/>
      <c r="Y22" s="361"/>
      <c r="Z22" s="361"/>
      <c r="AA22" s="361"/>
      <c r="AE22"/>
      <c r="AF22"/>
      <c r="AG22"/>
      <c r="AH22"/>
      <c r="AI22"/>
      <c r="AJ22"/>
      <c r="AK22" s="361"/>
      <c r="AL22" s="361"/>
      <c r="AM22" s="361"/>
      <c r="AN22" s="361"/>
      <c r="AO22" s="361"/>
      <c r="AP22"/>
      <c r="AT22"/>
      <c r="AU22"/>
      <c r="AV22"/>
      <c r="AW22"/>
      <c r="AX22"/>
      <c r="AY22"/>
      <c r="AZ22" s="361"/>
      <c r="BA22" s="361"/>
      <c r="BB22" s="361"/>
      <c r="BC22" s="361"/>
      <c r="BD22" s="361"/>
      <c r="BE22" s="361"/>
      <c r="BI22"/>
      <c r="BJ22"/>
      <c r="BK22"/>
      <c r="BL22"/>
      <c r="BM22"/>
      <c r="BN22"/>
      <c r="BO22"/>
      <c r="BP22" s="435"/>
      <c r="BQ22" s="361"/>
      <c r="BR22" s="361"/>
      <c r="BS22" s="361"/>
      <c r="BT22" s="361"/>
      <c r="BX22"/>
      <c r="BY22"/>
      <c r="BZ22"/>
      <c r="CA22"/>
      <c r="CB22"/>
      <c r="CC22"/>
      <c r="CD22"/>
      <c r="CE22"/>
      <c r="CF22" s="435"/>
      <c r="CG22" s="361"/>
      <c r="CH22" s="361"/>
      <c r="CI22" s="361"/>
      <c r="CJ22" s="361"/>
      <c r="CN22"/>
      <c r="CO22"/>
      <c r="CP22"/>
      <c r="CQ22"/>
      <c r="CR22"/>
      <c r="CS22"/>
      <c r="CW22"/>
      <c r="CX22"/>
      <c r="CY22"/>
      <c r="CZ22"/>
      <c r="DA22"/>
      <c r="DB22"/>
      <c r="DF22"/>
      <c r="DG22"/>
      <c r="DH22"/>
      <c r="DI22"/>
      <c r="DJ22"/>
      <c r="DK22"/>
      <c r="DO22"/>
      <c r="DP22"/>
      <c r="DQ22"/>
      <c r="DR22"/>
      <c r="DS22"/>
      <c r="DT22"/>
      <c r="DX22"/>
      <c r="DY22"/>
      <c r="DZ22"/>
      <c r="EA22"/>
      <c r="EB22"/>
      <c r="EC22"/>
      <c r="EG22"/>
      <c r="EH22"/>
      <c r="EI22"/>
      <c r="EJ22"/>
      <c r="EK22"/>
      <c r="EL22"/>
      <c r="EM22"/>
      <c r="EQ22"/>
      <c r="ER22"/>
      <c r="ES22"/>
      <c r="ET22"/>
      <c r="EU22"/>
      <c r="EV22"/>
      <c r="EZ22"/>
      <c r="FA22"/>
      <c r="FB22"/>
      <c r="FC22"/>
      <c r="FD22"/>
      <c r="FE22"/>
      <c r="FI22"/>
      <c r="FJ22"/>
      <c r="FK22"/>
      <c r="FL22"/>
      <c r="FM22"/>
      <c r="FN22"/>
      <c r="FR22"/>
      <c r="FS22"/>
      <c r="FT22"/>
      <c r="FU22"/>
      <c r="FV22"/>
      <c r="FW22"/>
      <c r="GA22"/>
      <c r="GB22"/>
      <c r="GC22"/>
      <c r="GD22"/>
      <c r="GE22"/>
      <c r="GF22"/>
      <c r="GJ22"/>
      <c r="GK22"/>
      <c r="GL22"/>
      <c r="GM22"/>
      <c r="GN22"/>
      <c r="GO22"/>
    </row>
    <row r="23" spans="1:197" s="5" customFormat="1" ht="29.4" customHeight="1" x14ac:dyDescent="0.3">
      <c r="A23" s="40" t="s">
        <v>129</v>
      </c>
      <c r="B23" s="40" t="s">
        <v>617</v>
      </c>
      <c r="C23" s="40" t="s">
        <v>618</v>
      </c>
      <c r="D23" s="14" t="s">
        <v>105</v>
      </c>
      <c r="E23" s="14" t="s">
        <v>107</v>
      </c>
      <c r="F23" s="14" t="s">
        <v>543</v>
      </c>
      <c r="G23" s="14" t="s">
        <v>137</v>
      </c>
      <c r="H23" s="14" t="s">
        <v>110</v>
      </c>
      <c r="I23" s="442" t="s">
        <v>619</v>
      </c>
      <c r="J23" s="442" t="s">
        <v>112</v>
      </c>
      <c r="K23" s="38"/>
      <c r="L23" s="41"/>
      <c r="M23" s="40" t="s">
        <v>129</v>
      </c>
      <c r="N23" s="371" t="s">
        <v>130</v>
      </c>
      <c r="O23" s="372" t="s">
        <v>104</v>
      </c>
      <c r="P23" s="16" t="s">
        <v>105</v>
      </c>
      <c r="Q23" s="15" t="s">
        <v>107</v>
      </c>
      <c r="R23" s="15" t="s">
        <v>106</v>
      </c>
      <c r="S23" s="15" t="s">
        <v>108</v>
      </c>
      <c r="T23" s="15" t="s">
        <v>109</v>
      </c>
      <c r="U23" s="15" t="s">
        <v>110</v>
      </c>
      <c r="V23" s="373" t="s">
        <v>620</v>
      </c>
      <c r="W23" s="373" t="s">
        <v>651</v>
      </c>
      <c r="X23" s="373" t="s">
        <v>652</v>
      </c>
      <c r="Y23" s="373" t="s">
        <v>621</v>
      </c>
      <c r="Z23" s="373" t="s">
        <v>653</v>
      </c>
      <c r="AA23" s="373" t="s">
        <v>622</v>
      </c>
      <c r="AC23" s="40" t="s">
        <v>129</v>
      </c>
      <c r="AD23" s="40" t="s">
        <v>130</v>
      </c>
      <c r="AE23" s="14" t="s">
        <v>104</v>
      </c>
      <c r="AF23" s="16" t="s">
        <v>105</v>
      </c>
      <c r="AG23" s="15" t="s">
        <v>107</v>
      </c>
      <c r="AH23" s="15" t="s">
        <v>106</v>
      </c>
      <c r="AI23" s="15" t="s">
        <v>108</v>
      </c>
      <c r="AJ23" s="15" t="s">
        <v>110</v>
      </c>
      <c r="AK23" s="373" t="s">
        <v>620</v>
      </c>
      <c r="AL23" s="373" t="s">
        <v>651</v>
      </c>
      <c r="AM23" s="373" t="s">
        <v>621</v>
      </c>
      <c r="AN23" s="373" t="s">
        <v>653</v>
      </c>
      <c r="AO23" s="373" t="s">
        <v>622</v>
      </c>
      <c r="AP23" s="38"/>
      <c r="AR23" s="40" t="s">
        <v>129</v>
      </c>
      <c r="AS23" s="40" t="s">
        <v>130</v>
      </c>
      <c r="AT23" s="14" t="s">
        <v>104</v>
      </c>
      <c r="AU23" s="16" t="s">
        <v>105</v>
      </c>
      <c r="AV23" s="15" t="s">
        <v>107</v>
      </c>
      <c r="AW23" s="15" t="s">
        <v>106</v>
      </c>
      <c r="AX23" s="15" t="s">
        <v>108</v>
      </c>
      <c r="AY23" s="15" t="s">
        <v>110</v>
      </c>
      <c r="AZ23" s="373" t="s">
        <v>620</v>
      </c>
      <c r="BA23" s="373" t="s">
        <v>651</v>
      </c>
      <c r="BB23" s="373" t="s">
        <v>652</v>
      </c>
      <c r="BC23" s="373" t="s">
        <v>621</v>
      </c>
      <c r="BD23" s="373" t="s">
        <v>653</v>
      </c>
      <c r="BE23" s="373" t="s">
        <v>622</v>
      </c>
      <c r="BG23" s="40" t="s">
        <v>129</v>
      </c>
      <c r="BH23" s="40" t="s">
        <v>130</v>
      </c>
      <c r="BI23" s="14" t="s">
        <v>104</v>
      </c>
      <c r="BJ23" s="16" t="s">
        <v>105</v>
      </c>
      <c r="BK23" s="15" t="s">
        <v>107</v>
      </c>
      <c r="BL23" s="15" t="s">
        <v>106</v>
      </c>
      <c r="BM23" s="15" t="s">
        <v>108</v>
      </c>
      <c r="BN23" s="15" t="s">
        <v>654</v>
      </c>
      <c r="BO23" s="15" t="s">
        <v>110</v>
      </c>
      <c r="BP23" s="434" t="s">
        <v>620</v>
      </c>
      <c r="BQ23" s="373" t="s">
        <v>651</v>
      </c>
      <c r="BR23" s="373" t="s">
        <v>621</v>
      </c>
      <c r="BS23" s="373" t="s">
        <v>653</v>
      </c>
      <c r="BT23" s="373" t="s">
        <v>622</v>
      </c>
      <c r="BV23" s="40" t="s">
        <v>129</v>
      </c>
      <c r="BW23" s="40" t="s">
        <v>130</v>
      </c>
      <c r="BX23" s="14" t="s">
        <v>104</v>
      </c>
      <c r="BY23" s="16" t="s">
        <v>105</v>
      </c>
      <c r="BZ23" s="15" t="s">
        <v>107</v>
      </c>
      <c r="CA23" s="15" t="s">
        <v>106</v>
      </c>
      <c r="CB23" s="15" t="s">
        <v>138</v>
      </c>
      <c r="CC23" s="15" t="s">
        <v>108</v>
      </c>
      <c r="CD23" s="15" t="s">
        <v>139</v>
      </c>
      <c r="CE23" s="15" t="s">
        <v>110</v>
      </c>
      <c r="CF23" s="434" t="s">
        <v>620</v>
      </c>
      <c r="CG23" s="373" t="s">
        <v>651</v>
      </c>
      <c r="CH23" s="373" t="s">
        <v>621</v>
      </c>
      <c r="CI23" s="373" t="s">
        <v>653</v>
      </c>
      <c r="CJ23" s="373" t="s">
        <v>622</v>
      </c>
      <c r="CL23" s="40" t="s">
        <v>129</v>
      </c>
      <c r="CM23" s="40" t="s">
        <v>130</v>
      </c>
      <c r="CN23" s="14" t="s">
        <v>104</v>
      </c>
      <c r="CO23" s="16" t="s">
        <v>105</v>
      </c>
      <c r="CP23" s="430" t="s">
        <v>107</v>
      </c>
      <c r="CQ23" s="15" t="s">
        <v>106</v>
      </c>
      <c r="CR23" s="15" t="s">
        <v>108</v>
      </c>
      <c r="CS23" s="15" t="s">
        <v>110</v>
      </c>
      <c r="CU23" s="40" t="s">
        <v>129</v>
      </c>
      <c r="CV23" s="40" t="s">
        <v>130</v>
      </c>
      <c r="CW23" s="14" t="s">
        <v>104</v>
      </c>
      <c r="CX23" s="16" t="s">
        <v>105</v>
      </c>
      <c r="CY23" s="15" t="s">
        <v>107</v>
      </c>
      <c r="CZ23" s="15" t="s">
        <v>106</v>
      </c>
      <c r="DA23" s="15" t="s">
        <v>108</v>
      </c>
      <c r="DB23" s="15" t="s">
        <v>110</v>
      </c>
      <c r="DD23" s="40" t="s">
        <v>129</v>
      </c>
      <c r="DE23" s="40" t="s">
        <v>130</v>
      </c>
      <c r="DF23" s="14" t="s">
        <v>104</v>
      </c>
      <c r="DG23" s="16" t="s">
        <v>105</v>
      </c>
      <c r="DH23" s="15" t="s">
        <v>107</v>
      </c>
      <c r="DI23" s="15" t="s">
        <v>106</v>
      </c>
      <c r="DJ23" s="15" t="s">
        <v>108</v>
      </c>
      <c r="DK23" s="15" t="s">
        <v>110</v>
      </c>
      <c r="DM23" s="40" t="s">
        <v>129</v>
      </c>
      <c r="DN23" s="40" t="s">
        <v>130</v>
      </c>
      <c r="DO23" s="14" t="s">
        <v>104</v>
      </c>
      <c r="DP23" s="16" t="s">
        <v>105</v>
      </c>
      <c r="DQ23" s="15" t="s">
        <v>107</v>
      </c>
      <c r="DR23" s="15" t="s">
        <v>106</v>
      </c>
      <c r="DS23" s="15" t="s">
        <v>108</v>
      </c>
      <c r="DT23" s="15" t="s">
        <v>110</v>
      </c>
      <c r="DV23" s="40"/>
      <c r="DW23" s="40"/>
      <c r="DX23" s="14"/>
      <c r="DY23" s="16"/>
      <c r="DZ23" s="15"/>
      <c r="EA23" s="15"/>
      <c r="EB23" s="15"/>
      <c r="EC23" s="15"/>
      <c r="EE23" s="40" t="s">
        <v>129</v>
      </c>
      <c r="EF23" s="40" t="s">
        <v>130</v>
      </c>
      <c r="EG23" s="14" t="s">
        <v>104</v>
      </c>
      <c r="EH23" s="16" t="s">
        <v>105</v>
      </c>
      <c r="EI23" s="15" t="s">
        <v>107</v>
      </c>
      <c r="EJ23" s="15" t="s">
        <v>106</v>
      </c>
      <c r="EK23" s="15" t="s">
        <v>108</v>
      </c>
      <c r="EL23" s="15" t="s">
        <v>139</v>
      </c>
      <c r="EM23" s="15" t="s">
        <v>110</v>
      </c>
      <c r="EO23" s="40" t="s">
        <v>129</v>
      </c>
      <c r="EP23" s="40" t="s">
        <v>130</v>
      </c>
      <c r="EQ23" s="14" t="s">
        <v>104</v>
      </c>
      <c r="ER23" s="16" t="s">
        <v>105</v>
      </c>
      <c r="ES23" s="15" t="s">
        <v>107</v>
      </c>
      <c r="ET23" s="15" t="s">
        <v>106</v>
      </c>
      <c r="EU23" s="15" t="s">
        <v>108</v>
      </c>
      <c r="EV23" s="15" t="s">
        <v>110</v>
      </c>
      <c r="EX23" s="40" t="s">
        <v>129</v>
      </c>
      <c r="EY23" s="40" t="s">
        <v>130</v>
      </c>
      <c r="EZ23" s="14" t="s">
        <v>104</v>
      </c>
      <c r="FA23" s="16" t="s">
        <v>105</v>
      </c>
      <c r="FB23" s="15" t="s">
        <v>107</v>
      </c>
      <c r="FC23" s="15" t="s">
        <v>106</v>
      </c>
      <c r="FD23" s="15" t="s">
        <v>108</v>
      </c>
      <c r="FE23" s="15" t="s">
        <v>110</v>
      </c>
      <c r="FG23" s="40" t="s">
        <v>129</v>
      </c>
      <c r="FH23" s="40" t="s">
        <v>130</v>
      </c>
      <c r="FI23" s="14" t="s">
        <v>104</v>
      </c>
      <c r="FJ23" s="16" t="s">
        <v>105</v>
      </c>
      <c r="FK23" s="15" t="s">
        <v>107</v>
      </c>
      <c r="FL23" s="15" t="s">
        <v>106</v>
      </c>
      <c r="FM23" s="15" t="s">
        <v>108</v>
      </c>
      <c r="FN23" s="15" t="s">
        <v>110</v>
      </c>
      <c r="FP23" s="40" t="s">
        <v>129</v>
      </c>
      <c r="FQ23" s="40" t="s">
        <v>130</v>
      </c>
      <c r="FR23" s="14" t="s">
        <v>104</v>
      </c>
      <c r="FS23" s="16" t="s">
        <v>105</v>
      </c>
      <c r="FT23" s="15" t="s">
        <v>107</v>
      </c>
      <c r="FU23" s="15" t="s">
        <v>106</v>
      </c>
      <c r="FV23" s="15" t="s">
        <v>108</v>
      </c>
      <c r="FW23" s="15" t="s">
        <v>110</v>
      </c>
      <c r="FY23" s="40" t="s">
        <v>129</v>
      </c>
      <c r="FZ23" s="40" t="s">
        <v>130</v>
      </c>
      <c r="GA23" s="14" t="s">
        <v>104</v>
      </c>
      <c r="GB23" s="16" t="s">
        <v>105</v>
      </c>
      <c r="GC23" s="15" t="s">
        <v>107</v>
      </c>
      <c r="GD23" s="15" t="s">
        <v>106</v>
      </c>
      <c r="GE23" s="15" t="s">
        <v>108</v>
      </c>
      <c r="GF23" s="15" t="s">
        <v>110</v>
      </c>
      <c r="GH23" s="40" t="s">
        <v>129</v>
      </c>
      <c r="GI23" s="40" t="s">
        <v>130</v>
      </c>
      <c r="GJ23" s="14" t="s">
        <v>104</v>
      </c>
      <c r="GK23" s="16" t="s">
        <v>105</v>
      </c>
      <c r="GL23" s="15" t="s">
        <v>107</v>
      </c>
      <c r="GM23" s="15" t="s">
        <v>106</v>
      </c>
      <c r="GN23" s="15" t="s">
        <v>108</v>
      </c>
      <c r="GO23" s="15" t="s">
        <v>110</v>
      </c>
    </row>
    <row r="24" spans="1:197" s="5" customFormat="1" x14ac:dyDescent="0.3">
      <c r="A24" s="20"/>
      <c r="B24" s="20"/>
      <c r="C24" s="20"/>
      <c r="D24" s="18"/>
      <c r="E24" s="17"/>
      <c r="F24" s="42">
        <f>+SUM(F26:F1150)</f>
        <v>246374008.58520371</v>
      </c>
      <c r="G24" s="42">
        <f>+SUM(G26:G1150)</f>
        <v>48100039.441981733</v>
      </c>
      <c r="H24" s="17"/>
      <c r="I24" s="376"/>
      <c r="J24" s="376"/>
      <c r="K24" s="39"/>
      <c r="L24"/>
      <c r="M24" s="20"/>
      <c r="N24" s="374"/>
      <c r="O24" s="375"/>
      <c r="P24" s="18"/>
      <c r="Q24" s="17"/>
      <c r="R24" s="513">
        <f>+SUM(R30:R1150)</f>
        <v>132194441.43098238</v>
      </c>
      <c r="S24" s="17"/>
      <c r="T24" s="17"/>
      <c r="U24" s="17"/>
      <c r="V24" s="376"/>
      <c r="W24" s="376"/>
      <c r="X24" s="376"/>
      <c r="Y24" s="376"/>
      <c r="Z24" s="376"/>
      <c r="AA24" s="376"/>
      <c r="AC24" s="20"/>
      <c r="AD24" s="20"/>
      <c r="AE24" s="17"/>
      <c r="AF24" s="18"/>
      <c r="AG24" s="514"/>
      <c r="AH24" s="514">
        <f>+SUM(AH28:AH1150)</f>
        <v>1241907.9300000004</v>
      </c>
      <c r="AI24" s="17"/>
      <c r="AJ24" s="17"/>
      <c r="AK24" s="376"/>
      <c r="AL24" s="376"/>
      <c r="AM24" s="376"/>
      <c r="AN24" s="376"/>
      <c r="AO24" s="376"/>
      <c r="AP24" s="39"/>
      <c r="AR24" s="20"/>
      <c r="AS24" s="20"/>
      <c r="AT24" s="17"/>
      <c r="AU24" s="18"/>
      <c r="AV24" s="17"/>
      <c r="AW24" s="514">
        <f>+SUM(AW29:AW1150)</f>
        <v>15996516.062482132</v>
      </c>
      <c r="AX24" s="17"/>
      <c r="AY24" s="17"/>
      <c r="AZ24" s="376"/>
      <c r="BA24" s="376"/>
      <c r="BB24" s="376"/>
      <c r="BC24" s="376"/>
      <c r="BD24" s="376"/>
      <c r="BE24" s="376"/>
      <c r="BG24" s="20"/>
      <c r="BH24" s="20"/>
      <c r="BI24" s="17"/>
      <c r="BJ24" s="18"/>
      <c r="BK24" s="17"/>
      <c r="BL24" s="514">
        <f>+SUM(BL29:BL1150)</f>
        <v>53476614.029999994</v>
      </c>
      <c r="BM24" s="17"/>
      <c r="BN24" s="17"/>
      <c r="BO24" s="17"/>
      <c r="BP24" s="450"/>
      <c r="BQ24" s="376"/>
      <c r="BR24" s="376"/>
      <c r="BS24" s="376"/>
      <c r="BT24" s="376"/>
      <c r="BV24" s="20"/>
      <c r="BW24" s="20"/>
      <c r="BX24" s="17"/>
      <c r="BY24" s="18"/>
      <c r="BZ24" s="17"/>
      <c r="CA24" s="514">
        <f>+SUM(CA28:CA1150)</f>
        <v>1039256.4429633131</v>
      </c>
      <c r="CB24" s="514">
        <f>+SUM(CB28:CB1150)</f>
        <v>59249.998775736378</v>
      </c>
      <c r="CC24" s="17"/>
      <c r="CD24" s="17"/>
      <c r="CE24" s="17"/>
      <c r="CF24" s="450"/>
      <c r="CG24" s="376"/>
      <c r="CH24" s="376"/>
      <c r="CI24" s="376"/>
      <c r="CJ24" s="376"/>
      <c r="CL24" s="20"/>
      <c r="CM24" s="20"/>
      <c r="CN24" s="17"/>
      <c r="CO24" s="18"/>
      <c r="CP24" s="432"/>
      <c r="CQ24" s="514">
        <f>+SUM(CQ28:CQ1150)</f>
        <v>1669085.8500000003</v>
      </c>
      <c r="CR24" s="17"/>
      <c r="CS24" s="17"/>
      <c r="CU24" s="20"/>
      <c r="CV24" s="20"/>
      <c r="CW24" s="17"/>
      <c r="CX24" s="18"/>
      <c r="CY24" s="17"/>
      <c r="CZ24" s="514">
        <f>+SUM(CZ27:CZ1150)</f>
        <v>25661049.419999991</v>
      </c>
      <c r="DA24" s="17"/>
      <c r="DB24" s="17"/>
      <c r="DD24" s="20"/>
      <c r="DE24" s="20"/>
      <c r="DF24" s="17"/>
      <c r="DG24" s="18"/>
      <c r="DH24" s="17"/>
      <c r="DI24" s="514">
        <f>+SUM(DI27:DI1150)</f>
        <v>9116955.5000000019</v>
      </c>
      <c r="DJ24" s="17"/>
      <c r="DK24" s="17"/>
      <c r="DM24" s="20"/>
      <c r="DN24" s="20"/>
      <c r="DO24" s="17"/>
      <c r="DP24" s="18"/>
      <c r="DQ24" s="17"/>
      <c r="DR24" s="514">
        <f>+SUM(DR27:DR1150)</f>
        <v>1109707.9600000007</v>
      </c>
      <c r="DS24" s="17"/>
      <c r="DT24" s="17"/>
      <c r="DV24" s="20"/>
      <c r="DW24" s="20"/>
      <c r="DX24" s="17"/>
      <c r="DY24" s="18"/>
      <c r="DZ24" s="17"/>
      <c r="EA24" s="17"/>
      <c r="EB24" s="17"/>
      <c r="EC24" s="17"/>
      <c r="EE24" s="20"/>
      <c r="EF24" s="20"/>
      <c r="EG24" s="17"/>
      <c r="EH24" s="18"/>
      <c r="EI24" s="17"/>
      <c r="EJ24" s="514">
        <f>+SUM(EJ27:EJ1150)</f>
        <v>2794681.5</v>
      </c>
      <c r="EK24" s="17"/>
      <c r="EL24" s="17"/>
      <c r="EM24" s="17"/>
      <c r="EO24" s="20"/>
      <c r="EP24" s="20"/>
      <c r="EQ24" s="17"/>
      <c r="ER24" s="18"/>
      <c r="ES24" s="17"/>
      <c r="ET24" s="514">
        <f>+SUM(ET27:ET1150)</f>
        <v>309433.84000000003</v>
      </c>
      <c r="EU24" s="17"/>
      <c r="EV24" s="17"/>
      <c r="EX24" s="20"/>
      <c r="EY24" s="20"/>
      <c r="EZ24" s="17"/>
      <c r="FA24" s="18"/>
      <c r="FB24" s="17"/>
      <c r="FC24" s="514">
        <f>+SUM(FC27:FC1150)</f>
        <v>309433.84000000003</v>
      </c>
      <c r="FD24" s="17"/>
      <c r="FE24" s="17"/>
      <c r="FG24" s="20"/>
      <c r="FH24" s="20"/>
      <c r="FI24" s="17"/>
      <c r="FJ24" s="18"/>
      <c r="FK24" s="17"/>
      <c r="FL24" s="514">
        <f>+SUM(FL27:FL1150)</f>
        <v>309433.84000000003</v>
      </c>
      <c r="FM24" s="17"/>
      <c r="FN24" s="17"/>
      <c r="FP24" s="20"/>
      <c r="FQ24" s="20"/>
      <c r="FR24" s="17"/>
      <c r="FS24" s="18"/>
      <c r="FT24" s="17"/>
      <c r="FU24" s="514">
        <f>+SUM(FU27:FU1150)</f>
        <v>309433.84000000003</v>
      </c>
      <c r="FV24" s="17"/>
      <c r="FW24" s="17"/>
      <c r="FY24" s="20"/>
      <c r="FZ24" s="20"/>
      <c r="GA24" s="17"/>
      <c r="GB24" s="18"/>
      <c r="GC24" s="17"/>
      <c r="GD24" s="514">
        <f>+SUM(GD27:GD1150)</f>
        <v>388403.55000000005</v>
      </c>
      <c r="GE24" s="17"/>
      <c r="GF24" s="17"/>
      <c r="GH24" s="20"/>
      <c r="GI24" s="20"/>
      <c r="GJ24" s="17"/>
      <c r="GK24" s="18"/>
      <c r="GL24" s="17"/>
      <c r="GM24" s="514">
        <f>+SUM(GM27:GM1150)</f>
        <v>388403.55000000005</v>
      </c>
      <c r="GN24" s="17"/>
      <c r="GO24" s="17"/>
    </row>
    <row r="25" spans="1:197" x14ac:dyDescent="0.3">
      <c r="A25" s="19">
        <v>0</v>
      </c>
      <c r="B25" s="429">
        <f>+WEEKNUM(C25,2)</f>
        <v>35</v>
      </c>
      <c r="C25" s="21">
        <v>45900</v>
      </c>
      <c r="D25" s="22"/>
      <c r="E25" s="4">
        <f>+SUM(F26:F1150)</f>
        <v>246374008.58520371</v>
      </c>
      <c r="F25" s="23"/>
      <c r="G25" s="23"/>
      <c r="H25" s="23"/>
      <c r="I25" s="383"/>
      <c r="J25" s="383"/>
      <c r="K25" s="4"/>
      <c r="M25" s="377">
        <v>0</v>
      </c>
      <c r="N25" s="378">
        <f>+EOMONTH(O25,0)</f>
        <v>45535</v>
      </c>
      <c r="O25" s="378">
        <v>45505.999999935608</v>
      </c>
      <c r="P25" s="379">
        <f>+Q13</f>
        <v>132194441.43098247</v>
      </c>
      <c r="Q25" s="191">
        <v>132351920.09834886</v>
      </c>
      <c r="R25" s="191"/>
      <c r="S25" s="191"/>
      <c r="T25" s="191"/>
      <c r="U25" s="191"/>
      <c r="V25" s="380"/>
      <c r="W25" s="380"/>
      <c r="X25" s="380"/>
      <c r="Y25" s="380"/>
      <c r="Z25" s="380"/>
      <c r="AA25" s="380"/>
      <c r="AC25" s="187">
        <v>0</v>
      </c>
      <c r="AD25" s="21">
        <f>+EOMONTH(AE25,0)</f>
        <v>45716</v>
      </c>
      <c r="AE25" s="34">
        <v>45712</v>
      </c>
      <c r="AF25" s="22"/>
      <c r="AG25" s="23">
        <v>1345589.51</v>
      </c>
      <c r="AH25" s="23"/>
      <c r="AI25" s="23"/>
      <c r="AJ25" s="23"/>
      <c r="AK25" s="380"/>
      <c r="AL25" s="380"/>
      <c r="AM25" s="380"/>
      <c r="AN25" s="380"/>
      <c r="AO25" s="380"/>
      <c r="AP25" s="4"/>
      <c r="AR25" s="19">
        <v>0</v>
      </c>
      <c r="AS25" s="21">
        <f>+EOMONTH(AT25,0)</f>
        <v>45657</v>
      </c>
      <c r="AT25" s="34">
        <v>45656</v>
      </c>
      <c r="AU25" s="22"/>
      <c r="AV25" s="4">
        <v>15996516.062482124</v>
      </c>
      <c r="AW25" s="23"/>
      <c r="AX25" s="23"/>
      <c r="AY25" s="23"/>
      <c r="AZ25" s="380"/>
      <c r="BA25" s="380"/>
      <c r="BB25" s="380"/>
      <c r="BC25" s="380"/>
      <c r="BD25" s="380"/>
      <c r="BE25" s="380"/>
      <c r="BG25" s="19">
        <v>0</v>
      </c>
      <c r="BH25" s="21">
        <f>+EOMONTH(BI25,0)</f>
        <v>45747</v>
      </c>
      <c r="BI25" s="34">
        <v>45736</v>
      </c>
      <c r="BJ25" s="22"/>
      <c r="BK25" s="4">
        <v>53476614.030000001</v>
      </c>
      <c r="BL25" s="23"/>
      <c r="BM25" s="23"/>
      <c r="BN25" s="23"/>
      <c r="BO25" s="23"/>
      <c r="BP25" s="426"/>
      <c r="BQ25" s="380"/>
      <c r="BR25" s="380"/>
      <c r="BS25" s="380"/>
      <c r="BT25" s="380"/>
      <c r="BV25" s="19">
        <v>0</v>
      </c>
      <c r="BW25" s="21">
        <f>+EOMONTH(BX25,0)</f>
        <v>45688</v>
      </c>
      <c r="BX25" s="34">
        <v>45677</v>
      </c>
      <c r="BY25" s="22"/>
      <c r="BZ25" s="4">
        <v>1154729.3887641237</v>
      </c>
      <c r="CA25" s="23"/>
      <c r="CB25" s="23"/>
      <c r="CC25" s="23"/>
      <c r="CD25" s="23"/>
      <c r="CE25" s="23"/>
      <c r="CF25" s="426"/>
      <c r="CG25" s="380"/>
      <c r="CH25" s="380"/>
      <c r="CI25" s="380"/>
      <c r="CJ25" s="380"/>
      <c r="CL25" s="19">
        <v>0</v>
      </c>
      <c r="CM25" s="21">
        <f>+EOMONTH(CN25,0)</f>
        <v>45716</v>
      </c>
      <c r="CN25" s="34">
        <v>45700</v>
      </c>
      <c r="CO25" s="22"/>
      <c r="CP25" s="4">
        <v>1669085.8500000003</v>
      </c>
      <c r="CQ25" s="23"/>
      <c r="CR25" s="23"/>
      <c r="CS25" s="23"/>
      <c r="CU25" s="19">
        <v>0</v>
      </c>
      <c r="CV25" s="21">
        <f>+EOMONTH(CW25,0)</f>
        <v>45869</v>
      </c>
      <c r="CW25" s="13">
        <v>45848</v>
      </c>
      <c r="CX25" s="22"/>
      <c r="CY25" s="4">
        <v>26010060.698803104</v>
      </c>
      <c r="CZ25" s="23"/>
      <c r="DA25" s="23"/>
      <c r="DB25" s="23"/>
      <c r="DC25" s="188"/>
      <c r="DD25" s="19">
        <v>0</v>
      </c>
      <c r="DE25" s="21">
        <f>+EOMONTH(DF25,0)</f>
        <v>45747</v>
      </c>
      <c r="DF25" s="13">
        <v>45721</v>
      </c>
      <c r="DG25" s="22"/>
      <c r="DH25" s="4">
        <v>9116955.5388674606</v>
      </c>
      <c r="DI25" s="23"/>
      <c r="DJ25" s="23"/>
      <c r="DK25" s="23"/>
      <c r="DM25" s="19">
        <v>0</v>
      </c>
      <c r="DN25" s="21">
        <f t="shared" ref="DN25:DN58" si="0">+EOMONTH(DO25,0)</f>
        <v>45747</v>
      </c>
      <c r="DO25" s="13">
        <v>45721</v>
      </c>
      <c r="DP25" s="22"/>
      <c r="DQ25" s="4">
        <v>1109707.8726865982</v>
      </c>
      <c r="DR25" s="23"/>
      <c r="DS25" s="23"/>
      <c r="DT25" s="23"/>
      <c r="DV25" s="19"/>
      <c r="DW25" s="21"/>
      <c r="DX25" s="13"/>
      <c r="DY25" s="22"/>
      <c r="DZ25" s="4"/>
      <c r="EA25" s="23"/>
      <c r="EB25" s="23"/>
      <c r="EC25" s="23"/>
      <c r="EE25" s="19">
        <v>0</v>
      </c>
      <c r="EF25" s="21">
        <f>+EOMONTH(EG25,0)</f>
        <v>45657</v>
      </c>
      <c r="EG25" s="34">
        <v>45657</v>
      </c>
      <c r="EH25" s="22"/>
      <c r="EI25" s="4">
        <v>2794681.5</v>
      </c>
      <c r="EJ25" s="23"/>
      <c r="EK25" s="23"/>
      <c r="EL25" s="23"/>
      <c r="EM25" s="23"/>
      <c r="EO25" s="19">
        <v>0</v>
      </c>
      <c r="EP25" s="21">
        <f>+EOMONTH(EQ25,0)</f>
        <v>45747</v>
      </c>
      <c r="EQ25" s="13">
        <f>+EQ26-90</f>
        <v>45742</v>
      </c>
      <c r="ER25" s="22"/>
      <c r="ES25" s="4">
        <v>346343.01400000002</v>
      </c>
      <c r="ET25" s="23"/>
      <c r="EU25" s="23"/>
      <c r="EV25" s="23"/>
      <c r="EX25" s="19">
        <v>0</v>
      </c>
      <c r="EY25" s="21">
        <f>+EOMONTH(EZ25,0)</f>
        <v>45747</v>
      </c>
      <c r="EZ25" s="13">
        <f>+EZ26-90</f>
        <v>45742</v>
      </c>
      <c r="FA25" s="22"/>
      <c r="FB25" s="4">
        <v>346343.01400000002</v>
      </c>
      <c r="FC25" s="23"/>
      <c r="FD25" s="23"/>
      <c r="FE25" s="23"/>
      <c r="FG25" s="19">
        <v>0</v>
      </c>
      <c r="FH25" s="21">
        <f>+EOMONTH(FI25,0)</f>
        <v>45747</v>
      </c>
      <c r="FI25" s="13">
        <f>+FI26-90</f>
        <v>45742</v>
      </c>
      <c r="FJ25" s="22"/>
      <c r="FK25" s="4">
        <v>346343.01400000002</v>
      </c>
      <c r="FL25" s="23"/>
      <c r="FM25" s="23"/>
      <c r="FN25" s="23"/>
      <c r="FP25" s="19">
        <v>0</v>
      </c>
      <c r="FQ25" s="21">
        <f>+EOMONTH(FR25,0)</f>
        <v>45747</v>
      </c>
      <c r="FR25" s="13">
        <f>+FR26-90</f>
        <v>45742</v>
      </c>
      <c r="FS25" s="22"/>
      <c r="FT25" s="4">
        <v>346343.01400000002</v>
      </c>
      <c r="FU25" s="23"/>
      <c r="FV25" s="23"/>
      <c r="FW25" s="23"/>
      <c r="FY25" s="19">
        <v>0</v>
      </c>
      <c r="FZ25" s="21">
        <f>+EOMONTH(GA25,0)</f>
        <v>45747</v>
      </c>
      <c r="GA25" s="13">
        <f>+GA26-90</f>
        <v>45724</v>
      </c>
      <c r="GB25" s="22"/>
      <c r="GC25" s="4">
        <v>426409.54</v>
      </c>
      <c r="GD25" s="23"/>
      <c r="GE25" s="23"/>
      <c r="GF25" s="23"/>
      <c r="GH25" s="19">
        <v>0</v>
      </c>
      <c r="GI25" s="21">
        <f>+EOMONTH(GJ25,0)</f>
        <v>45747</v>
      </c>
      <c r="GJ25" s="13">
        <v>45724</v>
      </c>
      <c r="GK25" s="22"/>
      <c r="GL25" s="4">
        <v>426409.54</v>
      </c>
      <c r="GM25" s="23"/>
      <c r="GN25" s="23"/>
      <c r="GO25" s="23"/>
    </row>
    <row r="26" spans="1:197" x14ac:dyDescent="0.3">
      <c r="A26" s="1">
        <v>1</v>
      </c>
      <c r="B26" s="3">
        <f t="shared" ref="B26:B89" si="1">+WEEKNUM(C26,2)</f>
        <v>40</v>
      </c>
      <c r="C26" s="13">
        <f>+EOMONTH(C25,1)</f>
        <v>45930</v>
      </c>
      <c r="D26" s="12"/>
      <c r="E26" s="4">
        <f>+E25+D26-F26</f>
        <v>245796596.17520371</v>
      </c>
      <c r="F26" s="4">
        <f>+SUMIF(N:N,C26,R:R)+SUMIF(AD:AD,C26,AH:AH)+SUMIF(AS:AS,C26,AW:AW)+SUMIF(BH:BH,C26,BL:BL)+SUMIF(BW:BW,C26,CA:CA)+SUMIF(BW:BW,C26,CB:CB)+SUMIF(CM:CM,C26,CQ:CQ)+SUMIF(CV:CV,C26,CZ:CZ)+SUMIF(DE:DE,C26,DI:DI)+SUMIF(DN:DN,C26,DR:DR)+SUMIF(DW:DW,C26,EA:EA)+SUMIF(EF:EF,C26,EJ:EJ)+SUMIF(EP:EP,C26,ET:ET)+SUMIF(EY:EY,C26,FC:FC)+SUMIF(FH:FH,C26,FL:FL)+SUMIF(FQ:FQ,C26,FU:FU)+SUMIF(FZ:FZ,C26,GD:GD)+SUMIF(GI:GI,C26,GM:GM)</f>
        <v>577412.41</v>
      </c>
      <c r="G26" s="4">
        <f>+SUMIF(N:N,C26,S:S)+SUMIF(N:N,C26,T:T)+SUMIF(AD:AD,C26,AI:AI)+SUMIF(AS:AS,C26,AX:AX)+SUMIF(BH:BH,C26,BM:BM)+SUMIF(BW:BW,C26,CD:CD)+SUMIF(BW:BW,C26,CC:CC)+SUMIF(CM:CM,C26,CR:CR)+SUMIF(CV:CV,C26,DA:DA)+SUMIF(DE:DE,C26,DJ:DJ)+SUMIF(DN:DN,C26,DS:DS)+SUMIF(DX:DX,C26,EB:EB)+SUMIF(EG:EG,C26,EK:EK)+SUMIF(EP:EP,C26,EU:EU)+SUMIF(EY:EY,C26,FD:FD)+SUMIF(FH:FH,C26,FM:FM)+SUMIF(FQ:FQ,C26,FV:FV)+SUMIF(FZ:FZ,C26,GE:GE)+SUMIF(GI:GI,C26,GN:GN)</f>
        <v>1126666.7464521497</v>
      </c>
      <c r="H26" s="4">
        <f>+SUM(F26:G26)</f>
        <v>1704079.1564521496</v>
      </c>
      <c r="I26" s="383"/>
      <c r="J26" s="383"/>
      <c r="K26" s="4"/>
      <c r="M26" s="189">
        <v>1</v>
      </c>
      <c r="N26" s="381">
        <f t="shared" ref="N26:N55" si="2">+EOMONTH(O26,0)</f>
        <v>45626</v>
      </c>
      <c r="O26" s="381">
        <v>45611</v>
      </c>
      <c r="P26" s="382"/>
      <c r="Q26" s="190">
        <f t="shared" ref="Q26:Q55" si="3">+Q25-R26</f>
        <v>132312550.43150726</v>
      </c>
      <c r="R26" s="190">
        <f>+$Q$20</f>
        <v>39369.666841595892</v>
      </c>
      <c r="S26" s="190">
        <f>+Q25*Q$5*(O26-O25)/360</f>
        <v>2316158.6031415104</v>
      </c>
      <c r="T26" s="190">
        <f>+$Q$17/$Q$18</f>
        <v>471550.5461533799</v>
      </c>
      <c r="U26" s="190">
        <f>+SUM(R26:T26)</f>
        <v>2827078.8161364864</v>
      </c>
      <c r="V26" s="383"/>
      <c r="W26" s="383"/>
      <c r="X26" s="383"/>
      <c r="Y26" s="383"/>
      <c r="Z26" s="383"/>
      <c r="AA26" s="383"/>
      <c r="AC26" s="55">
        <v>1</v>
      </c>
      <c r="AD26" s="13">
        <f t="shared" ref="AD26:AD50" si="4">+EOMONTH(AE26,0)</f>
        <v>45808</v>
      </c>
      <c r="AE26" s="13">
        <v>45779</v>
      </c>
      <c r="AF26" s="12"/>
      <c r="AG26" s="4">
        <f>+AG25+AF26-AH26</f>
        <v>1293748.72</v>
      </c>
      <c r="AH26" s="4">
        <f>+AG19</f>
        <v>51840.79</v>
      </c>
      <c r="AI26" s="4">
        <f>+AG25*AG$5*(AE26-AE25)/360</f>
        <v>13773.603734305556</v>
      </c>
      <c r="AJ26" s="4">
        <f>+SUM(AH26:AI26)</f>
        <v>65614.393734305559</v>
      </c>
      <c r="AK26" s="383">
        <v>1</v>
      </c>
      <c r="AL26" s="388">
        <v>45796</v>
      </c>
      <c r="AM26" s="383">
        <f>+AH26</f>
        <v>51840.79</v>
      </c>
      <c r="AN26" s="383">
        <f>+AG25*AG$5*(AL26-AE25)/360</f>
        <v>17268.398711666665</v>
      </c>
      <c r="AO26" s="383">
        <f>+AN26+AM26</f>
        <v>69109.188711666662</v>
      </c>
      <c r="AP26" s="4"/>
      <c r="AR26" s="1">
        <v>1</v>
      </c>
      <c r="AS26" s="13">
        <f t="shared" ref="AS26:AS62" si="5">+EOMONTH(AT26,0)</f>
        <v>45716</v>
      </c>
      <c r="AT26" s="34">
        <v>45708</v>
      </c>
      <c r="AU26" s="4"/>
      <c r="AV26" s="4">
        <v>15996516.062482124</v>
      </c>
      <c r="AW26" s="4">
        <v>0</v>
      </c>
      <c r="AX26" s="4">
        <f>+AV25*AV$5*(AT26-AT25)/360</f>
        <v>138636.47254151173</v>
      </c>
      <c r="AY26" s="4">
        <f t="shared" ref="AY26:AY52" si="6">+SUM(AW26:AX26)</f>
        <v>138636.47254151173</v>
      </c>
      <c r="AZ26" s="428">
        <v>1</v>
      </c>
      <c r="BA26" s="388">
        <v>45744</v>
      </c>
      <c r="BB26" s="445">
        <f>+BA26-AT26</f>
        <v>36</v>
      </c>
      <c r="BC26" s="383">
        <f>+AW26</f>
        <v>0</v>
      </c>
      <c r="BD26" s="383">
        <f>+AV25*AV$5*(BA26-AT25)/360</f>
        <v>234615.5689164045</v>
      </c>
      <c r="BE26" s="383">
        <f>+BD26+BC26</f>
        <v>234615.5689164045</v>
      </c>
      <c r="BG26" s="1">
        <v>1</v>
      </c>
      <c r="BH26" s="13">
        <f t="shared" ref="BH26:BH40" si="7">+EOMONTH(BI26,0)</f>
        <v>45838</v>
      </c>
      <c r="BI26" s="13">
        <v>45828</v>
      </c>
      <c r="BJ26" s="12"/>
      <c r="BK26" s="4">
        <f>+BK25+BJ26-BL26</f>
        <v>53476614.030000001</v>
      </c>
      <c r="BL26" s="4">
        <v>0</v>
      </c>
      <c r="BM26" s="4">
        <f>+BK25*BK$5*(BI26-BI25)/360</f>
        <v>819974.74846000015</v>
      </c>
      <c r="BN26" s="4">
        <v>82616.23</v>
      </c>
      <c r="BO26" s="4">
        <f>+SUM(BL26:BN26)</f>
        <v>902590.97846000013</v>
      </c>
      <c r="BP26" s="451">
        <v>1</v>
      </c>
      <c r="BQ26" s="388">
        <v>45828</v>
      </c>
      <c r="BR26" s="383">
        <f>+BL26</f>
        <v>0</v>
      </c>
      <c r="BS26" s="383">
        <f>+BK25*BK$5*(BQ26-BI25)/360</f>
        <v>819974.74846000015</v>
      </c>
      <c r="BT26" s="383">
        <f>+BS26+BR26+BN26</f>
        <v>902590.97846000013</v>
      </c>
      <c r="BV26" s="1">
        <v>1</v>
      </c>
      <c r="BW26" s="13">
        <f t="shared" ref="BW26:BW44" si="8">+EOMONTH(BX26,0)</f>
        <v>45716</v>
      </c>
      <c r="BX26" s="13">
        <v>45702</v>
      </c>
      <c r="BY26" s="12"/>
      <c r="BZ26" s="4">
        <f>+BZ25+BY26-CA26</f>
        <v>1096992.9187015865</v>
      </c>
      <c r="CA26" s="4">
        <v>57736.470062537075</v>
      </c>
      <c r="CB26" s="4">
        <v>0</v>
      </c>
      <c r="CC26" s="4">
        <f>+BZ25*BZ$5*(BX26-BX25)/360</f>
        <v>4811.3724531838488</v>
      </c>
      <c r="CD26" s="4">
        <v>1642.8394559018825</v>
      </c>
      <c r="CE26" s="4">
        <f>+SUM(CA26:CD26)</f>
        <v>64190.681971622813</v>
      </c>
      <c r="CF26" s="451">
        <v>1</v>
      </c>
      <c r="CG26" s="388">
        <v>45702</v>
      </c>
      <c r="CH26" s="383">
        <f>+CA26</f>
        <v>57736.470062537075</v>
      </c>
      <c r="CI26" s="383">
        <f>+BZ25*BZ$5*(CG26-BX25)/360</f>
        <v>4811.3724531838488</v>
      </c>
      <c r="CJ26" s="383">
        <f>+CI26+CH26+CD26</f>
        <v>64190.681971622813</v>
      </c>
      <c r="CL26" s="1">
        <v>1</v>
      </c>
      <c r="CM26" s="13">
        <f t="shared" ref="CM26:CM43" si="9">+EOMONTH(CN26,0)</f>
        <v>45838</v>
      </c>
      <c r="CN26" s="13">
        <v>45822</v>
      </c>
      <c r="CO26" s="12"/>
      <c r="CP26" s="4">
        <f>+CP25+CO26-CQ26</f>
        <v>1669085.8500000003</v>
      </c>
      <c r="CQ26" s="4">
        <v>0</v>
      </c>
      <c r="CR26" s="4">
        <v>29209.003000000001</v>
      </c>
      <c r="CS26" s="4">
        <f t="shared" ref="CS26:CS43" si="10">+SUM(CQ26:CR26)</f>
        <v>29209.003000000001</v>
      </c>
      <c r="CU26" s="1">
        <v>1</v>
      </c>
      <c r="CV26" s="13">
        <f t="shared" ref="CV26:CV50" si="11">+EOMONTH(CW26,0)</f>
        <v>45900</v>
      </c>
      <c r="CW26" s="384">
        <v>45879</v>
      </c>
      <c r="CX26" s="433"/>
      <c r="CY26" s="385">
        <f>+CY25+CX26-CZ26</f>
        <v>25661049.488803104</v>
      </c>
      <c r="CZ26" s="385">
        <v>349011.21</v>
      </c>
      <c r="DA26" s="385">
        <f>+CY25*CY$5*(CW26-CW25)/360</f>
        <v>134385.3136104827</v>
      </c>
      <c r="DB26" s="385">
        <f t="shared" ref="DB26:DB50" si="12">+SUM(CZ26:DA26)</f>
        <v>483396.52361048269</v>
      </c>
      <c r="DD26" s="1">
        <v>1</v>
      </c>
      <c r="DE26" s="13">
        <f t="shared" ref="DE26:DE57" si="13">+EOMONTH(DF26,0)</f>
        <v>45838</v>
      </c>
      <c r="DF26" s="13">
        <v>45838</v>
      </c>
      <c r="DG26" s="12"/>
      <c r="DH26" s="4">
        <f>+DH25+DG26-DI26</f>
        <v>9116955.5388674606</v>
      </c>
      <c r="DI26" s="4">
        <v>0</v>
      </c>
      <c r="DJ26" s="4">
        <v>138152.48000000001</v>
      </c>
      <c r="DK26" s="4">
        <f t="shared" ref="DK26:DK51" si="14">+SUM(DI26:DJ26)</f>
        <v>138152.48000000001</v>
      </c>
      <c r="DM26" s="1">
        <v>1</v>
      </c>
      <c r="DN26" s="13">
        <f t="shared" si="0"/>
        <v>45838</v>
      </c>
      <c r="DO26" s="13">
        <v>45838</v>
      </c>
      <c r="DP26" s="12"/>
      <c r="DQ26" s="4">
        <f>+DQ25-DR26</f>
        <v>1109707.8726865982</v>
      </c>
      <c r="DR26" s="4">
        <v>0</v>
      </c>
      <c r="DS26" s="4">
        <v>16421.12</v>
      </c>
      <c r="DT26" s="4">
        <f t="shared" ref="DT26:DT58" si="15">+SUM(DR26:DS26)</f>
        <v>16421.12</v>
      </c>
      <c r="DW26" s="13"/>
      <c r="DX26" s="13"/>
      <c r="DY26" s="12"/>
      <c r="DZ26" s="4"/>
      <c r="EA26" s="4"/>
      <c r="EB26" s="4"/>
      <c r="EC26" s="4"/>
      <c r="EE26" s="1">
        <v>1</v>
      </c>
      <c r="EF26" s="13">
        <f t="shared" ref="EF26:EF63" si="16">+EOMONTH(EG26,0)</f>
        <v>45747</v>
      </c>
      <c r="EG26" s="13">
        <v>45721</v>
      </c>
      <c r="EH26" s="12"/>
      <c r="EI26" s="4">
        <f>+EI25+EH26-EJ26</f>
        <v>2794681.5</v>
      </c>
      <c r="EJ26" s="4">
        <v>0</v>
      </c>
      <c r="EK26" s="4">
        <v>17114.156346866665</v>
      </c>
      <c r="EL26" s="4">
        <v>86.4</v>
      </c>
      <c r="EM26" s="4">
        <f>+SUM(EJ26:EL26)</f>
        <v>17200.556346866666</v>
      </c>
      <c r="EN26" s="12"/>
      <c r="EO26" s="1">
        <v>1</v>
      </c>
      <c r="EP26" s="13">
        <f t="shared" ref="EP26:EP35" si="17">+EOMONTH(EQ26,0)</f>
        <v>45838</v>
      </c>
      <c r="EQ26" s="13">
        <v>45832</v>
      </c>
      <c r="ER26" s="4"/>
      <c r="ES26" s="4">
        <f>+ES25-ET26</f>
        <v>309433.84400000004</v>
      </c>
      <c r="ET26" s="4">
        <v>36909.17</v>
      </c>
      <c r="EU26" s="4">
        <v>4285.87</v>
      </c>
      <c r="EV26" s="4">
        <f t="shared" ref="EV26:EV35" si="18">+SUM(ET26:EU26)</f>
        <v>41195.040000000001</v>
      </c>
      <c r="EX26" s="1">
        <v>1</v>
      </c>
      <c r="EY26" s="13">
        <f t="shared" ref="EY26:EY35" si="19">+EOMONTH(EZ26,0)</f>
        <v>45838</v>
      </c>
      <c r="EZ26" s="13">
        <v>45832</v>
      </c>
      <c r="FA26" s="4"/>
      <c r="FB26" s="4">
        <f>+FB25-FC26</f>
        <v>309433.84400000004</v>
      </c>
      <c r="FC26" s="4">
        <v>36909.17</v>
      </c>
      <c r="FD26" s="4">
        <v>4285.87</v>
      </c>
      <c r="FE26" s="4">
        <f t="shared" ref="FE26:FE35" si="20">+SUM(FC26:FD26)</f>
        <v>41195.040000000001</v>
      </c>
      <c r="FG26" s="1">
        <v>1</v>
      </c>
      <c r="FH26" s="13">
        <f t="shared" ref="FH26:FH35" si="21">+EOMONTH(FI26,0)</f>
        <v>45838</v>
      </c>
      <c r="FI26" s="13">
        <v>45832</v>
      </c>
      <c r="FJ26" s="4"/>
      <c r="FK26" s="4">
        <f>+FK25-FL26</f>
        <v>309433.84400000004</v>
      </c>
      <c r="FL26" s="4">
        <v>36909.17</v>
      </c>
      <c r="FM26" s="4">
        <v>4285.87</v>
      </c>
      <c r="FN26" s="4">
        <f t="shared" ref="FN26:FN35" si="22">+SUM(FL26:FM26)</f>
        <v>41195.040000000001</v>
      </c>
      <c r="FP26" s="1">
        <v>1</v>
      </c>
      <c r="FQ26" s="13">
        <f t="shared" ref="FQ26:FQ35" si="23">+EOMONTH(FR26,0)</f>
        <v>45838</v>
      </c>
      <c r="FR26" s="13">
        <v>45832</v>
      </c>
      <c r="FS26" s="4"/>
      <c r="FT26" s="4">
        <f>+FT25-FU26</f>
        <v>309433.84400000004</v>
      </c>
      <c r="FU26" s="4">
        <v>36909.17</v>
      </c>
      <c r="FV26" s="4">
        <v>4285.87</v>
      </c>
      <c r="FW26" s="4">
        <f t="shared" ref="FW26:FW35" si="24">+SUM(FU26:FV26)</f>
        <v>41195.040000000001</v>
      </c>
      <c r="FY26" s="1">
        <v>1</v>
      </c>
      <c r="FZ26" s="13">
        <f t="shared" ref="FZ26:FZ37" si="25">+EOMONTH(GA26,0)</f>
        <v>45838</v>
      </c>
      <c r="GA26" s="13">
        <v>45814</v>
      </c>
      <c r="GB26" s="12"/>
      <c r="GC26" s="4">
        <f>+GC25-GD26</f>
        <v>388403.55</v>
      </c>
      <c r="GD26" s="4">
        <v>38005.99</v>
      </c>
      <c r="GE26" s="4">
        <v>5069.1400000000003</v>
      </c>
      <c r="GF26" s="4">
        <f t="shared" ref="GF26:GF37" si="26">+SUM(GD26:GE26)</f>
        <v>43075.13</v>
      </c>
      <c r="GH26" s="1">
        <v>1</v>
      </c>
      <c r="GI26" s="13">
        <f t="shared" ref="GI26:GI37" si="27">+EOMONTH(GJ26,0)</f>
        <v>45838</v>
      </c>
      <c r="GJ26" s="13">
        <v>45814</v>
      </c>
      <c r="GK26" s="12"/>
      <c r="GL26" s="4">
        <v>388403.55</v>
      </c>
      <c r="GM26" s="4">
        <v>38005.99</v>
      </c>
      <c r="GN26" s="4">
        <v>5069.1400000000003</v>
      </c>
      <c r="GO26" s="4">
        <v>43075.13</v>
      </c>
    </row>
    <row r="27" spans="1:197" x14ac:dyDescent="0.3">
      <c r="A27" s="1">
        <v>2</v>
      </c>
      <c r="B27" s="3">
        <f t="shared" si="1"/>
        <v>44</v>
      </c>
      <c r="C27" s="13">
        <f>+EOMONTH(C26,1)</f>
        <v>45961</v>
      </c>
      <c r="D27" s="12"/>
      <c r="E27" s="4">
        <f t="shared" ref="E27:E90" si="28">+E26+D27-F27</f>
        <v>245387027.06667128</v>
      </c>
      <c r="F27" s="4">
        <f t="shared" ref="F27:F90" si="29">+SUMIF(N:N,C27,R:R)+SUMIF(AD:AD,C27,AH:AH)+SUMIF(AS:AS,C27,AW:AW)+SUMIF(BH:BH,C27,BL:BL)+SUMIF(BW:BW,C27,CA:CA)+SUMIF(BW:BW,C27,CB:CB)+SUMIF(CM:CM,C27,CQ:CQ)+SUMIF(CV:CV,C27,CZ:CZ)+SUMIF(DE:DE,C27,DI:DI)+SUMIF(DN:DN,C27,DR:DR)+SUMIF(DW:DW,C27,EA:EA)+SUMIF(EF:EF,C27,EJ:EJ)+SUMIF(EP:EP,C27,ET:ET)+SUMIF(EY:EY,C27,FC:FC)+SUMIF(FH:FH,C27,FL:FL)+SUMIF(FQ:FQ,C27,FU:FU)+SUMIF(FZ:FZ,C27,GD:GD)+SUMIF(GI:GI,C27,GM:GM)</f>
        <v>409569.10853242368</v>
      </c>
      <c r="G27" s="4">
        <f t="shared" ref="G27:G90" si="30">+SUMIF(N:N,C27,S:S)+SUMIF(N:N,C27,T:T)+SUMIF(AD:AD,C27,AI:AI)+SUMIF(AS:AS,C27,AX:AX)+SUMIF(BH:BH,C27,BM:BM)+SUMIF(BW:BW,C27,CD:CD)+SUMIF(BW:BW,C27,CC:CC)+SUMIF(CM:CM,C27,CR:CR)+SUMIF(CV:CV,C27,DA:DA)+SUMIF(DE:DE,C27,DJ:DJ)+SUMIF(DN:DN,C27,DS:DS)+SUMIF(DX:DX,C27,EB:EB)+SUMIF(EG:EG,C27,EK:EK)+SUMIF(EP:EP,C27,EU:EU)+SUMIF(EY:EY,C27,FD:FD)+SUMIF(FH:FH,C27,FM:FM)+SUMIF(FQ:FQ,C27,FV:FV)+SUMIF(FZ:FZ,C27,GE:GE)+SUMIF(GI:GI,C27,GN:GN)</f>
        <v>161719.76812531415</v>
      </c>
      <c r="H27" s="4">
        <f t="shared" ref="H27:H90" si="31">+SUM(F27:G27)</f>
        <v>571288.87665773788</v>
      </c>
      <c r="I27" s="383"/>
      <c r="J27" s="383"/>
      <c r="K27" s="4"/>
      <c r="M27" s="189">
        <v>2</v>
      </c>
      <c r="N27" s="381">
        <f t="shared" si="2"/>
        <v>45716</v>
      </c>
      <c r="O27" s="381">
        <v>45703</v>
      </c>
      <c r="P27" s="382"/>
      <c r="Q27" s="190">
        <f t="shared" si="3"/>
        <v>132273180.76466566</v>
      </c>
      <c r="R27" s="190">
        <f>+$Q$20</f>
        <v>39369.666841595892</v>
      </c>
      <c r="S27" s="190">
        <f t="shared" ref="S27:S55" si="32">+Q26*Q$5*(O27-O26)/360</f>
        <v>2028792.4399497777</v>
      </c>
      <c r="T27" s="190">
        <f t="shared" ref="T27:T45" si="33">+$Q$17/$Q$18</f>
        <v>471550.5461533799</v>
      </c>
      <c r="U27" s="190">
        <f t="shared" ref="U27:U55" si="34">+SUM(R27:T27)</f>
        <v>2539712.6529447534</v>
      </c>
      <c r="V27" s="383"/>
      <c r="W27" s="388">
        <v>45703</v>
      </c>
      <c r="X27" s="383"/>
      <c r="Y27" s="383"/>
      <c r="Z27" s="383"/>
      <c r="AA27" s="383"/>
      <c r="AC27" s="55">
        <v>2</v>
      </c>
      <c r="AD27" s="13">
        <f t="shared" si="4"/>
        <v>45900</v>
      </c>
      <c r="AE27" s="384">
        <v>45871</v>
      </c>
      <c r="AF27" s="433"/>
      <c r="AG27" s="385">
        <f t="shared" ref="AG27:AG50" si="35">+AG26+AF27-AH27</f>
        <v>1241907.93</v>
      </c>
      <c r="AH27" s="385">
        <f>+AH26</f>
        <v>51840.79</v>
      </c>
      <c r="AI27" s="385">
        <f t="shared" ref="AI27:AI50" si="36">+AG26*AG$5*(AE27-AE26)/360</f>
        <v>18184.357008888892</v>
      </c>
      <c r="AJ27" s="385">
        <f t="shared" ref="AJ27:AJ51" si="37">+SUM(AH27:AI27)</f>
        <v>70025.147008888889</v>
      </c>
      <c r="AK27" s="383">
        <v>2</v>
      </c>
      <c r="AL27" s="388">
        <f ca="1">+TODAY()</f>
        <v>46090</v>
      </c>
      <c r="AM27" s="383">
        <f>+AH27</f>
        <v>51840.79</v>
      </c>
      <c r="AN27" s="383">
        <f ca="1">+AG26*AG$5*(AL27-AL26)/360</f>
        <v>58110.880006666666</v>
      </c>
      <c r="AO27" s="383">
        <f ca="1">+AN27+AM27</f>
        <v>109951.67000666667</v>
      </c>
      <c r="AP27" s="4"/>
      <c r="AQ27" s="115"/>
      <c r="AR27" s="1">
        <v>2</v>
      </c>
      <c r="AS27" s="13">
        <f t="shared" si="5"/>
        <v>45808</v>
      </c>
      <c r="AT27" s="13">
        <v>45797</v>
      </c>
      <c r="AU27" s="12"/>
      <c r="AV27" s="4">
        <f>+AV26+AU27-AW27</f>
        <v>15996516.062482124</v>
      </c>
      <c r="AW27" s="4">
        <v>0</v>
      </c>
      <c r="AX27" s="4">
        <f>+AV26*AV$5*(AT27-AT26)/360</f>
        <v>237281.65492681818</v>
      </c>
      <c r="AY27" s="4">
        <f t="shared" si="6"/>
        <v>237281.65492681818</v>
      </c>
      <c r="AZ27" s="428">
        <v>2</v>
      </c>
      <c r="BA27" s="388">
        <v>45838</v>
      </c>
      <c r="BB27" s="445">
        <f>+BA27-AT27</f>
        <v>41</v>
      </c>
      <c r="BC27" s="383">
        <f>+AW27</f>
        <v>0</v>
      </c>
      <c r="BD27" s="383">
        <f>+AV26*AV$5*(BA27-BA26)/360</f>
        <v>250612.08497888662</v>
      </c>
      <c r="BE27" s="383">
        <f>+BD27+BC27</f>
        <v>250612.08497888662</v>
      </c>
      <c r="BF27" s="439"/>
      <c r="BG27" s="1">
        <v>2</v>
      </c>
      <c r="BH27" s="13">
        <f t="shared" si="7"/>
        <v>45930</v>
      </c>
      <c r="BI27" s="13">
        <v>45920</v>
      </c>
      <c r="BJ27" s="12"/>
      <c r="BK27" s="4">
        <f t="shared" ref="BK27:BK40" si="38">+BK26+BJ27-BL27</f>
        <v>53476614.030000001</v>
      </c>
      <c r="BL27" s="4">
        <v>0</v>
      </c>
      <c r="BM27" s="4">
        <f t="shared" ref="BM27:BM40" si="39">+BK26*BK$5*(BI27-BI26)/360</f>
        <v>819974.74846000015</v>
      </c>
      <c r="BN27" s="4">
        <v>82616.23</v>
      </c>
      <c r="BO27" s="4">
        <f t="shared" ref="BO27:BO40" si="40">+SUM(BL27:BN27)</f>
        <v>902590.97846000013</v>
      </c>
      <c r="BP27" s="451">
        <v>2</v>
      </c>
      <c r="BQ27" s="388">
        <v>45920</v>
      </c>
      <c r="BR27" s="383">
        <f>+BL27</f>
        <v>0</v>
      </c>
      <c r="BS27" s="383">
        <f>+BK26*BK$5*(BQ27-BQ26)/360</f>
        <v>819974.74846000015</v>
      </c>
      <c r="BT27" s="383">
        <f>+BS27+BR27+BN27</f>
        <v>902590.97846000013</v>
      </c>
      <c r="BV27" s="1">
        <v>2</v>
      </c>
      <c r="BW27" s="13">
        <f t="shared" si="8"/>
        <v>45869</v>
      </c>
      <c r="BX27" s="13">
        <v>45858</v>
      </c>
      <c r="BY27" s="12"/>
      <c r="BZ27" s="4">
        <f t="shared" ref="BZ27:BZ44" si="41">+BZ26+BY27-CA27</f>
        <v>1039256.4486390494</v>
      </c>
      <c r="CA27" s="385">
        <v>57736.470062537075</v>
      </c>
      <c r="CB27" s="385">
        <v>2821.4284698866022</v>
      </c>
      <c r="CC27" s="385">
        <f t="shared" ref="CC27:CC44" si="42">+BZ26*BZ$5*(BX27-BX26)/360</f>
        <v>28521.815886241249</v>
      </c>
      <c r="CD27" s="385">
        <v>1642.8394559018825</v>
      </c>
      <c r="CE27" s="385">
        <f t="shared" ref="CE27:CE44" si="43">+SUM(CA27:CD27)</f>
        <v>90722.553874566802</v>
      </c>
      <c r="CF27" s="451">
        <v>2</v>
      </c>
      <c r="CG27" s="388">
        <v>45866</v>
      </c>
      <c r="CH27" s="383">
        <f>+CA27</f>
        <v>57736.470062537075</v>
      </c>
      <c r="CI27" s="383">
        <f>+BZ26*BZ$5*(CG27-CG26)/360</f>
        <v>29984.473111176696</v>
      </c>
      <c r="CJ27" s="383">
        <f>+CI27+CH27+CD27</f>
        <v>89363.782629615656</v>
      </c>
      <c r="CL27" s="1">
        <v>2</v>
      </c>
      <c r="CM27" s="13">
        <f t="shared" si="9"/>
        <v>45930</v>
      </c>
      <c r="CN27" s="13">
        <v>45914</v>
      </c>
      <c r="CO27" s="12"/>
      <c r="CP27" s="4">
        <f t="shared" ref="CP27:CP43" si="44">+CP26+CO27-CQ27</f>
        <v>1669085.8500000003</v>
      </c>
      <c r="CQ27" s="4">
        <v>0</v>
      </c>
      <c r="CR27" s="4">
        <v>22393.568966666662</v>
      </c>
      <c r="CS27" s="4">
        <f t="shared" si="10"/>
        <v>22393.568966666662</v>
      </c>
      <c r="CU27" s="1">
        <v>2</v>
      </c>
      <c r="CV27" s="13">
        <f t="shared" si="11"/>
        <v>45930</v>
      </c>
      <c r="CW27" s="13">
        <v>45910</v>
      </c>
      <c r="CX27" s="12"/>
      <c r="CY27" s="4">
        <f t="shared" ref="CY27:CY50" si="45">+CY26+CX27-CZ27</f>
        <v>25312038.278803103</v>
      </c>
      <c r="CZ27" s="4">
        <v>349011.21</v>
      </c>
      <c r="DA27" s="4">
        <f t="shared" ref="DA27:DA50" si="46">+CY26*CY$5*(CW27-CW26)/360</f>
        <v>132582.08902548271</v>
      </c>
      <c r="DB27" s="4">
        <f t="shared" si="12"/>
        <v>481593.29902548273</v>
      </c>
      <c r="DD27" s="1">
        <v>2</v>
      </c>
      <c r="DE27" s="13">
        <f t="shared" si="13"/>
        <v>45930</v>
      </c>
      <c r="DF27" s="13">
        <v>45925</v>
      </c>
      <c r="DG27" s="12"/>
      <c r="DH27" s="4">
        <f t="shared" ref="DH27:DH62" si="47">+DH26+DG27-DI27</f>
        <v>9116955.5388674606</v>
      </c>
      <c r="DI27" s="4">
        <v>0</v>
      </c>
      <c r="DJ27" s="4">
        <v>127789.32000000002</v>
      </c>
      <c r="DK27" s="4">
        <f t="shared" si="14"/>
        <v>127789.32000000002</v>
      </c>
      <c r="DL27" s="386"/>
      <c r="DM27" s="1">
        <v>2</v>
      </c>
      <c r="DN27" s="13">
        <f t="shared" si="0"/>
        <v>45961</v>
      </c>
      <c r="DO27" s="13">
        <v>45936</v>
      </c>
      <c r="DP27" s="12"/>
      <c r="DQ27" s="4">
        <f t="shared" ref="DQ27:DQ58" si="48">+DQ26-DR27</f>
        <v>1109707.8726865982</v>
      </c>
      <c r="DR27" s="4">
        <v>0</v>
      </c>
      <c r="DS27" s="4">
        <f>+DQ26*(DO27-DO26)*$DQ$5/360</f>
        <v>17581.471729598004</v>
      </c>
      <c r="DT27" s="4">
        <f t="shared" si="15"/>
        <v>17581.471729598004</v>
      </c>
      <c r="DW27" s="13"/>
      <c r="DX27" s="13"/>
      <c r="DY27" s="12"/>
      <c r="DZ27" s="4"/>
      <c r="EA27" s="4"/>
      <c r="EB27" s="4"/>
      <c r="EC27" s="4"/>
      <c r="EE27" s="1">
        <v>2</v>
      </c>
      <c r="EF27" s="13">
        <f t="shared" si="16"/>
        <v>45838</v>
      </c>
      <c r="EG27" s="13">
        <v>45838</v>
      </c>
      <c r="EH27" s="12"/>
      <c r="EI27" s="4">
        <f t="shared" ref="EI27:EI63" si="49">+EI26+EH27-EJ27</f>
        <v>2794681.5</v>
      </c>
      <c r="EJ27" s="4">
        <v>0</v>
      </c>
      <c r="EK27" s="4">
        <v>38370.469999999994</v>
      </c>
      <c r="EL27" s="4">
        <v>19844.48</v>
      </c>
      <c r="EM27" s="4">
        <f t="shared" ref="EM27:EM63" si="50">+SUM(EJ27:EL27)</f>
        <v>58214.95</v>
      </c>
      <c r="EN27" s="12"/>
      <c r="EO27" s="1">
        <v>2</v>
      </c>
      <c r="EP27" s="13">
        <f t="shared" si="17"/>
        <v>45930</v>
      </c>
      <c r="EQ27" s="13">
        <v>45922</v>
      </c>
      <c r="ER27" s="4"/>
      <c r="ES27" s="4">
        <f t="shared" ref="ES27:ES35" si="51">+ES26-ET27</f>
        <v>271740.35400000005</v>
      </c>
      <c r="ET27" s="4">
        <v>37693.49</v>
      </c>
      <c r="EU27" s="4">
        <v>3732.23</v>
      </c>
      <c r="EV27" s="4">
        <f t="shared" si="18"/>
        <v>41425.72</v>
      </c>
      <c r="EX27" s="1">
        <v>2</v>
      </c>
      <c r="EY27" s="13">
        <f t="shared" si="19"/>
        <v>45930</v>
      </c>
      <c r="EZ27" s="13">
        <v>45922</v>
      </c>
      <c r="FA27" s="4"/>
      <c r="FB27" s="4">
        <f t="shared" ref="FB27:FB35" si="52">+FB26-FC27</f>
        <v>271740.35400000005</v>
      </c>
      <c r="FC27" s="4">
        <v>37693.49</v>
      </c>
      <c r="FD27" s="4">
        <v>3732.23</v>
      </c>
      <c r="FE27" s="4">
        <f t="shared" si="20"/>
        <v>41425.72</v>
      </c>
      <c r="FG27" s="1">
        <v>2</v>
      </c>
      <c r="FH27" s="13">
        <f t="shared" si="21"/>
        <v>45930</v>
      </c>
      <c r="FI27" s="13">
        <v>45922</v>
      </c>
      <c r="FJ27" s="4"/>
      <c r="FK27" s="4">
        <f t="shared" ref="FK27:FK35" si="53">+FK26-FL27</f>
        <v>271740.35400000005</v>
      </c>
      <c r="FL27" s="4">
        <v>37693.49</v>
      </c>
      <c r="FM27" s="4">
        <v>3732.23</v>
      </c>
      <c r="FN27" s="4">
        <f t="shared" si="22"/>
        <v>41425.72</v>
      </c>
      <c r="FP27" s="1">
        <v>2</v>
      </c>
      <c r="FQ27" s="13">
        <f t="shared" si="23"/>
        <v>45930</v>
      </c>
      <c r="FR27" s="13">
        <v>45922</v>
      </c>
      <c r="FS27" s="4"/>
      <c r="FT27" s="4">
        <f t="shared" ref="FT27:FT35" si="54">+FT26-FU27</f>
        <v>271740.35400000005</v>
      </c>
      <c r="FU27" s="4">
        <v>37693.49</v>
      </c>
      <c r="FV27" s="4">
        <v>3732.23</v>
      </c>
      <c r="FW27" s="4">
        <f t="shared" si="24"/>
        <v>41425.72</v>
      </c>
      <c r="FY27" s="1">
        <v>2</v>
      </c>
      <c r="FZ27" s="13">
        <f t="shared" si="25"/>
        <v>45930</v>
      </c>
      <c r="GA27" s="13">
        <v>45904</v>
      </c>
      <c r="GB27" s="12"/>
      <c r="GC27" s="4">
        <f t="shared" ref="GC27:GC37" si="55">+GC26-GD27</f>
        <v>349589.93</v>
      </c>
      <c r="GD27" s="4">
        <v>38813.620000000003</v>
      </c>
      <c r="GE27" s="4">
        <v>4499.05</v>
      </c>
      <c r="GF27" s="4">
        <f t="shared" si="26"/>
        <v>43312.670000000006</v>
      </c>
      <c r="GH27" s="1">
        <v>2</v>
      </c>
      <c r="GI27" s="13">
        <f t="shared" si="27"/>
        <v>45930</v>
      </c>
      <c r="GJ27" s="13">
        <v>45904</v>
      </c>
      <c r="GK27" s="12"/>
      <c r="GL27" s="4">
        <v>349589.93</v>
      </c>
      <c r="GM27" s="4">
        <v>38813.620000000003</v>
      </c>
      <c r="GN27" s="4">
        <v>4499.05</v>
      </c>
      <c r="GO27" s="4">
        <v>43312.670000000006</v>
      </c>
    </row>
    <row r="28" spans="1:197" x14ac:dyDescent="0.3">
      <c r="A28" s="1">
        <v>3</v>
      </c>
      <c r="B28" s="3">
        <f t="shared" si="1"/>
        <v>48</v>
      </c>
      <c r="C28" s="13">
        <f>+EOMONTH(C27,1)</f>
        <v>45991</v>
      </c>
      <c r="D28" s="12"/>
      <c r="E28" s="4">
        <f t="shared" si="28"/>
        <v>214616680.66667128</v>
      </c>
      <c r="F28" s="4">
        <f t="shared" si="29"/>
        <v>30770346.399999999</v>
      </c>
      <c r="G28" s="4">
        <f t="shared" si="30"/>
        <v>2890243.2401469867</v>
      </c>
      <c r="H28" s="4">
        <f t="shared" si="31"/>
        <v>33660589.640146986</v>
      </c>
      <c r="I28" s="383">
        <f ca="1">+AA28</f>
        <v>9042540.3723159097</v>
      </c>
      <c r="J28" s="383" t="s">
        <v>659</v>
      </c>
      <c r="K28" s="4"/>
      <c r="M28" s="1">
        <v>3</v>
      </c>
      <c r="N28" s="387">
        <f t="shared" si="2"/>
        <v>45808</v>
      </c>
      <c r="O28" s="387">
        <v>45792</v>
      </c>
      <c r="P28" s="12"/>
      <c r="Q28" s="4">
        <f t="shared" si="3"/>
        <v>132233811.09782407</v>
      </c>
      <c r="R28" s="4">
        <f>+$Q$20</f>
        <v>39369.666841595892</v>
      </c>
      <c r="S28" s="4">
        <f>+Q27*Q$5*(O28-O27)/360</f>
        <v>1962052.1813425405</v>
      </c>
      <c r="T28" s="4">
        <f t="shared" si="33"/>
        <v>471550.5461533799</v>
      </c>
      <c r="U28" s="385">
        <f t="shared" si="34"/>
        <v>2472972.3943375163</v>
      </c>
      <c r="V28" s="453">
        <v>3</v>
      </c>
      <c r="W28" s="388">
        <f ca="1">+TODAY()</f>
        <v>46090</v>
      </c>
      <c r="X28" s="441">
        <f ca="1">+W28-W27</f>
        <v>387</v>
      </c>
      <c r="Y28" s="383">
        <f>+R28</f>
        <v>39369.666841595892</v>
      </c>
      <c r="Z28" s="383">
        <f ca="1">+Q27*Q$5*(W28-O27)/360</f>
        <v>8531620.1593209337</v>
      </c>
      <c r="AA28" s="383">
        <f ca="1">+Z28+Y28+T28</f>
        <v>9042540.3723159097</v>
      </c>
      <c r="AC28" s="55">
        <v>3</v>
      </c>
      <c r="AD28" s="13">
        <f t="shared" si="4"/>
        <v>45991</v>
      </c>
      <c r="AE28" s="13">
        <v>45963</v>
      </c>
      <c r="AF28" s="12"/>
      <c r="AG28" s="4">
        <f t="shared" si="35"/>
        <v>1190067.1399999999</v>
      </c>
      <c r="AH28" s="4">
        <f t="shared" ref="AH28:AH50" si="56">+AH27</f>
        <v>51840.79</v>
      </c>
      <c r="AI28" s="4">
        <f t="shared" si="36"/>
        <v>17455.705904999999</v>
      </c>
      <c r="AJ28" s="4">
        <f t="shared" si="37"/>
        <v>69296.495905000003</v>
      </c>
      <c r="AK28" s="383"/>
      <c r="AL28" s="388"/>
      <c r="AM28" s="383"/>
      <c r="AN28" s="383"/>
      <c r="AO28" s="383"/>
      <c r="AP28" s="4"/>
      <c r="AR28" s="1">
        <v>3</v>
      </c>
      <c r="AS28" s="13">
        <f t="shared" si="5"/>
        <v>45900</v>
      </c>
      <c r="AT28" s="13">
        <v>45889</v>
      </c>
      <c r="AU28" s="12"/>
      <c r="AV28" s="4">
        <f t="shared" ref="AV28:AV62" si="57">+AV27+AU28-AW28</f>
        <v>15996516.062482124</v>
      </c>
      <c r="AW28" s="4">
        <v>0</v>
      </c>
      <c r="AX28" s="4">
        <f t="shared" ref="AX28:AX62" si="58">+AV27*AV$5*(AT28-AT27)/360</f>
        <v>245279.91295805926</v>
      </c>
      <c r="AY28" s="4">
        <f t="shared" si="6"/>
        <v>245279.91295805926</v>
      </c>
      <c r="AZ28" s="428">
        <v>3</v>
      </c>
      <c r="BA28" s="388">
        <f ca="1">+TODAY()</f>
        <v>46090</v>
      </c>
      <c r="BB28" s="445">
        <f ca="1">+BA28-AT28</f>
        <v>201</v>
      </c>
      <c r="BC28" s="383">
        <f>+AW28</f>
        <v>0</v>
      </c>
      <c r="BD28" s="383">
        <f ca="1">+AV27*AV$5*(BA28-BA27)/360</f>
        <v>671853.67462424922</v>
      </c>
      <c r="BE28" s="383">
        <f ca="1">+BD28+BC28</f>
        <v>671853.67462424922</v>
      </c>
      <c r="BG28" s="1">
        <v>3</v>
      </c>
      <c r="BH28" s="13">
        <f t="shared" si="7"/>
        <v>46022</v>
      </c>
      <c r="BI28" s="13">
        <v>46011</v>
      </c>
      <c r="BJ28" s="12"/>
      <c r="BK28" s="4">
        <f t="shared" si="38"/>
        <v>53476614.030000001</v>
      </c>
      <c r="BL28" s="4">
        <v>0</v>
      </c>
      <c r="BM28" s="4">
        <f t="shared" si="39"/>
        <v>811061.97945500002</v>
      </c>
      <c r="BN28" s="4">
        <v>82616.23</v>
      </c>
      <c r="BO28" s="4">
        <f t="shared" si="40"/>
        <v>893678.209455</v>
      </c>
      <c r="BP28" s="451"/>
      <c r="BQ28" s="388"/>
      <c r="BR28" s="383"/>
      <c r="BS28" s="383"/>
      <c r="BT28" s="383"/>
      <c r="BV28" s="1">
        <v>3</v>
      </c>
      <c r="BW28" s="13">
        <f t="shared" si="8"/>
        <v>45961</v>
      </c>
      <c r="BX28" s="13">
        <v>45950</v>
      </c>
      <c r="BY28" s="12"/>
      <c r="BZ28" s="4">
        <f t="shared" si="41"/>
        <v>981519.97857651231</v>
      </c>
      <c r="CA28" s="4">
        <v>57736.470062537075</v>
      </c>
      <c r="CB28" s="4">
        <v>2821.4284698866022</v>
      </c>
      <c r="CC28" s="4">
        <f t="shared" si="42"/>
        <v>15935.265545798758</v>
      </c>
      <c r="CD28" s="4">
        <v>1642.8394559018825</v>
      </c>
      <c r="CE28" s="4">
        <f t="shared" si="43"/>
        <v>78136.00353412432</v>
      </c>
      <c r="CF28" s="451"/>
      <c r="CG28" s="388"/>
      <c r="CH28" s="383"/>
      <c r="CI28" s="383"/>
      <c r="CJ28" s="383"/>
      <c r="CL28" s="1">
        <v>3</v>
      </c>
      <c r="CM28" s="13">
        <f t="shared" si="9"/>
        <v>46022</v>
      </c>
      <c r="CN28" s="13">
        <v>46005</v>
      </c>
      <c r="CO28" s="12"/>
      <c r="CP28" s="4">
        <f t="shared" si="44"/>
        <v>1564767.9900000002</v>
      </c>
      <c r="CQ28" s="4">
        <v>104317.86</v>
      </c>
      <c r="CR28" s="4">
        <v>22150.160608333328</v>
      </c>
      <c r="CS28" s="4">
        <f t="shared" si="10"/>
        <v>126468.02060833333</v>
      </c>
      <c r="CU28" s="1">
        <v>3</v>
      </c>
      <c r="CV28" s="13">
        <f t="shared" si="11"/>
        <v>45961</v>
      </c>
      <c r="CW28" s="13">
        <v>45940</v>
      </c>
      <c r="CX28" s="12"/>
      <c r="CY28" s="4">
        <f t="shared" si="45"/>
        <v>24963027.068803102</v>
      </c>
      <c r="CZ28" s="4">
        <v>349011.21</v>
      </c>
      <c r="DA28" s="4">
        <f t="shared" si="46"/>
        <v>126560.19139401551</v>
      </c>
      <c r="DB28" s="4">
        <f t="shared" si="12"/>
        <v>475571.40139401553</v>
      </c>
      <c r="DD28" s="1">
        <v>3</v>
      </c>
      <c r="DE28" s="13">
        <f t="shared" si="13"/>
        <v>46022</v>
      </c>
      <c r="DF28" s="13">
        <v>46017</v>
      </c>
      <c r="DG28" s="12"/>
      <c r="DH28" s="4">
        <f t="shared" si="47"/>
        <v>9116955.5388674606</v>
      </c>
      <c r="DI28" s="4">
        <v>0</v>
      </c>
      <c r="DJ28" s="4">
        <v>135133.54</v>
      </c>
      <c r="DK28" s="4">
        <f t="shared" si="14"/>
        <v>135133.54</v>
      </c>
      <c r="DL28" s="386"/>
      <c r="DM28" s="1">
        <v>3</v>
      </c>
      <c r="DN28" s="13">
        <f t="shared" si="0"/>
        <v>46053</v>
      </c>
      <c r="DO28" s="13">
        <v>46027</v>
      </c>
      <c r="DP28" s="12"/>
      <c r="DQ28" s="4">
        <f t="shared" si="48"/>
        <v>1109707.8726865982</v>
      </c>
      <c r="DR28" s="4">
        <v>0</v>
      </c>
      <c r="DS28" s="4">
        <f t="shared" ref="DS28:DS58" si="59">+DQ27*(DO28-DO27)*$DQ$5/360</f>
        <v>16325.652320341003</v>
      </c>
      <c r="DT28" s="4">
        <f t="shared" si="15"/>
        <v>16325.652320341003</v>
      </c>
      <c r="DW28" s="13"/>
      <c r="DX28" s="13"/>
      <c r="DY28" s="12"/>
      <c r="DZ28" s="4"/>
      <c r="EA28" s="4"/>
      <c r="EB28" s="4"/>
      <c r="EC28" s="4"/>
      <c r="EE28" s="1">
        <v>3</v>
      </c>
      <c r="EF28" s="13">
        <f t="shared" si="16"/>
        <v>45930</v>
      </c>
      <c r="EG28" s="13">
        <v>45925</v>
      </c>
      <c r="EH28" s="12"/>
      <c r="EI28" s="4">
        <f t="shared" si="49"/>
        <v>2794681.5</v>
      </c>
      <c r="EJ28" s="4">
        <v>0</v>
      </c>
      <c r="EK28" s="4">
        <v>17027.759999999995</v>
      </c>
      <c r="EL28" s="4"/>
      <c r="EM28" s="4">
        <f t="shared" si="50"/>
        <v>17027.759999999995</v>
      </c>
      <c r="EO28" s="1">
        <v>3</v>
      </c>
      <c r="EP28" s="13">
        <f t="shared" si="17"/>
        <v>46022</v>
      </c>
      <c r="EQ28" s="13">
        <v>46012</v>
      </c>
      <c r="ER28" s="4"/>
      <c r="ES28" s="4">
        <f t="shared" si="51"/>
        <v>233245.87400000004</v>
      </c>
      <c r="ET28" s="4">
        <v>38494.480000000003</v>
      </c>
      <c r="EU28" s="4">
        <v>3166.83</v>
      </c>
      <c r="EV28" s="4">
        <f t="shared" si="18"/>
        <v>41661.310000000005</v>
      </c>
      <c r="EX28" s="1">
        <v>3</v>
      </c>
      <c r="EY28" s="13">
        <f t="shared" si="19"/>
        <v>46022</v>
      </c>
      <c r="EZ28" s="13">
        <v>46012</v>
      </c>
      <c r="FA28" s="4"/>
      <c r="FB28" s="4">
        <f t="shared" si="52"/>
        <v>233245.87400000004</v>
      </c>
      <c r="FC28" s="4">
        <v>38494.480000000003</v>
      </c>
      <c r="FD28" s="4">
        <v>3166.83</v>
      </c>
      <c r="FE28" s="4">
        <f t="shared" si="20"/>
        <v>41661.310000000005</v>
      </c>
      <c r="FG28" s="1">
        <v>3</v>
      </c>
      <c r="FH28" s="13">
        <f t="shared" si="21"/>
        <v>46022</v>
      </c>
      <c r="FI28" s="13">
        <v>46012</v>
      </c>
      <c r="FJ28" s="4"/>
      <c r="FK28" s="4">
        <f t="shared" si="53"/>
        <v>233245.87400000004</v>
      </c>
      <c r="FL28" s="4">
        <v>38494.480000000003</v>
      </c>
      <c r="FM28" s="4">
        <v>3166.83</v>
      </c>
      <c r="FN28" s="4">
        <f t="shared" si="22"/>
        <v>41661.310000000005</v>
      </c>
      <c r="FP28" s="1">
        <v>3</v>
      </c>
      <c r="FQ28" s="13">
        <f t="shared" si="23"/>
        <v>46022</v>
      </c>
      <c r="FR28" s="13">
        <v>46012</v>
      </c>
      <c r="FS28" s="4"/>
      <c r="FT28" s="4">
        <f t="shared" si="54"/>
        <v>233245.87400000004</v>
      </c>
      <c r="FU28" s="4">
        <v>38494.480000000003</v>
      </c>
      <c r="FV28" s="4">
        <v>3166.83</v>
      </c>
      <c r="FW28" s="4">
        <f t="shared" si="24"/>
        <v>41661.310000000005</v>
      </c>
      <c r="FY28" s="1">
        <v>3</v>
      </c>
      <c r="FZ28" s="13">
        <f t="shared" si="25"/>
        <v>46022</v>
      </c>
      <c r="GA28" s="13">
        <v>45994</v>
      </c>
      <c r="GB28" s="12"/>
      <c r="GC28" s="4">
        <f t="shared" si="55"/>
        <v>309951.52</v>
      </c>
      <c r="GD28" s="4">
        <v>39638.410000000003</v>
      </c>
      <c r="GE28" s="4">
        <v>3916.84</v>
      </c>
      <c r="GF28" s="4">
        <f t="shared" si="26"/>
        <v>43555.25</v>
      </c>
      <c r="GH28" s="1">
        <v>3</v>
      </c>
      <c r="GI28" s="13">
        <f t="shared" si="27"/>
        <v>46022</v>
      </c>
      <c r="GJ28" s="13">
        <v>45994</v>
      </c>
      <c r="GK28" s="12"/>
      <c r="GL28" s="4">
        <v>309951.52</v>
      </c>
      <c r="GM28" s="4">
        <v>39638.410000000003</v>
      </c>
      <c r="GN28" s="4">
        <v>3916.84</v>
      </c>
      <c r="GO28" s="4">
        <v>43555.25</v>
      </c>
    </row>
    <row r="29" spans="1:197" x14ac:dyDescent="0.3">
      <c r="A29" s="1">
        <v>4</v>
      </c>
      <c r="B29" s="3">
        <f t="shared" si="1"/>
        <v>53</v>
      </c>
      <c r="C29" s="13">
        <f t="shared" ref="C29:C92" si="60">+EOMONTH(C28,1)</f>
        <v>46022</v>
      </c>
      <c r="D29" s="12"/>
      <c r="E29" s="4">
        <f t="shared" si="28"/>
        <v>213930096.85667127</v>
      </c>
      <c r="F29" s="4">
        <f t="shared" si="29"/>
        <v>686583.81</v>
      </c>
      <c r="G29" s="4">
        <f t="shared" si="30"/>
        <v>1111916.7593573492</v>
      </c>
      <c r="H29" s="4">
        <f t="shared" si="31"/>
        <v>1798500.5693573493</v>
      </c>
      <c r="I29" s="383"/>
      <c r="J29" s="383"/>
      <c r="K29" s="4"/>
      <c r="M29" s="1">
        <v>4</v>
      </c>
      <c r="N29" s="387">
        <f t="shared" si="2"/>
        <v>45900</v>
      </c>
      <c r="O29" s="387">
        <v>45884</v>
      </c>
      <c r="P29" s="12"/>
      <c r="Q29" s="4">
        <f t="shared" si="3"/>
        <v>132194441.43098247</v>
      </c>
      <c r="R29" s="4">
        <f>+$Q$20</f>
        <v>39369.666841595892</v>
      </c>
      <c r="S29" s="4">
        <f t="shared" si="32"/>
        <v>2027585.1034999688</v>
      </c>
      <c r="T29" s="4">
        <f t="shared" si="33"/>
        <v>471550.5461533799</v>
      </c>
      <c r="U29" s="4">
        <f t="shared" si="34"/>
        <v>2538505.3164949445</v>
      </c>
      <c r="V29" s="453">
        <v>4</v>
      </c>
      <c r="W29" s="388">
        <f ca="1">+TODAY()</f>
        <v>46090</v>
      </c>
      <c r="X29" s="383"/>
      <c r="Y29" s="383">
        <f>+R29</f>
        <v>39369.666841595892</v>
      </c>
      <c r="Z29" s="383"/>
      <c r="AA29" s="383">
        <f>+Y29</f>
        <v>39369.666841595892</v>
      </c>
      <c r="AC29" s="55">
        <v>4</v>
      </c>
      <c r="AD29" s="13">
        <f t="shared" si="4"/>
        <v>46081</v>
      </c>
      <c r="AE29" s="13">
        <v>46055</v>
      </c>
      <c r="AF29" s="12"/>
      <c r="AG29" s="4">
        <f t="shared" si="35"/>
        <v>1138226.3499999999</v>
      </c>
      <c r="AH29" s="4">
        <f t="shared" si="56"/>
        <v>51840.79</v>
      </c>
      <c r="AI29" s="4">
        <f t="shared" si="36"/>
        <v>16727.05480111111</v>
      </c>
      <c r="AJ29" s="4">
        <f t="shared" si="37"/>
        <v>68567.844801111118</v>
      </c>
      <c r="AK29" s="383"/>
      <c r="AL29" s="388"/>
      <c r="AM29" s="383"/>
      <c r="AN29" s="383"/>
      <c r="AO29" s="383"/>
      <c r="AP29" s="4"/>
      <c r="AR29" s="1">
        <v>4</v>
      </c>
      <c r="AS29" s="13">
        <f t="shared" si="5"/>
        <v>45991</v>
      </c>
      <c r="AT29" s="13">
        <v>45981</v>
      </c>
      <c r="AU29" s="12"/>
      <c r="AV29" s="4">
        <f t="shared" si="57"/>
        <v>15996516.062482124</v>
      </c>
      <c r="AW29" s="4">
        <v>0</v>
      </c>
      <c r="AX29" s="4">
        <f t="shared" si="58"/>
        <v>245279.91295805926</v>
      </c>
      <c r="AY29" s="4">
        <f t="shared" si="6"/>
        <v>245279.91295805926</v>
      </c>
      <c r="AZ29" s="383"/>
      <c r="BA29" s="388"/>
      <c r="BB29" s="388"/>
      <c r="BC29" s="383"/>
      <c r="BD29" s="383"/>
      <c r="BE29" s="383"/>
      <c r="BG29" s="1">
        <v>4</v>
      </c>
      <c r="BH29" s="13">
        <f t="shared" si="7"/>
        <v>46112</v>
      </c>
      <c r="BI29" s="13">
        <v>46101</v>
      </c>
      <c r="BJ29" s="12"/>
      <c r="BK29" s="4">
        <f t="shared" si="38"/>
        <v>53476614.030000001</v>
      </c>
      <c r="BL29" s="4">
        <v>0</v>
      </c>
      <c r="BM29" s="4">
        <f t="shared" si="39"/>
        <v>802149.21045000001</v>
      </c>
      <c r="BN29" s="4">
        <v>82616.23</v>
      </c>
      <c r="BO29" s="4">
        <f t="shared" si="40"/>
        <v>884765.44044999999</v>
      </c>
      <c r="BP29" s="451"/>
      <c r="BQ29" s="388"/>
      <c r="BR29" s="383"/>
      <c r="BS29" s="383"/>
      <c r="BT29" s="383"/>
      <c r="BV29" s="1">
        <v>4</v>
      </c>
      <c r="BW29" s="13">
        <f t="shared" si="8"/>
        <v>46053</v>
      </c>
      <c r="BX29" s="13">
        <v>46042</v>
      </c>
      <c r="BY29" s="12"/>
      <c r="BZ29" s="4">
        <f t="shared" si="41"/>
        <v>923783.50851397519</v>
      </c>
      <c r="CA29" s="4">
        <v>57736.470062537075</v>
      </c>
      <c r="CB29" s="4">
        <v>2821.4284698866022</v>
      </c>
      <c r="CC29" s="4">
        <f t="shared" si="42"/>
        <v>15049.973004839854</v>
      </c>
      <c r="CD29" s="4">
        <v>1642.8394559018825</v>
      </c>
      <c r="CE29" s="4">
        <f t="shared" si="43"/>
        <v>77250.710993165412</v>
      </c>
      <c r="CF29" s="451"/>
      <c r="CG29" s="388"/>
      <c r="CH29" s="383"/>
      <c r="CI29" s="383"/>
      <c r="CJ29" s="383"/>
      <c r="CL29" s="1">
        <v>4</v>
      </c>
      <c r="CM29" s="13">
        <f t="shared" si="9"/>
        <v>46112</v>
      </c>
      <c r="CN29" s="13">
        <v>46095</v>
      </c>
      <c r="CO29" s="12"/>
      <c r="CP29" s="4">
        <f t="shared" si="44"/>
        <v>1460450.1300000001</v>
      </c>
      <c r="CQ29" s="4">
        <v>104317.86</v>
      </c>
      <c r="CR29" s="4">
        <v>20341.984349999992</v>
      </c>
      <c r="CS29" s="4">
        <f t="shared" si="10"/>
        <v>124659.84435</v>
      </c>
      <c r="CU29" s="1">
        <v>4</v>
      </c>
      <c r="CV29" s="13">
        <f t="shared" si="11"/>
        <v>45991</v>
      </c>
      <c r="CW29" s="13">
        <v>45971</v>
      </c>
      <c r="CX29" s="12"/>
      <c r="CY29" s="4">
        <f t="shared" si="45"/>
        <v>24614015.858803101</v>
      </c>
      <c r="CZ29" s="4">
        <v>349011.21</v>
      </c>
      <c r="DA29" s="4">
        <f>+CY28*CY$5*(CW29-CW28)/360</f>
        <v>128975.6398554827</v>
      </c>
      <c r="DB29" s="4">
        <f t="shared" si="12"/>
        <v>477986.84985548269</v>
      </c>
      <c r="DD29" s="1">
        <v>4</v>
      </c>
      <c r="DE29" s="13">
        <f t="shared" si="13"/>
        <v>46112</v>
      </c>
      <c r="DF29" s="13">
        <v>46107</v>
      </c>
      <c r="DG29" s="12"/>
      <c r="DH29" s="4">
        <f t="shared" si="47"/>
        <v>9102049.97886746</v>
      </c>
      <c r="DI29" s="4">
        <v>14905.56</v>
      </c>
      <c r="DJ29" s="4">
        <v>132195.85</v>
      </c>
      <c r="DK29" s="4">
        <f t="shared" si="14"/>
        <v>147101.41</v>
      </c>
      <c r="DL29" s="386"/>
      <c r="DM29" s="1">
        <v>4</v>
      </c>
      <c r="DN29" s="13">
        <f t="shared" si="0"/>
        <v>46142</v>
      </c>
      <c r="DO29" s="13">
        <v>46118</v>
      </c>
      <c r="DP29" s="12"/>
      <c r="DQ29" s="4">
        <f t="shared" si="48"/>
        <v>1107774.2426865983</v>
      </c>
      <c r="DR29" s="4">
        <v>1933.63</v>
      </c>
      <c r="DS29" s="4">
        <f t="shared" si="59"/>
        <v>16325.652320341003</v>
      </c>
      <c r="DT29" s="4">
        <f t="shared" si="15"/>
        <v>18259.282320341004</v>
      </c>
      <c r="DW29" s="13"/>
      <c r="DX29" s="13"/>
      <c r="DY29" s="12"/>
      <c r="DZ29" s="4"/>
      <c r="EA29" s="4"/>
      <c r="EB29" s="4"/>
      <c r="EC29" s="4"/>
      <c r="EE29" s="1">
        <v>4</v>
      </c>
      <c r="EF29" s="13">
        <f t="shared" si="16"/>
        <v>46022</v>
      </c>
      <c r="EG29" s="13">
        <v>46017</v>
      </c>
      <c r="EH29" s="12"/>
      <c r="EI29" s="4">
        <f t="shared" si="49"/>
        <v>2794681.5</v>
      </c>
      <c r="EJ29" s="4">
        <v>0</v>
      </c>
      <c r="EK29" s="4">
        <v>18006.37</v>
      </c>
      <c r="EL29" s="4">
        <v>0</v>
      </c>
      <c r="EM29" s="4">
        <f t="shared" si="50"/>
        <v>18006.37</v>
      </c>
      <c r="EO29" s="1">
        <v>4</v>
      </c>
      <c r="EP29" s="13">
        <f t="shared" si="17"/>
        <v>46112</v>
      </c>
      <c r="EQ29" s="13">
        <v>46102</v>
      </c>
      <c r="ER29" s="4"/>
      <c r="ES29" s="4">
        <f t="shared" si="51"/>
        <v>193933.38400000005</v>
      </c>
      <c r="ET29" s="4">
        <v>39312.49</v>
      </c>
      <c r="EU29" s="4">
        <v>2589.41</v>
      </c>
      <c r="EV29" s="4">
        <f t="shared" si="18"/>
        <v>41901.899999999994</v>
      </c>
      <c r="EX29" s="1">
        <v>4</v>
      </c>
      <c r="EY29" s="13">
        <f t="shared" si="19"/>
        <v>46112</v>
      </c>
      <c r="EZ29" s="13">
        <v>46102</v>
      </c>
      <c r="FA29" s="4"/>
      <c r="FB29" s="4">
        <f t="shared" si="52"/>
        <v>193933.38400000005</v>
      </c>
      <c r="FC29" s="4">
        <v>39312.49</v>
      </c>
      <c r="FD29" s="4">
        <v>2589.41</v>
      </c>
      <c r="FE29" s="4">
        <f t="shared" si="20"/>
        <v>41901.899999999994</v>
      </c>
      <c r="FG29" s="1">
        <v>4</v>
      </c>
      <c r="FH29" s="13">
        <f t="shared" si="21"/>
        <v>46112</v>
      </c>
      <c r="FI29" s="13">
        <v>46102</v>
      </c>
      <c r="FJ29" s="4"/>
      <c r="FK29" s="4">
        <f t="shared" si="53"/>
        <v>193933.38400000005</v>
      </c>
      <c r="FL29" s="4">
        <v>39312.49</v>
      </c>
      <c r="FM29" s="4">
        <v>2589.41</v>
      </c>
      <c r="FN29" s="4">
        <f t="shared" si="22"/>
        <v>41901.899999999994</v>
      </c>
      <c r="FP29" s="1">
        <v>4</v>
      </c>
      <c r="FQ29" s="13">
        <f t="shared" si="23"/>
        <v>46112</v>
      </c>
      <c r="FR29" s="13">
        <v>46102</v>
      </c>
      <c r="FS29" s="4"/>
      <c r="FT29" s="4">
        <f t="shared" si="54"/>
        <v>193933.38400000005</v>
      </c>
      <c r="FU29" s="4">
        <v>39312.49</v>
      </c>
      <c r="FV29" s="4">
        <v>2589.41</v>
      </c>
      <c r="FW29" s="4">
        <f t="shared" si="24"/>
        <v>41901.899999999994</v>
      </c>
      <c r="FY29" s="1">
        <v>4</v>
      </c>
      <c r="FZ29" s="13">
        <f t="shared" si="25"/>
        <v>46112</v>
      </c>
      <c r="GA29" s="13">
        <v>46084</v>
      </c>
      <c r="GB29" s="12"/>
      <c r="GC29" s="4">
        <f t="shared" si="55"/>
        <v>269470.80000000005</v>
      </c>
      <c r="GD29" s="4">
        <v>40480.720000000001</v>
      </c>
      <c r="GE29" s="4">
        <v>3322.26</v>
      </c>
      <c r="GF29" s="4">
        <f t="shared" si="26"/>
        <v>43802.98</v>
      </c>
      <c r="GH29" s="1">
        <v>4</v>
      </c>
      <c r="GI29" s="13">
        <f t="shared" si="27"/>
        <v>46112</v>
      </c>
      <c r="GJ29" s="13">
        <v>46084</v>
      </c>
      <c r="GK29" s="12"/>
      <c r="GL29" s="4">
        <v>269470.80000000005</v>
      </c>
      <c r="GM29" s="4">
        <v>40480.720000000001</v>
      </c>
      <c r="GN29" s="4">
        <v>3322.26</v>
      </c>
      <c r="GO29" s="4">
        <v>43802.98</v>
      </c>
    </row>
    <row r="30" spans="1:197" x14ac:dyDescent="0.3">
      <c r="A30" s="1">
        <v>5</v>
      </c>
      <c r="B30" s="3">
        <f t="shared" si="1"/>
        <v>5</v>
      </c>
      <c r="C30" s="13">
        <f t="shared" si="60"/>
        <v>46053</v>
      </c>
      <c r="D30" s="12"/>
      <c r="E30" s="4">
        <f t="shared" si="28"/>
        <v>213520527.74813884</v>
      </c>
      <c r="F30" s="4">
        <f t="shared" si="29"/>
        <v>409569.10853242368</v>
      </c>
      <c r="G30" s="4">
        <f t="shared" si="30"/>
        <v>158387.65546656543</v>
      </c>
      <c r="H30" s="4">
        <f t="shared" si="31"/>
        <v>567956.76399898913</v>
      </c>
      <c r="I30" s="383">
        <f>+F30</f>
        <v>409569.10853242368</v>
      </c>
      <c r="J30" s="383" t="s">
        <v>660</v>
      </c>
      <c r="K30" s="4"/>
      <c r="M30" s="1">
        <v>5</v>
      </c>
      <c r="N30" s="387">
        <f t="shared" si="2"/>
        <v>45991</v>
      </c>
      <c r="O30" s="387">
        <f t="shared" ref="O30:O54" si="61">+DATE(YEAR(O29),MONTH(O29)+3,DAY(O29))</f>
        <v>45976</v>
      </c>
      <c r="P30" s="12"/>
      <c r="Q30" s="4">
        <f t="shared" si="3"/>
        <v>101824947.03098246</v>
      </c>
      <c r="R30" s="385">
        <f>+Q21</f>
        <v>30369494.399999999</v>
      </c>
      <c r="S30" s="4">
        <f t="shared" si="32"/>
        <v>2026981.4352750645</v>
      </c>
      <c r="T30" s="4">
        <f t="shared" si="33"/>
        <v>471550.5461533799</v>
      </c>
      <c r="U30" s="4">
        <f t="shared" si="34"/>
        <v>32868026.381428443</v>
      </c>
      <c r="V30" s="383"/>
      <c r="W30" s="383"/>
      <c r="X30" s="383"/>
      <c r="Y30" s="383"/>
      <c r="Z30" s="383"/>
      <c r="AA30" s="383"/>
      <c r="AC30" s="55">
        <v>5</v>
      </c>
      <c r="AD30" s="13">
        <f t="shared" si="4"/>
        <v>46173</v>
      </c>
      <c r="AE30" s="13">
        <v>46144</v>
      </c>
      <c r="AF30" s="12"/>
      <c r="AG30" s="4">
        <f t="shared" si="35"/>
        <v>1086385.5599999998</v>
      </c>
      <c r="AH30" s="4">
        <f t="shared" si="56"/>
        <v>51840.79</v>
      </c>
      <c r="AI30" s="4">
        <f t="shared" si="36"/>
        <v>15476.716620138888</v>
      </c>
      <c r="AJ30" s="4">
        <f t="shared" si="37"/>
        <v>67317.506620138884</v>
      </c>
      <c r="AK30" s="383"/>
      <c r="AL30" s="388"/>
      <c r="AM30" s="383"/>
      <c r="AN30" s="383"/>
      <c r="AO30" s="383"/>
      <c r="AP30" s="4"/>
      <c r="AR30" s="1">
        <v>5</v>
      </c>
      <c r="AS30" s="13">
        <f t="shared" si="5"/>
        <v>46081</v>
      </c>
      <c r="AT30" s="13">
        <v>46073</v>
      </c>
      <c r="AU30" s="12"/>
      <c r="AV30" s="4">
        <f t="shared" si="57"/>
        <v>15996516.062482124</v>
      </c>
      <c r="AW30" s="4">
        <v>0</v>
      </c>
      <c r="AX30" s="4">
        <f t="shared" si="58"/>
        <v>245279.91295805926</v>
      </c>
      <c r="AY30" s="4">
        <f t="shared" si="6"/>
        <v>245279.91295805926</v>
      </c>
      <c r="AZ30" s="383"/>
      <c r="BA30" s="388"/>
      <c r="BB30" s="388"/>
      <c r="BC30" s="383"/>
      <c r="BD30" s="383"/>
      <c r="BE30" s="383"/>
      <c r="BG30" s="1">
        <v>5</v>
      </c>
      <c r="BH30" s="13">
        <f t="shared" si="7"/>
        <v>46203</v>
      </c>
      <c r="BI30" s="13">
        <v>46193</v>
      </c>
      <c r="BJ30" s="12"/>
      <c r="BK30" s="4">
        <f t="shared" si="38"/>
        <v>53476614.030000001</v>
      </c>
      <c r="BL30" s="4">
        <v>0</v>
      </c>
      <c r="BM30" s="4">
        <f t="shared" si="39"/>
        <v>819974.74846000015</v>
      </c>
      <c r="BN30" s="4">
        <v>82616.23</v>
      </c>
      <c r="BO30" s="4">
        <f t="shared" si="40"/>
        <v>902590.97846000013</v>
      </c>
      <c r="BP30" s="451"/>
      <c r="BQ30" s="388"/>
      <c r="BR30" s="383"/>
      <c r="BS30" s="383"/>
      <c r="BT30" s="383"/>
      <c r="BV30" s="1">
        <v>5</v>
      </c>
      <c r="BW30" s="13">
        <f t="shared" si="8"/>
        <v>46142</v>
      </c>
      <c r="BX30" s="13">
        <v>46132</v>
      </c>
      <c r="BY30" s="12"/>
      <c r="BZ30" s="4">
        <f t="shared" si="41"/>
        <v>866047.03845143807</v>
      </c>
      <c r="CA30" s="4">
        <v>57736.470062537075</v>
      </c>
      <c r="CB30" s="4">
        <v>2821.4284698866022</v>
      </c>
      <c r="CC30" s="4">
        <f t="shared" si="42"/>
        <v>13856.752627709628</v>
      </c>
      <c r="CD30" s="4">
        <v>1642.8394559018825</v>
      </c>
      <c r="CE30" s="4">
        <f t="shared" si="43"/>
        <v>76057.490616035182</v>
      </c>
      <c r="CF30" s="451"/>
      <c r="CG30" s="388"/>
      <c r="CH30" s="383"/>
      <c r="CI30" s="383"/>
      <c r="CJ30" s="383"/>
      <c r="CL30" s="1">
        <v>5</v>
      </c>
      <c r="CM30" s="13">
        <f t="shared" si="9"/>
        <v>46203</v>
      </c>
      <c r="CN30" s="13">
        <v>46187</v>
      </c>
      <c r="CO30" s="12"/>
      <c r="CP30" s="4">
        <f t="shared" si="44"/>
        <v>1356132.27</v>
      </c>
      <c r="CQ30" s="4">
        <v>104317.86</v>
      </c>
      <c r="CR30" s="4">
        <v>19194.487926666658</v>
      </c>
      <c r="CS30" s="4">
        <f t="shared" si="10"/>
        <v>123512.34792666665</v>
      </c>
      <c r="CU30" s="1">
        <v>5</v>
      </c>
      <c r="CV30" s="13">
        <f t="shared" si="11"/>
        <v>46022</v>
      </c>
      <c r="CW30" s="13">
        <v>46001</v>
      </c>
      <c r="CX30" s="12"/>
      <c r="CY30" s="4">
        <f t="shared" si="45"/>
        <v>24265004.6488031</v>
      </c>
      <c r="CZ30" s="4">
        <v>349011.21</v>
      </c>
      <c r="DA30" s="4">
        <f t="shared" si="46"/>
        <v>123070.07929401551</v>
      </c>
      <c r="DB30" s="4">
        <f t="shared" si="12"/>
        <v>472081.2892940155</v>
      </c>
      <c r="DD30" s="1">
        <v>5</v>
      </c>
      <c r="DE30" s="13">
        <f t="shared" si="13"/>
        <v>46203</v>
      </c>
      <c r="DF30" s="13">
        <v>46198</v>
      </c>
      <c r="DG30" s="12"/>
      <c r="DH30" s="4">
        <f t="shared" si="47"/>
        <v>9087144.3588674609</v>
      </c>
      <c r="DI30" s="4">
        <v>14905.62</v>
      </c>
      <c r="DJ30" s="4">
        <v>133446.17000000001</v>
      </c>
      <c r="DK30" s="4">
        <f t="shared" si="14"/>
        <v>148351.79</v>
      </c>
      <c r="DL30" s="386"/>
      <c r="DM30" s="1">
        <v>5</v>
      </c>
      <c r="DN30" s="13">
        <f t="shared" si="0"/>
        <v>46234</v>
      </c>
      <c r="DO30" s="13">
        <v>46209</v>
      </c>
      <c r="DP30" s="12"/>
      <c r="DQ30" s="4">
        <f t="shared" si="48"/>
        <v>1105840.5926865984</v>
      </c>
      <c r="DR30" s="4">
        <v>1933.65</v>
      </c>
      <c r="DS30" s="4">
        <f t="shared" si="59"/>
        <v>16297.205400324339</v>
      </c>
      <c r="DT30" s="4">
        <f t="shared" si="15"/>
        <v>18230.855400324341</v>
      </c>
      <c r="DW30" s="13"/>
      <c r="DX30" s="13"/>
      <c r="DY30" s="12"/>
      <c r="DZ30" s="4"/>
      <c r="EA30" s="4"/>
      <c r="EB30" s="4"/>
      <c r="EC30" s="4"/>
      <c r="EE30" s="1">
        <v>5</v>
      </c>
      <c r="EF30" s="13">
        <f t="shared" si="16"/>
        <v>46112</v>
      </c>
      <c r="EG30" s="13">
        <v>46107</v>
      </c>
      <c r="EH30" s="12"/>
      <c r="EI30" s="4">
        <f t="shared" si="49"/>
        <v>2789681.47</v>
      </c>
      <c r="EJ30" s="4">
        <v>5000.03</v>
      </c>
      <c r="EK30" s="4">
        <v>18235.060000000001</v>
      </c>
      <c r="EL30" s="4"/>
      <c r="EM30" s="4">
        <f t="shared" si="50"/>
        <v>23235.09</v>
      </c>
      <c r="EO30" s="1">
        <v>5</v>
      </c>
      <c r="EP30" s="13">
        <f t="shared" si="17"/>
        <v>46203</v>
      </c>
      <c r="EQ30" s="13">
        <v>46192</v>
      </c>
      <c r="ER30" s="4"/>
      <c r="ES30" s="4">
        <f t="shared" si="51"/>
        <v>153785.50400000004</v>
      </c>
      <c r="ET30" s="4">
        <v>40147.879999999997</v>
      </c>
      <c r="EU30" s="4">
        <v>1999.73</v>
      </c>
      <c r="EV30" s="4">
        <f t="shared" si="18"/>
        <v>42147.61</v>
      </c>
      <c r="EX30" s="1">
        <v>5</v>
      </c>
      <c r="EY30" s="13">
        <f t="shared" si="19"/>
        <v>46203</v>
      </c>
      <c r="EZ30" s="13">
        <v>46192</v>
      </c>
      <c r="FA30" s="4"/>
      <c r="FB30" s="4">
        <f t="shared" si="52"/>
        <v>153785.50400000004</v>
      </c>
      <c r="FC30" s="4">
        <v>40147.879999999997</v>
      </c>
      <c r="FD30" s="4">
        <v>1999.73</v>
      </c>
      <c r="FE30" s="4">
        <f t="shared" si="20"/>
        <v>42147.61</v>
      </c>
      <c r="FG30" s="1">
        <v>5</v>
      </c>
      <c r="FH30" s="13">
        <f t="shared" si="21"/>
        <v>46203</v>
      </c>
      <c r="FI30" s="13">
        <v>46192</v>
      </c>
      <c r="FJ30" s="4"/>
      <c r="FK30" s="4">
        <f t="shared" si="53"/>
        <v>153785.50400000004</v>
      </c>
      <c r="FL30" s="4">
        <v>40147.879999999997</v>
      </c>
      <c r="FM30" s="4">
        <v>1999.73</v>
      </c>
      <c r="FN30" s="4">
        <f t="shared" si="22"/>
        <v>42147.61</v>
      </c>
      <c r="FP30" s="1">
        <v>5</v>
      </c>
      <c r="FQ30" s="13">
        <f t="shared" si="23"/>
        <v>46203</v>
      </c>
      <c r="FR30" s="13">
        <v>46192</v>
      </c>
      <c r="FS30" s="4"/>
      <c r="FT30" s="4">
        <f t="shared" si="54"/>
        <v>153785.50400000004</v>
      </c>
      <c r="FU30" s="4">
        <v>40147.879999999997</v>
      </c>
      <c r="FV30" s="4">
        <v>1999.73</v>
      </c>
      <c r="FW30" s="4">
        <f t="shared" si="24"/>
        <v>42147.61</v>
      </c>
      <c r="FY30" s="1">
        <v>5</v>
      </c>
      <c r="FZ30" s="13">
        <f t="shared" si="25"/>
        <v>46203</v>
      </c>
      <c r="GA30" s="13">
        <v>46174</v>
      </c>
      <c r="GB30" s="12"/>
      <c r="GC30" s="4">
        <f t="shared" si="55"/>
        <v>228129.86000000004</v>
      </c>
      <c r="GD30" s="4">
        <v>41340.94</v>
      </c>
      <c r="GE30" s="4">
        <v>2715.05</v>
      </c>
      <c r="GF30" s="4">
        <f t="shared" si="26"/>
        <v>44055.990000000005</v>
      </c>
      <c r="GH30" s="1">
        <v>5</v>
      </c>
      <c r="GI30" s="13">
        <f t="shared" si="27"/>
        <v>46203</v>
      </c>
      <c r="GJ30" s="13">
        <v>46174</v>
      </c>
      <c r="GK30" s="12"/>
      <c r="GL30" s="4">
        <v>228129.86000000004</v>
      </c>
      <c r="GM30" s="4">
        <v>41340.94</v>
      </c>
      <c r="GN30" s="4">
        <v>2715.05</v>
      </c>
      <c r="GO30" s="4">
        <v>44055.990000000005</v>
      </c>
    </row>
    <row r="31" spans="1:197" x14ac:dyDescent="0.3">
      <c r="A31" s="1">
        <v>6</v>
      </c>
      <c r="B31" s="3">
        <f t="shared" si="1"/>
        <v>9</v>
      </c>
      <c r="C31" s="13">
        <f t="shared" si="60"/>
        <v>46081</v>
      </c>
      <c r="D31" s="12"/>
      <c r="E31" s="4">
        <f t="shared" si="28"/>
        <v>209046677.86689955</v>
      </c>
      <c r="F31" s="4">
        <f t="shared" si="29"/>
        <v>4473849.8812392987</v>
      </c>
      <c r="G31" s="4">
        <f t="shared" si="30"/>
        <v>2418439.3344880976</v>
      </c>
      <c r="H31" s="4">
        <f t="shared" si="31"/>
        <v>6892289.2157273963</v>
      </c>
      <c r="I31" s="383"/>
      <c r="J31" s="383"/>
      <c r="K31" s="4"/>
      <c r="M31" s="1">
        <v>6</v>
      </c>
      <c r="N31" s="387">
        <f t="shared" si="2"/>
        <v>46081</v>
      </c>
      <c r="O31" s="387">
        <f t="shared" si="61"/>
        <v>46068</v>
      </c>
      <c r="P31" s="12"/>
      <c r="Q31" s="4">
        <f t="shared" si="3"/>
        <v>97751949.14974317</v>
      </c>
      <c r="R31" s="4">
        <f t="shared" ref="R31:R55" si="62">+$Q$30/25</f>
        <v>4072997.8812392987</v>
      </c>
      <c r="S31" s="4">
        <f t="shared" si="32"/>
        <v>1561315.8544750644</v>
      </c>
      <c r="T31" s="4">
        <f t="shared" si="33"/>
        <v>471550.5461533799</v>
      </c>
      <c r="U31" s="446">
        <f t="shared" si="34"/>
        <v>6105864.2818677425</v>
      </c>
      <c r="V31" s="383"/>
      <c r="W31" s="383"/>
      <c r="X31" s="383"/>
      <c r="Y31" s="383"/>
      <c r="Z31" s="383"/>
      <c r="AA31" s="383"/>
      <c r="AC31" s="55">
        <v>6</v>
      </c>
      <c r="AD31" s="13">
        <f t="shared" si="4"/>
        <v>46265</v>
      </c>
      <c r="AE31" s="13">
        <v>46236</v>
      </c>
      <c r="AF31" s="12"/>
      <c r="AG31" s="4">
        <f t="shared" si="35"/>
        <v>1034544.7699999998</v>
      </c>
      <c r="AH31" s="4">
        <f t="shared" si="56"/>
        <v>51840.79</v>
      </c>
      <c r="AI31" s="4">
        <f t="shared" si="36"/>
        <v>15269.752593333331</v>
      </c>
      <c r="AJ31" s="4">
        <f t="shared" si="37"/>
        <v>67110.542593333332</v>
      </c>
      <c r="AK31" s="383"/>
      <c r="AL31" s="388"/>
      <c r="AM31" s="383"/>
      <c r="AN31" s="383"/>
      <c r="AO31" s="383"/>
      <c r="AP31" s="4"/>
      <c r="AR31" s="1">
        <v>6</v>
      </c>
      <c r="AS31" s="13">
        <f t="shared" si="5"/>
        <v>46173</v>
      </c>
      <c r="AT31" s="13">
        <v>46162</v>
      </c>
      <c r="AU31" s="12"/>
      <c r="AV31" s="4">
        <f t="shared" si="57"/>
        <v>15996516.062482124</v>
      </c>
      <c r="AW31" s="4">
        <v>0</v>
      </c>
      <c r="AX31" s="4">
        <f t="shared" si="58"/>
        <v>237281.65492681818</v>
      </c>
      <c r="AY31" s="4">
        <f t="shared" si="6"/>
        <v>237281.65492681818</v>
      </c>
      <c r="AZ31" s="383"/>
      <c r="BA31" s="388"/>
      <c r="BB31" s="388"/>
      <c r="BC31" s="383"/>
      <c r="BD31" s="383"/>
      <c r="BE31" s="383"/>
      <c r="BG31" s="1">
        <v>6</v>
      </c>
      <c r="BH31" s="13">
        <f t="shared" si="7"/>
        <v>46295</v>
      </c>
      <c r="BI31" s="13">
        <v>46285</v>
      </c>
      <c r="BJ31" s="12"/>
      <c r="BK31" s="4">
        <f t="shared" si="38"/>
        <v>48128952.627000004</v>
      </c>
      <c r="BL31" s="4">
        <f>+BK28/10</f>
        <v>5347661.4029999999</v>
      </c>
      <c r="BM31" s="4">
        <f t="shared" si="39"/>
        <v>819974.74846000015</v>
      </c>
      <c r="BN31" s="4">
        <v>82616.23</v>
      </c>
      <c r="BO31" s="446">
        <f t="shared" si="40"/>
        <v>6250252.3814600008</v>
      </c>
      <c r="BP31" s="451"/>
      <c r="BQ31" s="388"/>
      <c r="BR31" s="383"/>
      <c r="BS31" s="383"/>
      <c r="BT31" s="383"/>
      <c r="BV31" s="1">
        <v>6</v>
      </c>
      <c r="BW31" s="13">
        <f t="shared" si="8"/>
        <v>46234</v>
      </c>
      <c r="BX31" s="13">
        <v>46223</v>
      </c>
      <c r="BY31" s="12"/>
      <c r="BZ31" s="4">
        <f t="shared" si="41"/>
        <v>808310.56838890095</v>
      </c>
      <c r="CA31" s="4">
        <v>57736.470062537075</v>
      </c>
      <c r="CB31" s="4">
        <v>2821.4284698866022</v>
      </c>
      <c r="CC31" s="4">
        <f t="shared" si="42"/>
        <v>13135.04674984681</v>
      </c>
      <c r="CD31" s="4">
        <v>1642.8394559018825</v>
      </c>
      <c r="CE31" s="4">
        <f t="shared" si="43"/>
        <v>75335.78473817237</v>
      </c>
      <c r="CF31" s="451"/>
      <c r="CG31" s="388"/>
      <c r="CH31" s="383"/>
      <c r="CI31" s="383"/>
      <c r="CJ31" s="383"/>
      <c r="CL31" s="1">
        <v>6</v>
      </c>
      <c r="CM31" s="13">
        <f t="shared" si="9"/>
        <v>46295</v>
      </c>
      <c r="CN31" s="13">
        <v>46279</v>
      </c>
      <c r="CO31" s="12"/>
      <c r="CP31" s="4">
        <f t="shared" si="44"/>
        <v>1251814.4099999999</v>
      </c>
      <c r="CQ31" s="4">
        <v>104317.86</v>
      </c>
      <c r="CR31" s="4">
        <v>17594.947406666655</v>
      </c>
      <c r="CS31" s="4">
        <f t="shared" si="10"/>
        <v>121912.80740666666</v>
      </c>
      <c r="CU31" s="1">
        <v>6</v>
      </c>
      <c r="CV31" s="13">
        <f t="shared" si="11"/>
        <v>46053</v>
      </c>
      <c r="CW31" s="13">
        <v>46032</v>
      </c>
      <c r="CX31" s="12"/>
      <c r="CY31" s="4">
        <f t="shared" si="45"/>
        <v>23915993.438803099</v>
      </c>
      <c r="CZ31" s="4">
        <v>349011.21</v>
      </c>
      <c r="DA31" s="4">
        <f t="shared" si="46"/>
        <v>125369.1906854827</v>
      </c>
      <c r="DB31" s="4">
        <f t="shared" si="12"/>
        <v>474380.40068548272</v>
      </c>
      <c r="DD31" s="1">
        <v>6</v>
      </c>
      <c r="DE31" s="13">
        <f t="shared" si="13"/>
        <v>46295</v>
      </c>
      <c r="DF31" s="13">
        <v>46289</v>
      </c>
      <c r="DG31" s="12"/>
      <c r="DH31" s="4">
        <f t="shared" si="47"/>
        <v>8803171.0988674611</v>
      </c>
      <c r="DI31" s="4">
        <v>283973.26</v>
      </c>
      <c r="DJ31" s="4">
        <v>133227.63</v>
      </c>
      <c r="DK31" s="4">
        <f t="shared" si="14"/>
        <v>417200.89</v>
      </c>
      <c r="DL31" s="386"/>
      <c r="DM31" s="1">
        <v>6</v>
      </c>
      <c r="DN31" s="13">
        <f t="shared" si="0"/>
        <v>46326</v>
      </c>
      <c r="DO31" s="13">
        <v>46300</v>
      </c>
      <c r="DP31" s="12"/>
      <c r="DQ31" s="4">
        <f t="shared" si="48"/>
        <v>1066346.2826865984</v>
      </c>
      <c r="DR31" s="4">
        <v>39494.31</v>
      </c>
      <c r="DS31" s="4">
        <f t="shared" si="59"/>
        <v>16268.758186074341</v>
      </c>
      <c r="DT31" s="4">
        <f t="shared" si="15"/>
        <v>55763.068186074335</v>
      </c>
      <c r="DW31" s="13"/>
      <c r="DX31" s="13"/>
      <c r="DY31" s="12"/>
      <c r="DZ31" s="4"/>
      <c r="EA31" s="4"/>
      <c r="EB31" s="4"/>
      <c r="EC31" s="4"/>
      <c r="EE31" s="1">
        <v>6</v>
      </c>
      <c r="EF31" s="13">
        <f t="shared" si="16"/>
        <v>46203</v>
      </c>
      <c r="EG31" s="13">
        <v>46198</v>
      </c>
      <c r="EH31" s="12"/>
      <c r="EI31" s="4">
        <f t="shared" si="49"/>
        <v>2784681.47</v>
      </c>
      <c r="EJ31" s="4">
        <v>5000</v>
      </c>
      <c r="EK31" s="4">
        <v>18355.080000000002</v>
      </c>
      <c r="EL31" s="4"/>
      <c r="EM31" s="4">
        <f t="shared" si="50"/>
        <v>23355.08</v>
      </c>
      <c r="EO31" s="1">
        <v>6</v>
      </c>
      <c r="EP31" s="13">
        <f t="shared" si="17"/>
        <v>46295</v>
      </c>
      <c r="EQ31" s="13">
        <v>46282</v>
      </c>
      <c r="ER31" s="4"/>
      <c r="ES31" s="4">
        <f t="shared" si="51"/>
        <v>112784.48400000005</v>
      </c>
      <c r="ET31" s="4">
        <v>41001.019999999997</v>
      </c>
      <c r="EU31" s="4">
        <v>1397.51</v>
      </c>
      <c r="EV31" s="4">
        <f t="shared" si="18"/>
        <v>42398.53</v>
      </c>
      <c r="EX31" s="1">
        <v>6</v>
      </c>
      <c r="EY31" s="13">
        <f t="shared" si="19"/>
        <v>46295</v>
      </c>
      <c r="EZ31" s="13">
        <v>46282</v>
      </c>
      <c r="FA31" s="4"/>
      <c r="FB31" s="4">
        <f t="shared" si="52"/>
        <v>112784.48400000005</v>
      </c>
      <c r="FC31" s="4">
        <v>41001.019999999997</v>
      </c>
      <c r="FD31" s="4">
        <v>1397.51</v>
      </c>
      <c r="FE31" s="4">
        <f t="shared" si="20"/>
        <v>42398.53</v>
      </c>
      <c r="FG31" s="1">
        <v>6</v>
      </c>
      <c r="FH31" s="13">
        <f t="shared" si="21"/>
        <v>46295</v>
      </c>
      <c r="FI31" s="13">
        <v>46282</v>
      </c>
      <c r="FJ31" s="4"/>
      <c r="FK31" s="4">
        <f t="shared" si="53"/>
        <v>112784.48400000005</v>
      </c>
      <c r="FL31" s="4">
        <v>41001.019999999997</v>
      </c>
      <c r="FM31" s="4">
        <v>1397.51</v>
      </c>
      <c r="FN31" s="4">
        <f t="shared" si="22"/>
        <v>42398.53</v>
      </c>
      <c r="FP31" s="1">
        <v>6</v>
      </c>
      <c r="FQ31" s="13">
        <f t="shared" si="23"/>
        <v>46295</v>
      </c>
      <c r="FR31" s="13">
        <v>46282</v>
      </c>
      <c r="FS31" s="4"/>
      <c r="FT31" s="4">
        <f t="shared" si="54"/>
        <v>112784.48400000005</v>
      </c>
      <c r="FU31" s="4">
        <v>41001.019999999997</v>
      </c>
      <c r="FV31" s="4">
        <v>1397.51</v>
      </c>
      <c r="FW31" s="4">
        <f t="shared" si="24"/>
        <v>42398.53</v>
      </c>
      <c r="FY31" s="1">
        <v>6</v>
      </c>
      <c r="FZ31" s="13">
        <f t="shared" si="25"/>
        <v>46265</v>
      </c>
      <c r="GA31" s="13">
        <v>46264</v>
      </c>
      <c r="GB31" s="12"/>
      <c r="GC31" s="4">
        <f t="shared" si="55"/>
        <v>185910.43000000005</v>
      </c>
      <c r="GD31" s="4">
        <v>42219.43</v>
      </c>
      <c r="GE31" s="4">
        <v>2094.94</v>
      </c>
      <c r="GF31" s="4">
        <f t="shared" si="26"/>
        <v>44314.37</v>
      </c>
      <c r="GH31" s="1">
        <v>6</v>
      </c>
      <c r="GI31" s="13">
        <f t="shared" si="27"/>
        <v>46265</v>
      </c>
      <c r="GJ31" s="13">
        <v>46264</v>
      </c>
      <c r="GK31" s="12"/>
      <c r="GL31" s="4">
        <v>185910.43000000005</v>
      </c>
      <c r="GM31" s="4">
        <v>42219.43</v>
      </c>
      <c r="GN31" s="4">
        <v>2094.94</v>
      </c>
      <c r="GO31" s="4">
        <v>44314.37</v>
      </c>
    </row>
    <row r="32" spans="1:197" x14ac:dyDescent="0.3">
      <c r="A32" s="1">
        <v>7</v>
      </c>
      <c r="B32" s="3">
        <f t="shared" si="1"/>
        <v>14</v>
      </c>
      <c r="C32" s="13">
        <f t="shared" si="60"/>
        <v>46112</v>
      </c>
      <c r="D32" s="12"/>
      <c r="E32" s="4">
        <f t="shared" si="28"/>
        <v>208335231.80689955</v>
      </c>
      <c r="F32" s="4">
        <f t="shared" si="29"/>
        <v>711446.05999999994</v>
      </c>
      <c r="G32" s="4">
        <f t="shared" si="30"/>
        <v>1081668.455201081</v>
      </c>
      <c r="H32" s="4">
        <f t="shared" si="31"/>
        <v>1793114.5152010811</v>
      </c>
      <c r="I32" s="383">
        <f>+H32</f>
        <v>1793114.5152010811</v>
      </c>
      <c r="J32" s="383" t="s">
        <v>142</v>
      </c>
      <c r="K32" s="4"/>
      <c r="M32" s="1">
        <v>7</v>
      </c>
      <c r="N32" s="387">
        <f t="shared" si="2"/>
        <v>46173</v>
      </c>
      <c r="O32" s="387">
        <f t="shared" si="61"/>
        <v>46157</v>
      </c>
      <c r="P32" s="12"/>
      <c r="Q32" s="4">
        <f t="shared" si="3"/>
        <v>93678951.268503875</v>
      </c>
      <c r="R32" s="4">
        <f t="shared" si="62"/>
        <v>4072997.8812392987</v>
      </c>
      <c r="S32" s="4">
        <f t="shared" si="32"/>
        <v>1449987.2457211902</v>
      </c>
      <c r="T32" s="4">
        <f t="shared" si="33"/>
        <v>471550.5461533799</v>
      </c>
      <c r="U32" s="446">
        <f t="shared" si="34"/>
        <v>5994535.6731138686</v>
      </c>
      <c r="V32" s="383"/>
      <c r="W32" s="383"/>
      <c r="X32" s="383"/>
      <c r="Y32" s="383"/>
      <c r="Z32" s="383"/>
      <c r="AA32" s="383"/>
      <c r="AC32" s="55">
        <v>7</v>
      </c>
      <c r="AD32" s="13">
        <f t="shared" si="4"/>
        <v>46356</v>
      </c>
      <c r="AE32" s="13">
        <v>46328</v>
      </c>
      <c r="AF32" s="12"/>
      <c r="AG32" s="4">
        <f t="shared" si="35"/>
        <v>982703.97999999975</v>
      </c>
      <c r="AH32" s="4">
        <f t="shared" si="56"/>
        <v>51840.79</v>
      </c>
      <c r="AI32" s="4">
        <f t="shared" si="36"/>
        <v>14541.101489444442</v>
      </c>
      <c r="AJ32" s="4">
        <f t="shared" si="37"/>
        <v>66381.891489444446</v>
      </c>
      <c r="AK32" s="383"/>
      <c r="AL32" s="388"/>
      <c r="AM32" s="383"/>
      <c r="AN32" s="383"/>
      <c r="AO32" s="383"/>
      <c r="AP32" s="4"/>
      <c r="AR32" s="1">
        <v>7</v>
      </c>
      <c r="AS32" s="13">
        <f t="shared" si="5"/>
        <v>46265</v>
      </c>
      <c r="AT32" s="13">
        <v>46254</v>
      </c>
      <c r="AU32" s="12"/>
      <c r="AV32" s="4">
        <f t="shared" si="57"/>
        <v>15471468.597782588</v>
      </c>
      <c r="AW32" s="4">
        <v>525047.46469953598</v>
      </c>
      <c r="AX32" s="4">
        <f t="shared" si="58"/>
        <v>245279.91295805926</v>
      </c>
      <c r="AY32" s="4">
        <f t="shared" si="6"/>
        <v>770327.37765759521</v>
      </c>
      <c r="AZ32" s="383"/>
      <c r="BA32" s="388"/>
      <c r="BB32" s="388"/>
      <c r="BC32" s="383"/>
      <c r="BD32" s="383"/>
      <c r="BE32" s="383"/>
      <c r="BG32" s="1">
        <v>7</v>
      </c>
      <c r="BH32" s="13">
        <f t="shared" si="7"/>
        <v>46387</v>
      </c>
      <c r="BI32" s="13">
        <v>46376</v>
      </c>
      <c r="BJ32" s="12"/>
      <c r="BK32" s="4">
        <f t="shared" si="38"/>
        <v>42781291.224000007</v>
      </c>
      <c r="BL32" s="4">
        <f>+BL31</f>
        <v>5347661.4029999999</v>
      </c>
      <c r="BM32" s="4">
        <f t="shared" si="39"/>
        <v>729955.78150950011</v>
      </c>
      <c r="BN32" s="4">
        <v>82616.23</v>
      </c>
      <c r="BO32" s="446">
        <f t="shared" si="40"/>
        <v>6160233.4145095004</v>
      </c>
      <c r="BP32" s="451"/>
      <c r="BQ32" s="388"/>
      <c r="BR32" s="383"/>
      <c r="BS32" s="383"/>
      <c r="BT32" s="383"/>
      <c r="BV32" s="1">
        <v>7</v>
      </c>
      <c r="BW32" s="13">
        <f t="shared" si="8"/>
        <v>46326</v>
      </c>
      <c r="BX32" s="13">
        <v>46315</v>
      </c>
      <c r="BY32" s="12"/>
      <c r="BZ32" s="4">
        <f t="shared" si="41"/>
        <v>750574.09832636383</v>
      </c>
      <c r="CA32" s="4">
        <v>57736.470062537075</v>
      </c>
      <c r="CB32" s="4">
        <v>2821.4284698866022</v>
      </c>
      <c r="CC32" s="4">
        <f t="shared" si="42"/>
        <v>12394.095381963147</v>
      </c>
      <c r="CD32" s="4">
        <v>1642.8394559018825</v>
      </c>
      <c r="CE32" s="4">
        <f t="shared" si="43"/>
        <v>74594.833370288703</v>
      </c>
      <c r="CF32" s="451"/>
      <c r="CG32" s="388"/>
      <c r="CH32" s="383"/>
      <c r="CI32" s="383"/>
      <c r="CJ32" s="383"/>
      <c r="CL32" s="1">
        <v>7</v>
      </c>
      <c r="CM32" s="13">
        <f t="shared" si="9"/>
        <v>46387</v>
      </c>
      <c r="CN32" s="13">
        <v>46370</v>
      </c>
      <c r="CO32" s="12"/>
      <c r="CP32" s="4">
        <f t="shared" si="44"/>
        <v>1147496.5499999998</v>
      </c>
      <c r="CQ32" s="4">
        <v>104317.86</v>
      </c>
      <c r="CR32" s="4">
        <v>15821.543768333322</v>
      </c>
      <c r="CS32" s="4">
        <f t="shared" si="10"/>
        <v>120139.40376833332</v>
      </c>
      <c r="CU32" s="1">
        <v>7</v>
      </c>
      <c r="CV32" s="13">
        <f t="shared" si="11"/>
        <v>46081</v>
      </c>
      <c r="CW32" s="13">
        <v>46063</v>
      </c>
      <c r="CX32" s="12"/>
      <c r="CY32" s="4">
        <f t="shared" si="45"/>
        <v>23566982.228803098</v>
      </c>
      <c r="CZ32" s="4">
        <v>349011.21</v>
      </c>
      <c r="DA32" s="4">
        <f t="shared" si="46"/>
        <v>123565.96610048266</v>
      </c>
      <c r="DB32" s="4">
        <f t="shared" si="12"/>
        <v>472577.1761004827</v>
      </c>
      <c r="DD32" s="1">
        <v>7</v>
      </c>
      <c r="DE32" s="13">
        <f t="shared" si="13"/>
        <v>46387</v>
      </c>
      <c r="DF32" s="13">
        <v>46380</v>
      </c>
      <c r="DG32" s="12"/>
      <c r="DH32" s="4">
        <f t="shared" si="47"/>
        <v>8519197.8388674613</v>
      </c>
      <c r="DI32" s="4">
        <v>283973.26</v>
      </c>
      <c r="DJ32" s="4">
        <v>129064.27000000002</v>
      </c>
      <c r="DK32" s="4">
        <f t="shared" si="14"/>
        <v>413037.53</v>
      </c>
      <c r="DL32" s="386"/>
      <c r="DM32" s="1">
        <v>7</v>
      </c>
      <c r="DN32" s="13">
        <f t="shared" si="0"/>
        <v>46418</v>
      </c>
      <c r="DO32" s="13">
        <v>46392</v>
      </c>
      <c r="DP32" s="12"/>
      <c r="DQ32" s="4">
        <f t="shared" si="48"/>
        <v>1026851.9726865983</v>
      </c>
      <c r="DR32" s="4">
        <v>39494.31</v>
      </c>
      <c r="DS32" s="4">
        <f t="shared" si="59"/>
        <v>15860.123711158674</v>
      </c>
      <c r="DT32" s="4">
        <f t="shared" si="15"/>
        <v>55354.433711158672</v>
      </c>
      <c r="DW32" s="13"/>
      <c r="DX32" s="13"/>
      <c r="DY32" s="12"/>
      <c r="DZ32" s="4"/>
      <c r="EA32" s="4"/>
      <c r="EB32" s="4"/>
      <c r="EC32" s="4"/>
      <c r="EE32" s="1">
        <v>7</v>
      </c>
      <c r="EF32" s="13">
        <f t="shared" si="16"/>
        <v>46295</v>
      </c>
      <c r="EG32" s="13">
        <v>46289</v>
      </c>
      <c r="EH32" s="12"/>
      <c r="EI32" s="4">
        <f t="shared" si="49"/>
        <v>2744464.62</v>
      </c>
      <c r="EJ32" s="4">
        <v>40216.85</v>
      </c>
      <c r="EK32" s="4">
        <v>18279.37</v>
      </c>
      <c r="EL32" s="4"/>
      <c r="EM32" s="4">
        <f t="shared" si="50"/>
        <v>58496.22</v>
      </c>
      <c r="EO32" s="1">
        <v>7</v>
      </c>
      <c r="EP32" s="13">
        <f t="shared" si="17"/>
        <v>46387</v>
      </c>
      <c r="EQ32" s="13">
        <v>46372</v>
      </c>
      <c r="ER32" s="4"/>
      <c r="ES32" s="4">
        <f t="shared" si="51"/>
        <v>70912.10400000005</v>
      </c>
      <c r="ET32" s="4">
        <v>41872.379999999997</v>
      </c>
      <c r="EU32" s="4">
        <v>782.49</v>
      </c>
      <c r="EV32" s="4">
        <f t="shared" si="18"/>
        <v>42654.869999999995</v>
      </c>
      <c r="EX32" s="1">
        <v>7</v>
      </c>
      <c r="EY32" s="13">
        <f t="shared" si="19"/>
        <v>46387</v>
      </c>
      <c r="EZ32" s="13">
        <v>46372</v>
      </c>
      <c r="FA32" s="4"/>
      <c r="FB32" s="4">
        <f t="shared" si="52"/>
        <v>70912.10400000005</v>
      </c>
      <c r="FC32" s="4">
        <v>41872.379999999997</v>
      </c>
      <c r="FD32" s="4">
        <v>782.49</v>
      </c>
      <c r="FE32" s="4">
        <f t="shared" si="20"/>
        <v>42654.869999999995</v>
      </c>
      <c r="FG32" s="1">
        <v>7</v>
      </c>
      <c r="FH32" s="13">
        <f t="shared" si="21"/>
        <v>46387</v>
      </c>
      <c r="FI32" s="13">
        <v>46372</v>
      </c>
      <c r="FJ32" s="4"/>
      <c r="FK32" s="4">
        <f t="shared" si="53"/>
        <v>70912.10400000005</v>
      </c>
      <c r="FL32" s="4">
        <v>41872.379999999997</v>
      </c>
      <c r="FM32" s="4">
        <v>782.49</v>
      </c>
      <c r="FN32" s="4">
        <f t="shared" si="22"/>
        <v>42654.869999999995</v>
      </c>
      <c r="FP32" s="1">
        <v>7</v>
      </c>
      <c r="FQ32" s="13">
        <f t="shared" si="23"/>
        <v>46387</v>
      </c>
      <c r="FR32" s="13">
        <v>46372</v>
      </c>
      <c r="FS32" s="4"/>
      <c r="FT32" s="4">
        <f t="shared" si="54"/>
        <v>70912.10400000005</v>
      </c>
      <c r="FU32" s="4">
        <v>41872.379999999997</v>
      </c>
      <c r="FV32" s="4">
        <v>782.49</v>
      </c>
      <c r="FW32" s="4">
        <f t="shared" si="24"/>
        <v>42654.869999999995</v>
      </c>
      <c r="FY32" s="1">
        <v>7</v>
      </c>
      <c r="FZ32" s="13">
        <f t="shared" si="25"/>
        <v>46356</v>
      </c>
      <c r="GA32" s="13">
        <v>46354</v>
      </c>
      <c r="GB32" s="12"/>
      <c r="GC32" s="4">
        <f t="shared" si="55"/>
        <v>142793.83000000005</v>
      </c>
      <c r="GD32" s="4">
        <v>43116.6</v>
      </c>
      <c r="GE32" s="4">
        <v>1461.65</v>
      </c>
      <c r="GF32" s="4">
        <f t="shared" si="26"/>
        <v>44578.25</v>
      </c>
      <c r="GH32" s="1">
        <v>7</v>
      </c>
      <c r="GI32" s="13">
        <f t="shared" si="27"/>
        <v>46356</v>
      </c>
      <c r="GJ32" s="13">
        <v>46354</v>
      </c>
      <c r="GK32" s="12"/>
      <c r="GL32" s="4">
        <v>142793.83000000005</v>
      </c>
      <c r="GM32" s="4">
        <v>43116.6</v>
      </c>
      <c r="GN32" s="4">
        <v>1461.65</v>
      </c>
      <c r="GO32" s="4">
        <v>44578.25</v>
      </c>
    </row>
    <row r="33" spans="1:197" x14ac:dyDescent="0.3">
      <c r="A33" s="1">
        <v>8</v>
      </c>
      <c r="B33" s="3">
        <f t="shared" si="1"/>
        <v>18</v>
      </c>
      <c r="C33" s="13">
        <f t="shared" si="60"/>
        <v>46142</v>
      </c>
      <c r="D33" s="12"/>
      <c r="E33" s="4">
        <f t="shared" si="28"/>
        <v>207923729.06836712</v>
      </c>
      <c r="F33" s="4">
        <f t="shared" si="29"/>
        <v>411502.73853242368</v>
      </c>
      <c r="G33" s="4">
        <f t="shared" si="30"/>
        <v>151784.76133443517</v>
      </c>
      <c r="H33" s="4">
        <f t="shared" si="31"/>
        <v>563287.49986685882</v>
      </c>
      <c r="I33" s="383">
        <f>+H33</f>
        <v>563287.49986685882</v>
      </c>
      <c r="J33" s="383" t="s">
        <v>566</v>
      </c>
      <c r="K33" s="4"/>
      <c r="M33" s="1">
        <v>8</v>
      </c>
      <c r="N33" s="387">
        <f t="shared" si="2"/>
        <v>46265</v>
      </c>
      <c r="O33" s="387">
        <f t="shared" si="61"/>
        <v>46249</v>
      </c>
      <c r="P33" s="12"/>
      <c r="Q33" s="4">
        <f t="shared" si="3"/>
        <v>89605953.38726458</v>
      </c>
      <c r="R33" s="4">
        <f t="shared" si="62"/>
        <v>4072997.8812392987</v>
      </c>
      <c r="S33" s="4">
        <f t="shared" si="32"/>
        <v>1436410.5861170595</v>
      </c>
      <c r="T33" s="4">
        <f t="shared" si="33"/>
        <v>471550.5461533799</v>
      </c>
      <c r="U33" s="446">
        <f t="shared" si="34"/>
        <v>5980959.0135097373</v>
      </c>
      <c r="V33" s="383"/>
      <c r="W33" s="383"/>
      <c r="X33" s="383"/>
      <c r="Y33" s="383"/>
      <c r="Z33" s="383"/>
      <c r="AA33" s="383"/>
      <c r="AC33" s="55">
        <v>8</v>
      </c>
      <c r="AD33" s="13">
        <f t="shared" si="4"/>
        <v>46446</v>
      </c>
      <c r="AE33" s="13">
        <v>46420</v>
      </c>
      <c r="AF33" s="12"/>
      <c r="AG33" s="4">
        <f t="shared" si="35"/>
        <v>930863.18999999971</v>
      </c>
      <c r="AH33" s="4">
        <f t="shared" si="56"/>
        <v>51840.79</v>
      </c>
      <c r="AI33" s="4">
        <f t="shared" si="36"/>
        <v>13812.450385555552</v>
      </c>
      <c r="AJ33" s="4">
        <f t="shared" si="37"/>
        <v>65653.240385555546</v>
      </c>
      <c r="AK33" s="383"/>
      <c r="AL33" s="388"/>
      <c r="AM33" s="383"/>
      <c r="AN33" s="383"/>
      <c r="AO33" s="383"/>
      <c r="AP33" s="4"/>
      <c r="AR33" s="1">
        <v>8</v>
      </c>
      <c r="AS33" s="13">
        <f t="shared" si="5"/>
        <v>46356</v>
      </c>
      <c r="AT33" s="13">
        <v>46346</v>
      </c>
      <c r="AU33" s="12"/>
      <c r="AV33" s="4">
        <f t="shared" si="57"/>
        <v>14946421.133083051</v>
      </c>
      <c r="AW33" s="4">
        <v>525047.46469953598</v>
      </c>
      <c r="AX33" s="4">
        <f t="shared" si="58"/>
        <v>237229.18516599966</v>
      </c>
      <c r="AY33" s="4">
        <f t="shared" si="6"/>
        <v>762276.64986553567</v>
      </c>
      <c r="AZ33" s="383"/>
      <c r="BA33" s="388"/>
      <c r="BB33" s="388"/>
      <c r="BC33" s="383"/>
      <c r="BD33" s="383"/>
      <c r="BE33" s="383"/>
      <c r="BG33" s="1">
        <v>8</v>
      </c>
      <c r="BH33" s="13">
        <f t="shared" si="7"/>
        <v>46477</v>
      </c>
      <c r="BI33" s="13">
        <v>46466</v>
      </c>
      <c r="BJ33" s="12"/>
      <c r="BK33" s="4">
        <f t="shared" si="38"/>
        <v>37433629.82100001</v>
      </c>
      <c r="BL33" s="4">
        <f t="shared" ref="BL33:BL40" si="63">+BL32</f>
        <v>5347661.4029999999</v>
      </c>
      <c r="BM33" s="4">
        <f t="shared" si="39"/>
        <v>641719.36836000008</v>
      </c>
      <c r="BN33" s="4">
        <v>82616.23</v>
      </c>
      <c r="BO33" s="446">
        <f t="shared" si="40"/>
        <v>6071997.0013600001</v>
      </c>
      <c r="BP33" s="451"/>
      <c r="BQ33" s="388"/>
      <c r="BR33" s="383"/>
      <c r="BS33" s="383"/>
      <c r="BT33" s="383"/>
      <c r="BV33" s="1">
        <v>8</v>
      </c>
      <c r="BW33" s="13">
        <f t="shared" si="8"/>
        <v>46418</v>
      </c>
      <c r="BX33" s="13">
        <v>46407</v>
      </c>
      <c r="BY33" s="12"/>
      <c r="BZ33" s="4">
        <f t="shared" si="41"/>
        <v>692837.62826382671</v>
      </c>
      <c r="CA33" s="4">
        <v>57736.470062537075</v>
      </c>
      <c r="CB33" s="4">
        <v>2821.4284698866022</v>
      </c>
      <c r="CC33" s="4">
        <f t="shared" si="42"/>
        <v>11508.802841004246</v>
      </c>
      <c r="CD33" s="4">
        <v>1642.8394559018825</v>
      </c>
      <c r="CE33" s="4">
        <f t="shared" si="43"/>
        <v>73709.54082932981</v>
      </c>
      <c r="CF33" s="451"/>
      <c r="CG33" s="388"/>
      <c r="CH33" s="383"/>
      <c r="CI33" s="383"/>
      <c r="CJ33" s="383"/>
      <c r="CL33" s="1">
        <v>8</v>
      </c>
      <c r="CM33" s="13">
        <f t="shared" si="9"/>
        <v>46477</v>
      </c>
      <c r="CN33" s="13">
        <v>46460</v>
      </c>
      <c r="CO33" s="12"/>
      <c r="CP33" s="4">
        <f t="shared" si="44"/>
        <v>1043178.6899999998</v>
      </c>
      <c r="CQ33" s="4">
        <v>104317.86</v>
      </c>
      <c r="CR33" s="4">
        <v>14082.912749999989</v>
      </c>
      <c r="CS33" s="4">
        <f t="shared" si="10"/>
        <v>118400.77274999999</v>
      </c>
      <c r="CU33" s="1">
        <v>8</v>
      </c>
      <c r="CV33" s="13">
        <f t="shared" si="11"/>
        <v>46112</v>
      </c>
      <c r="CW33" s="13">
        <v>46091</v>
      </c>
      <c r="CX33" s="12"/>
      <c r="CY33" s="4">
        <f t="shared" si="45"/>
        <v>23217971.018803097</v>
      </c>
      <c r="CZ33" s="4">
        <v>349011.21</v>
      </c>
      <c r="DA33" s="4">
        <f t="shared" si="46"/>
        <v>109979.25040108112</v>
      </c>
      <c r="DB33" s="4">
        <f t="shared" si="12"/>
        <v>458990.46040108113</v>
      </c>
      <c r="DD33" s="1">
        <v>8</v>
      </c>
      <c r="DE33" s="13">
        <f t="shared" si="13"/>
        <v>46477</v>
      </c>
      <c r="DF33" s="13">
        <v>46471</v>
      </c>
      <c r="DG33" s="12"/>
      <c r="DH33" s="4">
        <f t="shared" si="47"/>
        <v>8235224.5788674615</v>
      </c>
      <c r="DI33" s="4">
        <v>283973.26</v>
      </c>
      <c r="DJ33" s="4">
        <v>124900.9</v>
      </c>
      <c r="DK33" s="4">
        <f t="shared" si="14"/>
        <v>408874.16000000003</v>
      </c>
      <c r="DL33" s="386"/>
      <c r="DM33" s="1">
        <v>8</v>
      </c>
      <c r="DN33" s="13">
        <f t="shared" si="0"/>
        <v>46507</v>
      </c>
      <c r="DO33" s="13">
        <v>46482</v>
      </c>
      <c r="DP33" s="12"/>
      <c r="DQ33" s="4">
        <f t="shared" si="48"/>
        <v>987357.66268659825</v>
      </c>
      <c r="DR33" s="4">
        <v>39494.31</v>
      </c>
      <c r="DS33" s="4">
        <f t="shared" si="59"/>
        <v>14940.696202590007</v>
      </c>
      <c r="DT33" s="4">
        <f t="shared" si="15"/>
        <v>54435.006202590004</v>
      </c>
      <c r="DW33" s="13"/>
      <c r="DX33" s="13"/>
      <c r="DY33" s="12"/>
      <c r="DZ33" s="4"/>
      <c r="EA33" s="4"/>
      <c r="EB33" s="4"/>
      <c r="EC33" s="4"/>
      <c r="EE33" s="1">
        <v>8</v>
      </c>
      <c r="EF33" s="13">
        <f t="shared" si="16"/>
        <v>46387</v>
      </c>
      <c r="EG33" s="13">
        <v>46380</v>
      </c>
      <c r="EH33" s="12"/>
      <c r="EI33" s="4">
        <f t="shared" si="49"/>
        <v>2704247.77</v>
      </c>
      <c r="EJ33" s="4">
        <v>40216.85</v>
      </c>
      <c r="EK33" s="4">
        <v>17670.43</v>
      </c>
      <c r="EL33" s="4"/>
      <c r="EM33" s="4">
        <f t="shared" si="50"/>
        <v>57887.28</v>
      </c>
      <c r="EO33" s="1">
        <v>8</v>
      </c>
      <c r="EP33" s="13">
        <f t="shared" si="17"/>
        <v>46477</v>
      </c>
      <c r="EQ33" s="13">
        <v>46462</v>
      </c>
      <c r="ER33" s="4"/>
      <c r="ES33" s="4">
        <f t="shared" si="51"/>
        <v>41229.074000000051</v>
      </c>
      <c r="ET33" s="4">
        <v>29683.03</v>
      </c>
      <c r="EU33" s="4">
        <v>17605.8</v>
      </c>
      <c r="EV33" s="4">
        <f t="shared" si="18"/>
        <v>47288.83</v>
      </c>
      <c r="EX33" s="1">
        <v>8</v>
      </c>
      <c r="EY33" s="13">
        <f t="shared" si="19"/>
        <v>46477</v>
      </c>
      <c r="EZ33" s="13">
        <v>46462</v>
      </c>
      <c r="FA33" s="4"/>
      <c r="FB33" s="4">
        <f t="shared" si="52"/>
        <v>41229.074000000051</v>
      </c>
      <c r="FC33" s="4">
        <v>29683.03</v>
      </c>
      <c r="FD33" s="4">
        <v>17605.8</v>
      </c>
      <c r="FE33" s="4">
        <f t="shared" si="20"/>
        <v>47288.83</v>
      </c>
      <c r="FG33" s="1">
        <v>8</v>
      </c>
      <c r="FH33" s="13">
        <f t="shared" si="21"/>
        <v>46477</v>
      </c>
      <c r="FI33" s="13">
        <v>46462</v>
      </c>
      <c r="FJ33" s="4"/>
      <c r="FK33" s="4">
        <f t="shared" si="53"/>
        <v>41229.074000000051</v>
      </c>
      <c r="FL33" s="4">
        <v>29683.03</v>
      </c>
      <c r="FM33" s="4">
        <v>17605.8</v>
      </c>
      <c r="FN33" s="4">
        <f t="shared" si="22"/>
        <v>47288.83</v>
      </c>
      <c r="FP33" s="1">
        <v>8</v>
      </c>
      <c r="FQ33" s="13">
        <f t="shared" si="23"/>
        <v>46477</v>
      </c>
      <c r="FR33" s="13">
        <v>46462</v>
      </c>
      <c r="FS33" s="4"/>
      <c r="FT33" s="4">
        <f t="shared" si="54"/>
        <v>41229.074000000051</v>
      </c>
      <c r="FU33" s="4">
        <v>29683.03</v>
      </c>
      <c r="FV33" s="4">
        <v>17605.8</v>
      </c>
      <c r="FW33" s="4">
        <f t="shared" si="24"/>
        <v>47288.83</v>
      </c>
      <c r="FY33" s="1">
        <v>8</v>
      </c>
      <c r="FZ33" s="13">
        <f t="shared" si="25"/>
        <v>46446</v>
      </c>
      <c r="GA33" s="13">
        <v>46444</v>
      </c>
      <c r="GB33" s="12"/>
      <c r="GC33" s="4">
        <f t="shared" si="55"/>
        <v>98761.040000000037</v>
      </c>
      <c r="GD33" s="4">
        <v>44032.79</v>
      </c>
      <c r="GE33" s="4">
        <v>814.9</v>
      </c>
      <c r="GF33" s="4">
        <f t="shared" si="26"/>
        <v>44847.69</v>
      </c>
      <c r="GH33" s="1">
        <v>8</v>
      </c>
      <c r="GI33" s="13">
        <f t="shared" si="27"/>
        <v>46446</v>
      </c>
      <c r="GJ33" s="13">
        <v>46444</v>
      </c>
      <c r="GK33" s="12"/>
      <c r="GL33" s="4">
        <v>98761.040000000037</v>
      </c>
      <c r="GM33" s="4">
        <v>44032.79</v>
      </c>
      <c r="GN33" s="4">
        <v>814.9</v>
      </c>
      <c r="GO33" s="4">
        <v>44847.69</v>
      </c>
    </row>
    <row r="34" spans="1:197" x14ac:dyDescent="0.3">
      <c r="A34" s="1">
        <v>9</v>
      </c>
      <c r="B34" s="3">
        <f t="shared" si="1"/>
        <v>22</v>
      </c>
      <c r="C34" s="13">
        <f t="shared" si="60"/>
        <v>46173</v>
      </c>
      <c r="D34" s="12"/>
      <c r="E34" s="4">
        <f t="shared" si="28"/>
        <v>203449879.18712783</v>
      </c>
      <c r="F34" s="4">
        <f t="shared" si="29"/>
        <v>4473849.8812392987</v>
      </c>
      <c r="G34" s="4">
        <f t="shared" si="30"/>
        <v>2288640.9624655424</v>
      </c>
      <c r="H34" s="4">
        <f t="shared" si="31"/>
        <v>6762490.8437048411</v>
      </c>
      <c r="I34" s="383"/>
      <c r="J34" s="383"/>
      <c r="K34" s="4"/>
      <c r="M34" s="1">
        <v>9</v>
      </c>
      <c r="N34" s="387">
        <f t="shared" si="2"/>
        <v>46356</v>
      </c>
      <c r="O34" s="387">
        <f t="shared" si="61"/>
        <v>46341</v>
      </c>
      <c r="P34" s="12"/>
      <c r="Q34" s="4">
        <f t="shared" si="3"/>
        <v>85532955.506025285</v>
      </c>
      <c r="R34" s="4">
        <f t="shared" si="62"/>
        <v>4072997.8812392987</v>
      </c>
      <c r="S34" s="4">
        <f t="shared" si="32"/>
        <v>1373957.9519380569</v>
      </c>
      <c r="T34" s="4">
        <f t="shared" si="33"/>
        <v>471550.5461533799</v>
      </c>
      <c r="U34" s="446">
        <f t="shared" si="34"/>
        <v>5918506.3793307357</v>
      </c>
      <c r="V34" s="383"/>
      <c r="W34" s="383"/>
      <c r="X34" s="383"/>
      <c r="Y34" s="383"/>
      <c r="Z34" s="383"/>
      <c r="AA34" s="383"/>
      <c r="AC34" s="55">
        <v>9</v>
      </c>
      <c r="AD34" s="13">
        <f t="shared" si="4"/>
        <v>46538</v>
      </c>
      <c r="AE34" s="13">
        <v>46509</v>
      </c>
      <c r="AF34" s="12"/>
      <c r="AG34" s="4">
        <f t="shared" si="35"/>
        <v>879022.39999999967</v>
      </c>
      <c r="AH34" s="4">
        <f t="shared" si="56"/>
        <v>51840.79</v>
      </c>
      <c r="AI34" s="4">
        <f t="shared" si="36"/>
        <v>12657.153652916662</v>
      </c>
      <c r="AJ34" s="4">
        <f t="shared" si="37"/>
        <v>64497.943652916663</v>
      </c>
      <c r="AK34" s="383"/>
      <c r="AL34" s="388"/>
      <c r="AM34" s="383"/>
      <c r="AN34" s="383"/>
      <c r="AO34" s="383"/>
      <c r="AP34" s="4"/>
      <c r="AR34" s="1">
        <v>9</v>
      </c>
      <c r="AS34" s="13">
        <f t="shared" si="5"/>
        <v>46446</v>
      </c>
      <c r="AT34" s="13">
        <v>46438</v>
      </c>
      <c r="AU34" s="12"/>
      <c r="AV34" s="4">
        <f t="shared" si="57"/>
        <v>14421373.668383515</v>
      </c>
      <c r="AW34" s="4">
        <v>525047.46469953598</v>
      </c>
      <c r="AX34" s="4">
        <f t="shared" si="58"/>
        <v>229178.45737394012</v>
      </c>
      <c r="AY34" s="4">
        <f t="shared" si="6"/>
        <v>754225.92207347613</v>
      </c>
      <c r="AZ34" s="383"/>
      <c r="BA34" s="388"/>
      <c r="BB34" s="388"/>
      <c r="BC34" s="383"/>
      <c r="BD34" s="383"/>
      <c r="BE34" s="383"/>
      <c r="BG34" s="1">
        <v>9</v>
      </c>
      <c r="BH34" s="13">
        <f t="shared" si="7"/>
        <v>46568</v>
      </c>
      <c r="BI34" s="13">
        <v>46558</v>
      </c>
      <c r="BJ34" s="12"/>
      <c r="BK34" s="4">
        <f t="shared" si="38"/>
        <v>32085968.418000009</v>
      </c>
      <c r="BL34" s="4">
        <f t="shared" si="63"/>
        <v>5347661.4029999999</v>
      </c>
      <c r="BM34" s="4">
        <f t="shared" si="39"/>
        <v>573982.32392200013</v>
      </c>
      <c r="BN34" s="4">
        <v>82616.23</v>
      </c>
      <c r="BO34" s="446">
        <f t="shared" si="40"/>
        <v>6004259.9569220003</v>
      </c>
      <c r="BP34" s="451"/>
      <c r="BQ34" s="388"/>
      <c r="BR34" s="383"/>
      <c r="BS34" s="383"/>
      <c r="BT34" s="383"/>
      <c r="BV34" s="1">
        <v>9</v>
      </c>
      <c r="BW34" s="13">
        <f t="shared" si="8"/>
        <v>46507</v>
      </c>
      <c r="BX34" s="13">
        <v>46497</v>
      </c>
      <c r="BY34" s="12"/>
      <c r="BZ34" s="4">
        <f t="shared" si="41"/>
        <v>635101.1582012896</v>
      </c>
      <c r="CA34" s="4">
        <v>57736.470062537075</v>
      </c>
      <c r="CB34" s="4">
        <v>2821.4284698866022</v>
      </c>
      <c r="CC34" s="4">
        <f t="shared" si="42"/>
        <v>10392.564423957401</v>
      </c>
      <c r="CD34" s="4">
        <v>1642.8394559018825</v>
      </c>
      <c r="CE34" s="4">
        <f t="shared" si="43"/>
        <v>72593.302412282952</v>
      </c>
      <c r="CF34" s="451"/>
      <c r="CG34" s="388"/>
      <c r="CH34" s="383"/>
      <c r="CI34" s="383"/>
      <c r="CJ34" s="383"/>
      <c r="CL34" s="1">
        <v>9</v>
      </c>
      <c r="CM34" s="13">
        <f t="shared" si="9"/>
        <v>46568</v>
      </c>
      <c r="CN34" s="13">
        <v>46552</v>
      </c>
      <c r="CO34" s="12"/>
      <c r="CP34" s="4">
        <f t="shared" si="44"/>
        <v>938860.82999999984</v>
      </c>
      <c r="CQ34" s="4">
        <v>104317.86</v>
      </c>
      <c r="CR34" s="4">
        <v>12796.325846666659</v>
      </c>
      <c r="CS34" s="4">
        <f t="shared" si="10"/>
        <v>117114.18584666666</v>
      </c>
      <c r="CU34" s="1">
        <v>9</v>
      </c>
      <c r="CV34" s="13">
        <f t="shared" si="11"/>
        <v>46142</v>
      </c>
      <c r="CW34" s="13">
        <v>46122</v>
      </c>
      <c r="CX34" s="12"/>
      <c r="CY34" s="4">
        <f t="shared" si="45"/>
        <v>22868959.808803096</v>
      </c>
      <c r="CZ34" s="4">
        <v>349011.21</v>
      </c>
      <c r="DA34" s="4">
        <f t="shared" si="46"/>
        <v>119959.51693048266</v>
      </c>
      <c r="DB34" s="4">
        <f t="shared" si="12"/>
        <v>468970.72693048266</v>
      </c>
      <c r="DD34" s="1">
        <v>9</v>
      </c>
      <c r="DE34" s="13">
        <f t="shared" si="13"/>
        <v>46568</v>
      </c>
      <c r="DF34" s="13">
        <v>46562</v>
      </c>
      <c r="DG34" s="12"/>
      <c r="DH34" s="4">
        <f t="shared" si="47"/>
        <v>7951251.3188674618</v>
      </c>
      <c r="DI34" s="4">
        <v>283973.26</v>
      </c>
      <c r="DJ34" s="4">
        <v>120737.54</v>
      </c>
      <c r="DK34" s="4">
        <f t="shared" si="14"/>
        <v>404710.8</v>
      </c>
      <c r="DL34" s="386"/>
      <c r="DM34" s="1">
        <v>9</v>
      </c>
      <c r="DN34" s="13">
        <f t="shared" si="0"/>
        <v>46599</v>
      </c>
      <c r="DO34" s="13">
        <v>46573</v>
      </c>
      <c r="DP34" s="12"/>
      <c r="DQ34" s="4">
        <f t="shared" si="48"/>
        <v>947863.3526865982</v>
      </c>
      <c r="DR34" s="4">
        <v>39494.31</v>
      </c>
      <c r="DS34" s="4">
        <f t="shared" si="59"/>
        <v>14525.67681422434</v>
      </c>
      <c r="DT34" s="4">
        <f t="shared" si="15"/>
        <v>54019.986814224336</v>
      </c>
      <c r="DW34" s="13"/>
      <c r="DX34" s="13"/>
      <c r="DY34" s="12"/>
      <c r="DZ34" s="4"/>
      <c r="EA34" s="4"/>
      <c r="EB34" s="4"/>
      <c r="EC34" s="4"/>
      <c r="EE34" s="1">
        <v>9</v>
      </c>
      <c r="EF34" s="13">
        <f t="shared" si="16"/>
        <v>46477</v>
      </c>
      <c r="EG34" s="13">
        <v>46471</v>
      </c>
      <c r="EH34" s="12"/>
      <c r="EI34" s="4">
        <f t="shared" si="49"/>
        <v>2664030.92</v>
      </c>
      <c r="EJ34" s="4">
        <v>40216.85</v>
      </c>
      <c r="EK34" s="4">
        <v>17061.490000000002</v>
      </c>
      <c r="EL34" s="4"/>
      <c r="EM34" s="4">
        <f t="shared" si="50"/>
        <v>57278.34</v>
      </c>
      <c r="EO34" s="1">
        <v>9</v>
      </c>
      <c r="EP34" s="13">
        <f t="shared" si="17"/>
        <v>46568</v>
      </c>
      <c r="EQ34" s="13">
        <v>46552</v>
      </c>
      <c r="ER34" s="4"/>
      <c r="ES34" s="4">
        <f t="shared" si="51"/>
        <v>10293.844000000052</v>
      </c>
      <c r="ET34" s="4">
        <v>30935.23</v>
      </c>
      <c r="EU34" s="4">
        <v>14697.99</v>
      </c>
      <c r="EV34" s="4">
        <f t="shared" si="18"/>
        <v>45633.22</v>
      </c>
      <c r="EX34" s="1">
        <v>9</v>
      </c>
      <c r="EY34" s="13">
        <f t="shared" si="19"/>
        <v>46568</v>
      </c>
      <c r="EZ34" s="13">
        <v>46552</v>
      </c>
      <c r="FA34" s="4"/>
      <c r="FB34" s="4">
        <f t="shared" si="52"/>
        <v>10293.844000000052</v>
      </c>
      <c r="FC34" s="4">
        <v>30935.23</v>
      </c>
      <c r="FD34" s="4">
        <v>14697.99</v>
      </c>
      <c r="FE34" s="4">
        <f t="shared" si="20"/>
        <v>45633.22</v>
      </c>
      <c r="FG34" s="1">
        <v>9</v>
      </c>
      <c r="FH34" s="13">
        <f t="shared" si="21"/>
        <v>46568</v>
      </c>
      <c r="FI34" s="13">
        <v>46552</v>
      </c>
      <c r="FJ34" s="4"/>
      <c r="FK34" s="4">
        <f t="shared" si="53"/>
        <v>10293.844000000052</v>
      </c>
      <c r="FL34" s="4">
        <v>30935.23</v>
      </c>
      <c r="FM34" s="4">
        <v>14697.99</v>
      </c>
      <c r="FN34" s="4">
        <f t="shared" si="22"/>
        <v>45633.22</v>
      </c>
      <c r="FP34" s="1">
        <v>9</v>
      </c>
      <c r="FQ34" s="13">
        <f t="shared" si="23"/>
        <v>46568</v>
      </c>
      <c r="FR34" s="13">
        <v>46552</v>
      </c>
      <c r="FS34" s="4"/>
      <c r="FT34" s="4">
        <f t="shared" si="54"/>
        <v>10293.844000000052</v>
      </c>
      <c r="FU34" s="4">
        <v>30935.23</v>
      </c>
      <c r="FV34" s="4">
        <v>14697.99</v>
      </c>
      <c r="FW34" s="4">
        <f t="shared" si="24"/>
        <v>45633.22</v>
      </c>
      <c r="FY34" s="1">
        <v>9</v>
      </c>
      <c r="FZ34" s="13">
        <f t="shared" si="25"/>
        <v>46538</v>
      </c>
      <c r="GA34" s="13">
        <v>46534</v>
      </c>
      <c r="GB34" s="12"/>
      <c r="GC34" s="4">
        <f t="shared" si="55"/>
        <v>70279.530000000042</v>
      </c>
      <c r="GD34" s="4">
        <v>28481.51</v>
      </c>
      <c r="GE34" s="4">
        <v>18828.900000000001</v>
      </c>
      <c r="GF34" s="4">
        <f t="shared" si="26"/>
        <v>47310.41</v>
      </c>
      <c r="GH34" s="1">
        <v>9</v>
      </c>
      <c r="GI34" s="13">
        <f t="shared" si="27"/>
        <v>46538</v>
      </c>
      <c r="GJ34" s="13">
        <v>46534</v>
      </c>
      <c r="GK34" s="12"/>
      <c r="GL34" s="4">
        <v>70279.530000000042</v>
      </c>
      <c r="GM34" s="4">
        <v>28481.51</v>
      </c>
      <c r="GN34" s="4">
        <v>18828.900000000001</v>
      </c>
      <c r="GO34" s="4">
        <v>47310.41</v>
      </c>
    </row>
    <row r="35" spans="1:197" x14ac:dyDescent="0.3">
      <c r="A35" s="1">
        <v>10</v>
      </c>
      <c r="B35" s="3">
        <f t="shared" si="1"/>
        <v>27</v>
      </c>
      <c r="C35" s="13">
        <f t="shared" si="60"/>
        <v>46203</v>
      </c>
      <c r="D35" s="12"/>
      <c r="E35" s="4">
        <f t="shared" si="28"/>
        <v>202733371.09712783</v>
      </c>
      <c r="F35" s="4">
        <f t="shared" si="29"/>
        <v>716508.08999999985</v>
      </c>
      <c r="G35" s="4">
        <f t="shared" si="30"/>
        <v>1102397.4941471494</v>
      </c>
      <c r="H35" s="4">
        <f t="shared" si="31"/>
        <v>1818905.5841471492</v>
      </c>
      <c r="I35" s="383">
        <v>0</v>
      </c>
      <c r="J35" s="383"/>
      <c r="K35" s="4"/>
      <c r="M35" s="1">
        <v>10</v>
      </c>
      <c r="N35" s="387">
        <f t="shared" si="2"/>
        <v>46446</v>
      </c>
      <c r="O35" s="387">
        <f t="shared" si="61"/>
        <v>46433</v>
      </c>
      <c r="P35" s="12"/>
      <c r="Q35" s="4">
        <f t="shared" si="3"/>
        <v>81459957.62478599</v>
      </c>
      <c r="R35" s="4">
        <f t="shared" si="62"/>
        <v>4072997.8812392987</v>
      </c>
      <c r="S35" s="4">
        <f t="shared" si="32"/>
        <v>1311505.3177590545</v>
      </c>
      <c r="T35" s="4">
        <f t="shared" si="33"/>
        <v>471550.5461533799</v>
      </c>
      <c r="U35" s="446">
        <f t="shared" si="34"/>
        <v>5856053.745151733</v>
      </c>
      <c r="V35" s="383"/>
      <c r="W35" s="383"/>
      <c r="X35" s="383"/>
      <c r="Y35" s="383"/>
      <c r="Z35" s="383"/>
      <c r="AA35" s="383"/>
      <c r="AC35" s="55">
        <v>10</v>
      </c>
      <c r="AD35" s="13">
        <f t="shared" si="4"/>
        <v>46630</v>
      </c>
      <c r="AE35" s="13">
        <v>46601</v>
      </c>
      <c r="AF35" s="12"/>
      <c r="AG35" s="4">
        <f t="shared" si="35"/>
        <v>827181.60999999964</v>
      </c>
      <c r="AH35" s="4">
        <f t="shared" si="56"/>
        <v>51840.79</v>
      </c>
      <c r="AI35" s="4">
        <f t="shared" si="36"/>
        <v>12355.148177777774</v>
      </c>
      <c r="AJ35" s="4">
        <f t="shared" si="37"/>
        <v>64195.938177777774</v>
      </c>
      <c r="AK35" s="383"/>
      <c r="AL35" s="388"/>
      <c r="AM35" s="383"/>
      <c r="AN35" s="383"/>
      <c r="AO35" s="383"/>
      <c r="AP35" s="4"/>
      <c r="AR35" s="1">
        <v>10</v>
      </c>
      <c r="AS35" s="13">
        <f t="shared" si="5"/>
        <v>46538</v>
      </c>
      <c r="AT35" s="13">
        <v>46527</v>
      </c>
      <c r="AU35" s="12"/>
      <c r="AV35" s="4">
        <f t="shared" si="57"/>
        <v>13896326.203683978</v>
      </c>
      <c r="AW35" s="4">
        <v>525047.46469953598</v>
      </c>
      <c r="AX35" s="4">
        <f t="shared" si="58"/>
        <v>213917.0427476888</v>
      </c>
      <c r="AY35" s="4">
        <f t="shared" si="6"/>
        <v>738964.50744722481</v>
      </c>
      <c r="AZ35" s="383"/>
      <c r="BA35" s="388"/>
      <c r="BB35" s="388"/>
      <c r="BC35" s="383"/>
      <c r="BD35" s="383"/>
      <c r="BE35" s="383"/>
      <c r="BG35" s="1">
        <v>10</v>
      </c>
      <c r="BH35" s="13">
        <f t="shared" si="7"/>
        <v>46660</v>
      </c>
      <c r="BI35" s="13">
        <v>46650</v>
      </c>
      <c r="BJ35" s="12"/>
      <c r="BK35" s="4">
        <f t="shared" si="38"/>
        <v>26738307.015000008</v>
      </c>
      <c r="BL35" s="4">
        <f t="shared" si="63"/>
        <v>5347661.4029999999</v>
      </c>
      <c r="BM35" s="4">
        <f t="shared" si="39"/>
        <v>491984.8490760001</v>
      </c>
      <c r="BN35" s="4">
        <v>82616.23</v>
      </c>
      <c r="BO35" s="446">
        <f t="shared" si="40"/>
        <v>5922262.4820760004</v>
      </c>
      <c r="BP35" s="451"/>
      <c r="BQ35" s="388"/>
      <c r="BR35" s="383"/>
      <c r="BS35" s="383"/>
      <c r="BT35" s="383"/>
      <c r="BV35" s="1">
        <v>10</v>
      </c>
      <c r="BW35" s="13">
        <f t="shared" si="8"/>
        <v>46599</v>
      </c>
      <c r="BX35" s="13">
        <v>46588</v>
      </c>
      <c r="BY35" s="12"/>
      <c r="BZ35" s="4">
        <f t="shared" si="41"/>
        <v>577364.68813875248</v>
      </c>
      <c r="CA35" s="4">
        <v>57736.470062537075</v>
      </c>
      <c r="CB35" s="4">
        <v>2821.4284698866022</v>
      </c>
      <c r="CC35" s="4">
        <f t="shared" si="42"/>
        <v>9632.3675660528916</v>
      </c>
      <c r="CD35" s="4">
        <v>1642.8394559018825</v>
      </c>
      <c r="CE35" s="4">
        <f t="shared" si="43"/>
        <v>71833.105554378446</v>
      </c>
      <c r="CF35" s="451"/>
      <c r="CG35" s="388"/>
      <c r="CH35" s="383"/>
      <c r="CI35" s="383"/>
      <c r="CJ35" s="383"/>
      <c r="CL35" s="1">
        <v>10</v>
      </c>
      <c r="CM35" s="13">
        <f t="shared" si="9"/>
        <v>46660</v>
      </c>
      <c r="CN35" s="13">
        <v>46644</v>
      </c>
      <c r="CO35" s="12"/>
      <c r="CP35" s="4">
        <f t="shared" si="44"/>
        <v>834542.96999999986</v>
      </c>
      <c r="CQ35" s="4">
        <v>104317.86</v>
      </c>
      <c r="CR35" s="4">
        <v>11196.785326666657</v>
      </c>
      <c r="CS35" s="4">
        <f t="shared" si="10"/>
        <v>115514.64532666665</v>
      </c>
      <c r="CU35" s="1">
        <v>10</v>
      </c>
      <c r="CV35" s="13">
        <f t="shared" si="11"/>
        <v>46173</v>
      </c>
      <c r="CW35" s="13">
        <v>46152</v>
      </c>
      <c r="CX35" s="12"/>
      <c r="CY35" s="4">
        <f t="shared" si="45"/>
        <v>22519948.598803096</v>
      </c>
      <c r="CZ35" s="4">
        <v>349011.21</v>
      </c>
      <c r="DA35" s="4">
        <f t="shared" si="46"/>
        <v>114344.79904401548</v>
      </c>
      <c r="DB35" s="4">
        <f t="shared" si="12"/>
        <v>463356.00904401549</v>
      </c>
      <c r="DD35" s="1">
        <v>10</v>
      </c>
      <c r="DE35" s="13">
        <f t="shared" si="13"/>
        <v>46660</v>
      </c>
      <c r="DF35" s="13">
        <v>46653</v>
      </c>
      <c r="DG35" s="12"/>
      <c r="DH35" s="4">
        <f t="shared" si="47"/>
        <v>7667278.058867462</v>
      </c>
      <c r="DI35" s="4">
        <v>283973.26</v>
      </c>
      <c r="DJ35" s="4">
        <v>116574.18</v>
      </c>
      <c r="DK35" s="4">
        <f t="shared" si="14"/>
        <v>400547.44</v>
      </c>
      <c r="DL35" s="386"/>
      <c r="DM35" s="1">
        <v>10</v>
      </c>
      <c r="DN35" s="13">
        <f t="shared" si="0"/>
        <v>46691</v>
      </c>
      <c r="DO35" s="13">
        <v>46665</v>
      </c>
      <c r="DP35" s="12"/>
      <c r="DQ35" s="4">
        <f t="shared" si="48"/>
        <v>908369.04268659814</v>
      </c>
      <c r="DR35" s="4">
        <v>39494.31</v>
      </c>
      <c r="DS35" s="4">
        <f t="shared" si="59"/>
        <v>14097.88759895867</v>
      </c>
      <c r="DT35" s="4">
        <f t="shared" si="15"/>
        <v>53592.197598958664</v>
      </c>
      <c r="DW35" s="13"/>
      <c r="DX35" s="13"/>
      <c r="DY35" s="12"/>
      <c r="DZ35" s="4"/>
      <c r="EA35" s="4"/>
      <c r="EB35" s="4"/>
      <c r="EC35" s="4"/>
      <c r="EE35" s="1">
        <v>10</v>
      </c>
      <c r="EF35" s="13">
        <f t="shared" si="16"/>
        <v>46568</v>
      </c>
      <c r="EG35" s="13">
        <v>46562</v>
      </c>
      <c r="EH35" s="12"/>
      <c r="EI35" s="4">
        <f t="shared" si="49"/>
        <v>2623814.0699999998</v>
      </c>
      <c r="EJ35" s="4">
        <v>40216.85</v>
      </c>
      <c r="EK35" s="4">
        <v>16452.55</v>
      </c>
      <c r="EL35" s="4"/>
      <c r="EM35" s="4">
        <f t="shared" si="50"/>
        <v>56669.399999999994</v>
      </c>
      <c r="EO35" s="1">
        <v>10</v>
      </c>
      <c r="EP35" s="13">
        <f t="shared" si="17"/>
        <v>46568</v>
      </c>
      <c r="EQ35" s="13">
        <v>46552</v>
      </c>
      <c r="ER35" s="4"/>
      <c r="ES35" s="4">
        <f t="shared" si="51"/>
        <v>4.0000000517466106E-3</v>
      </c>
      <c r="ET35" s="4">
        <v>10293.84</v>
      </c>
      <c r="EU35" s="4">
        <v>0</v>
      </c>
      <c r="EV35" s="4">
        <f t="shared" si="18"/>
        <v>10293.84</v>
      </c>
      <c r="EX35" s="1">
        <v>10</v>
      </c>
      <c r="EY35" s="13">
        <f t="shared" si="19"/>
        <v>46568</v>
      </c>
      <c r="EZ35" s="13">
        <v>46552</v>
      </c>
      <c r="FA35" s="4"/>
      <c r="FB35" s="4">
        <f t="shared" si="52"/>
        <v>4.0000000517466106E-3</v>
      </c>
      <c r="FC35" s="4">
        <v>10293.84</v>
      </c>
      <c r="FD35" s="4">
        <v>0</v>
      </c>
      <c r="FE35" s="4">
        <f t="shared" si="20"/>
        <v>10293.84</v>
      </c>
      <c r="FG35" s="1">
        <v>10</v>
      </c>
      <c r="FH35" s="13">
        <f t="shared" si="21"/>
        <v>46568</v>
      </c>
      <c r="FI35" s="13">
        <v>46552</v>
      </c>
      <c r="FJ35" s="4"/>
      <c r="FK35" s="4">
        <f t="shared" si="53"/>
        <v>4.0000000517466106E-3</v>
      </c>
      <c r="FL35" s="4">
        <v>10293.84</v>
      </c>
      <c r="FM35" s="4">
        <v>0</v>
      </c>
      <c r="FN35" s="4">
        <f t="shared" si="22"/>
        <v>10293.84</v>
      </c>
      <c r="FP35" s="1">
        <v>10</v>
      </c>
      <c r="FQ35" s="13">
        <f t="shared" si="23"/>
        <v>46568</v>
      </c>
      <c r="FR35" s="13">
        <v>46552</v>
      </c>
      <c r="FS35" s="4"/>
      <c r="FT35" s="4">
        <f t="shared" si="54"/>
        <v>4.0000000517466106E-3</v>
      </c>
      <c r="FU35" s="4">
        <v>10293.84</v>
      </c>
      <c r="FV35" s="4">
        <v>0</v>
      </c>
      <c r="FW35" s="4">
        <f t="shared" si="24"/>
        <v>10293.84</v>
      </c>
      <c r="FY35" s="1">
        <v>10</v>
      </c>
      <c r="FZ35" s="13">
        <f t="shared" si="25"/>
        <v>46630</v>
      </c>
      <c r="GA35" s="13">
        <v>46624</v>
      </c>
      <c r="GB35" s="12"/>
      <c r="GC35" s="4">
        <f t="shared" si="55"/>
        <v>40596.500000000044</v>
      </c>
      <c r="GD35" s="4">
        <v>29683.03</v>
      </c>
      <c r="GE35" s="4">
        <v>12324.06</v>
      </c>
      <c r="GF35" s="4">
        <f t="shared" si="26"/>
        <v>42007.09</v>
      </c>
      <c r="GH35" s="1">
        <v>10</v>
      </c>
      <c r="GI35" s="13">
        <f t="shared" si="27"/>
        <v>46630</v>
      </c>
      <c r="GJ35" s="13">
        <v>46624</v>
      </c>
      <c r="GK35" s="12"/>
      <c r="GL35" s="4">
        <v>40596.500000000044</v>
      </c>
      <c r="GM35" s="4">
        <v>29683.03</v>
      </c>
      <c r="GN35" s="4">
        <v>12324.06</v>
      </c>
      <c r="GO35" s="4">
        <v>42007.09</v>
      </c>
    </row>
    <row r="36" spans="1:197" x14ac:dyDescent="0.3">
      <c r="A36" s="1">
        <v>11</v>
      </c>
      <c r="B36" s="3">
        <f t="shared" si="1"/>
        <v>31</v>
      </c>
      <c r="C36" s="13">
        <f t="shared" si="60"/>
        <v>46234</v>
      </c>
      <c r="D36" s="12"/>
      <c r="E36" s="4">
        <f t="shared" si="28"/>
        <v>201087241.1685954</v>
      </c>
      <c r="F36" s="4">
        <f t="shared" si="29"/>
        <v>1646129.9285324235</v>
      </c>
      <c r="G36" s="4">
        <f t="shared" si="30"/>
        <v>141929.77855008849</v>
      </c>
      <c r="H36" s="4">
        <f t="shared" si="31"/>
        <v>1788059.7070825119</v>
      </c>
      <c r="I36" s="383"/>
      <c r="J36" s="383"/>
      <c r="K36" s="4"/>
      <c r="M36" s="1">
        <v>11</v>
      </c>
      <c r="N36" s="387">
        <f t="shared" si="2"/>
        <v>46538</v>
      </c>
      <c r="O36" s="387">
        <f t="shared" si="61"/>
        <v>46522</v>
      </c>
      <c r="P36" s="12"/>
      <c r="Q36" s="4">
        <f t="shared" si="3"/>
        <v>77386959.743546695</v>
      </c>
      <c r="R36" s="4">
        <f t="shared" si="62"/>
        <v>4072997.8812392987</v>
      </c>
      <c r="S36" s="4">
        <f t="shared" si="32"/>
        <v>1208322.7047676588</v>
      </c>
      <c r="T36" s="4">
        <f t="shared" si="33"/>
        <v>471550.5461533799</v>
      </c>
      <c r="U36" s="446">
        <f t="shared" si="34"/>
        <v>5752871.1321603376</v>
      </c>
      <c r="V36" s="383"/>
      <c r="W36" s="383"/>
      <c r="X36" s="383"/>
      <c r="Y36" s="383"/>
      <c r="Z36" s="383"/>
      <c r="AA36" s="383"/>
      <c r="AC36" s="55">
        <v>11</v>
      </c>
      <c r="AD36" s="13">
        <f t="shared" si="4"/>
        <v>46721</v>
      </c>
      <c r="AE36" s="13">
        <v>46693</v>
      </c>
      <c r="AF36" s="12"/>
      <c r="AG36" s="4">
        <f t="shared" si="35"/>
        <v>775340.8199999996</v>
      </c>
      <c r="AH36" s="4">
        <f t="shared" si="56"/>
        <v>51840.79</v>
      </c>
      <c r="AI36" s="4">
        <f t="shared" si="36"/>
        <v>11626.497073888884</v>
      </c>
      <c r="AJ36" s="4">
        <f t="shared" si="37"/>
        <v>63467.287073888889</v>
      </c>
      <c r="AK36" s="383"/>
      <c r="AL36" s="388"/>
      <c r="AM36" s="383"/>
      <c r="AN36" s="383"/>
      <c r="AO36" s="383"/>
      <c r="AP36" s="4"/>
      <c r="AR36" s="1">
        <v>11</v>
      </c>
      <c r="AS36" s="13">
        <f t="shared" si="5"/>
        <v>46630</v>
      </c>
      <c r="AT36" s="13">
        <v>46619</v>
      </c>
      <c r="AU36" s="12"/>
      <c r="AV36" s="4">
        <f t="shared" si="57"/>
        <v>13371278.738984441</v>
      </c>
      <c r="AW36" s="4">
        <v>525047.46469953598</v>
      </c>
      <c r="AX36" s="4">
        <f t="shared" si="58"/>
        <v>213077.00178982099</v>
      </c>
      <c r="AY36" s="4">
        <f t="shared" si="6"/>
        <v>738124.46648935694</v>
      </c>
      <c r="AZ36" s="383"/>
      <c r="BA36" s="388"/>
      <c r="BB36" s="388"/>
      <c r="BC36" s="383"/>
      <c r="BD36" s="383"/>
      <c r="BE36" s="383"/>
      <c r="BG36" s="1">
        <v>11</v>
      </c>
      <c r="BH36" s="13">
        <f t="shared" si="7"/>
        <v>46752</v>
      </c>
      <c r="BI36" s="13">
        <v>46741</v>
      </c>
      <c r="BJ36" s="12"/>
      <c r="BK36" s="4">
        <f t="shared" si="38"/>
        <v>21390645.612000007</v>
      </c>
      <c r="BL36" s="4">
        <f t="shared" si="63"/>
        <v>5347661.4029999999</v>
      </c>
      <c r="BM36" s="4">
        <f t="shared" si="39"/>
        <v>405530.98972750019</v>
      </c>
      <c r="BN36" s="4">
        <v>82616.23</v>
      </c>
      <c r="BO36" s="446">
        <f t="shared" si="40"/>
        <v>5835808.6227275003</v>
      </c>
      <c r="BP36" s="451"/>
      <c r="BQ36" s="388"/>
      <c r="BR36" s="383"/>
      <c r="BS36" s="383"/>
      <c r="BT36" s="383"/>
      <c r="BV36" s="1">
        <v>11</v>
      </c>
      <c r="BW36" s="13">
        <f t="shared" si="8"/>
        <v>46691</v>
      </c>
      <c r="BX36" s="13">
        <v>46680</v>
      </c>
      <c r="BY36" s="12"/>
      <c r="BZ36" s="4">
        <f t="shared" si="41"/>
        <v>519628.21807621542</v>
      </c>
      <c r="CA36" s="4">
        <v>57736.470062537075</v>
      </c>
      <c r="CB36" s="4">
        <v>2821.4284698866022</v>
      </c>
      <c r="CC36" s="4">
        <f t="shared" si="42"/>
        <v>8852.9252181275369</v>
      </c>
      <c r="CD36" s="4">
        <v>1642.8394559018825</v>
      </c>
      <c r="CE36" s="4">
        <f t="shared" si="43"/>
        <v>71053.663206453086</v>
      </c>
      <c r="CF36" s="451"/>
      <c r="CG36" s="388"/>
      <c r="CH36" s="383"/>
      <c r="CI36" s="383"/>
      <c r="CJ36" s="383"/>
      <c r="CL36" s="1">
        <v>11</v>
      </c>
      <c r="CM36" s="13">
        <f t="shared" si="9"/>
        <v>46752</v>
      </c>
      <c r="CN36" s="13">
        <v>46735</v>
      </c>
      <c r="CO36" s="12"/>
      <c r="CP36" s="4">
        <f t="shared" si="44"/>
        <v>730225.10999999987</v>
      </c>
      <c r="CQ36" s="4">
        <v>104317.86</v>
      </c>
      <c r="CR36" s="4">
        <v>9492.9269283333251</v>
      </c>
      <c r="CS36" s="4">
        <f t="shared" si="10"/>
        <v>113810.78692833333</v>
      </c>
      <c r="CU36" s="1">
        <v>11</v>
      </c>
      <c r="CV36" s="13">
        <f t="shared" si="11"/>
        <v>46203</v>
      </c>
      <c r="CW36" s="13">
        <v>46183</v>
      </c>
      <c r="CX36" s="12"/>
      <c r="CY36" s="4">
        <f t="shared" si="45"/>
        <v>22170937.388803095</v>
      </c>
      <c r="CZ36" s="4">
        <v>349011.21</v>
      </c>
      <c r="DA36" s="4">
        <f t="shared" si="46"/>
        <v>116353.06776048266</v>
      </c>
      <c r="DB36" s="4">
        <f t="shared" si="12"/>
        <v>465364.27776048268</v>
      </c>
      <c r="DD36" s="1">
        <v>11</v>
      </c>
      <c r="DE36" s="13">
        <f t="shared" si="13"/>
        <v>46752</v>
      </c>
      <c r="DF36" s="13">
        <v>46744</v>
      </c>
      <c r="DG36" s="12"/>
      <c r="DH36" s="4">
        <f t="shared" si="47"/>
        <v>7383304.7988674622</v>
      </c>
      <c r="DI36" s="4">
        <v>283973.26</v>
      </c>
      <c r="DJ36" s="4">
        <v>112410.82</v>
      </c>
      <c r="DK36" s="4">
        <f t="shared" si="14"/>
        <v>396384.08</v>
      </c>
      <c r="DL36" s="386"/>
      <c r="DM36" s="1">
        <v>11</v>
      </c>
      <c r="DN36" s="13">
        <f t="shared" si="0"/>
        <v>46783</v>
      </c>
      <c r="DO36" s="13">
        <v>46757</v>
      </c>
      <c r="DP36" s="12"/>
      <c r="DQ36" s="4">
        <f t="shared" si="48"/>
        <v>868874.73268659809</v>
      </c>
      <c r="DR36" s="4">
        <v>39494.31</v>
      </c>
      <c r="DS36" s="4">
        <f t="shared" si="59"/>
        <v>13510.475561558669</v>
      </c>
      <c r="DT36" s="4">
        <f t="shared" si="15"/>
        <v>53004.785561558667</v>
      </c>
      <c r="DW36" s="13"/>
      <c r="DX36" s="13"/>
      <c r="DY36" s="12"/>
      <c r="DZ36" s="4"/>
      <c r="EA36" s="4"/>
      <c r="EB36" s="4"/>
      <c r="EC36" s="4"/>
      <c r="EE36" s="1">
        <v>11</v>
      </c>
      <c r="EF36" s="13">
        <f t="shared" si="16"/>
        <v>46660</v>
      </c>
      <c r="EG36" s="13">
        <v>46653</v>
      </c>
      <c r="EH36" s="12"/>
      <c r="EI36" s="4">
        <f t="shared" si="49"/>
        <v>2583597.2199999997</v>
      </c>
      <c r="EJ36" s="4">
        <v>40216.85</v>
      </c>
      <c r="EK36" s="4">
        <v>15843.61</v>
      </c>
      <c r="EL36" s="4"/>
      <c r="EM36" s="4">
        <f t="shared" si="50"/>
        <v>56060.46</v>
      </c>
      <c r="EP36" s="13"/>
      <c r="EQ36" s="13"/>
      <c r="ER36" s="12"/>
      <c r="ES36" s="4"/>
      <c r="ET36" s="4"/>
      <c r="EU36" s="4"/>
      <c r="EV36" s="4"/>
      <c r="EY36" s="13"/>
      <c r="EZ36" s="13"/>
      <c r="FA36" s="12"/>
      <c r="FB36" s="4"/>
      <c r="FC36" s="4"/>
      <c r="FD36" s="4"/>
      <c r="FE36" s="4"/>
      <c r="FH36" s="13"/>
      <c r="FI36" s="13"/>
      <c r="FJ36" s="12"/>
      <c r="FK36" s="4"/>
      <c r="FL36" s="4"/>
      <c r="FM36" s="4"/>
      <c r="FN36" s="4"/>
      <c r="FQ36" s="13"/>
      <c r="FR36" s="13"/>
      <c r="FS36" s="12"/>
      <c r="FT36" s="4"/>
      <c r="FU36" s="4"/>
      <c r="FV36" s="4"/>
      <c r="FW36" s="4"/>
      <c r="FY36" s="1">
        <v>11</v>
      </c>
      <c r="FZ36" s="13">
        <f t="shared" si="25"/>
        <v>46721</v>
      </c>
      <c r="GA36" s="13">
        <v>46714</v>
      </c>
      <c r="GB36" s="12"/>
      <c r="GC36" s="4">
        <f t="shared" si="55"/>
        <v>10293.840000000044</v>
      </c>
      <c r="GD36" s="4">
        <v>30302.66</v>
      </c>
      <c r="GE36" s="4">
        <v>16975.03</v>
      </c>
      <c r="GF36" s="4">
        <f t="shared" si="26"/>
        <v>47277.69</v>
      </c>
      <c r="GH36" s="1">
        <v>11</v>
      </c>
      <c r="GI36" s="13">
        <f t="shared" si="27"/>
        <v>46721</v>
      </c>
      <c r="GJ36" s="13">
        <v>46714</v>
      </c>
      <c r="GK36" s="12"/>
      <c r="GL36" s="4">
        <v>10293.840000000044</v>
      </c>
      <c r="GM36" s="4">
        <v>30302.66</v>
      </c>
      <c r="GN36" s="4">
        <v>16975.03</v>
      </c>
      <c r="GO36" s="4">
        <v>47277.69</v>
      </c>
    </row>
    <row r="37" spans="1:197" x14ac:dyDescent="0.3">
      <c r="A37" s="1">
        <v>12</v>
      </c>
      <c r="B37" s="3">
        <f t="shared" si="1"/>
        <v>36</v>
      </c>
      <c r="C37" s="13">
        <f t="shared" si="60"/>
        <v>46265</v>
      </c>
      <c r="D37" s="12"/>
      <c r="E37" s="4">
        <f t="shared" si="28"/>
        <v>194769277.79265657</v>
      </c>
      <c r="F37" s="4">
        <f t="shared" si="29"/>
        <v>6317963.3759388337</v>
      </c>
      <c r="G37" s="4">
        <f t="shared" si="30"/>
        <v>2279068.3893673145</v>
      </c>
      <c r="H37" s="4">
        <f t="shared" si="31"/>
        <v>8597031.7653061487</v>
      </c>
      <c r="I37" s="383"/>
      <c r="J37" s="383"/>
      <c r="K37" s="4"/>
      <c r="M37" s="1">
        <v>12</v>
      </c>
      <c r="N37" s="387">
        <f t="shared" si="2"/>
        <v>46630</v>
      </c>
      <c r="O37" s="387">
        <f t="shared" si="61"/>
        <v>46614</v>
      </c>
      <c r="P37" s="12"/>
      <c r="Q37" s="4">
        <f t="shared" si="3"/>
        <v>73313961.8623074</v>
      </c>
      <c r="R37" s="4">
        <f t="shared" si="62"/>
        <v>4072997.8812392987</v>
      </c>
      <c r="S37" s="4">
        <f t="shared" si="32"/>
        <v>1186600.0494010493</v>
      </c>
      <c r="T37" s="4">
        <f t="shared" si="33"/>
        <v>471550.5461533799</v>
      </c>
      <c r="U37" s="446">
        <f t="shared" si="34"/>
        <v>5731148.4767937278</v>
      </c>
      <c r="V37" s="383"/>
      <c r="W37" s="383"/>
      <c r="X37" s="383"/>
      <c r="Y37" s="383"/>
      <c r="Z37" s="383"/>
      <c r="AA37" s="383"/>
      <c r="AC37" s="55">
        <v>12</v>
      </c>
      <c r="AD37" s="13">
        <f t="shared" si="4"/>
        <v>46812</v>
      </c>
      <c r="AE37" s="13">
        <v>46785</v>
      </c>
      <c r="AF37" s="12"/>
      <c r="AG37" s="4">
        <f t="shared" si="35"/>
        <v>723500.02999999956</v>
      </c>
      <c r="AH37" s="4">
        <f t="shared" si="56"/>
        <v>51840.79</v>
      </c>
      <c r="AI37" s="4">
        <f t="shared" si="36"/>
        <v>10897.845969999995</v>
      </c>
      <c r="AJ37" s="4">
        <f t="shared" si="37"/>
        <v>62738.635969999996</v>
      </c>
      <c r="AK37" s="383"/>
      <c r="AL37" s="388"/>
      <c r="AM37" s="383"/>
      <c r="AN37" s="383"/>
      <c r="AO37" s="383"/>
      <c r="AP37" s="4"/>
      <c r="AR37" s="1">
        <v>12</v>
      </c>
      <c r="AS37" s="13">
        <f t="shared" si="5"/>
        <v>46721</v>
      </c>
      <c r="AT37" s="13">
        <v>46711</v>
      </c>
      <c r="AU37" s="12"/>
      <c r="AV37" s="4">
        <f t="shared" si="57"/>
        <v>12846231.274284905</v>
      </c>
      <c r="AW37" s="4">
        <v>525047.46469953598</v>
      </c>
      <c r="AX37" s="4">
        <f t="shared" si="58"/>
        <v>205026.27399776143</v>
      </c>
      <c r="AY37" s="4">
        <f t="shared" si="6"/>
        <v>730073.73869729741</v>
      </c>
      <c r="AZ37" s="383"/>
      <c r="BA37" s="388"/>
      <c r="BB37" s="388"/>
      <c r="BC37" s="383"/>
      <c r="BD37" s="383"/>
      <c r="BE37" s="383"/>
      <c r="BG37" s="1">
        <v>12</v>
      </c>
      <c r="BH37" s="13">
        <f t="shared" si="7"/>
        <v>46843</v>
      </c>
      <c r="BI37" s="13">
        <v>46832</v>
      </c>
      <c r="BJ37" s="12"/>
      <c r="BK37" s="4">
        <f t="shared" si="38"/>
        <v>16042984.209000006</v>
      </c>
      <c r="BL37" s="4">
        <f t="shared" si="63"/>
        <v>5347661.4029999999</v>
      </c>
      <c r="BM37" s="4">
        <f t="shared" si="39"/>
        <v>324424.7917820001</v>
      </c>
      <c r="BN37" s="4">
        <v>82616.23</v>
      </c>
      <c r="BO37" s="4">
        <f t="shared" si="40"/>
        <v>5754702.4247820005</v>
      </c>
      <c r="BP37" s="451"/>
      <c r="BQ37" s="388"/>
      <c r="BR37" s="383"/>
      <c r="BS37" s="383"/>
      <c r="BT37" s="383"/>
      <c r="BV37" s="1">
        <v>12</v>
      </c>
      <c r="BW37" s="13">
        <f t="shared" si="8"/>
        <v>46783</v>
      </c>
      <c r="BX37" s="13">
        <v>46772</v>
      </c>
      <c r="BY37" s="12"/>
      <c r="BZ37" s="4">
        <f t="shared" si="41"/>
        <v>461891.74801367836</v>
      </c>
      <c r="CA37" s="4">
        <v>57736.470062537075</v>
      </c>
      <c r="CB37" s="4">
        <v>2821.4284698866022</v>
      </c>
      <c r="CC37" s="4">
        <f t="shared" si="42"/>
        <v>7967.6326771686354</v>
      </c>
      <c r="CD37" s="4">
        <v>1642.8394559018825</v>
      </c>
      <c r="CE37" s="4">
        <f t="shared" si="43"/>
        <v>70168.370665494193</v>
      </c>
      <c r="CF37" s="451"/>
      <c r="CG37" s="388"/>
      <c r="CH37" s="383"/>
      <c r="CI37" s="383"/>
      <c r="CJ37" s="383"/>
      <c r="CL37" s="1">
        <v>12</v>
      </c>
      <c r="CM37" s="13">
        <f t="shared" si="9"/>
        <v>46843</v>
      </c>
      <c r="CN37" s="13">
        <v>46826</v>
      </c>
      <c r="CO37" s="12"/>
      <c r="CP37" s="4">
        <f t="shared" si="44"/>
        <v>625907.24999999988</v>
      </c>
      <c r="CQ37" s="4">
        <v>104317.86</v>
      </c>
      <c r="CR37" s="4">
        <v>7910.7727183333245</v>
      </c>
      <c r="CS37" s="4">
        <f t="shared" si="10"/>
        <v>112228.63271833332</v>
      </c>
      <c r="CU37" s="1">
        <v>12</v>
      </c>
      <c r="CV37" s="13">
        <f t="shared" si="11"/>
        <v>46234</v>
      </c>
      <c r="CW37" s="13">
        <v>46213</v>
      </c>
      <c r="CX37" s="12"/>
      <c r="CY37" s="4">
        <f t="shared" si="45"/>
        <v>20587299.008803096</v>
      </c>
      <c r="CZ37" s="4">
        <v>1583638.38</v>
      </c>
      <c r="DA37" s="4">
        <f t="shared" si="46"/>
        <v>110854.68694401547</v>
      </c>
      <c r="DB37" s="4">
        <f t="shared" si="12"/>
        <v>1694493.0669440154</v>
      </c>
      <c r="DD37" s="1">
        <v>12</v>
      </c>
      <c r="DE37" s="13">
        <f t="shared" si="13"/>
        <v>46843</v>
      </c>
      <c r="DF37" s="13">
        <v>46835</v>
      </c>
      <c r="DG37" s="12"/>
      <c r="DH37" s="4">
        <f t="shared" si="47"/>
        <v>7099331.5388674624</v>
      </c>
      <c r="DI37" s="4">
        <v>283973.26</v>
      </c>
      <c r="DJ37" s="4">
        <v>108247.45</v>
      </c>
      <c r="DK37" s="4">
        <f t="shared" si="14"/>
        <v>392220.71</v>
      </c>
      <c r="DL37" s="386"/>
      <c r="DM37" s="1">
        <v>12</v>
      </c>
      <c r="DN37" s="13">
        <f t="shared" si="0"/>
        <v>46873</v>
      </c>
      <c r="DO37" s="13">
        <v>46848</v>
      </c>
      <c r="DP37" s="12"/>
      <c r="DQ37" s="4">
        <f t="shared" si="48"/>
        <v>829380.42268659803</v>
      </c>
      <c r="DR37" s="4">
        <v>39494.31</v>
      </c>
      <c r="DS37" s="4">
        <f t="shared" si="59"/>
        <v>12782.595442374335</v>
      </c>
      <c r="DT37" s="4">
        <f t="shared" si="15"/>
        <v>52276.905442374336</v>
      </c>
      <c r="DW37" s="13"/>
      <c r="DX37" s="13"/>
      <c r="DY37" s="12"/>
      <c r="DZ37" s="4"/>
      <c r="EA37" s="4"/>
      <c r="EB37" s="4"/>
      <c r="EC37" s="4"/>
      <c r="EE37" s="1">
        <v>12</v>
      </c>
      <c r="EF37" s="13">
        <f t="shared" si="16"/>
        <v>46752</v>
      </c>
      <c r="EG37" s="13">
        <v>46744</v>
      </c>
      <c r="EH37" s="12"/>
      <c r="EI37" s="4">
        <f t="shared" si="49"/>
        <v>2543380.3699999996</v>
      </c>
      <c r="EJ37" s="4">
        <v>40216.85</v>
      </c>
      <c r="EK37" s="4">
        <v>15234.68</v>
      </c>
      <c r="EL37" s="4"/>
      <c r="EM37" s="4">
        <f t="shared" si="50"/>
        <v>55451.53</v>
      </c>
      <c r="EP37" s="13"/>
      <c r="EQ37" s="13"/>
      <c r="ER37" s="12"/>
      <c r="ES37" s="4"/>
      <c r="ET37" s="4"/>
      <c r="EU37" s="4"/>
      <c r="EV37" s="4"/>
      <c r="EY37" s="13"/>
      <c r="EZ37" s="13"/>
      <c r="FA37" s="12"/>
      <c r="FB37" s="4"/>
      <c r="FC37" s="4"/>
      <c r="FD37" s="4"/>
      <c r="FE37" s="4"/>
      <c r="FH37" s="13"/>
      <c r="FI37" s="13"/>
      <c r="FJ37" s="12"/>
      <c r="FK37" s="4"/>
      <c r="FL37" s="4"/>
      <c r="FM37" s="4"/>
      <c r="FN37" s="4"/>
      <c r="FQ37" s="13"/>
      <c r="FR37" s="13"/>
      <c r="FS37" s="12"/>
      <c r="FT37" s="4"/>
      <c r="FU37" s="4"/>
      <c r="FV37" s="4"/>
      <c r="FW37" s="4"/>
      <c r="FY37" s="1">
        <v>12</v>
      </c>
      <c r="FZ37" s="13">
        <f t="shared" si="25"/>
        <v>46721</v>
      </c>
      <c r="GA37" s="13">
        <v>46714</v>
      </c>
      <c r="GB37" s="12"/>
      <c r="GC37" s="4">
        <f t="shared" si="55"/>
        <v>4.3655745685100555E-11</v>
      </c>
      <c r="GD37" s="4">
        <v>10293.84</v>
      </c>
      <c r="GE37" s="4"/>
      <c r="GF37" s="4">
        <f t="shared" si="26"/>
        <v>10293.84</v>
      </c>
      <c r="GH37" s="1">
        <v>12</v>
      </c>
      <c r="GI37" s="13">
        <f t="shared" si="27"/>
        <v>46721</v>
      </c>
      <c r="GJ37" s="13">
        <v>46714</v>
      </c>
      <c r="GK37" s="12"/>
      <c r="GL37" s="4">
        <v>4.3655745685100555E-11</v>
      </c>
      <c r="GM37" s="4">
        <v>10293.84</v>
      </c>
      <c r="GN37" s="4"/>
      <c r="GO37" s="4">
        <v>10293.84</v>
      </c>
    </row>
    <row r="38" spans="1:197" x14ac:dyDescent="0.3">
      <c r="A38" s="1">
        <v>13</v>
      </c>
      <c r="B38" s="3">
        <f t="shared" si="1"/>
        <v>40</v>
      </c>
      <c r="C38" s="13">
        <f t="shared" si="60"/>
        <v>46295</v>
      </c>
      <c r="D38" s="12"/>
      <c r="E38" s="4">
        <f t="shared" si="28"/>
        <v>187245465.95965657</v>
      </c>
      <c r="F38" s="4">
        <f t="shared" si="29"/>
        <v>7523811.8329999978</v>
      </c>
      <c r="G38" s="4">
        <f t="shared" si="30"/>
        <v>1074572.9457821497</v>
      </c>
      <c r="H38" s="4">
        <f t="shared" si="31"/>
        <v>8598384.7787821479</v>
      </c>
      <c r="I38" s="383">
        <f>+DB26</f>
        <v>483396.52361048269</v>
      </c>
      <c r="J38" s="383" t="s">
        <v>623</v>
      </c>
      <c r="K38" s="4"/>
      <c r="M38" s="1">
        <v>13</v>
      </c>
      <c r="N38" s="387">
        <f t="shared" si="2"/>
        <v>46721</v>
      </c>
      <c r="O38" s="387">
        <f t="shared" si="61"/>
        <v>46706</v>
      </c>
      <c r="P38" s="12"/>
      <c r="Q38" s="4">
        <f t="shared" si="3"/>
        <v>69240963.981068105</v>
      </c>
      <c r="R38" s="4">
        <f t="shared" si="62"/>
        <v>4072997.8812392987</v>
      </c>
      <c r="S38" s="4">
        <f t="shared" si="32"/>
        <v>1124147.4152220467</v>
      </c>
      <c r="T38" s="4">
        <f t="shared" si="33"/>
        <v>471550.5461533799</v>
      </c>
      <c r="U38" s="446">
        <f t="shared" si="34"/>
        <v>5668695.8426147252</v>
      </c>
      <c r="V38" s="383"/>
      <c r="W38" s="383"/>
      <c r="X38" s="383"/>
      <c r="Y38" s="383"/>
      <c r="Z38" s="383"/>
      <c r="AA38" s="383"/>
      <c r="AC38" s="55">
        <v>13</v>
      </c>
      <c r="AD38" s="13">
        <f t="shared" si="4"/>
        <v>46904</v>
      </c>
      <c r="AE38" s="13">
        <v>46875</v>
      </c>
      <c r="AF38" s="12"/>
      <c r="AG38" s="4">
        <f t="shared" si="35"/>
        <v>671659.23999999953</v>
      </c>
      <c r="AH38" s="4">
        <f t="shared" si="56"/>
        <v>51840.79</v>
      </c>
      <c r="AI38" s="4">
        <f t="shared" si="36"/>
        <v>9948.1254124999941</v>
      </c>
      <c r="AJ38" s="4">
        <f t="shared" si="37"/>
        <v>61788.915412499991</v>
      </c>
      <c r="AK38" s="383"/>
      <c r="AL38" s="388"/>
      <c r="AM38" s="383"/>
      <c r="AN38" s="383"/>
      <c r="AO38" s="383"/>
      <c r="AP38" s="4"/>
      <c r="AR38" s="1">
        <v>13</v>
      </c>
      <c r="AS38" s="13">
        <f t="shared" si="5"/>
        <v>46812</v>
      </c>
      <c r="AT38" s="13">
        <v>46803</v>
      </c>
      <c r="AU38" s="12"/>
      <c r="AV38" s="4">
        <f t="shared" si="57"/>
        <v>12321183.809585368</v>
      </c>
      <c r="AW38" s="4">
        <v>525047.46469953598</v>
      </c>
      <c r="AX38" s="4">
        <f t="shared" si="58"/>
        <v>196975.54620570183</v>
      </c>
      <c r="AY38" s="4">
        <f t="shared" si="6"/>
        <v>722023.01090523787</v>
      </c>
      <c r="AZ38" s="383"/>
      <c r="BA38" s="388"/>
      <c r="BB38" s="388"/>
      <c r="BC38" s="383"/>
      <c r="BD38" s="383"/>
      <c r="BE38" s="383"/>
      <c r="BG38" s="1">
        <v>13</v>
      </c>
      <c r="BH38" s="13">
        <f t="shared" si="7"/>
        <v>46934</v>
      </c>
      <c r="BI38" s="13">
        <v>46924</v>
      </c>
      <c r="BJ38" s="12"/>
      <c r="BK38" s="4">
        <f t="shared" si="38"/>
        <v>10695322.806000005</v>
      </c>
      <c r="BL38" s="4">
        <f t="shared" si="63"/>
        <v>5347661.4029999999</v>
      </c>
      <c r="BM38" s="4">
        <f t="shared" si="39"/>
        <v>245992.42453800008</v>
      </c>
      <c r="BN38" s="4">
        <v>82616.23</v>
      </c>
      <c r="BO38" s="4">
        <f t="shared" si="40"/>
        <v>5676270.0575380009</v>
      </c>
      <c r="BP38" s="451"/>
      <c r="BQ38" s="388"/>
      <c r="BR38" s="383"/>
      <c r="BS38" s="383"/>
      <c r="BT38" s="383"/>
      <c r="BV38" s="1">
        <v>13</v>
      </c>
      <c r="BW38" s="13">
        <f t="shared" si="8"/>
        <v>46873</v>
      </c>
      <c r="BX38" s="13">
        <v>46863</v>
      </c>
      <c r="BY38" s="12"/>
      <c r="BZ38" s="4">
        <f t="shared" si="41"/>
        <v>404155.2779511413</v>
      </c>
      <c r="CA38" s="4">
        <v>57736.470062537075</v>
      </c>
      <c r="CB38" s="4">
        <v>2821.4284698866022</v>
      </c>
      <c r="CC38" s="4">
        <f t="shared" si="42"/>
        <v>7005.3581782074543</v>
      </c>
      <c r="CD38" s="4">
        <v>1642.8394559018825</v>
      </c>
      <c r="CE38" s="4">
        <f t="shared" si="43"/>
        <v>69206.096166533011</v>
      </c>
      <c r="CF38" s="451"/>
      <c r="CG38" s="388"/>
      <c r="CH38" s="383"/>
      <c r="CI38" s="383"/>
      <c r="CJ38" s="383"/>
      <c r="CL38" s="1">
        <v>13</v>
      </c>
      <c r="CM38" s="13">
        <f t="shared" si="9"/>
        <v>46934</v>
      </c>
      <c r="CN38" s="13">
        <v>46918</v>
      </c>
      <c r="CO38" s="12"/>
      <c r="CP38" s="4">
        <f t="shared" si="44"/>
        <v>521589.3899999999</v>
      </c>
      <c r="CQ38" s="4">
        <v>104317.86</v>
      </c>
      <c r="CR38" s="4">
        <v>6398.1637666666584</v>
      </c>
      <c r="CS38" s="4">
        <f t="shared" si="10"/>
        <v>110716.02376666667</v>
      </c>
      <c r="CU38" s="1">
        <v>13</v>
      </c>
      <c r="CV38" s="13">
        <f t="shared" si="11"/>
        <v>46265</v>
      </c>
      <c r="CW38" s="13">
        <v>46244</v>
      </c>
      <c r="CX38" s="12"/>
      <c r="CY38" s="4">
        <f t="shared" si="45"/>
        <v>19003660.628803097</v>
      </c>
      <c r="CZ38" s="4">
        <v>1583638.38</v>
      </c>
      <c r="DA38" s="4">
        <f t="shared" si="46"/>
        <v>106367.71154548267</v>
      </c>
      <c r="DB38" s="4">
        <f t="shared" si="12"/>
        <v>1690006.0915454826</v>
      </c>
      <c r="DD38" s="1">
        <v>13</v>
      </c>
      <c r="DE38" s="13">
        <f t="shared" si="13"/>
        <v>46934</v>
      </c>
      <c r="DF38" s="13">
        <v>46926</v>
      </c>
      <c r="DG38" s="12"/>
      <c r="DH38" s="4">
        <f t="shared" si="47"/>
        <v>6815358.2788674626</v>
      </c>
      <c r="DI38" s="4">
        <v>283973.26</v>
      </c>
      <c r="DJ38" s="4">
        <v>104084.09</v>
      </c>
      <c r="DK38" s="4">
        <f t="shared" si="14"/>
        <v>388057.35</v>
      </c>
      <c r="DL38" s="386"/>
      <c r="DM38" s="1">
        <v>13</v>
      </c>
      <c r="DN38" s="13">
        <f t="shared" si="0"/>
        <v>46965</v>
      </c>
      <c r="DO38" s="13">
        <v>46939</v>
      </c>
      <c r="DP38" s="12"/>
      <c r="DQ38" s="4">
        <f t="shared" si="48"/>
        <v>789886.11268659797</v>
      </c>
      <c r="DR38" s="4">
        <v>39494.31</v>
      </c>
      <c r="DS38" s="4">
        <f t="shared" si="59"/>
        <v>12201.568318424335</v>
      </c>
      <c r="DT38" s="4">
        <f t="shared" si="15"/>
        <v>51695.878318424337</v>
      </c>
      <c r="DW38" s="13"/>
      <c r="DX38" s="13"/>
      <c r="DY38" s="12"/>
      <c r="DZ38" s="4"/>
      <c r="EA38" s="4"/>
      <c r="EB38" s="4"/>
      <c r="EC38" s="4"/>
      <c r="EE38" s="1">
        <v>13</v>
      </c>
      <c r="EF38" s="13">
        <f t="shared" si="16"/>
        <v>46843</v>
      </c>
      <c r="EG38" s="13">
        <v>46835</v>
      </c>
      <c r="EH38" s="12"/>
      <c r="EI38" s="4">
        <f t="shared" si="49"/>
        <v>2503163.5199999996</v>
      </c>
      <c r="EJ38" s="4">
        <v>40216.85</v>
      </c>
      <c r="EK38" s="4">
        <v>14625.74</v>
      </c>
      <c r="EL38" s="4"/>
      <c r="EM38" s="4">
        <f t="shared" si="50"/>
        <v>54842.59</v>
      </c>
      <c r="EP38" s="13"/>
      <c r="EQ38" s="13"/>
      <c r="ER38" s="12"/>
      <c r="ES38" s="4"/>
      <c r="ET38" s="4"/>
      <c r="EU38" s="4"/>
      <c r="EV38" s="4"/>
      <c r="EY38" s="13"/>
      <c r="EZ38" s="13"/>
      <c r="FA38" s="12"/>
      <c r="FB38" s="4"/>
      <c r="FC38" s="4"/>
      <c r="FD38" s="4"/>
      <c r="FE38" s="4"/>
      <c r="FH38" s="13"/>
      <c r="FI38" s="13"/>
      <c r="FJ38" s="12"/>
      <c r="FK38" s="4"/>
      <c r="FL38" s="4"/>
      <c r="FM38" s="4"/>
      <c r="FN38" s="4"/>
      <c r="FQ38" s="13"/>
      <c r="FR38" s="13"/>
      <c r="FS38" s="12"/>
      <c r="FT38" s="4"/>
      <c r="FU38" s="4"/>
      <c r="FV38" s="4"/>
      <c r="FW38" s="4"/>
      <c r="FZ38" s="13"/>
      <c r="GA38" s="13"/>
      <c r="GB38" s="12"/>
      <c r="GC38" s="4"/>
      <c r="GD38" s="4"/>
      <c r="GE38" s="4"/>
      <c r="GF38" s="4"/>
      <c r="GI38" s="13"/>
      <c r="GJ38" s="13"/>
      <c r="GK38" s="12"/>
      <c r="GL38" s="4"/>
      <c r="GM38" s="4"/>
      <c r="GN38" s="4"/>
      <c r="GO38" s="4"/>
    </row>
    <row r="39" spans="1:197" x14ac:dyDescent="0.3">
      <c r="A39" s="1">
        <v>14</v>
      </c>
      <c r="B39" s="3">
        <f t="shared" si="1"/>
        <v>44</v>
      </c>
      <c r="C39" s="13">
        <f t="shared" si="60"/>
        <v>46326</v>
      </c>
      <c r="D39" s="12"/>
      <c r="E39" s="4">
        <f t="shared" si="28"/>
        <v>185561775.37112415</v>
      </c>
      <c r="F39" s="4">
        <f t="shared" si="29"/>
        <v>1683690.5885324236</v>
      </c>
      <c r="G39" s="4">
        <f t="shared" si="30"/>
        <v>117405.80426795485</v>
      </c>
      <c r="H39" s="4">
        <f t="shared" si="31"/>
        <v>1801096.3928003784</v>
      </c>
      <c r="I39" s="383"/>
      <c r="J39" s="383"/>
      <c r="K39" s="4"/>
      <c r="M39" s="1">
        <v>14</v>
      </c>
      <c r="N39" s="387">
        <f t="shared" si="2"/>
        <v>46812</v>
      </c>
      <c r="O39" s="387">
        <f t="shared" si="61"/>
        <v>46798</v>
      </c>
      <c r="P39" s="12"/>
      <c r="Q39" s="4">
        <f t="shared" si="3"/>
        <v>65167966.099828809</v>
      </c>
      <c r="R39" s="4">
        <f t="shared" si="62"/>
        <v>4072997.8812392987</v>
      </c>
      <c r="S39" s="4">
        <f t="shared" si="32"/>
        <v>1061694.7810430443</v>
      </c>
      <c r="T39" s="4">
        <f t="shared" si="33"/>
        <v>471550.5461533799</v>
      </c>
      <c r="U39" s="446">
        <f t="shared" si="34"/>
        <v>5606243.2084357226</v>
      </c>
      <c r="V39" s="383"/>
      <c r="W39" s="383"/>
      <c r="X39" s="383"/>
      <c r="Y39" s="383"/>
      <c r="Z39" s="383"/>
      <c r="AA39" s="383"/>
      <c r="AC39" s="55">
        <v>14</v>
      </c>
      <c r="AD39" s="13">
        <f t="shared" si="4"/>
        <v>46996</v>
      </c>
      <c r="AE39" s="13">
        <v>46967</v>
      </c>
      <c r="AF39" s="12"/>
      <c r="AG39" s="4">
        <f t="shared" si="35"/>
        <v>619818.44999999949</v>
      </c>
      <c r="AH39" s="4">
        <f t="shared" si="56"/>
        <v>51840.79</v>
      </c>
      <c r="AI39" s="4">
        <f t="shared" si="36"/>
        <v>9440.5437622222162</v>
      </c>
      <c r="AJ39" s="4">
        <f t="shared" si="37"/>
        <v>61281.333762222217</v>
      </c>
      <c r="AK39" s="383"/>
      <c r="AL39" s="388"/>
      <c r="AM39" s="383"/>
      <c r="AN39" s="383"/>
      <c r="AO39" s="383"/>
      <c r="AP39" s="4"/>
      <c r="AR39" s="1">
        <v>14</v>
      </c>
      <c r="AS39" s="13">
        <f t="shared" si="5"/>
        <v>46904</v>
      </c>
      <c r="AT39" s="13">
        <v>46893</v>
      </c>
      <c r="AU39" s="12"/>
      <c r="AV39" s="4">
        <f t="shared" si="57"/>
        <v>11796136.344885832</v>
      </c>
      <c r="AW39" s="4">
        <v>525047.46469953598</v>
      </c>
      <c r="AX39" s="4">
        <f t="shared" si="58"/>
        <v>184817.75714378053</v>
      </c>
      <c r="AY39" s="4">
        <f t="shared" si="6"/>
        <v>709865.22184331645</v>
      </c>
      <c r="AZ39" s="383"/>
      <c r="BA39" s="388"/>
      <c r="BB39" s="388"/>
      <c r="BC39" s="383"/>
      <c r="BD39" s="383"/>
      <c r="BE39" s="383"/>
      <c r="BG39" s="1">
        <v>14</v>
      </c>
      <c r="BH39" s="13">
        <f t="shared" si="7"/>
        <v>47026</v>
      </c>
      <c r="BI39" s="13">
        <v>47016</v>
      </c>
      <c r="BJ39" s="12"/>
      <c r="BK39" s="4">
        <f t="shared" si="38"/>
        <v>5347661.4030000055</v>
      </c>
      <c r="BL39" s="4">
        <f t="shared" si="63"/>
        <v>5347661.4029999999</v>
      </c>
      <c r="BM39" s="4">
        <f t="shared" si="39"/>
        <v>163994.94969200008</v>
      </c>
      <c r="BN39" s="4">
        <v>82616.23</v>
      </c>
      <c r="BO39" s="4">
        <f t="shared" si="40"/>
        <v>5594272.5826920001</v>
      </c>
      <c r="BP39" s="451"/>
      <c r="BQ39" s="388"/>
      <c r="BR39" s="383"/>
      <c r="BS39" s="383"/>
      <c r="BT39" s="383"/>
      <c r="BV39" s="1">
        <v>14</v>
      </c>
      <c r="BW39" s="13">
        <f t="shared" si="8"/>
        <v>46965</v>
      </c>
      <c r="BX39" s="13">
        <v>46954</v>
      </c>
      <c r="BY39" s="12"/>
      <c r="BZ39" s="4">
        <f t="shared" si="41"/>
        <v>346418.80788860423</v>
      </c>
      <c r="CA39" s="4">
        <v>57736.470062537075</v>
      </c>
      <c r="CB39" s="4">
        <v>2821.4284698866022</v>
      </c>
      <c r="CC39" s="4">
        <f t="shared" si="42"/>
        <v>6129.6883822589762</v>
      </c>
      <c r="CD39" s="4">
        <v>1642.8394559018825</v>
      </c>
      <c r="CE39" s="4">
        <f t="shared" si="43"/>
        <v>68330.426370584537</v>
      </c>
      <c r="CF39" s="451"/>
      <c r="CG39" s="388"/>
      <c r="CH39" s="383"/>
      <c r="CI39" s="383"/>
      <c r="CJ39" s="383"/>
      <c r="CL39" s="1">
        <v>14</v>
      </c>
      <c r="CM39" s="13">
        <f t="shared" si="9"/>
        <v>47026</v>
      </c>
      <c r="CN39" s="13">
        <v>47010</v>
      </c>
      <c r="CO39" s="12"/>
      <c r="CP39" s="4">
        <f t="shared" si="44"/>
        <v>417271.52999999991</v>
      </c>
      <c r="CQ39" s="4">
        <v>104317.86</v>
      </c>
      <c r="CR39" s="4">
        <v>4798.6232466666588</v>
      </c>
      <c r="CS39" s="4">
        <f t="shared" si="10"/>
        <v>109116.48324666666</v>
      </c>
      <c r="CU39" s="1">
        <v>14</v>
      </c>
      <c r="CV39" s="13">
        <f t="shared" si="11"/>
        <v>46295</v>
      </c>
      <c r="CW39" s="13">
        <v>46275</v>
      </c>
      <c r="CX39" s="12"/>
      <c r="CY39" s="4">
        <f t="shared" si="45"/>
        <v>17420022.248803098</v>
      </c>
      <c r="CZ39" s="4">
        <v>1583638.38</v>
      </c>
      <c r="DA39" s="4">
        <f t="shared" si="46"/>
        <v>98185.579915482682</v>
      </c>
      <c r="DB39" s="4">
        <f t="shared" si="12"/>
        <v>1681823.9599154827</v>
      </c>
      <c r="DD39" s="1">
        <v>14</v>
      </c>
      <c r="DE39" s="13">
        <f t="shared" si="13"/>
        <v>47026</v>
      </c>
      <c r="DF39" s="13">
        <v>47017</v>
      </c>
      <c r="DG39" s="12"/>
      <c r="DH39" s="4">
        <f t="shared" si="47"/>
        <v>6531385.0188674629</v>
      </c>
      <c r="DI39" s="4">
        <v>283973.26</v>
      </c>
      <c r="DJ39" s="4">
        <v>99920.72</v>
      </c>
      <c r="DK39" s="4">
        <f t="shared" si="14"/>
        <v>383893.98</v>
      </c>
      <c r="DL39" s="386"/>
      <c r="DM39" s="1">
        <v>14</v>
      </c>
      <c r="DN39" s="13">
        <f t="shared" si="0"/>
        <v>47057</v>
      </c>
      <c r="DO39" s="13">
        <v>47031</v>
      </c>
      <c r="DP39" s="12"/>
      <c r="DQ39" s="4">
        <f t="shared" si="48"/>
        <v>750391.80268659792</v>
      </c>
      <c r="DR39" s="4">
        <v>39494.31</v>
      </c>
      <c r="DS39" s="4">
        <f t="shared" si="59"/>
        <v>11748.239449358667</v>
      </c>
      <c r="DT39" s="4">
        <f t="shared" si="15"/>
        <v>51242.549449358667</v>
      </c>
      <c r="DW39" s="13"/>
      <c r="DX39" s="13"/>
      <c r="DY39" s="12"/>
      <c r="DZ39" s="4"/>
      <c r="EA39" s="4"/>
      <c r="EB39" s="4"/>
      <c r="EC39" s="4"/>
      <c r="EE39" s="1">
        <v>14</v>
      </c>
      <c r="EF39" s="13">
        <f t="shared" si="16"/>
        <v>46934</v>
      </c>
      <c r="EG39" s="13">
        <v>46926</v>
      </c>
      <c r="EH39" s="115"/>
      <c r="EI39" s="4">
        <f t="shared" si="49"/>
        <v>2462946.6699999995</v>
      </c>
      <c r="EJ39" s="4">
        <v>40216.85</v>
      </c>
      <c r="EK39" s="4">
        <v>14016.8</v>
      </c>
      <c r="EL39" s="4"/>
      <c r="EM39" s="4">
        <f t="shared" si="50"/>
        <v>54233.649999999994</v>
      </c>
      <c r="EP39" s="13"/>
      <c r="EQ39" s="13"/>
      <c r="ER39" s="12"/>
      <c r="ES39" s="4"/>
      <c r="ET39" s="4"/>
      <c r="EU39" s="4"/>
      <c r="EV39" s="4"/>
      <c r="EY39" s="13"/>
      <c r="EZ39" s="13"/>
      <c r="FA39" s="12"/>
      <c r="FB39" s="4"/>
      <c r="FC39" s="4"/>
      <c r="FD39" s="4"/>
      <c r="FE39" s="4"/>
      <c r="FH39" s="13"/>
      <c r="FI39" s="13"/>
      <c r="FJ39" s="12"/>
      <c r="FK39" s="4"/>
      <c r="FL39" s="4"/>
      <c r="FM39" s="4"/>
      <c r="FN39" s="4"/>
      <c r="FQ39" s="13"/>
      <c r="FR39" s="13"/>
      <c r="FS39" s="12"/>
      <c r="FT39" s="4"/>
      <c r="FU39" s="4"/>
      <c r="FV39" s="4"/>
      <c r="FW39" s="4"/>
      <c r="FZ39" s="13"/>
      <c r="GA39" s="13"/>
      <c r="GB39" s="12"/>
      <c r="GC39" s="4"/>
      <c r="GD39" s="4"/>
      <c r="GE39" s="4"/>
      <c r="GF39" s="4"/>
      <c r="GI39" s="13"/>
      <c r="GJ39" s="13"/>
      <c r="GK39" s="12"/>
      <c r="GL39" s="4"/>
      <c r="GM39" s="4"/>
      <c r="GN39" s="4"/>
      <c r="GO39" s="4"/>
    </row>
    <row r="40" spans="1:197" x14ac:dyDescent="0.3">
      <c r="A40" s="1">
        <v>15</v>
      </c>
      <c r="B40" s="3">
        <f t="shared" si="1"/>
        <v>49</v>
      </c>
      <c r="C40" s="13">
        <f t="shared" si="60"/>
        <v>46356</v>
      </c>
      <c r="D40" s="12"/>
      <c r="E40" s="4">
        <f t="shared" si="28"/>
        <v>179242017.65518531</v>
      </c>
      <c r="F40" s="4">
        <f t="shared" si="29"/>
        <v>6319757.7159388335</v>
      </c>
      <c r="G40" s="4">
        <f t="shared" si="30"/>
        <v>2182023.4014023631</v>
      </c>
      <c r="H40" s="4">
        <f t="shared" si="31"/>
        <v>8501781.1173411962</v>
      </c>
      <c r="I40" s="383"/>
      <c r="J40" s="383"/>
      <c r="K40" s="4"/>
      <c r="M40" s="1">
        <v>15</v>
      </c>
      <c r="N40" s="387">
        <f t="shared" si="2"/>
        <v>46904</v>
      </c>
      <c r="O40" s="387">
        <f t="shared" si="61"/>
        <v>46888</v>
      </c>
      <c r="P40" s="12"/>
      <c r="Q40" s="4">
        <f t="shared" si="3"/>
        <v>61094968.218589514</v>
      </c>
      <c r="R40" s="4">
        <f t="shared" si="62"/>
        <v>4072997.8812392987</v>
      </c>
      <c r="S40" s="4">
        <f t="shared" si="32"/>
        <v>977519.49149743223</v>
      </c>
      <c r="T40" s="4">
        <f t="shared" si="33"/>
        <v>471550.5461533799</v>
      </c>
      <c r="U40" s="446">
        <f t="shared" si="34"/>
        <v>5522067.9188901102</v>
      </c>
      <c r="V40" s="383"/>
      <c r="W40" s="383"/>
      <c r="X40" s="383"/>
      <c r="Y40" s="383"/>
      <c r="Z40" s="383"/>
      <c r="AA40" s="383"/>
      <c r="AC40" s="55">
        <v>15</v>
      </c>
      <c r="AD40" s="13">
        <f t="shared" si="4"/>
        <v>47087</v>
      </c>
      <c r="AE40" s="13">
        <v>47059</v>
      </c>
      <c r="AF40" s="12"/>
      <c r="AG40" s="4">
        <f t="shared" si="35"/>
        <v>567977.65999999945</v>
      </c>
      <c r="AH40" s="4">
        <f t="shared" si="56"/>
        <v>51840.79</v>
      </c>
      <c r="AI40" s="4">
        <f t="shared" si="36"/>
        <v>8711.8926583333268</v>
      </c>
      <c r="AJ40" s="4">
        <f t="shared" si="37"/>
        <v>60552.682658333331</v>
      </c>
      <c r="AK40" s="383"/>
      <c r="AL40" s="388"/>
      <c r="AM40" s="383"/>
      <c r="AN40" s="383"/>
      <c r="AO40" s="383"/>
      <c r="AP40" s="4"/>
      <c r="AR40" s="1">
        <v>15</v>
      </c>
      <c r="AS40" s="13">
        <f t="shared" si="5"/>
        <v>46996</v>
      </c>
      <c r="AT40" s="13">
        <v>46985</v>
      </c>
      <c r="AU40" s="12"/>
      <c r="AV40" s="4">
        <f t="shared" si="57"/>
        <v>11271088.880186295</v>
      </c>
      <c r="AW40" s="4">
        <v>525047.46469953598</v>
      </c>
      <c r="AX40" s="4">
        <f t="shared" si="58"/>
        <v>180874.09062158276</v>
      </c>
      <c r="AY40" s="4">
        <f t="shared" si="6"/>
        <v>705921.55532111879</v>
      </c>
      <c r="AZ40" s="383"/>
      <c r="BA40" s="388"/>
      <c r="BB40" s="388"/>
      <c r="BC40" s="383"/>
      <c r="BD40" s="383"/>
      <c r="BE40" s="383"/>
      <c r="BG40" s="1">
        <v>15</v>
      </c>
      <c r="BH40" s="13">
        <f t="shared" si="7"/>
        <v>47118</v>
      </c>
      <c r="BI40" s="13">
        <v>47107</v>
      </c>
      <c r="BJ40" s="12"/>
      <c r="BK40" s="4">
        <f t="shared" si="38"/>
        <v>0</v>
      </c>
      <c r="BL40" s="4">
        <f t="shared" si="63"/>
        <v>5347661.4029999999</v>
      </c>
      <c r="BM40" s="4">
        <f t="shared" si="39"/>
        <v>81106.197945500084</v>
      </c>
      <c r="BN40" s="4">
        <v>82616.23</v>
      </c>
      <c r="BO40" s="4">
        <f t="shared" si="40"/>
        <v>5511383.8309455002</v>
      </c>
      <c r="BP40" s="451"/>
      <c r="BQ40" s="388"/>
      <c r="BR40" s="383"/>
      <c r="BS40" s="383"/>
      <c r="BT40" s="383"/>
      <c r="BV40" s="1">
        <v>15</v>
      </c>
      <c r="BW40" s="13">
        <f t="shared" si="8"/>
        <v>47057</v>
      </c>
      <c r="BX40" s="13">
        <v>47046</v>
      </c>
      <c r="BY40" s="12"/>
      <c r="BZ40" s="4">
        <f t="shared" si="41"/>
        <v>288682.33782606717</v>
      </c>
      <c r="CA40" s="4">
        <v>57736.470062537075</v>
      </c>
      <c r="CB40" s="4">
        <v>2821.4284698866022</v>
      </c>
      <c r="CC40" s="4">
        <f t="shared" si="42"/>
        <v>5311.7550542919316</v>
      </c>
      <c r="CD40" s="4">
        <v>1642.8394559018825</v>
      </c>
      <c r="CE40" s="4">
        <f t="shared" si="43"/>
        <v>67512.493042617483</v>
      </c>
      <c r="CF40" s="451"/>
      <c r="CG40" s="388"/>
      <c r="CH40" s="383"/>
      <c r="CI40" s="383"/>
      <c r="CJ40" s="383"/>
      <c r="CL40" s="1">
        <v>15</v>
      </c>
      <c r="CM40" s="13">
        <f t="shared" si="9"/>
        <v>47118</v>
      </c>
      <c r="CN40" s="13">
        <v>47101</v>
      </c>
      <c r="CO40" s="12"/>
      <c r="CP40" s="4">
        <f t="shared" si="44"/>
        <v>312953.66999999993</v>
      </c>
      <c r="CQ40" s="4">
        <v>104317.86</v>
      </c>
      <c r="CR40" s="4">
        <v>3164.310088333325</v>
      </c>
      <c r="CS40" s="4">
        <f t="shared" si="10"/>
        <v>107482.17008833333</v>
      </c>
      <c r="CU40" s="1">
        <v>15</v>
      </c>
      <c r="CV40" s="13">
        <f t="shared" si="11"/>
        <v>46326</v>
      </c>
      <c r="CW40" s="13">
        <v>46305</v>
      </c>
      <c r="CX40" s="12"/>
      <c r="CY40" s="4">
        <f t="shared" si="45"/>
        <v>15836383.868803099</v>
      </c>
      <c r="CZ40" s="4">
        <v>1583638.38</v>
      </c>
      <c r="DA40" s="4">
        <f t="shared" si="46"/>
        <v>87100.111244015483</v>
      </c>
      <c r="DB40" s="4">
        <f t="shared" si="12"/>
        <v>1670738.4912440153</v>
      </c>
      <c r="DD40" s="1">
        <v>15</v>
      </c>
      <c r="DE40" s="13">
        <f t="shared" si="13"/>
        <v>47118</v>
      </c>
      <c r="DF40" s="13">
        <v>47108</v>
      </c>
      <c r="DG40" s="12"/>
      <c r="DH40" s="4">
        <f t="shared" si="47"/>
        <v>6247411.7588674631</v>
      </c>
      <c r="DI40" s="4">
        <v>283973.26</v>
      </c>
      <c r="DJ40" s="4">
        <v>95757.36</v>
      </c>
      <c r="DK40" s="4">
        <f t="shared" si="14"/>
        <v>379730.62</v>
      </c>
      <c r="DL40" s="386"/>
      <c r="DM40" s="1">
        <v>15</v>
      </c>
      <c r="DN40" s="13">
        <f t="shared" si="0"/>
        <v>47149</v>
      </c>
      <c r="DO40" s="13">
        <v>47123</v>
      </c>
      <c r="DP40" s="12"/>
      <c r="DQ40" s="4">
        <f t="shared" si="48"/>
        <v>710897.49268659786</v>
      </c>
      <c r="DR40" s="4">
        <v>39494.31</v>
      </c>
      <c r="DS40" s="4">
        <f t="shared" si="59"/>
        <v>11160.827411958668</v>
      </c>
      <c r="DT40" s="4">
        <f t="shared" si="15"/>
        <v>50655.137411958669</v>
      </c>
      <c r="DW40" s="13"/>
      <c r="DX40" s="13"/>
      <c r="DY40" s="12"/>
      <c r="DZ40" s="4"/>
      <c r="EA40" s="4"/>
      <c r="EB40" s="4"/>
      <c r="EC40" s="4"/>
      <c r="EE40" s="1">
        <v>15</v>
      </c>
      <c r="EF40" s="13">
        <f t="shared" si="16"/>
        <v>47026</v>
      </c>
      <c r="EG40" s="13">
        <v>47017</v>
      </c>
      <c r="EH40" s="115"/>
      <c r="EI40" s="4">
        <f t="shared" si="49"/>
        <v>2422729.8199999994</v>
      </c>
      <c r="EJ40" s="4">
        <v>40216.85</v>
      </c>
      <c r="EK40" s="4">
        <v>13407.86</v>
      </c>
      <c r="EL40" s="4"/>
      <c r="EM40" s="4">
        <f t="shared" si="50"/>
        <v>53624.71</v>
      </c>
      <c r="EP40" s="13"/>
      <c r="EQ40" s="13"/>
      <c r="ER40" s="12"/>
      <c r="ES40" s="4"/>
      <c r="ET40" s="4"/>
      <c r="EU40" s="4"/>
      <c r="EV40" s="4"/>
      <c r="EY40" s="13"/>
      <c r="EZ40" s="13"/>
      <c r="FA40" s="12"/>
      <c r="FB40" s="4"/>
      <c r="FC40" s="4"/>
      <c r="FD40" s="4"/>
      <c r="FE40" s="4"/>
      <c r="FH40" s="13"/>
      <c r="FI40" s="13"/>
      <c r="FJ40" s="12"/>
      <c r="FK40" s="4"/>
      <c r="FL40" s="4"/>
      <c r="FM40" s="4"/>
      <c r="FN40" s="4"/>
      <c r="FQ40" s="13"/>
      <c r="FR40" s="13"/>
      <c r="FS40" s="12"/>
      <c r="FT40" s="4"/>
      <c r="FU40" s="4"/>
      <c r="FV40" s="4"/>
      <c r="FW40" s="4"/>
      <c r="FZ40" s="13"/>
      <c r="GA40" s="13"/>
      <c r="GB40" s="12"/>
      <c r="GC40" s="4"/>
      <c r="GD40" s="4"/>
      <c r="GE40" s="4"/>
      <c r="GF40" s="4"/>
      <c r="GI40" s="13"/>
      <c r="GJ40" s="13"/>
      <c r="GK40" s="12"/>
      <c r="GL40" s="4"/>
      <c r="GM40" s="4"/>
      <c r="GN40" s="4"/>
      <c r="GO40" s="4"/>
    </row>
    <row r="41" spans="1:197" x14ac:dyDescent="0.3">
      <c r="A41" s="1">
        <v>16</v>
      </c>
      <c r="B41" s="3">
        <f t="shared" si="1"/>
        <v>53</v>
      </c>
      <c r="C41" s="13">
        <f t="shared" si="60"/>
        <v>46387</v>
      </c>
      <c r="D41" s="12"/>
      <c r="E41" s="4">
        <f t="shared" si="28"/>
        <v>171714720.38218531</v>
      </c>
      <c r="F41" s="4">
        <f t="shared" si="29"/>
        <v>7527297.2729999991</v>
      </c>
      <c r="G41" s="4">
        <f t="shared" si="30"/>
        <v>949235.28272184893</v>
      </c>
      <c r="H41" s="4">
        <f t="shared" si="31"/>
        <v>8476532.5557218473</v>
      </c>
      <c r="I41" s="383"/>
      <c r="J41" s="383"/>
      <c r="K41" s="4"/>
      <c r="M41" s="1">
        <v>16</v>
      </c>
      <c r="N41" s="387">
        <f t="shared" si="2"/>
        <v>46996</v>
      </c>
      <c r="O41" s="387">
        <f t="shared" si="61"/>
        <v>46980</v>
      </c>
      <c r="P41" s="12"/>
      <c r="Q41" s="4">
        <f t="shared" si="3"/>
        <v>57021970.337350219</v>
      </c>
      <c r="R41" s="4">
        <f t="shared" si="62"/>
        <v>4072997.8812392987</v>
      </c>
      <c r="S41" s="4">
        <f t="shared" si="32"/>
        <v>936789.5126850392</v>
      </c>
      <c r="T41" s="4">
        <f t="shared" si="33"/>
        <v>471550.5461533799</v>
      </c>
      <c r="U41" s="446">
        <f t="shared" si="34"/>
        <v>5481337.9400777174</v>
      </c>
      <c r="V41" s="383"/>
      <c r="W41" s="383"/>
      <c r="X41" s="383"/>
      <c r="Y41" s="383"/>
      <c r="Z41" s="383"/>
      <c r="AA41" s="383"/>
      <c r="AC41" s="55">
        <v>16</v>
      </c>
      <c r="AD41" s="13">
        <f t="shared" si="4"/>
        <v>47177</v>
      </c>
      <c r="AE41" s="13">
        <v>47151</v>
      </c>
      <c r="AF41" s="12"/>
      <c r="AG41" s="4">
        <f t="shared" si="35"/>
        <v>516136.86999999947</v>
      </c>
      <c r="AH41" s="4">
        <f t="shared" si="56"/>
        <v>51840.79</v>
      </c>
      <c r="AI41" s="4">
        <f t="shared" si="36"/>
        <v>7983.2415544444375</v>
      </c>
      <c r="AJ41" s="4">
        <f t="shared" si="37"/>
        <v>59824.031554444438</v>
      </c>
      <c r="AK41" s="383"/>
      <c r="AL41" s="383"/>
      <c r="AM41" s="383"/>
      <c r="AN41" s="383"/>
      <c r="AO41" s="383"/>
      <c r="AP41" s="4"/>
      <c r="AR41" s="1">
        <v>16</v>
      </c>
      <c r="AS41" s="13">
        <f t="shared" si="5"/>
        <v>47087</v>
      </c>
      <c r="AT41" s="13">
        <v>47077</v>
      </c>
      <c r="AU41" s="12"/>
      <c r="AV41" s="4">
        <f t="shared" si="57"/>
        <v>10746041.415486759</v>
      </c>
      <c r="AW41" s="4">
        <v>525047.46469953598</v>
      </c>
      <c r="AX41" s="4">
        <f t="shared" si="58"/>
        <v>172823.36282952319</v>
      </c>
      <c r="AY41" s="4">
        <f t="shared" si="6"/>
        <v>697870.82752905914</v>
      </c>
      <c r="AZ41" s="383"/>
      <c r="BA41" s="383"/>
      <c r="BB41" s="383"/>
      <c r="BC41" s="383"/>
      <c r="BD41" s="383"/>
      <c r="BE41" s="383"/>
      <c r="BH41" s="13"/>
      <c r="BI41" s="13"/>
      <c r="BJ41" s="12"/>
      <c r="BK41" s="4"/>
      <c r="BL41" s="4"/>
      <c r="BM41" s="4"/>
      <c r="BN41" s="4"/>
      <c r="BO41" s="4"/>
      <c r="BP41" s="451"/>
      <c r="BQ41" s="383"/>
      <c r="BR41" s="383"/>
      <c r="BS41" s="383"/>
      <c r="BT41" s="383"/>
      <c r="BV41" s="1">
        <v>16</v>
      </c>
      <c r="BW41" s="13">
        <f t="shared" si="8"/>
        <v>47149</v>
      </c>
      <c r="BX41" s="13">
        <v>47138</v>
      </c>
      <c r="BY41" s="12"/>
      <c r="BZ41" s="4">
        <f t="shared" si="41"/>
        <v>230945.86776353011</v>
      </c>
      <c r="CA41" s="4">
        <v>57736.470062537075</v>
      </c>
      <c r="CB41" s="4">
        <v>2821.4284698866022</v>
      </c>
      <c r="CC41" s="4">
        <f t="shared" si="42"/>
        <v>4426.4625133330301</v>
      </c>
      <c r="CD41" s="4">
        <v>1642.8394559018825</v>
      </c>
      <c r="CE41" s="4">
        <f t="shared" si="43"/>
        <v>66627.20050165859</v>
      </c>
      <c r="CF41" s="451"/>
      <c r="CG41" s="383"/>
      <c r="CH41" s="383"/>
      <c r="CI41" s="383"/>
      <c r="CJ41" s="383"/>
      <c r="CL41" s="1">
        <v>16</v>
      </c>
      <c r="CM41" s="13">
        <f t="shared" si="9"/>
        <v>47208</v>
      </c>
      <c r="CN41" s="13">
        <v>47191</v>
      </c>
      <c r="CO41" s="12"/>
      <c r="CP41" s="4">
        <f t="shared" si="44"/>
        <v>208635.69999999992</v>
      </c>
      <c r="CQ41" s="4">
        <v>104317.97</v>
      </c>
      <c r="CR41" s="4">
        <v>1564.7695499999925</v>
      </c>
      <c r="CS41" s="4">
        <f t="shared" si="10"/>
        <v>105882.73955</v>
      </c>
      <c r="CU41" s="1">
        <v>16</v>
      </c>
      <c r="CV41" s="13">
        <f t="shared" si="11"/>
        <v>46356</v>
      </c>
      <c r="CW41" s="13">
        <v>46336</v>
      </c>
      <c r="CX41" s="12"/>
      <c r="CY41" s="4">
        <f t="shared" si="45"/>
        <v>14252745.4888031</v>
      </c>
      <c r="CZ41" s="4">
        <v>1583638.38</v>
      </c>
      <c r="DA41" s="4">
        <f t="shared" si="46"/>
        <v>81821.316655482675</v>
      </c>
      <c r="DB41" s="4">
        <f t="shared" si="12"/>
        <v>1665459.6966554825</v>
      </c>
      <c r="DD41" s="1">
        <v>16</v>
      </c>
      <c r="DE41" s="13">
        <f t="shared" si="13"/>
        <v>47208</v>
      </c>
      <c r="DF41" s="13">
        <v>47199</v>
      </c>
      <c r="DG41" s="12"/>
      <c r="DH41" s="4">
        <f t="shared" si="47"/>
        <v>5963438.4988674633</v>
      </c>
      <c r="DI41" s="4">
        <v>283973.26</v>
      </c>
      <c r="DJ41" s="4">
        <v>91594</v>
      </c>
      <c r="DK41" s="4">
        <f t="shared" si="14"/>
        <v>375567.26</v>
      </c>
      <c r="DL41" s="386"/>
      <c r="DM41" s="1">
        <v>16</v>
      </c>
      <c r="DN41" s="13">
        <f t="shared" si="0"/>
        <v>47238</v>
      </c>
      <c r="DO41" s="13">
        <v>47213</v>
      </c>
      <c r="DP41" s="12"/>
      <c r="DQ41" s="4">
        <f t="shared" si="48"/>
        <v>671403.18268659781</v>
      </c>
      <c r="DR41" s="4">
        <v>39494.31</v>
      </c>
      <c r="DS41" s="4">
        <f t="shared" si="59"/>
        <v>10343.55851859</v>
      </c>
      <c r="DT41" s="4">
        <f t="shared" si="15"/>
        <v>49837.868518589996</v>
      </c>
      <c r="DW41" s="13"/>
      <c r="DX41" s="13"/>
      <c r="DY41" s="12"/>
      <c r="DZ41" s="4"/>
      <c r="EA41" s="4"/>
      <c r="EB41" s="4"/>
      <c r="EC41" s="4"/>
      <c r="EE41" s="1">
        <v>16</v>
      </c>
      <c r="EF41" s="13">
        <f t="shared" si="16"/>
        <v>47118</v>
      </c>
      <c r="EG41" s="13">
        <v>47108</v>
      </c>
      <c r="EH41" s="115"/>
      <c r="EI41" s="4">
        <f t="shared" si="49"/>
        <v>2382512.9699999993</v>
      </c>
      <c r="EJ41" s="4">
        <v>40216.85</v>
      </c>
      <c r="EK41" s="4">
        <v>12798.92</v>
      </c>
      <c r="EL41" s="4"/>
      <c r="EM41" s="4">
        <f t="shared" si="50"/>
        <v>53015.77</v>
      </c>
      <c r="EP41" s="13"/>
      <c r="EQ41" s="13"/>
      <c r="ER41" s="12"/>
      <c r="ES41" s="4"/>
      <c r="ET41" s="4"/>
      <c r="EU41" s="4"/>
      <c r="EV41" s="4"/>
      <c r="EY41" s="13"/>
      <c r="EZ41" s="13"/>
      <c r="FA41" s="12"/>
      <c r="FB41" s="4"/>
      <c r="FC41" s="4"/>
      <c r="FD41" s="4"/>
      <c r="FE41" s="4"/>
      <c r="FH41" s="13"/>
      <c r="FI41" s="13"/>
      <c r="FJ41" s="12"/>
      <c r="FK41" s="4"/>
      <c r="FL41" s="4"/>
      <c r="FM41" s="4"/>
      <c r="FN41" s="4"/>
      <c r="FQ41" s="13"/>
      <c r="FR41" s="13"/>
      <c r="FS41" s="12"/>
      <c r="FT41" s="4"/>
      <c r="FU41" s="4"/>
      <c r="FV41" s="4"/>
      <c r="FW41" s="4"/>
      <c r="FZ41" s="13"/>
      <c r="GA41" s="13"/>
      <c r="GB41" s="12"/>
      <c r="GC41" s="4"/>
      <c r="GD41" s="4"/>
      <c r="GE41" s="4"/>
      <c r="GF41" s="4"/>
      <c r="GI41" s="13"/>
      <c r="GJ41" s="13"/>
      <c r="GK41" s="12"/>
      <c r="GL41" s="4"/>
      <c r="GM41" s="4"/>
      <c r="GN41" s="4"/>
      <c r="GO41" s="4"/>
    </row>
    <row r="42" spans="1:197" x14ac:dyDescent="0.3">
      <c r="A42" s="1">
        <v>17</v>
      </c>
      <c r="B42" s="3">
        <f t="shared" si="1"/>
        <v>5</v>
      </c>
      <c r="C42" s="13">
        <f t="shared" si="60"/>
        <v>46418</v>
      </c>
      <c r="D42" s="12"/>
      <c r="E42" s="4">
        <f t="shared" si="28"/>
        <v>170031029.79365289</v>
      </c>
      <c r="F42" s="4">
        <f t="shared" si="29"/>
        <v>1683690.5885324236</v>
      </c>
      <c r="G42" s="4">
        <f t="shared" si="30"/>
        <v>94468.819403547503</v>
      </c>
      <c r="H42" s="4">
        <f t="shared" si="31"/>
        <v>1778159.4079359712</v>
      </c>
      <c r="I42" s="383">
        <f>+H42</f>
        <v>1778159.4079359712</v>
      </c>
      <c r="J42" s="383" t="s">
        <v>655</v>
      </c>
      <c r="K42" s="4"/>
      <c r="M42" s="1">
        <v>17</v>
      </c>
      <c r="N42" s="387">
        <f t="shared" si="2"/>
        <v>47087</v>
      </c>
      <c r="O42" s="387">
        <f t="shared" si="61"/>
        <v>47072</v>
      </c>
      <c r="P42" s="12"/>
      <c r="Q42" s="4">
        <f t="shared" si="3"/>
        <v>52948972.456110924</v>
      </c>
      <c r="R42" s="4">
        <f t="shared" si="62"/>
        <v>4072997.8812392987</v>
      </c>
      <c r="S42" s="4">
        <f t="shared" si="32"/>
        <v>874336.87850603659</v>
      </c>
      <c r="T42" s="4">
        <f t="shared" si="33"/>
        <v>471550.5461533799</v>
      </c>
      <c r="U42" s="4">
        <f t="shared" si="34"/>
        <v>5418885.3058987148</v>
      </c>
      <c r="V42" s="383"/>
      <c r="W42" s="383"/>
      <c r="X42" s="383"/>
      <c r="Y42" s="383"/>
      <c r="Z42" s="383"/>
      <c r="AA42" s="383"/>
      <c r="AC42" s="55">
        <v>17</v>
      </c>
      <c r="AD42" s="13">
        <f t="shared" si="4"/>
        <v>47269</v>
      </c>
      <c r="AE42" s="13">
        <v>47240</v>
      </c>
      <c r="AF42" s="12"/>
      <c r="AG42" s="4">
        <f t="shared" si="35"/>
        <v>464296.07999999949</v>
      </c>
      <c r="AH42" s="4">
        <f t="shared" si="56"/>
        <v>51840.79</v>
      </c>
      <c r="AI42" s="4">
        <f t="shared" si="36"/>
        <v>7018.0277184722145</v>
      </c>
      <c r="AJ42" s="4">
        <f t="shared" si="37"/>
        <v>58858.817718472215</v>
      </c>
      <c r="AK42" s="383"/>
      <c r="AL42" s="383"/>
      <c r="AM42" s="383"/>
      <c r="AN42" s="383"/>
      <c r="AO42" s="383"/>
      <c r="AP42" s="4"/>
      <c r="AR42" s="1">
        <v>17</v>
      </c>
      <c r="AS42" s="13">
        <f t="shared" si="5"/>
        <v>47177</v>
      </c>
      <c r="AT42" s="13">
        <v>47169</v>
      </c>
      <c r="AU42" s="12"/>
      <c r="AV42" s="4">
        <f t="shared" si="57"/>
        <v>10220993.950787222</v>
      </c>
      <c r="AW42" s="4">
        <v>525047.46469953598</v>
      </c>
      <c r="AX42" s="4">
        <f t="shared" si="58"/>
        <v>164772.63503746362</v>
      </c>
      <c r="AY42" s="4">
        <f t="shared" si="6"/>
        <v>689820.0997369996</v>
      </c>
      <c r="AZ42" s="383"/>
      <c r="BA42" s="383"/>
      <c r="BB42" s="383"/>
      <c r="BC42" s="383"/>
      <c r="BD42" s="383"/>
      <c r="BE42" s="383"/>
      <c r="BH42" s="13"/>
      <c r="BI42" s="13"/>
      <c r="BJ42" s="12"/>
      <c r="BK42" s="4"/>
      <c r="BL42" s="4"/>
      <c r="BM42" s="4"/>
      <c r="BN42" s="4"/>
      <c r="BO42" s="4"/>
      <c r="BP42" s="451"/>
      <c r="BQ42" s="383"/>
      <c r="BR42" s="383"/>
      <c r="BS42" s="383"/>
      <c r="BT42" s="383"/>
      <c r="BV42" s="1">
        <v>17</v>
      </c>
      <c r="BW42" s="13">
        <f t="shared" si="8"/>
        <v>47238</v>
      </c>
      <c r="BX42" s="13">
        <v>47228</v>
      </c>
      <c r="BY42" s="12"/>
      <c r="BZ42" s="4">
        <f t="shared" si="41"/>
        <v>173209.39770099305</v>
      </c>
      <c r="CA42" s="4">
        <v>57736.470062537075</v>
      </c>
      <c r="CB42" s="4">
        <v>2821.4284698866022</v>
      </c>
      <c r="CC42" s="4">
        <f t="shared" si="42"/>
        <v>3464.1880164529512</v>
      </c>
      <c r="CD42" s="4">
        <v>1642.8394559018825</v>
      </c>
      <c r="CE42" s="4">
        <f t="shared" si="43"/>
        <v>65664.926004778506</v>
      </c>
      <c r="CF42" s="451"/>
      <c r="CG42" s="383"/>
      <c r="CH42" s="383"/>
      <c r="CI42" s="383"/>
      <c r="CJ42" s="383"/>
      <c r="CL42" s="1">
        <v>17</v>
      </c>
      <c r="CM42" s="13">
        <f t="shared" si="9"/>
        <v>47299</v>
      </c>
      <c r="CN42" s="13">
        <v>47283</v>
      </c>
      <c r="CO42" s="12"/>
      <c r="CP42" s="4">
        <f t="shared" si="44"/>
        <v>104317.84999999992</v>
      </c>
      <c r="CQ42" s="4">
        <v>104317.85</v>
      </c>
      <c r="CR42" s="4">
        <v>55983.92</v>
      </c>
      <c r="CS42" s="4">
        <f t="shared" si="10"/>
        <v>160301.77000000002</v>
      </c>
      <c r="CU42" s="1">
        <v>17</v>
      </c>
      <c r="CV42" s="13">
        <f t="shared" si="11"/>
        <v>46387</v>
      </c>
      <c r="CW42" s="13">
        <v>46366</v>
      </c>
      <c r="CX42" s="12"/>
      <c r="CY42" s="4">
        <f t="shared" si="45"/>
        <v>12669107.108803101</v>
      </c>
      <c r="CZ42" s="4">
        <v>1583638.38</v>
      </c>
      <c r="DA42" s="4">
        <f t="shared" si="46"/>
        <v>71263.727444015502</v>
      </c>
      <c r="DB42" s="4">
        <f t="shared" si="12"/>
        <v>1654902.1074440153</v>
      </c>
      <c r="DD42" s="1">
        <v>17</v>
      </c>
      <c r="DE42" s="13">
        <f t="shared" si="13"/>
        <v>47299</v>
      </c>
      <c r="DF42" s="13">
        <v>47291</v>
      </c>
      <c r="DG42" s="12"/>
      <c r="DH42" s="4">
        <f t="shared" si="47"/>
        <v>5679465.2388674635</v>
      </c>
      <c r="DI42" s="4">
        <v>283973.26</v>
      </c>
      <c r="DJ42" s="4">
        <v>88391.41</v>
      </c>
      <c r="DK42" s="4">
        <f t="shared" si="14"/>
        <v>372364.67000000004</v>
      </c>
      <c r="DL42" s="386"/>
      <c r="DM42" s="1">
        <v>17</v>
      </c>
      <c r="DN42" s="13">
        <f t="shared" si="0"/>
        <v>47330</v>
      </c>
      <c r="DO42" s="13">
        <v>47304</v>
      </c>
      <c r="DP42" s="12"/>
      <c r="DQ42" s="4">
        <f t="shared" si="48"/>
        <v>631908.87268659775</v>
      </c>
      <c r="DR42" s="4">
        <v>39494.31</v>
      </c>
      <c r="DS42" s="4">
        <f t="shared" si="59"/>
        <v>9877.4598226243324</v>
      </c>
      <c r="DT42" s="4">
        <f t="shared" si="15"/>
        <v>49371.76982262433</v>
      </c>
      <c r="DW42" s="13"/>
      <c r="DX42" s="13"/>
      <c r="DY42" s="12"/>
      <c r="DZ42" s="4"/>
      <c r="EA42" s="4"/>
      <c r="EB42" s="4"/>
      <c r="EC42" s="4"/>
      <c r="EE42" s="1">
        <v>17</v>
      </c>
      <c r="EF42" s="13">
        <f t="shared" si="16"/>
        <v>47208</v>
      </c>
      <c r="EG42" s="13">
        <v>47199</v>
      </c>
      <c r="EH42" s="115"/>
      <c r="EI42" s="4">
        <f t="shared" si="49"/>
        <v>2342296.1199999992</v>
      </c>
      <c r="EJ42" s="4">
        <v>40216.85</v>
      </c>
      <c r="EK42" s="4">
        <v>12189.98</v>
      </c>
      <c r="EL42" s="4"/>
      <c r="EM42" s="4">
        <f t="shared" si="50"/>
        <v>52406.83</v>
      </c>
      <c r="EP42" s="13"/>
      <c r="EQ42" s="13"/>
      <c r="ER42" s="12"/>
      <c r="ES42" s="4"/>
      <c r="ET42" s="4"/>
      <c r="EU42" s="4"/>
      <c r="EV42" s="4"/>
      <c r="EY42" s="13"/>
      <c r="EZ42" s="13"/>
      <c r="FA42" s="12"/>
      <c r="FB42" s="4"/>
      <c r="FC42" s="4"/>
      <c r="FD42" s="4"/>
      <c r="FE42" s="4"/>
      <c r="FH42" s="13"/>
      <c r="FI42" s="13"/>
      <c r="FJ42" s="12"/>
      <c r="FK42" s="4"/>
      <c r="FL42" s="4"/>
      <c r="FM42" s="4"/>
      <c r="FN42" s="4"/>
      <c r="FQ42" s="13"/>
      <c r="FR42" s="13"/>
      <c r="FS42" s="12"/>
      <c r="FT42" s="4"/>
      <c r="FU42" s="4"/>
      <c r="FV42" s="4"/>
      <c r="FW42" s="4"/>
      <c r="FZ42" s="13"/>
      <c r="GA42" s="13"/>
      <c r="GB42" s="12"/>
      <c r="GC42" s="4"/>
      <c r="GD42" s="4"/>
      <c r="GE42" s="4"/>
      <c r="GF42" s="4"/>
      <c r="GI42" s="13"/>
      <c r="GJ42" s="13"/>
      <c r="GK42" s="12"/>
      <c r="GL42" s="4"/>
      <c r="GM42" s="4"/>
      <c r="GN42" s="4"/>
      <c r="GO42" s="4"/>
    </row>
    <row r="43" spans="1:197" x14ac:dyDescent="0.3">
      <c r="A43" s="1">
        <v>18</v>
      </c>
      <c r="B43" s="3">
        <f t="shared" si="1"/>
        <v>9</v>
      </c>
      <c r="C43" s="13">
        <f t="shared" si="60"/>
        <v>46446</v>
      </c>
      <c r="D43" s="12"/>
      <c r="E43" s="4">
        <f t="shared" si="28"/>
        <v>163709439.69771406</v>
      </c>
      <c r="F43" s="4">
        <f t="shared" si="29"/>
        <v>6321590.0959388344</v>
      </c>
      <c r="G43" s="4">
        <f t="shared" si="30"/>
        <v>2084951.4934374127</v>
      </c>
      <c r="H43" s="4">
        <f t="shared" si="31"/>
        <v>8406541.5893762466</v>
      </c>
      <c r="I43" s="383"/>
      <c r="J43" s="383"/>
      <c r="K43" s="4"/>
      <c r="M43" s="1">
        <v>18</v>
      </c>
      <c r="N43" s="387">
        <f t="shared" si="2"/>
        <v>47177</v>
      </c>
      <c r="O43" s="387">
        <f t="shared" si="61"/>
        <v>47164</v>
      </c>
      <c r="P43" s="12"/>
      <c r="Q43" s="4">
        <f t="shared" si="3"/>
        <v>48875974.574871629</v>
      </c>
      <c r="R43" s="4">
        <f t="shared" si="62"/>
        <v>4072997.8812392987</v>
      </c>
      <c r="S43" s="4">
        <f t="shared" si="32"/>
        <v>811884.2443270341</v>
      </c>
      <c r="T43" s="4">
        <f t="shared" si="33"/>
        <v>471550.5461533799</v>
      </c>
      <c r="U43" s="4">
        <f t="shared" si="34"/>
        <v>5356432.6717197122</v>
      </c>
      <c r="V43" s="383"/>
      <c r="W43" s="383"/>
      <c r="X43" s="383"/>
      <c r="Y43" s="383"/>
      <c r="Z43" s="383"/>
      <c r="AA43" s="383"/>
      <c r="AC43" s="55">
        <v>18</v>
      </c>
      <c r="AD43" s="13">
        <f t="shared" si="4"/>
        <v>47361</v>
      </c>
      <c r="AE43" s="13">
        <v>47332</v>
      </c>
      <c r="AF43" s="12"/>
      <c r="AG43" s="4">
        <f t="shared" si="35"/>
        <v>412455.28999999951</v>
      </c>
      <c r="AH43" s="4">
        <f t="shared" si="56"/>
        <v>51840.79</v>
      </c>
      <c r="AI43" s="4">
        <f t="shared" si="36"/>
        <v>6525.9393466666597</v>
      </c>
      <c r="AJ43" s="4">
        <f t="shared" si="37"/>
        <v>58366.72934666666</v>
      </c>
      <c r="AK43" s="383"/>
      <c r="AL43" s="383"/>
      <c r="AM43" s="383"/>
      <c r="AN43" s="383"/>
      <c r="AO43" s="383"/>
      <c r="AP43" s="4"/>
      <c r="AR43" s="1">
        <v>18</v>
      </c>
      <c r="AS43" s="13">
        <f t="shared" si="5"/>
        <v>47269</v>
      </c>
      <c r="AT43" s="13">
        <v>47258</v>
      </c>
      <c r="AU43" s="12"/>
      <c r="AV43" s="4">
        <f t="shared" si="57"/>
        <v>9695946.4860876855</v>
      </c>
      <c r="AW43" s="4">
        <v>525047.46469953598</v>
      </c>
      <c r="AX43" s="4">
        <f t="shared" si="58"/>
        <v>151611.41027001044</v>
      </c>
      <c r="AY43" s="4">
        <f t="shared" si="6"/>
        <v>676658.87496954645</v>
      </c>
      <c r="AZ43" s="383"/>
      <c r="BA43" s="383"/>
      <c r="BB43" s="383"/>
      <c r="BC43" s="383"/>
      <c r="BD43" s="383"/>
      <c r="BE43" s="383"/>
      <c r="BH43" s="13"/>
      <c r="BI43" s="13"/>
      <c r="BJ43" s="12"/>
      <c r="BK43" s="4"/>
      <c r="BL43" s="4"/>
      <c r="BM43" s="4"/>
      <c r="BN43" s="4"/>
      <c r="BO43" s="4"/>
      <c r="BP43" s="451"/>
      <c r="BQ43" s="383"/>
      <c r="BR43" s="383"/>
      <c r="BS43" s="383"/>
      <c r="BT43" s="383"/>
      <c r="BV43" s="1">
        <v>18</v>
      </c>
      <c r="BW43" s="13">
        <f t="shared" si="8"/>
        <v>47330</v>
      </c>
      <c r="BX43" s="13">
        <v>47319</v>
      </c>
      <c r="BY43" s="12"/>
      <c r="BZ43" s="4">
        <f t="shared" si="41"/>
        <v>115472.92763845598</v>
      </c>
      <c r="CA43" s="4">
        <v>57736.470062537075</v>
      </c>
      <c r="CB43" s="4">
        <v>2821.4284698866022</v>
      </c>
      <c r="CC43" s="4">
        <f t="shared" si="42"/>
        <v>2627.0091984650617</v>
      </c>
      <c r="CD43" s="4">
        <v>1642.8394559018825</v>
      </c>
      <c r="CE43" s="4">
        <f t="shared" si="43"/>
        <v>64827.747186790628</v>
      </c>
      <c r="CF43" s="451"/>
      <c r="CG43" s="383"/>
      <c r="CH43" s="383"/>
      <c r="CI43" s="383"/>
      <c r="CJ43" s="383"/>
      <c r="CL43" s="1">
        <v>18</v>
      </c>
      <c r="CM43" s="13">
        <f t="shared" si="9"/>
        <v>47391</v>
      </c>
      <c r="CN43" s="13">
        <v>47375</v>
      </c>
      <c r="CO43" s="12"/>
      <c r="CP43" s="4">
        <f t="shared" si="44"/>
        <v>0</v>
      </c>
      <c r="CQ43" s="4">
        <v>104317.85</v>
      </c>
      <c r="CR43" s="4">
        <v>53793.24</v>
      </c>
      <c r="CS43" s="4">
        <f t="shared" si="10"/>
        <v>158111.09</v>
      </c>
      <c r="CU43" s="1">
        <v>18</v>
      </c>
      <c r="CV43" s="13">
        <f t="shared" si="11"/>
        <v>46418</v>
      </c>
      <c r="CW43" s="13">
        <v>46397</v>
      </c>
      <c r="CX43" s="12"/>
      <c r="CY43" s="4">
        <f t="shared" si="45"/>
        <v>11085468.728803102</v>
      </c>
      <c r="CZ43" s="4">
        <v>1583638.38</v>
      </c>
      <c r="DA43" s="4">
        <f t="shared" si="46"/>
        <v>65457.05339548269</v>
      </c>
      <c r="DB43" s="4">
        <f t="shared" si="12"/>
        <v>1649095.4333954826</v>
      </c>
      <c r="DD43" s="1">
        <v>18</v>
      </c>
      <c r="DE43" s="13">
        <f t="shared" si="13"/>
        <v>47391</v>
      </c>
      <c r="DF43" s="13">
        <v>47381</v>
      </c>
      <c r="DG43" s="12"/>
      <c r="DH43" s="4">
        <f t="shared" si="47"/>
        <v>5395491.9788674638</v>
      </c>
      <c r="DI43" s="4">
        <v>283973.26</v>
      </c>
      <c r="DJ43" s="4">
        <v>82352.25</v>
      </c>
      <c r="DK43" s="4">
        <f t="shared" si="14"/>
        <v>366325.51</v>
      </c>
      <c r="DL43" s="386"/>
      <c r="DM43" s="1">
        <v>18</v>
      </c>
      <c r="DN43" s="13">
        <f t="shared" si="0"/>
        <v>47422</v>
      </c>
      <c r="DO43" s="13">
        <v>47396</v>
      </c>
      <c r="DP43" s="12"/>
      <c r="DQ43" s="4">
        <f t="shared" si="48"/>
        <v>592414.5626865977</v>
      </c>
      <c r="DR43" s="4">
        <v>39494.31</v>
      </c>
      <c r="DS43" s="4">
        <f t="shared" si="59"/>
        <v>9398.5912997586638</v>
      </c>
      <c r="DT43" s="4">
        <f t="shared" si="15"/>
        <v>48892.901299758661</v>
      </c>
      <c r="DW43" s="13"/>
      <c r="DX43" s="13"/>
      <c r="DY43" s="12"/>
      <c r="DZ43" s="4"/>
      <c r="EA43" s="4"/>
      <c r="EB43" s="4"/>
      <c r="EC43" s="4"/>
      <c r="EE43" s="1">
        <v>18</v>
      </c>
      <c r="EF43" s="13">
        <f t="shared" si="16"/>
        <v>47299</v>
      </c>
      <c r="EG43" s="13">
        <v>47291</v>
      </c>
      <c r="EH43" s="115"/>
      <c r="EI43" s="4">
        <f t="shared" si="49"/>
        <v>2302079.2699999991</v>
      </c>
      <c r="EJ43" s="4">
        <v>40216.85</v>
      </c>
      <c r="EK43" s="4">
        <v>11701.49</v>
      </c>
      <c r="EL43" s="4"/>
      <c r="EM43" s="4">
        <f t="shared" si="50"/>
        <v>51918.34</v>
      </c>
      <c r="EP43" s="13"/>
      <c r="EQ43" s="13"/>
      <c r="ER43" s="12"/>
      <c r="ES43" s="4"/>
      <c r="ET43" s="4"/>
      <c r="EU43" s="4"/>
      <c r="EV43" s="4"/>
      <c r="EY43" s="13"/>
      <c r="EZ43" s="13"/>
      <c r="FA43" s="12"/>
      <c r="FB43" s="4"/>
      <c r="FC43" s="4"/>
      <c r="FD43" s="4"/>
      <c r="FE43" s="4"/>
      <c r="FH43" s="13"/>
      <c r="FI43" s="13"/>
      <c r="FJ43" s="12"/>
      <c r="FK43" s="4"/>
      <c r="FL43" s="4"/>
      <c r="FM43" s="4"/>
      <c r="FN43" s="4"/>
      <c r="FQ43" s="13"/>
      <c r="FR43" s="13"/>
      <c r="FS43" s="12"/>
      <c r="FT43" s="4"/>
      <c r="FU43" s="4"/>
      <c r="FV43" s="4"/>
      <c r="FW43" s="4"/>
      <c r="FZ43" s="13"/>
      <c r="GA43" s="13"/>
      <c r="GB43" s="12"/>
      <c r="GC43" s="4"/>
      <c r="GD43" s="4"/>
      <c r="GE43" s="4"/>
      <c r="GF43" s="4"/>
      <c r="GI43" s="13"/>
      <c r="GJ43" s="13"/>
      <c r="GK43" s="12"/>
      <c r="GL43" s="4"/>
      <c r="GM43" s="4"/>
      <c r="GN43" s="4"/>
      <c r="GO43" s="4"/>
    </row>
    <row r="44" spans="1:197" x14ac:dyDescent="0.3">
      <c r="A44" s="1">
        <v>19</v>
      </c>
      <c r="B44" s="3">
        <f t="shared" si="1"/>
        <v>14</v>
      </c>
      <c r="C44" s="13">
        <f t="shared" si="60"/>
        <v>46477</v>
      </c>
      <c r="D44" s="12"/>
      <c r="E44" s="4">
        <f t="shared" si="28"/>
        <v>156230899.82471406</v>
      </c>
      <c r="F44" s="4">
        <f t="shared" si="29"/>
        <v>7478539.8730000006</v>
      </c>
      <c r="G44" s="4">
        <f t="shared" si="30"/>
        <v>895468.2560710815</v>
      </c>
      <c r="H44" s="4">
        <f t="shared" si="31"/>
        <v>8374008.129071082</v>
      </c>
      <c r="I44" s="383"/>
      <c r="J44" s="383"/>
      <c r="K44" s="4"/>
      <c r="M44" s="1">
        <v>19</v>
      </c>
      <c r="N44" s="387">
        <f t="shared" si="2"/>
        <v>47269</v>
      </c>
      <c r="O44" s="387">
        <f t="shared" si="61"/>
        <v>47253</v>
      </c>
      <c r="P44" s="12"/>
      <c r="Q44" s="4">
        <f t="shared" si="3"/>
        <v>44802976.693632334</v>
      </c>
      <c r="R44" s="4">
        <f t="shared" si="62"/>
        <v>4072997.8812392987</v>
      </c>
      <c r="S44" s="4">
        <f t="shared" si="32"/>
        <v>724993.6228605957</v>
      </c>
      <c r="T44" s="4">
        <f t="shared" si="33"/>
        <v>471550.5461533799</v>
      </c>
      <c r="U44" s="4">
        <f t="shared" si="34"/>
        <v>5269542.0502532739</v>
      </c>
      <c r="V44" s="383"/>
      <c r="W44" s="383"/>
      <c r="X44" s="383"/>
      <c r="Y44" s="383"/>
      <c r="Z44" s="383"/>
      <c r="AA44" s="383"/>
      <c r="AC44" s="55">
        <v>19</v>
      </c>
      <c r="AD44" s="13">
        <f t="shared" si="4"/>
        <v>47452</v>
      </c>
      <c r="AE44" s="13">
        <v>47424</v>
      </c>
      <c r="AF44" s="12"/>
      <c r="AG44" s="4">
        <f t="shared" si="35"/>
        <v>360614.49999999953</v>
      </c>
      <c r="AH44" s="4">
        <f t="shared" si="56"/>
        <v>51840.79</v>
      </c>
      <c r="AI44" s="4">
        <f t="shared" si="36"/>
        <v>5797.2882427777704</v>
      </c>
      <c r="AJ44" s="4">
        <f t="shared" si="37"/>
        <v>57638.078242777774</v>
      </c>
      <c r="AK44" s="383"/>
      <c r="AL44" s="383"/>
      <c r="AM44" s="383"/>
      <c r="AN44" s="383"/>
      <c r="AO44" s="383"/>
      <c r="AP44" s="4"/>
      <c r="AR44" s="1">
        <v>19</v>
      </c>
      <c r="AS44" s="13">
        <f t="shared" si="5"/>
        <v>47361</v>
      </c>
      <c r="AT44" s="13">
        <v>47350</v>
      </c>
      <c r="AU44" s="12"/>
      <c r="AV44" s="4">
        <f t="shared" si="57"/>
        <v>9170899.0213881489</v>
      </c>
      <c r="AW44" s="4">
        <v>525047.46469953598</v>
      </c>
      <c r="AX44" s="4">
        <f t="shared" si="58"/>
        <v>148671.17945334449</v>
      </c>
      <c r="AY44" s="4">
        <f t="shared" si="6"/>
        <v>673718.64415288041</v>
      </c>
      <c r="AZ44" s="383"/>
      <c r="BA44" s="383"/>
      <c r="BB44" s="383"/>
      <c r="BC44" s="383"/>
      <c r="BD44" s="383"/>
      <c r="BE44" s="383"/>
      <c r="BH44" s="13"/>
      <c r="BI44" s="13"/>
      <c r="BJ44" s="12"/>
      <c r="BK44" s="4"/>
      <c r="BL44" s="4"/>
      <c r="BM44" s="4"/>
      <c r="BN44" s="4"/>
      <c r="BO44" s="4"/>
      <c r="BP44" s="451"/>
      <c r="BQ44" s="383"/>
      <c r="BR44" s="383"/>
      <c r="BS44" s="383"/>
      <c r="BT44" s="383"/>
      <c r="BV44" s="1">
        <v>19</v>
      </c>
      <c r="BW44" s="13">
        <f t="shared" si="8"/>
        <v>47422</v>
      </c>
      <c r="BX44" s="13">
        <v>47398</v>
      </c>
      <c r="BY44" s="12"/>
      <c r="BZ44" s="4">
        <f t="shared" si="41"/>
        <v>5.6757363781798631E-3</v>
      </c>
      <c r="CA44" s="4">
        <v>115472.9219627196</v>
      </c>
      <c r="CB44" s="4">
        <v>14107.143257550735</v>
      </c>
      <c r="CC44" s="4">
        <f t="shared" si="42"/>
        <v>1520.3935472396704</v>
      </c>
      <c r="CD44" s="4">
        <v>1642.8394559018825</v>
      </c>
      <c r="CE44" s="4">
        <f t="shared" si="43"/>
        <v>132743.2982234119</v>
      </c>
      <c r="CF44" s="451"/>
      <c r="CG44" s="383"/>
      <c r="CH44" s="383"/>
      <c r="CI44" s="383"/>
      <c r="CJ44" s="383"/>
      <c r="CM44" s="13"/>
      <c r="CN44" s="13"/>
      <c r="CO44" s="12"/>
      <c r="CP44" s="4"/>
      <c r="CQ44" s="4"/>
      <c r="CR44" s="4"/>
      <c r="CS44" s="4"/>
      <c r="CU44" s="1">
        <v>19</v>
      </c>
      <c r="CV44" s="13">
        <f t="shared" si="11"/>
        <v>46446</v>
      </c>
      <c r="CW44" s="13">
        <v>46428</v>
      </c>
      <c r="CX44" s="12"/>
      <c r="CY44" s="4">
        <f t="shared" si="45"/>
        <v>9501830.348803103</v>
      </c>
      <c r="CZ44" s="4">
        <v>1583638.38</v>
      </c>
      <c r="DA44" s="4">
        <f t="shared" si="46"/>
        <v>57274.921765482693</v>
      </c>
      <c r="DB44" s="4">
        <f t="shared" si="12"/>
        <v>1640913.3017654826</v>
      </c>
      <c r="DD44" s="1">
        <v>19</v>
      </c>
      <c r="DE44" s="13">
        <f t="shared" si="13"/>
        <v>47483</v>
      </c>
      <c r="DF44" s="13">
        <v>47472</v>
      </c>
      <c r="DG44" s="12"/>
      <c r="DH44" s="4">
        <f t="shared" si="47"/>
        <v>5111518.718867464</v>
      </c>
      <c r="DI44" s="4">
        <v>283973.26</v>
      </c>
      <c r="DJ44" s="4">
        <v>79103.91</v>
      </c>
      <c r="DK44" s="4">
        <f t="shared" si="14"/>
        <v>363077.17000000004</v>
      </c>
      <c r="DL44" s="386"/>
      <c r="DM44" s="1">
        <v>19</v>
      </c>
      <c r="DN44" s="13">
        <f t="shared" si="0"/>
        <v>47514</v>
      </c>
      <c r="DO44" s="13">
        <v>47490</v>
      </c>
      <c r="DP44" s="12"/>
      <c r="DQ44" s="4">
        <f t="shared" si="48"/>
        <v>552920.25268659764</v>
      </c>
      <c r="DR44" s="4">
        <v>39494.31</v>
      </c>
      <c r="DS44" s="4">
        <f t="shared" si="59"/>
        <v>9002.726637627331</v>
      </c>
      <c r="DT44" s="4">
        <f t="shared" si="15"/>
        <v>48497.03663762733</v>
      </c>
      <c r="DW44" s="13"/>
      <c r="DX44" s="13"/>
      <c r="DY44" s="12"/>
      <c r="DZ44" s="4"/>
      <c r="EA44" s="4"/>
      <c r="EB44" s="4"/>
      <c r="EC44" s="4"/>
      <c r="EE44" s="1">
        <v>19</v>
      </c>
      <c r="EF44" s="13">
        <f t="shared" si="16"/>
        <v>47391</v>
      </c>
      <c r="EG44" s="13">
        <v>47381</v>
      </c>
      <c r="EH44" s="115"/>
      <c r="EI44" s="4">
        <f t="shared" si="49"/>
        <v>2261862.419999999</v>
      </c>
      <c r="EJ44" s="4">
        <v>40216.85</v>
      </c>
      <c r="EK44" s="4">
        <v>10858.34</v>
      </c>
      <c r="EL44" s="4"/>
      <c r="EM44" s="4">
        <f t="shared" si="50"/>
        <v>51075.19</v>
      </c>
      <c r="EP44" s="13"/>
      <c r="EQ44" s="13"/>
      <c r="ER44" s="12"/>
      <c r="ES44" s="4"/>
      <c r="ET44" s="4"/>
      <c r="EU44" s="4"/>
      <c r="EV44" s="4"/>
      <c r="EY44" s="13"/>
      <c r="EZ44" s="13"/>
      <c r="FA44" s="12"/>
      <c r="FB44" s="4"/>
      <c r="FC44" s="4"/>
      <c r="FD44" s="4"/>
      <c r="FE44" s="4"/>
      <c r="FH44" s="13"/>
      <c r="FI44" s="13"/>
      <c r="FJ44" s="12"/>
      <c r="FK44" s="4"/>
      <c r="FL44" s="4"/>
      <c r="FM44" s="4"/>
      <c r="FN44" s="4"/>
      <c r="FQ44" s="13"/>
      <c r="FR44" s="13"/>
      <c r="FS44" s="12"/>
      <c r="FT44" s="4"/>
      <c r="FU44" s="4"/>
      <c r="FV44" s="4"/>
      <c r="FW44" s="4"/>
      <c r="FZ44" s="13"/>
      <c r="GA44" s="13"/>
      <c r="GB44" s="12"/>
      <c r="GC44" s="4"/>
      <c r="GD44" s="4"/>
      <c r="GE44" s="4"/>
      <c r="GF44" s="4"/>
      <c r="GI44" s="13"/>
      <c r="GJ44" s="13"/>
      <c r="GK44" s="12"/>
      <c r="GL44" s="4"/>
      <c r="GM44" s="4"/>
      <c r="GN44" s="4"/>
      <c r="GO44" s="4"/>
    </row>
    <row r="45" spans="1:197" x14ac:dyDescent="0.3">
      <c r="A45" s="1">
        <v>20</v>
      </c>
      <c r="B45" s="3">
        <f t="shared" si="1"/>
        <v>18</v>
      </c>
      <c r="C45" s="13">
        <f t="shared" si="60"/>
        <v>46507</v>
      </c>
      <c r="D45" s="12"/>
      <c r="E45" s="4">
        <f t="shared" si="28"/>
        <v>154547209.23618165</v>
      </c>
      <c r="F45" s="4">
        <f t="shared" si="29"/>
        <v>1683690.5885324236</v>
      </c>
      <c r="G45" s="4">
        <f t="shared" si="30"/>
        <v>67886.758587931981</v>
      </c>
      <c r="H45" s="4">
        <f t="shared" si="31"/>
        <v>1751577.3471203556</v>
      </c>
      <c r="I45" s="383"/>
      <c r="J45" s="383"/>
      <c r="K45" s="4"/>
      <c r="M45" s="1">
        <v>20</v>
      </c>
      <c r="N45" s="387">
        <f t="shared" si="2"/>
        <v>47361</v>
      </c>
      <c r="O45" s="387">
        <f t="shared" si="61"/>
        <v>47345</v>
      </c>
      <c r="P45" s="12"/>
      <c r="Q45" s="4">
        <f t="shared" si="3"/>
        <v>40729978.812393039</v>
      </c>
      <c r="R45" s="4">
        <f t="shared" si="62"/>
        <v>4072997.8812392987</v>
      </c>
      <c r="S45" s="4">
        <f t="shared" si="32"/>
        <v>686978.97596902901</v>
      </c>
      <c r="T45" s="4">
        <f t="shared" si="33"/>
        <v>471550.5461533799</v>
      </c>
      <c r="U45" s="4">
        <f t="shared" si="34"/>
        <v>5231527.403361707</v>
      </c>
      <c r="V45" s="383"/>
      <c r="W45" s="383"/>
      <c r="X45" s="383"/>
      <c r="Y45" s="383"/>
      <c r="Z45" s="383"/>
      <c r="AA45" s="383"/>
      <c r="AC45" s="55">
        <v>20</v>
      </c>
      <c r="AD45" s="13">
        <f t="shared" si="4"/>
        <v>47542</v>
      </c>
      <c r="AE45" s="13">
        <v>47516</v>
      </c>
      <c r="AF45" s="12"/>
      <c r="AG45" s="4">
        <f t="shared" si="35"/>
        <v>308773.70999999956</v>
      </c>
      <c r="AH45" s="4">
        <f t="shared" si="56"/>
        <v>51840.79</v>
      </c>
      <c r="AI45" s="4">
        <f t="shared" si="36"/>
        <v>5068.6371388888829</v>
      </c>
      <c r="AJ45" s="4">
        <f t="shared" si="37"/>
        <v>56909.427138888881</v>
      </c>
      <c r="AK45" s="383"/>
      <c r="AL45" s="383"/>
      <c r="AM45" s="383"/>
      <c r="AN45" s="383"/>
      <c r="AO45" s="383"/>
      <c r="AP45" s="4"/>
      <c r="AR45" s="1">
        <v>20</v>
      </c>
      <c r="AS45" s="13">
        <f t="shared" si="5"/>
        <v>47452</v>
      </c>
      <c r="AT45" s="13">
        <v>47442</v>
      </c>
      <c r="AU45" s="12"/>
      <c r="AV45" s="4">
        <f t="shared" si="57"/>
        <v>8645851.5566886123</v>
      </c>
      <c r="AW45" s="4">
        <v>525047.46469953598</v>
      </c>
      <c r="AX45" s="4">
        <f t="shared" si="58"/>
        <v>140620.45166128493</v>
      </c>
      <c r="AY45" s="4">
        <f t="shared" si="6"/>
        <v>665667.91636082088</v>
      </c>
      <c r="AZ45" s="383"/>
      <c r="BA45" s="383"/>
      <c r="BB45" s="383"/>
      <c r="BC45" s="383"/>
      <c r="BD45" s="383"/>
      <c r="BE45" s="383"/>
      <c r="BH45" s="13"/>
      <c r="BI45" s="13"/>
      <c r="BJ45" s="12"/>
      <c r="BK45" s="4"/>
      <c r="BL45" s="4"/>
      <c r="BM45" s="4"/>
      <c r="BN45" s="4"/>
      <c r="BO45" s="4"/>
      <c r="BP45" s="451"/>
      <c r="BQ45" s="383"/>
      <c r="BR45" s="383"/>
      <c r="BS45" s="383"/>
      <c r="BT45" s="383"/>
      <c r="BW45" s="13"/>
      <c r="BX45" s="13"/>
      <c r="BY45" s="12"/>
      <c r="BZ45" s="4"/>
      <c r="CA45" s="4"/>
      <c r="CB45" s="4"/>
      <c r="CC45" s="4"/>
      <c r="CD45" s="4"/>
      <c r="CE45" s="4"/>
      <c r="CF45" s="451"/>
      <c r="CG45" s="383"/>
      <c r="CH45" s="383"/>
      <c r="CI45" s="383"/>
      <c r="CJ45" s="383"/>
      <c r="CM45" s="13"/>
      <c r="CN45" s="13"/>
      <c r="CO45" s="12"/>
      <c r="CP45" s="4"/>
      <c r="CQ45" s="4"/>
      <c r="CR45" s="4"/>
      <c r="CS45" s="4"/>
      <c r="CU45" s="1">
        <v>20</v>
      </c>
      <c r="CV45" s="13">
        <f t="shared" si="11"/>
        <v>46477</v>
      </c>
      <c r="CW45" s="13">
        <v>46456</v>
      </c>
      <c r="CX45" s="12"/>
      <c r="CY45" s="4">
        <f t="shared" si="45"/>
        <v>7918191.9688031031</v>
      </c>
      <c r="CZ45" s="4">
        <v>1583638.38</v>
      </c>
      <c r="DA45" s="4">
        <f t="shared" si="46"/>
        <v>44341.87496108115</v>
      </c>
      <c r="DB45" s="4">
        <f t="shared" si="12"/>
        <v>1627980.2549610811</v>
      </c>
      <c r="DD45" s="1">
        <v>20</v>
      </c>
      <c r="DE45" s="13">
        <f t="shared" si="13"/>
        <v>47573</v>
      </c>
      <c r="DF45" s="13">
        <v>47563</v>
      </c>
      <c r="DG45" s="12"/>
      <c r="DH45" s="4">
        <f t="shared" si="47"/>
        <v>4827545.4588674642</v>
      </c>
      <c r="DI45" s="4">
        <v>283973.26</v>
      </c>
      <c r="DJ45" s="4">
        <v>74940.55</v>
      </c>
      <c r="DK45" s="4">
        <f t="shared" si="14"/>
        <v>358913.81</v>
      </c>
      <c r="DL45" s="386"/>
      <c r="DM45" s="1">
        <v>20</v>
      </c>
      <c r="DN45" s="13">
        <f t="shared" si="0"/>
        <v>47603</v>
      </c>
      <c r="DO45" s="13">
        <v>47578</v>
      </c>
      <c r="DP45" s="12"/>
      <c r="DQ45" s="4">
        <f t="shared" si="48"/>
        <v>513425.94268659764</v>
      </c>
      <c r="DR45" s="4">
        <v>39494.31</v>
      </c>
      <c r="DS45" s="4">
        <f t="shared" si="59"/>
        <v>7866.2121282213293</v>
      </c>
      <c r="DT45" s="4">
        <f t="shared" si="15"/>
        <v>47360.522128221324</v>
      </c>
      <c r="DW45" s="13"/>
      <c r="DX45" s="13"/>
      <c r="DY45" s="12"/>
      <c r="DZ45" s="4"/>
      <c r="EA45" s="4"/>
      <c r="EB45" s="4"/>
      <c r="EC45" s="4"/>
      <c r="EE45" s="1">
        <v>20</v>
      </c>
      <c r="EF45" s="13">
        <f t="shared" si="16"/>
        <v>47483</v>
      </c>
      <c r="EG45" s="13">
        <v>47472</v>
      </c>
      <c r="EH45" s="115"/>
      <c r="EI45" s="4">
        <f t="shared" si="49"/>
        <v>2221645.5699999989</v>
      </c>
      <c r="EJ45" s="4">
        <v>40216.85</v>
      </c>
      <c r="EK45" s="4">
        <v>10363.16</v>
      </c>
      <c r="EL45" s="4"/>
      <c r="EM45" s="4">
        <f t="shared" si="50"/>
        <v>50580.009999999995</v>
      </c>
      <c r="EP45" s="13"/>
      <c r="EQ45" s="13"/>
      <c r="ER45" s="12"/>
      <c r="ES45" s="4"/>
      <c r="ET45" s="4"/>
      <c r="EU45" s="4"/>
      <c r="EV45" s="4"/>
      <c r="EY45" s="13"/>
      <c r="EZ45" s="13"/>
      <c r="FA45" s="12"/>
      <c r="FB45" s="4"/>
      <c r="FC45" s="4"/>
      <c r="FD45" s="4"/>
      <c r="FE45" s="4"/>
      <c r="FH45" s="13"/>
      <c r="FI45" s="13"/>
      <c r="FJ45" s="12"/>
      <c r="FK45" s="4"/>
      <c r="FL45" s="4"/>
      <c r="FM45" s="4"/>
      <c r="FN45" s="4"/>
      <c r="FQ45" s="13"/>
      <c r="FR45" s="13"/>
      <c r="FS45" s="12"/>
      <c r="FT45" s="4"/>
      <c r="FU45" s="4"/>
      <c r="FV45" s="4"/>
      <c r="FW45" s="4"/>
      <c r="FZ45" s="13"/>
      <c r="GA45" s="13"/>
      <c r="GB45" s="12"/>
      <c r="GC45" s="4"/>
      <c r="GD45" s="4"/>
      <c r="GE45" s="4"/>
      <c r="GF45" s="4"/>
      <c r="GI45" s="13"/>
      <c r="GJ45" s="13"/>
      <c r="GK45" s="12"/>
      <c r="GL45" s="4"/>
      <c r="GM45" s="4"/>
      <c r="GN45" s="4"/>
      <c r="GO45" s="4"/>
    </row>
    <row r="46" spans="1:197" x14ac:dyDescent="0.3">
      <c r="A46" s="1">
        <v>21</v>
      </c>
      <c r="B46" s="3">
        <f t="shared" si="1"/>
        <v>23</v>
      </c>
      <c r="C46" s="13">
        <f t="shared" si="60"/>
        <v>46538</v>
      </c>
      <c r="D46" s="12"/>
      <c r="E46" s="4">
        <f t="shared" si="28"/>
        <v>148256721.70024282</v>
      </c>
      <c r="F46" s="4">
        <f t="shared" si="29"/>
        <v>6290487.5359388338</v>
      </c>
      <c r="G46" s="4">
        <f t="shared" si="30"/>
        <v>1975778.0152656594</v>
      </c>
      <c r="H46" s="4">
        <f t="shared" si="31"/>
        <v>8266265.5512044933</v>
      </c>
      <c r="I46" s="383"/>
      <c r="J46" s="383"/>
      <c r="K46" s="4"/>
      <c r="M46" s="1">
        <v>21</v>
      </c>
      <c r="N46" s="387">
        <f t="shared" si="2"/>
        <v>47452</v>
      </c>
      <c r="O46" s="387">
        <f t="shared" si="61"/>
        <v>47437</v>
      </c>
      <c r="P46" s="12"/>
      <c r="Q46" s="4">
        <f t="shared" si="3"/>
        <v>36656980.931153744</v>
      </c>
      <c r="R46" s="4">
        <f t="shared" si="62"/>
        <v>4072997.8812392987</v>
      </c>
      <c r="S46" s="4">
        <f t="shared" si="32"/>
        <v>624526.34179002664</v>
      </c>
      <c r="T46" s="4"/>
      <c r="U46" s="4">
        <f t="shared" si="34"/>
        <v>4697524.2230293257</v>
      </c>
      <c r="V46" s="383"/>
      <c r="W46" s="383"/>
      <c r="X46" s="383"/>
      <c r="Y46" s="383"/>
      <c r="Z46" s="383"/>
      <c r="AA46" s="383"/>
      <c r="AC46" s="55">
        <v>21</v>
      </c>
      <c r="AD46" s="13">
        <f t="shared" si="4"/>
        <v>47634</v>
      </c>
      <c r="AE46" s="13">
        <v>47605</v>
      </c>
      <c r="AF46" s="12"/>
      <c r="AG46" s="4">
        <f t="shared" si="35"/>
        <v>256932.91999999955</v>
      </c>
      <c r="AH46" s="4">
        <f t="shared" si="56"/>
        <v>51840.79</v>
      </c>
      <c r="AI46" s="4">
        <f t="shared" si="36"/>
        <v>4198.4647512499942</v>
      </c>
      <c r="AJ46" s="4">
        <f t="shared" si="37"/>
        <v>56039.254751249995</v>
      </c>
      <c r="AK46" s="383"/>
      <c r="AL46" s="383"/>
      <c r="AM46" s="383"/>
      <c r="AN46" s="383"/>
      <c r="AO46" s="383"/>
      <c r="AP46" s="4"/>
      <c r="AR46" s="1">
        <v>21</v>
      </c>
      <c r="AS46" s="13">
        <f t="shared" si="5"/>
        <v>47542</v>
      </c>
      <c r="AT46" s="13">
        <v>47534</v>
      </c>
      <c r="AU46" s="12"/>
      <c r="AV46" s="4">
        <f t="shared" si="57"/>
        <v>8120804.0919890767</v>
      </c>
      <c r="AW46" s="4">
        <v>525047.46469953598</v>
      </c>
      <c r="AX46" s="4">
        <f t="shared" si="58"/>
        <v>132569.72386922539</v>
      </c>
      <c r="AY46" s="4">
        <f t="shared" si="6"/>
        <v>657617.18856876134</v>
      </c>
      <c r="AZ46" s="383"/>
      <c r="BA46" s="383"/>
      <c r="BB46" s="383"/>
      <c r="BC46" s="383"/>
      <c r="BD46" s="383"/>
      <c r="BE46" s="383"/>
      <c r="BH46" s="13"/>
      <c r="BI46" s="13"/>
      <c r="BJ46" s="12"/>
      <c r="BK46" s="4"/>
      <c r="BL46" s="4"/>
      <c r="BM46" s="4"/>
      <c r="BN46" s="4"/>
      <c r="BO46" s="4"/>
      <c r="BP46" s="451"/>
      <c r="BQ46" s="383"/>
      <c r="BR46" s="383"/>
      <c r="BS46" s="383"/>
      <c r="BT46" s="383"/>
      <c r="BW46" s="13"/>
      <c r="BX46" s="13"/>
      <c r="BY46" s="12"/>
      <c r="BZ46" s="4"/>
      <c r="CA46" s="4"/>
      <c r="CB46" s="4"/>
      <c r="CC46" s="4"/>
      <c r="CD46" s="4"/>
      <c r="CE46" s="4"/>
      <c r="CF46" s="451"/>
      <c r="CG46" s="383"/>
      <c r="CH46" s="383"/>
      <c r="CI46" s="383"/>
      <c r="CJ46" s="383"/>
      <c r="CM46" s="13"/>
      <c r="CN46" s="13"/>
      <c r="CO46" s="12"/>
      <c r="CP46" s="4"/>
      <c r="CQ46" s="4"/>
      <c r="CR46" s="4"/>
      <c r="CS46" s="4"/>
      <c r="CU46" s="1">
        <v>21</v>
      </c>
      <c r="CV46" s="13">
        <f t="shared" si="11"/>
        <v>46507</v>
      </c>
      <c r="CW46" s="13">
        <v>46487</v>
      </c>
      <c r="CX46" s="12"/>
      <c r="CY46" s="4">
        <f t="shared" si="45"/>
        <v>6334553.5888031032</v>
      </c>
      <c r="CZ46" s="4">
        <v>1583638.38</v>
      </c>
      <c r="DA46" s="4">
        <f t="shared" si="46"/>
        <v>40910.658505482701</v>
      </c>
      <c r="DB46" s="4">
        <f t="shared" si="12"/>
        <v>1624549.0385054825</v>
      </c>
      <c r="DD46" s="1">
        <v>21</v>
      </c>
      <c r="DE46" s="13">
        <f t="shared" si="13"/>
        <v>47664</v>
      </c>
      <c r="DF46" s="13">
        <v>47656</v>
      </c>
      <c r="DG46" s="12"/>
      <c r="DH46" s="4">
        <f t="shared" si="47"/>
        <v>4543572.1988674644</v>
      </c>
      <c r="DI46" s="4">
        <v>283973.26</v>
      </c>
      <c r="DJ46" s="4">
        <v>72332.72</v>
      </c>
      <c r="DK46" s="4">
        <f t="shared" si="14"/>
        <v>356305.98</v>
      </c>
      <c r="DL46" s="386"/>
      <c r="DM46" s="1">
        <v>21</v>
      </c>
      <c r="DN46" s="13">
        <f t="shared" si="0"/>
        <v>47695</v>
      </c>
      <c r="DO46" s="13">
        <v>47669</v>
      </c>
      <c r="DP46" s="12"/>
      <c r="DQ46" s="4">
        <f t="shared" si="48"/>
        <v>473931.63268659764</v>
      </c>
      <c r="DR46" s="4">
        <v>39494.31</v>
      </c>
      <c r="DS46" s="4">
        <f t="shared" si="59"/>
        <v>7553.3513268243287</v>
      </c>
      <c r="DT46" s="4">
        <f t="shared" si="15"/>
        <v>47047.661326824324</v>
      </c>
      <c r="DW46" s="13"/>
      <c r="DX46" s="13"/>
      <c r="DY46" s="12"/>
      <c r="DZ46" s="4"/>
      <c r="EA46" s="4"/>
      <c r="EB46" s="4"/>
      <c r="EC46" s="4"/>
      <c r="EE46" s="1">
        <v>21</v>
      </c>
      <c r="EF46" s="13">
        <f t="shared" si="16"/>
        <v>47573</v>
      </c>
      <c r="EG46" s="13">
        <v>47563</v>
      </c>
      <c r="EH46" s="115"/>
      <c r="EI46" s="4">
        <f t="shared" si="49"/>
        <v>2181428.7199999988</v>
      </c>
      <c r="EJ46" s="4">
        <v>40216.85</v>
      </c>
      <c r="EK46" s="4">
        <v>9754.2199999999993</v>
      </c>
      <c r="EL46" s="4"/>
      <c r="EM46" s="4">
        <f t="shared" si="50"/>
        <v>49971.07</v>
      </c>
      <c r="EP46" s="13"/>
      <c r="EQ46" s="13"/>
      <c r="ER46" s="12"/>
      <c r="ES46" s="4"/>
      <c r="ET46" s="4"/>
      <c r="EU46" s="4"/>
      <c r="EV46" s="4"/>
      <c r="EY46" s="13"/>
      <c r="EZ46" s="13"/>
      <c r="FA46" s="12"/>
      <c r="FB46" s="4"/>
      <c r="FC46" s="4"/>
      <c r="FD46" s="4"/>
      <c r="FE46" s="4"/>
      <c r="FH46" s="13"/>
      <c r="FI46" s="13"/>
      <c r="FJ46" s="12"/>
      <c r="FK46" s="4"/>
      <c r="FL46" s="4"/>
      <c r="FM46" s="4"/>
      <c r="FN46" s="4"/>
      <c r="FQ46" s="13"/>
      <c r="FR46" s="13"/>
      <c r="FS46" s="12"/>
      <c r="FT46" s="4"/>
      <c r="FU46" s="4"/>
      <c r="FV46" s="4"/>
      <c r="FW46" s="4"/>
      <c r="FZ46" s="13"/>
      <c r="GA46" s="13"/>
      <c r="GB46" s="12"/>
      <c r="GC46" s="4"/>
      <c r="GD46" s="4"/>
      <c r="GE46" s="4"/>
      <c r="GF46" s="4"/>
      <c r="GI46" s="13"/>
      <c r="GJ46" s="13"/>
      <c r="GK46" s="12"/>
      <c r="GL46" s="4"/>
      <c r="GM46" s="4"/>
      <c r="GN46" s="4"/>
      <c r="GO46" s="4"/>
    </row>
    <row r="47" spans="1:197" x14ac:dyDescent="0.3">
      <c r="A47" s="1">
        <v>22</v>
      </c>
      <c r="B47" s="3">
        <f t="shared" si="1"/>
        <v>27</v>
      </c>
      <c r="C47" s="13">
        <f t="shared" si="60"/>
        <v>46568</v>
      </c>
      <c r="D47" s="12"/>
      <c r="E47" s="4">
        <f t="shared" si="28"/>
        <v>140731997.66724283</v>
      </c>
      <c r="F47" s="4">
        <f t="shared" si="29"/>
        <v>7524724.0330000008</v>
      </c>
      <c r="G47" s="4">
        <f t="shared" si="30"/>
        <v>790854.54501414951</v>
      </c>
      <c r="H47" s="4">
        <f t="shared" si="31"/>
        <v>8315578.5780141503</v>
      </c>
      <c r="I47" s="383"/>
      <c r="J47" s="383"/>
      <c r="K47" s="4"/>
      <c r="M47" s="1">
        <v>22</v>
      </c>
      <c r="N47" s="387">
        <f t="shared" si="2"/>
        <v>47542</v>
      </c>
      <c r="O47" s="387">
        <f t="shared" si="61"/>
        <v>47529</v>
      </c>
      <c r="P47" s="12"/>
      <c r="Q47" s="4">
        <f t="shared" si="3"/>
        <v>32583983.049914446</v>
      </c>
      <c r="R47" s="4">
        <f t="shared" si="62"/>
        <v>4072997.8812392987</v>
      </c>
      <c r="S47" s="4">
        <f t="shared" si="32"/>
        <v>562073.70761102415</v>
      </c>
      <c r="T47" s="4"/>
      <c r="U47" s="4">
        <f t="shared" si="34"/>
        <v>4635071.5888503231</v>
      </c>
      <c r="V47" s="383"/>
      <c r="W47" s="383"/>
      <c r="X47" s="383"/>
      <c r="Y47" s="383"/>
      <c r="Z47" s="383"/>
      <c r="AA47" s="383"/>
      <c r="AC47" s="55">
        <v>22</v>
      </c>
      <c r="AD47" s="13">
        <f t="shared" si="4"/>
        <v>47726</v>
      </c>
      <c r="AE47" s="13">
        <v>47697</v>
      </c>
      <c r="AF47" s="12"/>
      <c r="AG47" s="4">
        <f t="shared" si="35"/>
        <v>205092.12999999954</v>
      </c>
      <c r="AH47" s="4">
        <f t="shared" si="56"/>
        <v>51840.79</v>
      </c>
      <c r="AI47" s="4">
        <f t="shared" si="36"/>
        <v>3611.3349311111047</v>
      </c>
      <c r="AJ47" s="4">
        <f t="shared" si="37"/>
        <v>55452.124931111102</v>
      </c>
      <c r="AK47" s="383"/>
      <c r="AL47" s="383"/>
      <c r="AM47" s="383"/>
      <c r="AN47" s="383"/>
      <c r="AO47" s="383"/>
      <c r="AP47" s="4"/>
      <c r="AR47" s="1">
        <v>22</v>
      </c>
      <c r="AS47" s="13">
        <f t="shared" si="5"/>
        <v>47634</v>
      </c>
      <c r="AT47" s="13">
        <v>47623</v>
      </c>
      <c r="AU47" s="12"/>
      <c r="AV47" s="4">
        <f t="shared" si="57"/>
        <v>7595756.6272895411</v>
      </c>
      <c r="AW47" s="4">
        <v>525047.46469953598</v>
      </c>
      <c r="AX47" s="4">
        <f t="shared" si="58"/>
        <v>120458.59403117129</v>
      </c>
      <c r="AY47" s="4">
        <f t="shared" si="6"/>
        <v>645506.05873070727</v>
      </c>
      <c r="AZ47" s="383"/>
      <c r="BA47" s="383"/>
      <c r="BB47" s="383"/>
      <c r="BC47" s="383"/>
      <c r="BD47" s="383"/>
      <c r="BE47" s="383"/>
      <c r="BH47" s="13"/>
      <c r="BI47" s="13"/>
      <c r="BJ47" s="12"/>
      <c r="BK47" s="4"/>
      <c r="BL47" s="4"/>
      <c r="BM47" s="4"/>
      <c r="BN47" s="4"/>
      <c r="BO47" s="4"/>
      <c r="BP47" s="451"/>
      <c r="BQ47" s="383"/>
      <c r="BR47" s="383"/>
      <c r="BS47" s="383"/>
      <c r="BT47" s="383"/>
      <c r="BW47" s="13"/>
      <c r="BX47" s="13"/>
      <c r="BY47" s="12"/>
      <c r="BZ47" s="4"/>
      <c r="CA47" s="4"/>
      <c r="CB47" s="4"/>
      <c r="CC47" s="4"/>
      <c r="CD47" s="4"/>
      <c r="CE47" s="4"/>
      <c r="CF47" s="451"/>
      <c r="CG47" s="383"/>
      <c r="CH47" s="383"/>
      <c r="CI47" s="383"/>
      <c r="CJ47" s="383"/>
      <c r="CM47" s="13"/>
      <c r="CN47" s="13"/>
      <c r="CO47" s="12"/>
      <c r="CP47" s="4"/>
      <c r="CQ47" s="4"/>
      <c r="CR47" s="4"/>
      <c r="CS47" s="4"/>
      <c r="CU47" s="1">
        <v>22</v>
      </c>
      <c r="CV47" s="13">
        <f t="shared" si="11"/>
        <v>46538</v>
      </c>
      <c r="CW47" s="13">
        <v>46517</v>
      </c>
      <c r="CX47" s="12"/>
      <c r="CY47" s="4">
        <f t="shared" si="45"/>
        <v>4750915.2088031033</v>
      </c>
      <c r="CZ47" s="4">
        <v>1583638.38</v>
      </c>
      <c r="DA47" s="4">
        <f t="shared" si="46"/>
        <v>31672.767944015515</v>
      </c>
      <c r="DB47" s="4">
        <f t="shared" si="12"/>
        <v>1615311.1479440155</v>
      </c>
      <c r="DD47" s="1">
        <v>22</v>
      </c>
      <c r="DE47" s="13">
        <f t="shared" si="13"/>
        <v>47756</v>
      </c>
      <c r="DF47" s="13">
        <v>47745</v>
      </c>
      <c r="DG47" s="12"/>
      <c r="DH47" s="4">
        <f t="shared" si="47"/>
        <v>4259598.9388674647</v>
      </c>
      <c r="DI47" s="4">
        <v>283973.26</v>
      </c>
      <c r="DJ47" s="4">
        <v>65149.78</v>
      </c>
      <c r="DK47" s="4">
        <f t="shared" si="14"/>
        <v>349123.04000000004</v>
      </c>
      <c r="DL47" s="386"/>
      <c r="DM47" s="1">
        <v>22</v>
      </c>
      <c r="DN47" s="13">
        <f t="shared" si="0"/>
        <v>47787</v>
      </c>
      <c r="DO47" s="13">
        <v>47763</v>
      </c>
      <c r="DP47" s="12"/>
      <c r="DQ47" s="4">
        <f t="shared" si="48"/>
        <v>434437.32268659765</v>
      </c>
      <c r="DR47" s="4">
        <v>39494.31</v>
      </c>
      <c r="DS47" s="4">
        <f t="shared" si="59"/>
        <v>7202.1810447273283</v>
      </c>
      <c r="DT47" s="4">
        <f t="shared" si="15"/>
        <v>46696.491044727329</v>
      </c>
      <c r="DW47" s="13"/>
      <c r="DX47" s="13"/>
      <c r="DY47" s="12"/>
      <c r="DZ47" s="4"/>
      <c r="EA47" s="4"/>
      <c r="EB47" s="4"/>
      <c r="EC47" s="4"/>
      <c r="EE47" s="1">
        <v>22</v>
      </c>
      <c r="EF47" s="13">
        <f t="shared" si="16"/>
        <v>47664</v>
      </c>
      <c r="EG47" s="13">
        <v>47656</v>
      </c>
      <c r="EH47" s="115"/>
      <c r="EI47" s="4">
        <f t="shared" si="49"/>
        <v>2141211.8699999987</v>
      </c>
      <c r="EJ47" s="4">
        <v>40216.85</v>
      </c>
      <c r="EK47" s="4">
        <v>9332.65</v>
      </c>
      <c r="EL47" s="4"/>
      <c r="EM47" s="4">
        <f t="shared" si="50"/>
        <v>49549.5</v>
      </c>
      <c r="EP47" s="13"/>
      <c r="EQ47" s="13"/>
      <c r="ER47" s="12"/>
      <c r="ES47" s="4"/>
      <c r="ET47" s="4"/>
      <c r="EU47" s="4"/>
      <c r="EV47" s="4"/>
      <c r="EY47" s="13"/>
      <c r="EZ47" s="13"/>
      <c r="FA47" s="12"/>
      <c r="FB47" s="4"/>
      <c r="FC47" s="4"/>
      <c r="FD47" s="4"/>
      <c r="FE47" s="4"/>
      <c r="FH47" s="13"/>
      <c r="FI47" s="13"/>
      <c r="FJ47" s="12"/>
      <c r="FK47" s="4"/>
      <c r="FL47" s="4"/>
      <c r="FM47" s="4"/>
      <c r="FN47" s="4"/>
      <c r="FQ47" s="13"/>
      <c r="FR47" s="13"/>
      <c r="FS47" s="12"/>
      <c r="FT47" s="4"/>
      <c r="FU47" s="4"/>
      <c r="FV47" s="4"/>
      <c r="FW47" s="4"/>
      <c r="FZ47" s="13"/>
      <c r="GA47" s="13"/>
      <c r="GB47" s="12"/>
      <c r="GC47" s="4"/>
      <c r="GD47" s="4"/>
      <c r="GE47" s="4"/>
      <c r="GF47" s="4"/>
      <c r="GI47" s="13"/>
      <c r="GJ47" s="13"/>
      <c r="GK47" s="12"/>
      <c r="GL47" s="4"/>
      <c r="GM47" s="4"/>
      <c r="GN47" s="4"/>
      <c r="GO47" s="4"/>
    </row>
    <row r="48" spans="1:197" x14ac:dyDescent="0.3">
      <c r="A48" s="1">
        <v>23</v>
      </c>
      <c r="B48" s="3">
        <f t="shared" si="1"/>
        <v>31</v>
      </c>
      <c r="C48" s="13">
        <f t="shared" si="60"/>
        <v>46599</v>
      </c>
      <c r="D48" s="12"/>
      <c r="E48" s="4">
        <f t="shared" si="28"/>
        <v>139048307.07871041</v>
      </c>
      <c r="F48" s="4">
        <f t="shared" si="29"/>
        <v>1683690.5885324236</v>
      </c>
      <c r="G48" s="4">
        <f t="shared" si="30"/>
        <v>41637.267980194629</v>
      </c>
      <c r="H48" s="4">
        <f t="shared" si="31"/>
        <v>1725327.8565126183</v>
      </c>
      <c r="I48" s="383">
        <f>+H48</f>
        <v>1725327.8565126183</v>
      </c>
      <c r="J48" s="383" t="s">
        <v>655</v>
      </c>
      <c r="K48" s="4"/>
      <c r="M48" s="1">
        <v>23</v>
      </c>
      <c r="N48" s="387">
        <f t="shared" si="2"/>
        <v>47634</v>
      </c>
      <c r="O48" s="387">
        <f t="shared" si="61"/>
        <v>47618</v>
      </c>
      <c r="P48" s="12"/>
      <c r="Q48" s="4">
        <f t="shared" si="3"/>
        <v>28510985.168675147</v>
      </c>
      <c r="R48" s="4">
        <f t="shared" si="62"/>
        <v>4072997.8812392987</v>
      </c>
      <c r="S48" s="4">
        <f t="shared" si="32"/>
        <v>483329.08190706425</v>
      </c>
      <c r="T48" s="4"/>
      <c r="U48" s="4">
        <f t="shared" si="34"/>
        <v>4556326.9631463634</v>
      </c>
      <c r="V48" s="383"/>
      <c r="W48" s="383"/>
      <c r="X48" s="383"/>
      <c r="Y48" s="383"/>
      <c r="Z48" s="383"/>
      <c r="AA48" s="383"/>
      <c r="AC48" s="55">
        <v>23</v>
      </c>
      <c r="AD48" s="13">
        <f t="shared" si="4"/>
        <v>47817</v>
      </c>
      <c r="AE48" s="13">
        <v>47789</v>
      </c>
      <c r="AF48" s="12"/>
      <c r="AG48" s="4">
        <f t="shared" si="35"/>
        <v>153251.33999999953</v>
      </c>
      <c r="AH48" s="4">
        <f t="shared" si="56"/>
        <v>51840.79</v>
      </c>
      <c r="AI48" s="4">
        <f t="shared" si="36"/>
        <v>2882.6838272222158</v>
      </c>
      <c r="AJ48" s="4">
        <f t="shared" si="37"/>
        <v>54723.473827222217</v>
      </c>
      <c r="AK48" s="383"/>
      <c r="AL48" s="383"/>
      <c r="AM48" s="383"/>
      <c r="AN48" s="383"/>
      <c r="AO48" s="383"/>
      <c r="AP48" s="4"/>
      <c r="AR48" s="1">
        <v>23</v>
      </c>
      <c r="AS48" s="13">
        <f t="shared" si="5"/>
        <v>47726</v>
      </c>
      <c r="AT48" s="13">
        <v>47715</v>
      </c>
      <c r="AU48" s="12"/>
      <c r="AV48" s="4">
        <f t="shared" si="57"/>
        <v>7070709.1625900054</v>
      </c>
      <c r="AW48" s="4">
        <v>525047.46469953598</v>
      </c>
      <c r="AX48" s="4">
        <f t="shared" si="58"/>
        <v>116468.26828510629</v>
      </c>
      <c r="AY48" s="4">
        <f t="shared" si="6"/>
        <v>641515.73298464227</v>
      </c>
      <c r="AZ48" s="383"/>
      <c r="BA48" s="383"/>
      <c r="BB48" s="383"/>
      <c r="BC48" s="383"/>
      <c r="BD48" s="383"/>
      <c r="BE48" s="383"/>
      <c r="BH48" s="13"/>
      <c r="BI48" s="13"/>
      <c r="BJ48" s="12"/>
      <c r="BK48" s="4"/>
      <c r="BL48" s="4"/>
      <c r="BM48" s="4"/>
      <c r="BN48" s="4"/>
      <c r="BO48" s="4"/>
      <c r="BP48" s="451"/>
      <c r="BQ48" s="383"/>
      <c r="BR48" s="383"/>
      <c r="BS48" s="383"/>
      <c r="BT48" s="383"/>
      <c r="BW48" s="13"/>
      <c r="BX48" s="13"/>
      <c r="BY48" s="12"/>
      <c r="BZ48" s="4"/>
      <c r="CA48" s="4"/>
      <c r="CB48" s="4"/>
      <c r="CC48" s="4"/>
      <c r="CD48" s="4"/>
      <c r="CE48" s="4"/>
      <c r="CF48" s="451"/>
      <c r="CG48" s="383"/>
      <c r="CH48" s="383"/>
      <c r="CI48" s="383"/>
      <c r="CJ48" s="383"/>
      <c r="CM48" s="13"/>
      <c r="CN48" s="13"/>
      <c r="CO48" s="12"/>
      <c r="CP48" s="4"/>
      <c r="CQ48" s="4"/>
      <c r="CR48" s="4"/>
      <c r="CS48" s="4"/>
      <c r="CU48" s="1">
        <v>23</v>
      </c>
      <c r="CV48" s="13">
        <f t="shared" si="11"/>
        <v>46568</v>
      </c>
      <c r="CW48" s="13">
        <v>46548</v>
      </c>
      <c r="CX48" s="12"/>
      <c r="CY48" s="4">
        <f t="shared" si="45"/>
        <v>3167276.8288031034</v>
      </c>
      <c r="CZ48" s="4">
        <v>1583638.38</v>
      </c>
      <c r="DA48" s="4">
        <f t="shared" si="46"/>
        <v>24546.395245482694</v>
      </c>
      <c r="DB48" s="4">
        <f t="shared" si="12"/>
        <v>1608184.7752454826</v>
      </c>
      <c r="DD48" s="1">
        <v>23</v>
      </c>
      <c r="DE48" s="13">
        <f t="shared" si="13"/>
        <v>47848</v>
      </c>
      <c r="DF48" s="13">
        <v>47836</v>
      </c>
      <c r="DG48" s="12"/>
      <c r="DH48" s="4">
        <f t="shared" si="47"/>
        <v>3975625.6788674649</v>
      </c>
      <c r="DI48" s="4">
        <v>283973.26</v>
      </c>
      <c r="DJ48" s="4">
        <v>62450.45</v>
      </c>
      <c r="DK48" s="4">
        <f t="shared" si="14"/>
        <v>346423.71</v>
      </c>
      <c r="DL48" s="386"/>
      <c r="DM48" s="1">
        <v>23</v>
      </c>
      <c r="DN48" s="13">
        <f t="shared" si="0"/>
        <v>47879</v>
      </c>
      <c r="DO48" s="13">
        <v>47854</v>
      </c>
      <c r="DP48" s="12"/>
      <c r="DQ48" s="4">
        <f t="shared" si="48"/>
        <v>394943.01268659765</v>
      </c>
      <c r="DR48" s="4">
        <v>39494.31</v>
      </c>
      <c r="DS48" s="4">
        <f t="shared" si="59"/>
        <v>6391.2970789243282</v>
      </c>
      <c r="DT48" s="4">
        <f t="shared" si="15"/>
        <v>45885.607078924324</v>
      </c>
      <c r="DW48" s="13"/>
      <c r="DX48" s="13"/>
      <c r="DY48" s="12"/>
      <c r="DZ48" s="4"/>
      <c r="EA48" s="4"/>
      <c r="EB48" s="4"/>
      <c r="EC48" s="4"/>
      <c r="EE48" s="1">
        <v>23</v>
      </c>
      <c r="EF48" s="13">
        <f t="shared" si="16"/>
        <v>47756</v>
      </c>
      <c r="EG48" s="13">
        <v>47745</v>
      </c>
      <c r="EH48" s="115"/>
      <c r="EI48" s="4">
        <f t="shared" si="49"/>
        <v>2100995.0199999986</v>
      </c>
      <c r="EJ48" s="4">
        <v>40216.85</v>
      </c>
      <c r="EK48" s="4">
        <v>8362.36</v>
      </c>
      <c r="EL48" s="4"/>
      <c r="EM48" s="4">
        <f t="shared" si="50"/>
        <v>48579.21</v>
      </c>
      <c r="EP48" s="13"/>
      <c r="EQ48" s="13"/>
      <c r="ER48" s="12"/>
      <c r="ES48" s="4"/>
      <c r="ET48" s="4"/>
      <c r="EU48" s="4"/>
      <c r="EV48" s="4"/>
      <c r="EY48" s="13"/>
      <c r="EZ48" s="13"/>
      <c r="FA48" s="12"/>
      <c r="FB48" s="4"/>
      <c r="FC48" s="4"/>
      <c r="FD48" s="4"/>
      <c r="FE48" s="4"/>
      <c r="FH48" s="13"/>
      <c r="FI48" s="13"/>
      <c r="FJ48" s="12"/>
      <c r="FK48" s="4"/>
      <c r="FL48" s="4"/>
      <c r="FM48" s="4"/>
      <c r="FN48" s="4"/>
      <c r="FQ48" s="13"/>
      <c r="FR48" s="13"/>
      <c r="FS48" s="12"/>
      <c r="FT48" s="4"/>
      <c r="FU48" s="4"/>
      <c r="FV48" s="4"/>
      <c r="FW48" s="4"/>
      <c r="FZ48" s="13"/>
      <c r="GA48" s="13"/>
      <c r="GB48" s="12"/>
      <c r="GC48" s="4"/>
      <c r="GD48" s="4"/>
      <c r="GE48" s="4"/>
      <c r="GF48" s="4"/>
      <c r="GI48" s="13"/>
      <c r="GJ48" s="13"/>
      <c r="GK48" s="12"/>
      <c r="GL48" s="4"/>
      <c r="GM48" s="4"/>
      <c r="GN48" s="4"/>
      <c r="GO48" s="4"/>
    </row>
    <row r="49" spans="1:197" x14ac:dyDescent="0.3">
      <c r="A49" s="1">
        <v>24</v>
      </c>
      <c r="B49" s="3">
        <f t="shared" si="1"/>
        <v>36</v>
      </c>
      <c r="C49" s="13">
        <f t="shared" si="60"/>
        <v>46630</v>
      </c>
      <c r="D49" s="12"/>
      <c r="E49" s="4">
        <f t="shared" si="28"/>
        <v>132755416.50277157</v>
      </c>
      <c r="F49" s="4">
        <f t="shared" si="29"/>
        <v>6292890.5759388348</v>
      </c>
      <c r="G49" s="4">
        <f t="shared" si="30"/>
        <v>1916412.9975075109</v>
      </c>
      <c r="H49" s="4">
        <f t="shared" si="31"/>
        <v>8209303.5734463455</v>
      </c>
      <c r="I49" s="383"/>
      <c r="J49" s="383"/>
      <c r="K49" s="4"/>
      <c r="M49" s="1">
        <v>24</v>
      </c>
      <c r="N49" s="387">
        <f t="shared" si="2"/>
        <v>47726</v>
      </c>
      <c r="O49" s="387">
        <f t="shared" si="61"/>
        <v>47710</v>
      </c>
      <c r="P49" s="12"/>
      <c r="Q49" s="4">
        <f t="shared" si="3"/>
        <v>24437987.287435848</v>
      </c>
      <c r="R49" s="4">
        <f t="shared" si="62"/>
        <v>4072997.8812392987</v>
      </c>
      <c r="S49" s="4">
        <f t="shared" si="32"/>
        <v>437168.43925301894</v>
      </c>
      <c r="T49" s="4"/>
      <c r="U49" s="4">
        <f t="shared" si="34"/>
        <v>4510166.3204923179</v>
      </c>
      <c r="V49" s="383"/>
      <c r="W49" s="383"/>
      <c r="X49" s="383"/>
      <c r="Y49" s="383"/>
      <c r="Z49" s="383"/>
      <c r="AA49" s="383"/>
      <c r="AC49" s="55">
        <v>24</v>
      </c>
      <c r="AD49" s="13">
        <f t="shared" si="4"/>
        <v>47907</v>
      </c>
      <c r="AE49" s="13">
        <v>47881</v>
      </c>
      <c r="AF49" s="12"/>
      <c r="AG49" s="4">
        <f t="shared" si="35"/>
        <v>101410.54999999952</v>
      </c>
      <c r="AH49" s="4">
        <f t="shared" si="56"/>
        <v>51840.79</v>
      </c>
      <c r="AI49" s="4">
        <f t="shared" si="36"/>
        <v>2154.0327233333269</v>
      </c>
      <c r="AJ49" s="4">
        <f t="shared" si="37"/>
        <v>53994.822723333331</v>
      </c>
      <c r="AK49" s="383"/>
      <c r="AL49" s="383"/>
      <c r="AM49" s="383"/>
      <c r="AN49" s="383"/>
      <c r="AO49" s="383"/>
      <c r="AP49" s="4"/>
      <c r="AR49" s="1">
        <v>24</v>
      </c>
      <c r="AS49" s="13">
        <f t="shared" si="5"/>
        <v>47817</v>
      </c>
      <c r="AT49" s="13">
        <v>47807</v>
      </c>
      <c r="AU49" s="12"/>
      <c r="AV49" s="4">
        <f t="shared" si="57"/>
        <v>6545661.6978904698</v>
      </c>
      <c r="AW49" s="4">
        <v>525047.46469953598</v>
      </c>
      <c r="AX49" s="4">
        <f t="shared" si="58"/>
        <v>108417.54049304676</v>
      </c>
      <c r="AY49" s="4">
        <f t="shared" si="6"/>
        <v>633465.00519258273</v>
      </c>
      <c r="AZ49" s="383"/>
      <c r="BA49" s="383"/>
      <c r="BB49" s="383"/>
      <c r="BC49" s="383"/>
      <c r="BD49" s="383"/>
      <c r="BE49" s="383"/>
      <c r="BH49" s="13"/>
      <c r="BI49" s="13"/>
      <c r="BJ49" s="12"/>
      <c r="BK49" s="4"/>
      <c r="BL49" s="4"/>
      <c r="BM49" s="4"/>
      <c r="BN49" s="4"/>
      <c r="BO49" s="4"/>
      <c r="BP49" s="451"/>
      <c r="BQ49" s="383"/>
      <c r="BR49" s="383"/>
      <c r="BS49" s="383"/>
      <c r="BT49" s="383"/>
      <c r="BW49" s="13"/>
      <c r="BX49" s="13"/>
      <c r="BY49" s="12"/>
      <c r="BZ49" s="4"/>
      <c r="CA49" s="4"/>
      <c r="CB49" s="4"/>
      <c r="CC49" s="4"/>
      <c r="CD49" s="4"/>
      <c r="CE49" s="4"/>
      <c r="CF49" s="451"/>
      <c r="CG49" s="383"/>
      <c r="CH49" s="383"/>
      <c r="CI49" s="383"/>
      <c r="CJ49" s="383"/>
      <c r="CM49" s="13"/>
      <c r="CN49" s="13"/>
      <c r="CO49" s="12"/>
      <c r="CP49" s="4"/>
      <c r="CQ49" s="4"/>
      <c r="CR49" s="4"/>
      <c r="CS49" s="4"/>
      <c r="CU49" s="1">
        <v>24</v>
      </c>
      <c r="CV49" s="13">
        <f t="shared" si="11"/>
        <v>46599</v>
      </c>
      <c r="CW49" s="13">
        <v>46578</v>
      </c>
      <c r="CX49" s="12"/>
      <c r="CY49" s="4">
        <f t="shared" si="45"/>
        <v>1583638.4488031035</v>
      </c>
      <c r="CZ49" s="4">
        <v>1583638.38</v>
      </c>
      <c r="DA49" s="4">
        <f t="shared" si="46"/>
        <v>15836.384144015514</v>
      </c>
      <c r="DB49" s="4">
        <f t="shared" si="12"/>
        <v>1599474.7641440155</v>
      </c>
      <c r="DD49" s="1">
        <v>24</v>
      </c>
      <c r="DE49" s="13">
        <f t="shared" si="13"/>
        <v>47938</v>
      </c>
      <c r="DF49" s="13">
        <v>47927</v>
      </c>
      <c r="DG49" s="12"/>
      <c r="DH49" s="4">
        <f t="shared" si="47"/>
        <v>3691652.4188674651</v>
      </c>
      <c r="DI49" s="4">
        <v>283973.26</v>
      </c>
      <c r="DJ49" s="4">
        <v>58287.09</v>
      </c>
      <c r="DK49" s="4">
        <f t="shared" si="14"/>
        <v>342260.35</v>
      </c>
      <c r="DL49" s="386"/>
      <c r="DM49" s="1">
        <v>24</v>
      </c>
      <c r="DN49" s="13">
        <f t="shared" si="0"/>
        <v>47968</v>
      </c>
      <c r="DO49" s="13">
        <v>47945</v>
      </c>
      <c r="DP49" s="12"/>
      <c r="DQ49" s="4">
        <f t="shared" si="48"/>
        <v>355448.70268659765</v>
      </c>
      <c r="DR49" s="4">
        <v>39494.31</v>
      </c>
      <c r="DS49" s="4">
        <f t="shared" si="59"/>
        <v>5810.2699549743284</v>
      </c>
      <c r="DT49" s="4">
        <f t="shared" si="15"/>
        <v>45304.579954974324</v>
      </c>
      <c r="DW49" s="13"/>
      <c r="DX49" s="13"/>
      <c r="DY49" s="12"/>
      <c r="DZ49" s="4"/>
      <c r="EA49" s="4"/>
      <c r="EB49" s="4"/>
      <c r="EC49" s="4"/>
      <c r="EE49" s="1">
        <v>24</v>
      </c>
      <c r="EF49" s="13">
        <f t="shared" si="16"/>
        <v>47848</v>
      </c>
      <c r="EG49" s="13">
        <v>47836</v>
      </c>
      <c r="EH49" s="115"/>
      <c r="EI49" s="4">
        <f t="shared" si="49"/>
        <v>2060778.1699999985</v>
      </c>
      <c r="EJ49" s="4">
        <v>40216.85</v>
      </c>
      <c r="EK49" s="4">
        <v>7927.41</v>
      </c>
      <c r="EL49" s="4"/>
      <c r="EM49" s="4">
        <f t="shared" si="50"/>
        <v>48144.259999999995</v>
      </c>
      <c r="EP49" s="13"/>
      <c r="EQ49" s="13"/>
      <c r="ER49" s="12"/>
      <c r="ES49" s="4"/>
      <c r="ET49" s="4"/>
      <c r="EU49" s="4"/>
      <c r="EV49" s="4"/>
      <c r="EY49" s="13"/>
      <c r="EZ49" s="13"/>
      <c r="FA49" s="12"/>
      <c r="FB49" s="4"/>
      <c r="FC49" s="4"/>
      <c r="FD49" s="4"/>
      <c r="FE49" s="4"/>
      <c r="FH49" s="13"/>
      <c r="FI49" s="13"/>
      <c r="FJ49" s="12"/>
      <c r="FK49" s="4"/>
      <c r="FL49" s="4"/>
      <c r="FM49" s="4"/>
      <c r="FN49" s="4"/>
      <c r="FQ49" s="13"/>
      <c r="FR49" s="13"/>
      <c r="FS49" s="12"/>
      <c r="FT49" s="4"/>
      <c r="FU49" s="4"/>
      <c r="FV49" s="4"/>
      <c r="FW49" s="4"/>
      <c r="FZ49" s="13"/>
      <c r="GA49" s="13"/>
      <c r="GB49" s="12"/>
      <c r="GC49" s="4"/>
      <c r="GD49" s="4"/>
      <c r="GE49" s="4"/>
      <c r="GF49" s="4"/>
      <c r="GI49" s="13"/>
      <c r="GJ49" s="13"/>
      <c r="GK49" s="12"/>
      <c r="GL49" s="4"/>
      <c r="GM49" s="4"/>
      <c r="GN49" s="4"/>
      <c r="GO49" s="4"/>
    </row>
    <row r="50" spans="1:197" x14ac:dyDescent="0.3">
      <c r="A50" s="1">
        <v>25</v>
      </c>
      <c r="B50" s="3">
        <f t="shared" si="1"/>
        <v>40</v>
      </c>
      <c r="C50" s="13">
        <f t="shared" si="60"/>
        <v>46660</v>
      </c>
      <c r="D50" s="12"/>
      <c r="E50" s="4">
        <f t="shared" si="28"/>
        <v>126979247.12977158</v>
      </c>
      <c r="F50" s="4">
        <f t="shared" si="29"/>
        <v>5776169.3729999997</v>
      </c>
      <c r="G50" s="4">
        <f t="shared" si="30"/>
        <v>619755.81440266676</v>
      </c>
      <c r="H50" s="4">
        <f t="shared" si="31"/>
        <v>6395925.1874026665</v>
      </c>
      <c r="I50" s="383">
        <f>+H50</f>
        <v>6395925.1874026665</v>
      </c>
      <c r="J50" s="383" t="s">
        <v>566</v>
      </c>
      <c r="K50" s="4"/>
      <c r="M50" s="1">
        <v>25</v>
      </c>
      <c r="N50" s="387">
        <f t="shared" si="2"/>
        <v>47817</v>
      </c>
      <c r="O50" s="387">
        <f t="shared" si="61"/>
        <v>47802</v>
      </c>
      <c r="P50" s="12"/>
      <c r="Q50" s="4">
        <f t="shared" si="3"/>
        <v>20364989.40619655</v>
      </c>
      <c r="R50" s="4">
        <f t="shared" si="62"/>
        <v>4072997.8812392987</v>
      </c>
      <c r="S50" s="4">
        <f t="shared" si="32"/>
        <v>374715.80507401633</v>
      </c>
      <c r="T50" s="4"/>
      <c r="U50" s="4">
        <f t="shared" si="34"/>
        <v>4447713.6863133153</v>
      </c>
      <c r="V50" s="383"/>
      <c r="W50" s="383"/>
      <c r="X50" s="383"/>
      <c r="Y50" s="383"/>
      <c r="Z50" s="383"/>
      <c r="AA50" s="383"/>
      <c r="AC50" s="55">
        <v>25</v>
      </c>
      <c r="AD50" s="13">
        <f t="shared" si="4"/>
        <v>47999</v>
      </c>
      <c r="AE50" s="13">
        <v>47970</v>
      </c>
      <c r="AF50" s="12"/>
      <c r="AG50" s="4">
        <f t="shared" si="35"/>
        <v>49569.759999999522</v>
      </c>
      <c r="AH50" s="4">
        <f t="shared" si="56"/>
        <v>51840.79</v>
      </c>
      <c r="AI50" s="4">
        <f t="shared" si="36"/>
        <v>1378.9017840277713</v>
      </c>
      <c r="AJ50" s="4">
        <f t="shared" si="37"/>
        <v>53219.691784027775</v>
      </c>
      <c r="AK50" s="383"/>
      <c r="AL50" s="383"/>
      <c r="AM50" s="383"/>
      <c r="AN50" s="383"/>
      <c r="AO50" s="383"/>
      <c r="AP50" s="4"/>
      <c r="AR50" s="1">
        <v>25</v>
      </c>
      <c r="AS50" s="13">
        <f t="shared" si="5"/>
        <v>47907</v>
      </c>
      <c r="AT50" s="13">
        <v>47899</v>
      </c>
      <c r="AU50" s="12"/>
      <c r="AV50" s="4">
        <f t="shared" si="57"/>
        <v>6020614.2331909342</v>
      </c>
      <c r="AW50" s="4">
        <v>525047.46469953598</v>
      </c>
      <c r="AX50" s="4">
        <f t="shared" si="58"/>
        <v>100366.8127009872</v>
      </c>
      <c r="AY50" s="4">
        <f t="shared" si="6"/>
        <v>625414.27740052319</v>
      </c>
      <c r="AZ50" s="383"/>
      <c r="BA50" s="383"/>
      <c r="BB50" s="383"/>
      <c r="BC50" s="383"/>
      <c r="BD50" s="383"/>
      <c r="BE50" s="383"/>
      <c r="BH50" s="13"/>
      <c r="BI50" s="13"/>
      <c r="BJ50" s="12"/>
      <c r="BK50" s="4"/>
      <c r="BL50" s="4"/>
      <c r="BM50" s="4"/>
      <c r="BN50" s="4"/>
      <c r="BO50" s="4"/>
      <c r="BP50" s="451"/>
      <c r="BQ50" s="383"/>
      <c r="BR50" s="383"/>
      <c r="BS50" s="383"/>
      <c r="BT50" s="383"/>
      <c r="BW50" s="13"/>
      <c r="BX50" s="13"/>
      <c r="BY50" s="12"/>
      <c r="BZ50" s="4"/>
      <c r="CA50" s="4"/>
      <c r="CB50" s="4"/>
      <c r="CC50" s="4"/>
      <c r="CD50" s="4"/>
      <c r="CE50" s="4"/>
      <c r="CF50" s="451"/>
      <c r="CG50" s="383"/>
      <c r="CH50" s="383"/>
      <c r="CI50" s="383"/>
      <c r="CJ50" s="383"/>
      <c r="CM50" s="13"/>
      <c r="CN50" s="13"/>
      <c r="CO50" s="12"/>
      <c r="CP50" s="4"/>
      <c r="CQ50" s="4"/>
      <c r="CR50" s="4"/>
      <c r="CS50" s="4"/>
      <c r="CU50" s="1">
        <v>25</v>
      </c>
      <c r="CV50" s="13">
        <f t="shared" si="11"/>
        <v>46630</v>
      </c>
      <c r="CW50" s="13">
        <v>46609</v>
      </c>
      <c r="CX50" s="12"/>
      <c r="CY50" s="4">
        <f t="shared" si="45"/>
        <v>6.8803103640675545E-2</v>
      </c>
      <c r="CZ50" s="4">
        <v>1583638.38</v>
      </c>
      <c r="DA50" s="4">
        <f t="shared" si="46"/>
        <v>8182.1319854827016</v>
      </c>
      <c r="DB50" s="4">
        <f t="shared" si="12"/>
        <v>1591820.5119854826</v>
      </c>
      <c r="DD50" s="1">
        <v>25</v>
      </c>
      <c r="DE50" s="13">
        <f t="shared" si="13"/>
        <v>48029</v>
      </c>
      <c r="DF50" s="13">
        <v>48018</v>
      </c>
      <c r="DG50" s="12"/>
      <c r="DH50" s="4">
        <f t="shared" si="47"/>
        <v>3407679.1588674653</v>
      </c>
      <c r="DI50" s="4">
        <v>283973.26</v>
      </c>
      <c r="DJ50" s="4">
        <v>54123.72</v>
      </c>
      <c r="DK50" s="4">
        <f t="shared" si="14"/>
        <v>338096.98</v>
      </c>
      <c r="DL50" s="386"/>
      <c r="DM50" s="1">
        <v>25</v>
      </c>
      <c r="DN50" s="13">
        <f t="shared" si="0"/>
        <v>48060</v>
      </c>
      <c r="DO50" s="13">
        <v>48036</v>
      </c>
      <c r="DP50" s="12"/>
      <c r="DQ50" s="4">
        <f t="shared" si="48"/>
        <v>315954.39268659765</v>
      </c>
      <c r="DR50" s="4">
        <v>39494.31</v>
      </c>
      <c r="DS50" s="4">
        <f t="shared" si="59"/>
        <v>5229.2428310243286</v>
      </c>
      <c r="DT50" s="4">
        <f t="shared" si="15"/>
        <v>44723.552831024324</v>
      </c>
      <c r="DW50" s="13"/>
      <c r="DX50" s="13"/>
      <c r="DY50" s="12"/>
      <c r="DZ50" s="4"/>
      <c r="EA50" s="4"/>
      <c r="EB50" s="4"/>
      <c r="EC50" s="4"/>
      <c r="EE50" s="1">
        <v>25</v>
      </c>
      <c r="EF50" s="13">
        <f t="shared" si="16"/>
        <v>47938</v>
      </c>
      <c r="EG50" s="13">
        <v>47927</v>
      </c>
      <c r="EH50" s="115"/>
      <c r="EI50" s="4">
        <f t="shared" si="49"/>
        <v>2020561.3199999984</v>
      </c>
      <c r="EJ50" s="4">
        <v>40216.85</v>
      </c>
      <c r="EK50" s="4">
        <v>7318.47</v>
      </c>
      <c r="EL50" s="4"/>
      <c r="EM50" s="4">
        <f t="shared" si="50"/>
        <v>47535.32</v>
      </c>
      <c r="EP50" s="13"/>
      <c r="EQ50" s="13"/>
      <c r="ER50" s="12"/>
      <c r="ES50" s="4"/>
      <c r="ET50" s="4"/>
      <c r="EU50" s="4"/>
      <c r="EV50" s="4"/>
      <c r="EY50" s="13"/>
      <c r="EZ50" s="13"/>
      <c r="FA50" s="12"/>
      <c r="FB50" s="4"/>
      <c r="FC50" s="4"/>
      <c r="FD50" s="4"/>
      <c r="FE50" s="4"/>
      <c r="FH50" s="13"/>
      <c r="FI50" s="13"/>
      <c r="FJ50" s="12"/>
      <c r="FK50" s="4"/>
      <c r="FL50" s="4"/>
      <c r="FM50" s="4"/>
      <c r="FN50" s="4"/>
      <c r="FQ50" s="13"/>
      <c r="FR50" s="13"/>
      <c r="FS50" s="12"/>
      <c r="FT50" s="4"/>
      <c r="FU50" s="4"/>
      <c r="FV50" s="4"/>
      <c r="FW50" s="4"/>
      <c r="FZ50" s="13"/>
      <c r="GA50" s="13"/>
      <c r="GB50" s="12"/>
      <c r="GC50" s="4"/>
      <c r="GD50" s="4"/>
      <c r="GE50" s="4"/>
      <c r="GF50" s="4"/>
      <c r="GI50" s="13"/>
      <c r="GJ50" s="13"/>
      <c r="GK50" s="12"/>
      <c r="GL50" s="4"/>
      <c r="GM50" s="4"/>
      <c r="GN50" s="4"/>
      <c r="GO50" s="4"/>
    </row>
    <row r="51" spans="1:197" x14ac:dyDescent="0.3">
      <c r="A51" s="1">
        <v>26</v>
      </c>
      <c r="B51" s="3">
        <f t="shared" si="1"/>
        <v>44</v>
      </c>
      <c r="C51" s="13">
        <f t="shared" si="60"/>
        <v>46691</v>
      </c>
      <c r="D51" s="12"/>
      <c r="E51" s="4">
        <f t="shared" si="28"/>
        <v>126879194.92123915</v>
      </c>
      <c r="F51" s="4">
        <f t="shared" si="29"/>
        <v>100052.20853242368</v>
      </c>
      <c r="G51" s="4">
        <f t="shared" si="30"/>
        <v>24593.652272988089</v>
      </c>
      <c r="H51" s="4">
        <f t="shared" si="31"/>
        <v>124645.86080541176</v>
      </c>
      <c r="I51" s="383"/>
      <c r="J51" s="383"/>
      <c r="K51" s="4"/>
      <c r="M51" s="1">
        <v>26</v>
      </c>
      <c r="N51" s="387">
        <f t="shared" si="2"/>
        <v>47907</v>
      </c>
      <c r="O51" s="387">
        <f t="shared" si="61"/>
        <v>47894</v>
      </c>
      <c r="P51" s="12"/>
      <c r="Q51" s="4">
        <f t="shared" si="3"/>
        <v>16291991.524957251</v>
      </c>
      <c r="R51" s="4">
        <f t="shared" si="62"/>
        <v>4072997.8812392987</v>
      </c>
      <c r="S51" s="4">
        <f t="shared" si="32"/>
        <v>312263.17089501373</v>
      </c>
      <c r="T51" s="4"/>
      <c r="U51" s="4">
        <f t="shared" si="34"/>
        <v>4385261.0521343127</v>
      </c>
      <c r="V51" s="383"/>
      <c r="W51" s="383"/>
      <c r="X51" s="383"/>
      <c r="Y51" s="383"/>
      <c r="Z51" s="383"/>
      <c r="AA51" s="383"/>
      <c r="AC51" s="55">
        <v>26</v>
      </c>
      <c r="AD51" s="13">
        <f>+EOMONTH(AE51,0)</f>
        <v>48060</v>
      </c>
      <c r="AE51" s="13">
        <v>48058</v>
      </c>
      <c r="AF51" s="12"/>
      <c r="AG51" s="4">
        <f>+AG50+AF51-AH51</f>
        <v>-4.8021320253610611E-10</v>
      </c>
      <c r="AH51" s="4">
        <v>49569.760000000002</v>
      </c>
      <c r="AI51" s="4">
        <f>+AG50*AG$5*(AE51-AE50)/360</f>
        <v>666.43788444443794</v>
      </c>
      <c r="AJ51" s="4">
        <f t="shared" si="37"/>
        <v>50236.197884444438</v>
      </c>
      <c r="AK51" s="383"/>
      <c r="AL51" s="383"/>
      <c r="AM51" s="383"/>
      <c r="AN51" s="383"/>
      <c r="AO51" s="383"/>
      <c r="AP51" s="4"/>
      <c r="AR51" s="1">
        <v>26</v>
      </c>
      <c r="AS51" s="13">
        <f t="shared" si="5"/>
        <v>47999</v>
      </c>
      <c r="AT51" s="13">
        <v>47988</v>
      </c>
      <c r="AU51" s="12"/>
      <c r="AV51" s="4">
        <f t="shared" si="57"/>
        <v>5495566.7684913985</v>
      </c>
      <c r="AW51" s="4">
        <v>525047.46469953598</v>
      </c>
      <c r="AX51" s="4">
        <f t="shared" si="58"/>
        <v>89305.777792332185</v>
      </c>
      <c r="AY51" s="4">
        <f t="shared" si="6"/>
        <v>614353.24249186821</v>
      </c>
      <c r="AZ51" s="383"/>
      <c r="BA51" s="383"/>
      <c r="BB51" s="383"/>
      <c r="BC51" s="383"/>
      <c r="BD51" s="383"/>
      <c r="BE51" s="383"/>
      <c r="BH51" s="13"/>
      <c r="BI51" s="13"/>
      <c r="BJ51" s="12"/>
      <c r="BK51" s="4"/>
      <c r="BL51" s="4"/>
      <c r="BM51" s="4"/>
      <c r="BN51" s="4"/>
      <c r="BO51" s="4"/>
      <c r="BP51" s="451"/>
      <c r="BQ51" s="383"/>
      <c r="BR51" s="383"/>
      <c r="BS51" s="383"/>
      <c r="BT51" s="383"/>
      <c r="BW51" s="13"/>
      <c r="BX51" s="13"/>
      <c r="BY51" s="12"/>
      <c r="BZ51" s="4"/>
      <c r="CA51" s="4"/>
      <c r="CB51" s="4"/>
      <c r="CC51" s="4"/>
      <c r="CD51" s="4"/>
      <c r="CE51" s="4"/>
      <c r="CF51" s="451"/>
      <c r="CG51" s="383"/>
      <c r="CH51" s="383"/>
      <c r="CI51" s="383"/>
      <c r="CJ51" s="383"/>
      <c r="CM51" s="13"/>
      <c r="CN51" s="13"/>
      <c r="CO51" s="12"/>
      <c r="CP51" s="4"/>
      <c r="CQ51" s="4"/>
      <c r="CR51" s="4"/>
      <c r="CS51" s="4"/>
      <c r="CV51" s="13"/>
      <c r="CW51" s="13"/>
      <c r="CX51" s="12"/>
      <c r="CY51" s="4"/>
      <c r="CZ51" s="4"/>
      <c r="DA51" s="4"/>
      <c r="DB51" s="4"/>
      <c r="DD51" s="1">
        <v>26</v>
      </c>
      <c r="DE51" s="13">
        <f t="shared" si="13"/>
        <v>48121</v>
      </c>
      <c r="DF51" s="13">
        <v>48109</v>
      </c>
      <c r="DG51" s="12"/>
      <c r="DH51" s="4">
        <f t="shared" si="47"/>
        <v>3123705.8988674656</v>
      </c>
      <c r="DI51" s="4">
        <v>283973.26</v>
      </c>
      <c r="DJ51" s="4">
        <v>49960.37</v>
      </c>
      <c r="DK51" s="4">
        <f t="shared" si="14"/>
        <v>333933.63</v>
      </c>
      <c r="DL51" s="386"/>
      <c r="DM51" s="1">
        <v>26</v>
      </c>
      <c r="DN51" s="13">
        <f t="shared" si="0"/>
        <v>48152</v>
      </c>
      <c r="DO51" s="13">
        <v>48127</v>
      </c>
      <c r="DP51" s="12"/>
      <c r="DQ51" s="4">
        <f t="shared" si="48"/>
        <v>276460.08268659766</v>
      </c>
      <c r="DR51" s="4">
        <v>39494.31</v>
      </c>
      <c r="DS51" s="4">
        <f t="shared" si="59"/>
        <v>4648.2157070743287</v>
      </c>
      <c r="DT51" s="4">
        <f t="shared" si="15"/>
        <v>44142.525707074325</v>
      </c>
      <c r="DW51" s="13"/>
      <c r="DX51" s="13"/>
      <c r="DY51" s="12"/>
      <c r="DZ51" s="4"/>
      <c r="EA51" s="4"/>
      <c r="EB51" s="4"/>
      <c r="EC51" s="4"/>
      <c r="EE51" s="1">
        <v>26</v>
      </c>
      <c r="EF51" s="13">
        <f t="shared" si="16"/>
        <v>48029</v>
      </c>
      <c r="EG51" s="13">
        <v>48018</v>
      </c>
      <c r="EH51" s="115"/>
      <c r="EI51" s="4">
        <f t="shared" si="49"/>
        <v>1980344.4699999983</v>
      </c>
      <c r="EJ51" s="4">
        <v>40216.85</v>
      </c>
      <c r="EK51" s="4">
        <v>6709.53</v>
      </c>
      <c r="EL51" s="4"/>
      <c r="EM51" s="4">
        <f t="shared" si="50"/>
        <v>46926.38</v>
      </c>
      <c r="EP51" s="13"/>
      <c r="EQ51" s="13"/>
      <c r="ER51" s="12"/>
      <c r="ES51" s="4"/>
      <c r="ET51" s="4"/>
      <c r="EU51" s="4"/>
      <c r="EV51" s="4"/>
      <c r="EY51" s="13"/>
      <c r="EZ51" s="13"/>
      <c r="FA51" s="12"/>
      <c r="FB51" s="4"/>
      <c r="FC51" s="4"/>
      <c r="FD51" s="4"/>
      <c r="FE51" s="4"/>
      <c r="FH51" s="13"/>
      <c r="FI51" s="13"/>
      <c r="FJ51" s="12"/>
      <c r="FK51" s="4"/>
      <c r="FL51" s="4"/>
      <c r="FM51" s="4"/>
      <c r="FN51" s="4"/>
      <c r="FQ51" s="13"/>
      <c r="FR51" s="13"/>
      <c r="FS51" s="12"/>
      <c r="FT51" s="4"/>
      <c r="FU51" s="4"/>
      <c r="FV51" s="4"/>
      <c r="FW51" s="4"/>
      <c r="FZ51" s="13"/>
      <c r="GA51" s="13"/>
      <c r="GB51" s="12"/>
      <c r="GC51" s="4"/>
      <c r="GD51" s="4"/>
      <c r="GE51" s="4"/>
      <c r="GF51" s="4"/>
      <c r="GI51" s="13"/>
      <c r="GJ51" s="13"/>
      <c r="GK51" s="12"/>
      <c r="GL51" s="4"/>
      <c r="GM51" s="4"/>
      <c r="GN51" s="4"/>
      <c r="GO51" s="4"/>
    </row>
    <row r="52" spans="1:197" x14ac:dyDescent="0.3">
      <c r="A52" s="1">
        <v>27</v>
      </c>
      <c r="B52" s="3">
        <f t="shared" si="1"/>
        <v>49</v>
      </c>
      <c r="C52" s="13">
        <f t="shared" si="60"/>
        <v>46721</v>
      </c>
      <c r="D52" s="12"/>
      <c r="E52" s="4">
        <f t="shared" si="28"/>
        <v>122148115.78530031</v>
      </c>
      <c r="F52" s="4">
        <f t="shared" si="29"/>
        <v>4731079.1359388344</v>
      </c>
      <c r="G52" s="4">
        <f t="shared" si="30"/>
        <v>1846300.7924470766</v>
      </c>
      <c r="H52" s="4">
        <f t="shared" si="31"/>
        <v>6577379.9283859115</v>
      </c>
      <c r="I52" s="383"/>
      <c r="J52" s="383"/>
      <c r="K52" s="4"/>
      <c r="M52" s="1">
        <v>27</v>
      </c>
      <c r="N52" s="387">
        <f t="shared" si="2"/>
        <v>47999</v>
      </c>
      <c r="O52" s="387">
        <f t="shared" si="61"/>
        <v>47983</v>
      </c>
      <c r="P52" s="12"/>
      <c r="Q52" s="4">
        <f t="shared" si="3"/>
        <v>12218993.643717952</v>
      </c>
      <c r="R52" s="4">
        <f t="shared" si="62"/>
        <v>4072997.8812392987</v>
      </c>
      <c r="S52" s="4">
        <f t="shared" si="32"/>
        <v>241664.54095353256</v>
      </c>
      <c r="T52" s="4"/>
      <c r="U52" s="4">
        <f t="shared" si="34"/>
        <v>4314662.4221928315</v>
      </c>
      <c r="V52" s="383"/>
      <c r="W52" s="383"/>
      <c r="X52" s="383"/>
      <c r="Y52" s="383"/>
      <c r="Z52" s="383"/>
      <c r="AA52" s="383"/>
      <c r="AD52" s="13"/>
      <c r="AE52" s="13"/>
      <c r="AF52" s="12"/>
      <c r="AG52" s="4"/>
      <c r="AH52" s="4"/>
      <c r="AI52" s="4"/>
      <c r="AJ52" s="4"/>
      <c r="AK52" s="383"/>
      <c r="AL52" s="383"/>
      <c r="AM52" s="383"/>
      <c r="AN52" s="383"/>
      <c r="AO52" s="383"/>
      <c r="AP52" s="4"/>
      <c r="AR52" s="1">
        <v>27</v>
      </c>
      <c r="AS52" s="13">
        <f t="shared" si="5"/>
        <v>48091</v>
      </c>
      <c r="AT52" s="13">
        <v>48080</v>
      </c>
      <c r="AU52" s="12"/>
      <c r="AV52" s="4">
        <f t="shared" si="57"/>
        <v>4970519.3037918629</v>
      </c>
      <c r="AW52" s="4">
        <v>525047.46469953598</v>
      </c>
      <c r="AX52" s="4">
        <f t="shared" si="58"/>
        <v>84265.357116868108</v>
      </c>
      <c r="AY52" s="4">
        <f t="shared" si="6"/>
        <v>609312.82181640412</v>
      </c>
      <c r="AZ52" s="383"/>
      <c r="BA52" s="383"/>
      <c r="BB52" s="383"/>
      <c r="BC52" s="383"/>
      <c r="BD52" s="383"/>
      <c r="BE52" s="383"/>
      <c r="BH52" s="13"/>
      <c r="BI52" s="13"/>
      <c r="BJ52" s="12"/>
      <c r="BK52" s="4"/>
      <c r="BL52" s="4"/>
      <c r="BM52" s="4"/>
      <c r="BN52" s="4"/>
      <c r="BO52" s="4"/>
      <c r="BP52" s="451"/>
      <c r="BQ52" s="383"/>
      <c r="BR52" s="383"/>
      <c r="BS52" s="383"/>
      <c r="BT52" s="383"/>
      <c r="BW52" s="13"/>
      <c r="BX52" s="13"/>
      <c r="BY52" s="12"/>
      <c r="BZ52" s="4"/>
      <c r="CA52" s="4"/>
      <c r="CB52" s="4"/>
      <c r="CC52" s="4"/>
      <c r="CD52" s="4"/>
      <c r="CE52" s="4"/>
      <c r="CF52" s="451"/>
      <c r="CG52" s="383"/>
      <c r="CH52" s="383"/>
      <c r="CI52" s="383"/>
      <c r="CJ52" s="383"/>
      <c r="CM52" s="13"/>
      <c r="CN52" s="13"/>
      <c r="CO52" s="12"/>
      <c r="CP52" s="4"/>
      <c r="CQ52" s="4"/>
      <c r="CR52" s="4"/>
      <c r="CS52" s="4"/>
      <c r="CV52" s="13"/>
      <c r="CW52" s="13"/>
      <c r="CX52" s="12"/>
      <c r="CY52" s="4"/>
      <c r="CZ52" s="4"/>
      <c r="DA52" s="4"/>
      <c r="DB52" s="4"/>
      <c r="DD52" s="1">
        <v>27</v>
      </c>
      <c r="DE52" s="13">
        <f t="shared" si="13"/>
        <v>48213</v>
      </c>
      <c r="DF52" s="13">
        <v>48200</v>
      </c>
      <c r="DG52" s="12"/>
      <c r="DH52" s="4">
        <f t="shared" si="47"/>
        <v>2839732.6388674658</v>
      </c>
      <c r="DI52" s="4">
        <v>283973.26</v>
      </c>
      <c r="DJ52" s="4">
        <v>45797</v>
      </c>
      <c r="DK52" s="4">
        <f t="shared" ref="DK52:DK62" si="64">+SUM(DI52:DJ52)</f>
        <v>329770.26</v>
      </c>
      <c r="DL52" s="386"/>
      <c r="DM52" s="1">
        <v>27</v>
      </c>
      <c r="DN52" s="13">
        <f t="shared" si="0"/>
        <v>48244</v>
      </c>
      <c r="DO52" s="13">
        <v>48218</v>
      </c>
      <c r="DP52" s="12"/>
      <c r="DQ52" s="4">
        <f t="shared" si="48"/>
        <v>236965.77268659766</v>
      </c>
      <c r="DR52" s="4">
        <v>39494.31</v>
      </c>
      <c r="DS52" s="4">
        <f t="shared" si="59"/>
        <v>4067.1885831243294</v>
      </c>
      <c r="DT52" s="4">
        <f t="shared" si="15"/>
        <v>43561.498583124325</v>
      </c>
      <c r="DW52" s="13"/>
      <c r="DX52" s="13"/>
      <c r="DY52" s="12"/>
      <c r="DZ52" s="4"/>
      <c r="EA52" s="4"/>
      <c r="EB52" s="4"/>
      <c r="EC52" s="4"/>
      <c r="EE52" s="1">
        <v>27</v>
      </c>
      <c r="EF52" s="13">
        <f t="shared" si="16"/>
        <v>48121</v>
      </c>
      <c r="EG52" s="13">
        <v>48109</v>
      </c>
      <c r="EH52" s="115"/>
      <c r="EI52" s="4">
        <f t="shared" si="49"/>
        <v>1940127.6199999982</v>
      </c>
      <c r="EJ52" s="4">
        <v>40216.85</v>
      </c>
      <c r="EK52" s="4">
        <v>6100.59</v>
      </c>
      <c r="EL52" s="4"/>
      <c r="EM52" s="4">
        <f t="shared" si="50"/>
        <v>46317.440000000002</v>
      </c>
      <c r="EP52" s="13"/>
      <c r="EQ52" s="13"/>
      <c r="ER52" s="12"/>
      <c r="ES52" s="4"/>
      <c r="ET52" s="4"/>
      <c r="EU52" s="4"/>
      <c r="EV52" s="4"/>
      <c r="EY52" s="13"/>
      <c r="EZ52" s="13"/>
      <c r="FA52" s="12"/>
      <c r="FB52" s="4"/>
      <c r="FC52" s="4"/>
      <c r="FD52" s="4"/>
      <c r="FE52" s="4"/>
      <c r="FH52" s="13"/>
      <c r="FI52" s="13"/>
      <c r="FJ52" s="12"/>
      <c r="FK52" s="4"/>
      <c r="FL52" s="4"/>
      <c r="FM52" s="4"/>
      <c r="FN52" s="4"/>
      <c r="FQ52" s="13"/>
      <c r="FR52" s="13"/>
      <c r="FS52" s="12"/>
      <c r="FT52" s="4"/>
      <c r="FU52" s="4"/>
      <c r="FV52" s="4"/>
      <c r="FW52" s="4"/>
      <c r="FZ52" s="13"/>
      <c r="GA52" s="13"/>
      <c r="GB52" s="12"/>
      <c r="GC52" s="4"/>
      <c r="GD52" s="4"/>
      <c r="GE52" s="4"/>
      <c r="GF52" s="4"/>
      <c r="GI52" s="13"/>
      <c r="GJ52" s="13"/>
      <c r="GK52" s="12"/>
      <c r="GL52" s="4"/>
      <c r="GM52" s="4"/>
      <c r="GN52" s="4"/>
      <c r="GO52" s="4"/>
    </row>
    <row r="53" spans="1:197" x14ac:dyDescent="0.3">
      <c r="A53" s="1">
        <v>28</v>
      </c>
      <c r="B53" s="3">
        <f t="shared" si="1"/>
        <v>53</v>
      </c>
      <c r="C53" s="13">
        <f t="shared" si="60"/>
        <v>46752</v>
      </c>
      <c r="D53" s="12"/>
      <c r="E53" s="4">
        <f t="shared" si="28"/>
        <v>116371946.41230032</v>
      </c>
      <c r="F53" s="4">
        <f t="shared" si="29"/>
        <v>5776169.3729999997</v>
      </c>
      <c r="G53" s="4">
        <f t="shared" si="30"/>
        <v>527434.73665583343</v>
      </c>
      <c r="H53" s="4">
        <f t="shared" si="31"/>
        <v>6303604.1096558329</v>
      </c>
      <c r="I53" s="383">
        <f>+H53</f>
        <v>6303604.1096558329</v>
      </c>
      <c r="J53" s="383" t="s">
        <v>142</v>
      </c>
      <c r="K53" s="4"/>
      <c r="M53" s="1">
        <v>28</v>
      </c>
      <c r="N53" s="387">
        <f t="shared" si="2"/>
        <v>48091</v>
      </c>
      <c r="O53" s="387">
        <f t="shared" si="61"/>
        <v>48075</v>
      </c>
      <c r="P53" s="12"/>
      <c r="Q53" s="4">
        <f t="shared" si="3"/>
        <v>8145995.7624786533</v>
      </c>
      <c r="R53" s="4">
        <f t="shared" si="62"/>
        <v>4072997.8812392987</v>
      </c>
      <c r="S53" s="4">
        <f t="shared" si="32"/>
        <v>187357.90253700857</v>
      </c>
      <c r="T53" s="4"/>
      <c r="U53" s="4">
        <f t="shared" si="34"/>
        <v>4260355.7837763075</v>
      </c>
      <c r="V53" s="383"/>
      <c r="W53" s="383"/>
      <c r="X53" s="383"/>
      <c r="Y53" s="383"/>
      <c r="Z53" s="383"/>
      <c r="AA53" s="383"/>
      <c r="AD53" s="13"/>
      <c r="AE53" s="13"/>
      <c r="AF53" s="12"/>
      <c r="AG53" s="4"/>
      <c r="AH53" s="4"/>
      <c r="AI53" s="4"/>
      <c r="AJ53" s="4"/>
      <c r="AK53" s="383"/>
      <c r="AL53" s="383"/>
      <c r="AM53" s="383"/>
      <c r="AN53" s="383"/>
      <c r="AO53" s="383"/>
      <c r="AP53" s="4"/>
      <c r="AR53" s="1">
        <v>28</v>
      </c>
      <c r="AS53" s="13">
        <f t="shared" si="5"/>
        <v>48182</v>
      </c>
      <c r="AT53" s="13">
        <v>48172</v>
      </c>
      <c r="AU53" s="12"/>
      <c r="AV53" s="4">
        <f t="shared" si="57"/>
        <v>4445471.8390923273</v>
      </c>
      <c r="AW53" s="4">
        <v>525047.46469953598</v>
      </c>
      <c r="AX53" s="4">
        <f t="shared" si="58"/>
        <v>76214.629324808557</v>
      </c>
      <c r="AY53" s="4">
        <f t="shared" ref="AY53:AY62" si="65">+SUM(AW53:AX53)</f>
        <v>601262.09402434458</v>
      </c>
      <c r="AZ53" s="383"/>
      <c r="BA53" s="383"/>
      <c r="BB53" s="383"/>
      <c r="BC53" s="383"/>
      <c r="BD53" s="383"/>
      <c r="BE53" s="383"/>
      <c r="BH53" s="13"/>
      <c r="BI53" s="13"/>
      <c r="BJ53" s="12"/>
      <c r="BK53" s="4"/>
      <c r="BL53" s="4"/>
      <c r="BM53" s="4"/>
      <c r="BN53" s="4"/>
      <c r="BO53" s="4"/>
      <c r="BP53" s="451"/>
      <c r="BQ53" s="383"/>
      <c r="BR53" s="383"/>
      <c r="BS53" s="383"/>
      <c r="BT53" s="383"/>
      <c r="BW53" s="13"/>
      <c r="BX53" s="13"/>
      <c r="BY53" s="12"/>
      <c r="BZ53" s="4"/>
      <c r="CA53" s="4"/>
      <c r="CB53" s="4"/>
      <c r="CC53" s="4"/>
      <c r="CD53" s="4"/>
      <c r="CE53" s="4"/>
      <c r="CF53" s="451"/>
      <c r="CG53" s="383"/>
      <c r="CH53" s="383"/>
      <c r="CI53" s="383"/>
      <c r="CJ53" s="383"/>
      <c r="CM53" s="13"/>
      <c r="CN53" s="13"/>
      <c r="CO53" s="12"/>
      <c r="CP53" s="4"/>
      <c r="CQ53" s="4"/>
      <c r="CR53" s="4"/>
      <c r="CS53" s="4"/>
      <c r="CV53" s="13"/>
      <c r="CW53" s="13"/>
      <c r="CX53" s="12"/>
      <c r="CY53" s="4"/>
      <c r="CZ53" s="4"/>
      <c r="DA53" s="4"/>
      <c r="DB53" s="4"/>
      <c r="DD53" s="1">
        <v>28</v>
      </c>
      <c r="DE53" s="13">
        <f t="shared" si="13"/>
        <v>48304</v>
      </c>
      <c r="DF53" s="13">
        <v>48291</v>
      </c>
      <c r="DG53" s="12"/>
      <c r="DH53" s="4">
        <f t="shared" si="47"/>
        <v>2555759.378867466</v>
      </c>
      <c r="DI53" s="4">
        <v>283973.26</v>
      </c>
      <c r="DJ53" s="4">
        <v>41633.64</v>
      </c>
      <c r="DK53" s="4">
        <f t="shared" si="64"/>
        <v>325606.90000000002</v>
      </c>
      <c r="DL53" s="386"/>
      <c r="DM53" s="1">
        <v>28</v>
      </c>
      <c r="DN53" s="13">
        <f t="shared" si="0"/>
        <v>48334</v>
      </c>
      <c r="DO53" s="13">
        <v>48309</v>
      </c>
      <c r="DP53" s="12"/>
      <c r="DQ53" s="4">
        <f t="shared" si="48"/>
        <v>197471.46268659766</v>
      </c>
      <c r="DR53" s="4">
        <v>39494.31</v>
      </c>
      <c r="DS53" s="4">
        <f t="shared" si="59"/>
        <v>3486.1614591743291</v>
      </c>
      <c r="DT53" s="4">
        <f t="shared" si="15"/>
        <v>42980.471459174325</v>
      </c>
      <c r="DW53" s="13"/>
      <c r="DX53" s="13"/>
      <c r="DY53" s="12"/>
      <c r="DZ53" s="4"/>
      <c r="EA53" s="4"/>
      <c r="EB53" s="4"/>
      <c r="EC53" s="4"/>
      <c r="EE53" s="1">
        <v>28</v>
      </c>
      <c r="EF53" s="13">
        <f t="shared" si="16"/>
        <v>48213</v>
      </c>
      <c r="EG53" s="13">
        <v>48200</v>
      </c>
      <c r="EH53" s="115"/>
      <c r="EI53" s="4">
        <f t="shared" si="49"/>
        <v>1899910.7699999982</v>
      </c>
      <c r="EJ53" s="4">
        <v>40216.85</v>
      </c>
      <c r="EK53" s="4">
        <v>5491.65</v>
      </c>
      <c r="EL53" s="4"/>
      <c r="EM53" s="4">
        <f t="shared" si="50"/>
        <v>45708.5</v>
      </c>
      <c r="EP53" s="13"/>
      <c r="EQ53" s="13"/>
      <c r="ER53" s="12"/>
      <c r="ES53" s="4"/>
      <c r="ET53" s="4"/>
      <c r="EU53" s="4"/>
      <c r="EV53" s="4"/>
      <c r="EY53" s="13"/>
      <c r="EZ53" s="13"/>
      <c r="FA53" s="12"/>
      <c r="FB53" s="4"/>
      <c r="FC53" s="4"/>
      <c r="FD53" s="4"/>
      <c r="FE53" s="4"/>
      <c r="FH53" s="13"/>
      <c r="FI53" s="13"/>
      <c r="FJ53" s="12"/>
      <c r="FK53" s="4"/>
      <c r="FL53" s="4"/>
      <c r="FM53" s="4"/>
      <c r="FN53" s="4"/>
      <c r="FQ53" s="13"/>
      <c r="FR53" s="13"/>
      <c r="FS53" s="12"/>
      <c r="FT53" s="4"/>
      <c r="FU53" s="4"/>
      <c r="FV53" s="4"/>
      <c r="FW53" s="4"/>
      <c r="FZ53" s="13"/>
      <c r="GA53" s="13"/>
      <c r="GB53" s="12"/>
      <c r="GC53" s="4"/>
      <c r="GD53" s="4"/>
      <c r="GE53" s="4"/>
      <c r="GF53" s="4"/>
      <c r="GI53" s="13"/>
      <c r="GJ53" s="13"/>
      <c r="GK53" s="12"/>
      <c r="GL53" s="4"/>
      <c r="GM53" s="4"/>
      <c r="GN53" s="4"/>
      <c r="GO53" s="4"/>
    </row>
    <row r="54" spans="1:197" x14ac:dyDescent="0.3">
      <c r="A54" s="1">
        <v>29</v>
      </c>
      <c r="B54" s="3">
        <f t="shared" si="1"/>
        <v>6</v>
      </c>
      <c r="C54" s="13">
        <f t="shared" si="60"/>
        <v>46783</v>
      </c>
      <c r="D54" s="12"/>
      <c r="E54" s="4">
        <f t="shared" si="28"/>
        <v>116271894.2037679</v>
      </c>
      <c r="F54" s="4">
        <f t="shared" si="29"/>
        <v>100052.20853242368</v>
      </c>
      <c r="G54" s="4">
        <f t="shared" si="30"/>
        <v>23120.947694629187</v>
      </c>
      <c r="H54" s="4">
        <f t="shared" si="31"/>
        <v>123173.15622705287</v>
      </c>
      <c r="I54" s="383"/>
      <c r="J54" s="383"/>
      <c r="K54" s="4"/>
      <c r="M54" s="1">
        <v>29</v>
      </c>
      <c r="N54" s="387">
        <f t="shared" si="2"/>
        <v>48182</v>
      </c>
      <c r="O54" s="387">
        <f t="shared" si="61"/>
        <v>48167</v>
      </c>
      <c r="P54" s="12"/>
      <c r="Q54" s="4">
        <f t="shared" si="3"/>
        <v>4072997.8812393546</v>
      </c>
      <c r="R54" s="4">
        <f t="shared" si="62"/>
        <v>4072997.8812392987</v>
      </c>
      <c r="S54" s="4">
        <f t="shared" si="32"/>
        <v>124905.26835800601</v>
      </c>
      <c r="T54" s="4"/>
      <c r="U54" s="4">
        <f t="shared" si="34"/>
        <v>4197903.1495973049</v>
      </c>
      <c r="V54" s="383"/>
      <c r="W54" s="383"/>
      <c r="X54" s="383"/>
      <c r="Y54" s="383"/>
      <c r="Z54" s="383"/>
      <c r="AA54" s="383"/>
      <c r="AD54" s="13"/>
      <c r="AE54" s="13"/>
      <c r="AF54" s="12"/>
      <c r="AG54" s="4"/>
      <c r="AH54" s="4"/>
      <c r="AI54" s="4"/>
      <c r="AJ54" s="4"/>
      <c r="AK54" s="383"/>
      <c r="AL54" s="383"/>
      <c r="AM54" s="383"/>
      <c r="AN54" s="383"/>
      <c r="AO54" s="383"/>
      <c r="AP54" s="4"/>
      <c r="AR54" s="1">
        <v>29</v>
      </c>
      <c r="AS54" s="13">
        <f t="shared" si="5"/>
        <v>48273</v>
      </c>
      <c r="AT54" s="13">
        <v>48264</v>
      </c>
      <c r="AU54" s="12"/>
      <c r="AV54" s="4">
        <f t="shared" si="57"/>
        <v>3920424.3743927912</v>
      </c>
      <c r="AW54" s="4">
        <v>525047.46469953598</v>
      </c>
      <c r="AX54" s="4">
        <f t="shared" si="58"/>
        <v>68163.90153274902</v>
      </c>
      <c r="AY54" s="4">
        <f t="shared" si="65"/>
        <v>593211.36623228504</v>
      </c>
      <c r="AZ54" s="383"/>
      <c r="BA54" s="383"/>
      <c r="BB54" s="383"/>
      <c r="BC54" s="383"/>
      <c r="BD54" s="383"/>
      <c r="BE54" s="383"/>
      <c r="BH54" s="13"/>
      <c r="BI54" s="13"/>
      <c r="BJ54" s="12"/>
      <c r="BK54" s="4"/>
      <c r="BL54" s="4"/>
      <c r="BM54" s="4"/>
      <c r="BN54" s="4"/>
      <c r="BO54" s="4"/>
      <c r="BP54" s="451"/>
      <c r="BQ54" s="383"/>
      <c r="BR54" s="383"/>
      <c r="BS54" s="383"/>
      <c r="BT54" s="383"/>
      <c r="BW54" s="13"/>
      <c r="BX54" s="13"/>
      <c r="BY54" s="12"/>
      <c r="BZ54" s="4"/>
      <c r="CA54" s="4"/>
      <c r="CB54" s="4"/>
      <c r="CC54" s="4"/>
      <c r="CD54" s="4"/>
      <c r="CE54" s="4"/>
      <c r="CF54" s="451"/>
      <c r="CG54" s="383"/>
      <c r="CH54" s="383"/>
      <c r="CI54" s="383"/>
      <c r="CJ54" s="383"/>
      <c r="CM54" s="13"/>
      <c r="CN54" s="13"/>
      <c r="CO54" s="12"/>
      <c r="CP54" s="4"/>
      <c r="CQ54" s="4"/>
      <c r="CR54" s="4"/>
      <c r="CS54" s="4"/>
      <c r="CV54" s="13"/>
      <c r="CW54" s="13"/>
      <c r="CX54" s="12"/>
      <c r="CY54" s="4"/>
      <c r="CZ54" s="4"/>
      <c r="DA54" s="4"/>
      <c r="DB54" s="4"/>
      <c r="DD54" s="1">
        <v>29</v>
      </c>
      <c r="DE54" s="13">
        <f t="shared" si="13"/>
        <v>48395</v>
      </c>
      <c r="DF54" s="13">
        <v>48382</v>
      </c>
      <c r="DG54" s="12"/>
      <c r="DH54" s="4">
        <f t="shared" si="47"/>
        <v>2271786.1188674662</v>
      </c>
      <c r="DI54" s="4">
        <v>283973.26</v>
      </c>
      <c r="DJ54" s="4">
        <v>37470.269999999997</v>
      </c>
      <c r="DK54" s="4">
        <f t="shared" si="64"/>
        <v>321443.53000000003</v>
      </c>
      <c r="DL54" s="386"/>
      <c r="DM54" s="1">
        <v>29</v>
      </c>
      <c r="DN54" s="13">
        <f t="shared" si="0"/>
        <v>48426</v>
      </c>
      <c r="DO54" s="13">
        <v>48400</v>
      </c>
      <c r="DP54" s="12"/>
      <c r="DQ54" s="4">
        <f t="shared" si="48"/>
        <v>157977.15268659766</v>
      </c>
      <c r="DR54" s="4">
        <v>39494.31</v>
      </c>
      <c r="DS54" s="4">
        <f t="shared" si="59"/>
        <v>2905.1343352243293</v>
      </c>
      <c r="DT54" s="4">
        <f t="shared" si="15"/>
        <v>42399.444335224325</v>
      </c>
      <c r="DW54" s="13"/>
      <c r="DX54" s="13"/>
      <c r="DY54" s="12"/>
      <c r="DZ54" s="4"/>
      <c r="EA54" s="4"/>
      <c r="EB54" s="4"/>
      <c r="EC54" s="4"/>
      <c r="EE54" s="1">
        <v>29</v>
      </c>
      <c r="EF54" s="13">
        <f t="shared" si="16"/>
        <v>48304</v>
      </c>
      <c r="EG54" s="13">
        <v>48291</v>
      </c>
      <c r="EH54" s="115"/>
      <c r="EI54" s="4">
        <f t="shared" si="49"/>
        <v>1859693.9199999981</v>
      </c>
      <c r="EJ54" s="4">
        <v>40216.85</v>
      </c>
      <c r="EK54" s="4">
        <v>4882.71</v>
      </c>
      <c r="EL54" s="4"/>
      <c r="EM54" s="4">
        <f t="shared" si="50"/>
        <v>45099.56</v>
      </c>
      <c r="EP54" s="13"/>
      <c r="EQ54" s="13"/>
      <c r="ER54" s="12"/>
      <c r="ES54" s="4"/>
      <c r="ET54" s="4"/>
      <c r="EU54" s="4"/>
      <c r="EV54" s="4"/>
      <c r="EY54" s="13"/>
      <c r="EZ54" s="13"/>
      <c r="FA54" s="12"/>
      <c r="FB54" s="4"/>
      <c r="FC54" s="4"/>
      <c r="FD54" s="4"/>
      <c r="FE54" s="4"/>
      <c r="FH54" s="13"/>
      <c r="FI54" s="13"/>
      <c r="FJ54" s="12"/>
      <c r="FK54" s="4"/>
      <c r="FL54" s="4"/>
      <c r="FM54" s="4"/>
      <c r="FN54" s="4"/>
      <c r="FQ54" s="13"/>
      <c r="FR54" s="13"/>
      <c r="FS54" s="12"/>
      <c r="FT54" s="4"/>
      <c r="FU54" s="4"/>
      <c r="FV54" s="4"/>
      <c r="FW54" s="4"/>
      <c r="FZ54" s="13"/>
      <c r="GA54" s="13"/>
      <c r="GB54" s="12"/>
      <c r="GC54" s="4"/>
      <c r="GD54" s="4"/>
      <c r="GE54" s="4"/>
      <c r="GF54" s="4"/>
      <c r="GI54" s="13"/>
      <c r="GJ54" s="13"/>
      <c r="GK54" s="12"/>
      <c r="GL54" s="4"/>
      <c r="GM54" s="4"/>
      <c r="GN54" s="4"/>
      <c r="GO54" s="4"/>
    </row>
    <row r="55" spans="1:197" x14ac:dyDescent="0.3">
      <c r="A55" s="1">
        <v>30</v>
      </c>
      <c r="B55" s="3">
        <f t="shared" si="1"/>
        <v>10</v>
      </c>
      <c r="C55" s="13">
        <f t="shared" si="60"/>
        <v>46812</v>
      </c>
      <c r="D55" s="12"/>
      <c r="E55" s="4">
        <f t="shared" si="28"/>
        <v>111622008.06782906</v>
      </c>
      <c r="F55" s="4">
        <f t="shared" si="29"/>
        <v>4649886.1359388344</v>
      </c>
      <c r="G55" s="4">
        <f t="shared" si="30"/>
        <v>1741118.7193721258</v>
      </c>
      <c r="H55" s="4">
        <f t="shared" si="31"/>
        <v>6391004.8553109597</v>
      </c>
      <c r="I55" s="383"/>
      <c r="J55" s="383"/>
      <c r="K55" s="4"/>
      <c r="M55" s="24">
        <v>30</v>
      </c>
      <c r="N55" s="389">
        <f t="shared" si="2"/>
        <v>48273</v>
      </c>
      <c r="O55" s="389">
        <f>+DATE(YEAR(O54),MONTH(O54)+3,4)</f>
        <v>48248</v>
      </c>
      <c r="P55" s="26"/>
      <c r="Q55" s="27">
        <f t="shared" si="3"/>
        <v>5.5879354476928711E-8</v>
      </c>
      <c r="R55" s="27">
        <f t="shared" si="62"/>
        <v>4072997.8812392987</v>
      </c>
      <c r="S55" s="27">
        <f t="shared" si="32"/>
        <v>54985.471396731285</v>
      </c>
      <c r="T55" s="27"/>
      <c r="U55" s="27">
        <f t="shared" si="34"/>
        <v>4127983.3526360299</v>
      </c>
      <c r="V55" s="390"/>
      <c r="W55" s="390"/>
      <c r="X55" s="390"/>
      <c r="Y55" s="390"/>
      <c r="Z55" s="390"/>
      <c r="AA55" s="390"/>
      <c r="AC55" s="20"/>
      <c r="AD55" s="25"/>
      <c r="AE55" s="25"/>
      <c r="AF55" s="26"/>
      <c r="AG55" s="4"/>
      <c r="AH55" s="27"/>
      <c r="AI55" s="4"/>
      <c r="AJ55" s="4"/>
      <c r="AK55" s="390"/>
      <c r="AL55" s="390"/>
      <c r="AM55" s="390"/>
      <c r="AN55" s="390"/>
      <c r="AO55" s="390"/>
      <c r="AP55" s="4"/>
      <c r="AR55" s="1">
        <v>30</v>
      </c>
      <c r="AS55" s="13">
        <f t="shared" si="5"/>
        <v>48365</v>
      </c>
      <c r="AT55" s="13">
        <v>48354</v>
      </c>
      <c r="AU55" s="12"/>
      <c r="AV55" s="4">
        <f t="shared" si="57"/>
        <v>3395376.9096932551</v>
      </c>
      <c r="AW55" s="4">
        <v>525047.46469953598</v>
      </c>
      <c r="AX55" s="4">
        <f t="shared" si="58"/>
        <v>58806.365615891875</v>
      </c>
      <c r="AY55" s="4">
        <f t="shared" si="65"/>
        <v>583853.83031542785</v>
      </c>
      <c r="AZ55" s="383"/>
      <c r="BA55" s="383"/>
      <c r="BB55" s="383"/>
      <c r="BC55" s="383"/>
      <c r="BD55" s="383"/>
      <c r="BE55" s="383"/>
      <c r="BH55" s="13"/>
      <c r="BI55" s="13"/>
      <c r="BJ55" s="12"/>
      <c r="BK55" s="4"/>
      <c r="BL55" s="4"/>
      <c r="BM55" s="4"/>
      <c r="BN55" s="4"/>
      <c r="BO55" s="4"/>
      <c r="BP55" s="437"/>
      <c r="BQ55" s="390"/>
      <c r="BR55" s="390"/>
      <c r="BS55" s="390"/>
      <c r="BT55" s="390"/>
      <c r="BW55" s="13"/>
      <c r="BX55" s="13"/>
      <c r="BY55" s="12"/>
      <c r="BZ55" s="4"/>
      <c r="CA55" s="4"/>
      <c r="CB55" s="4"/>
      <c r="CC55" s="4"/>
      <c r="CD55" s="4"/>
      <c r="CE55" s="4"/>
      <c r="CF55" s="437"/>
      <c r="CG55" s="390"/>
      <c r="CH55" s="390"/>
      <c r="CI55" s="390"/>
      <c r="CJ55" s="390"/>
      <c r="CM55" s="13"/>
      <c r="CN55" s="13"/>
      <c r="CO55" s="12"/>
      <c r="CP55" s="4"/>
      <c r="CQ55" s="4"/>
      <c r="CR55" s="4"/>
      <c r="CS55" s="4"/>
      <c r="CV55" s="13"/>
      <c r="CW55" s="13"/>
      <c r="CX55" s="12"/>
      <c r="CY55" s="4"/>
      <c r="CZ55" s="4"/>
      <c r="DA55" s="4"/>
      <c r="DB55" s="4"/>
      <c r="DD55" s="1">
        <v>30</v>
      </c>
      <c r="DE55" s="13">
        <f t="shared" si="13"/>
        <v>48487</v>
      </c>
      <c r="DF55" s="13">
        <v>48473</v>
      </c>
      <c r="DG55" s="12"/>
      <c r="DH55" s="4">
        <f t="shared" si="47"/>
        <v>1987812.8588674662</v>
      </c>
      <c r="DI55" s="4">
        <v>283973.26</v>
      </c>
      <c r="DJ55" s="4">
        <v>33306.910000000003</v>
      </c>
      <c r="DK55" s="4">
        <f t="shared" si="64"/>
        <v>317280.17000000004</v>
      </c>
      <c r="DL55" s="386"/>
      <c r="DM55" s="1">
        <v>30</v>
      </c>
      <c r="DN55" s="13">
        <f t="shared" si="0"/>
        <v>48518</v>
      </c>
      <c r="DO55" s="13">
        <v>48492</v>
      </c>
      <c r="DP55" s="12"/>
      <c r="DQ55" s="4">
        <f t="shared" si="48"/>
        <v>118482.84268659767</v>
      </c>
      <c r="DR55" s="4">
        <v>39494.31</v>
      </c>
      <c r="DS55" s="4">
        <f t="shared" si="59"/>
        <v>2349.6468509586625</v>
      </c>
      <c r="DT55" s="4">
        <f t="shared" si="15"/>
        <v>41843.956850958661</v>
      </c>
      <c r="DW55" s="13"/>
      <c r="DX55" s="13"/>
      <c r="DY55" s="12"/>
      <c r="DZ55" s="4"/>
      <c r="EA55" s="4"/>
      <c r="EB55" s="4"/>
      <c r="EC55" s="4"/>
      <c r="EE55" s="1">
        <v>30</v>
      </c>
      <c r="EF55" s="13">
        <f t="shared" si="16"/>
        <v>48395</v>
      </c>
      <c r="EG55" s="13">
        <v>48382</v>
      </c>
      <c r="EH55" s="115"/>
      <c r="EI55" s="4">
        <f t="shared" si="49"/>
        <v>1819477.069999998</v>
      </c>
      <c r="EJ55" s="4">
        <v>40216.85</v>
      </c>
      <c r="EK55" s="4">
        <v>4273.7700000000004</v>
      </c>
      <c r="EL55" s="4"/>
      <c r="EM55" s="4">
        <f t="shared" si="50"/>
        <v>44490.619999999995</v>
      </c>
      <c r="EP55" s="13"/>
      <c r="EQ55" s="13"/>
      <c r="ER55" s="12"/>
      <c r="ES55" s="4"/>
      <c r="ET55" s="4"/>
      <c r="EU55" s="4"/>
      <c r="EV55" s="4"/>
      <c r="EY55" s="13"/>
      <c r="EZ55" s="13"/>
      <c r="FA55" s="12"/>
      <c r="FB55" s="4"/>
      <c r="FC55" s="4"/>
      <c r="FD55" s="4"/>
      <c r="FE55" s="4"/>
      <c r="FH55" s="13"/>
      <c r="FI55" s="13"/>
      <c r="FJ55" s="12"/>
      <c r="FK55" s="4"/>
      <c r="FL55" s="4"/>
      <c r="FM55" s="4"/>
      <c r="FN55" s="4"/>
      <c r="FQ55" s="13"/>
      <c r="FR55" s="13"/>
      <c r="FS55" s="12"/>
      <c r="FT55" s="4"/>
      <c r="FU55" s="4"/>
      <c r="FV55" s="4"/>
      <c r="FW55" s="4"/>
      <c r="FZ55" s="13"/>
      <c r="GA55" s="13"/>
      <c r="GB55" s="12"/>
      <c r="GC55" s="4"/>
      <c r="GD55" s="4"/>
      <c r="GE55" s="4"/>
      <c r="GF55" s="4"/>
      <c r="GI55" s="13"/>
      <c r="GJ55" s="13"/>
      <c r="GK55" s="12"/>
      <c r="GL55" s="4"/>
      <c r="GM55" s="4"/>
      <c r="GN55" s="4"/>
      <c r="GO55" s="4"/>
    </row>
    <row r="56" spans="1:197" x14ac:dyDescent="0.3">
      <c r="A56" s="1">
        <v>31</v>
      </c>
      <c r="B56" s="3">
        <f t="shared" si="1"/>
        <v>14</v>
      </c>
      <c r="C56" s="13">
        <f t="shared" si="60"/>
        <v>46843</v>
      </c>
      <c r="D56" s="12"/>
      <c r="E56" s="4">
        <f t="shared" si="28"/>
        <v>105845838.69482906</v>
      </c>
      <c r="F56" s="4">
        <f t="shared" si="29"/>
        <v>5776169.3729999997</v>
      </c>
      <c r="G56" s="4">
        <f t="shared" si="30"/>
        <v>440583.01450033346</v>
      </c>
      <c r="H56" s="4">
        <f t="shared" si="31"/>
        <v>6216752.3875003327</v>
      </c>
      <c r="I56" s="383"/>
      <c r="J56" s="383"/>
      <c r="K56" s="4"/>
      <c r="P56"/>
      <c r="R56" s="3"/>
      <c r="AF56"/>
      <c r="AH56" s="3"/>
      <c r="AR56" s="1">
        <v>31</v>
      </c>
      <c r="AS56" s="13">
        <f t="shared" si="5"/>
        <v>48457</v>
      </c>
      <c r="AT56" s="13">
        <v>48446</v>
      </c>
      <c r="AU56" s="12"/>
      <c r="AV56" s="4">
        <f t="shared" si="57"/>
        <v>2870329.444993719</v>
      </c>
      <c r="AW56" s="4">
        <v>525047.46469953598</v>
      </c>
      <c r="AX56" s="4">
        <f t="shared" si="58"/>
        <v>52062.445948629909</v>
      </c>
      <c r="AY56" s="4">
        <f t="shared" si="65"/>
        <v>577109.91064816585</v>
      </c>
      <c r="AZ56" s="383"/>
      <c r="BA56" s="383"/>
      <c r="BB56" s="383"/>
      <c r="BC56" s="383"/>
      <c r="BD56" s="383"/>
      <c r="BE56" s="383"/>
      <c r="BH56" s="13"/>
      <c r="BI56" s="13"/>
      <c r="BJ56" s="12"/>
      <c r="BK56" s="4"/>
      <c r="BL56" s="4"/>
      <c r="BM56" s="4"/>
      <c r="BN56" s="4"/>
      <c r="BO56" s="4"/>
      <c r="BW56" s="13"/>
      <c r="BX56" s="13"/>
      <c r="BY56" s="12"/>
      <c r="BZ56" s="4"/>
      <c r="CA56" s="4"/>
      <c r="CB56" s="4"/>
      <c r="CC56" s="4"/>
      <c r="CD56" s="4"/>
      <c r="CE56" s="4"/>
      <c r="CM56" s="13"/>
      <c r="CN56" s="13"/>
      <c r="CO56" s="12"/>
      <c r="CP56" s="4"/>
      <c r="CQ56" s="4"/>
      <c r="CR56" s="4"/>
      <c r="CS56" s="4"/>
      <c r="CV56" s="13"/>
      <c r="CW56" s="13"/>
      <c r="CX56" s="12"/>
      <c r="CY56" s="4"/>
      <c r="CZ56" s="4"/>
      <c r="DA56" s="4"/>
      <c r="DB56" s="4"/>
      <c r="DD56" s="1">
        <v>31</v>
      </c>
      <c r="DE56" s="13">
        <f t="shared" si="13"/>
        <v>48579</v>
      </c>
      <c r="DF56" s="13">
        <v>48564</v>
      </c>
      <c r="DG56" s="12"/>
      <c r="DH56" s="4">
        <f t="shared" si="47"/>
        <v>1703839.5988674662</v>
      </c>
      <c r="DI56" s="4">
        <v>283973.26</v>
      </c>
      <c r="DJ56" s="4">
        <v>29143.54</v>
      </c>
      <c r="DK56" s="4">
        <f t="shared" si="64"/>
        <v>313116.79999999999</v>
      </c>
      <c r="DL56" s="386"/>
      <c r="DM56" s="1">
        <v>31</v>
      </c>
      <c r="DN56" s="13">
        <f t="shared" si="0"/>
        <v>48610</v>
      </c>
      <c r="DO56" s="13">
        <v>48584</v>
      </c>
      <c r="DP56" s="12"/>
      <c r="DQ56" s="4">
        <f t="shared" si="48"/>
        <v>78988.532686597668</v>
      </c>
      <c r="DR56" s="4">
        <v>39494.31</v>
      </c>
      <c r="DS56" s="4">
        <f t="shared" si="59"/>
        <v>1762.2348135586628</v>
      </c>
      <c r="DT56" s="4">
        <f t="shared" si="15"/>
        <v>41256.544813558663</v>
      </c>
      <c r="DW56" s="13"/>
      <c r="DX56" s="13"/>
      <c r="DY56" s="12"/>
      <c r="DZ56" s="4"/>
      <c r="EA56" s="4"/>
      <c r="EB56" s="4"/>
      <c r="EC56" s="4"/>
      <c r="EE56" s="1">
        <v>31</v>
      </c>
      <c r="EF56" s="13">
        <f t="shared" si="16"/>
        <v>48487</v>
      </c>
      <c r="EG56" s="13">
        <v>48473</v>
      </c>
      <c r="EH56" s="115"/>
      <c r="EI56" s="4">
        <f t="shared" si="49"/>
        <v>1779260.2199999979</v>
      </c>
      <c r="EJ56" s="4">
        <v>40216.85</v>
      </c>
      <c r="EK56" s="4">
        <v>3664.84</v>
      </c>
      <c r="EL56" s="4"/>
      <c r="EM56" s="4">
        <f t="shared" si="50"/>
        <v>43881.69</v>
      </c>
      <c r="EP56" s="13"/>
      <c r="EQ56" s="13"/>
      <c r="ER56" s="12"/>
      <c r="ES56" s="4"/>
      <c r="ET56" s="4"/>
      <c r="EU56" s="4"/>
      <c r="EV56" s="4"/>
      <c r="EY56" s="13"/>
      <c r="EZ56" s="13"/>
      <c r="FA56" s="12"/>
      <c r="FB56" s="4"/>
      <c r="FC56" s="4"/>
      <c r="FD56" s="4"/>
      <c r="FE56" s="4"/>
      <c r="FH56" s="13"/>
      <c r="FI56" s="13"/>
      <c r="FJ56" s="12"/>
      <c r="FK56" s="4"/>
      <c r="FL56" s="4"/>
      <c r="FM56" s="4"/>
      <c r="FN56" s="4"/>
      <c r="FQ56" s="13"/>
      <c r="FR56" s="13"/>
      <c r="FS56" s="12"/>
      <c r="FT56" s="4"/>
      <c r="FU56" s="4"/>
      <c r="FV56" s="4"/>
      <c r="FW56" s="4"/>
      <c r="FZ56" s="13"/>
      <c r="GA56" s="13"/>
      <c r="GB56" s="12"/>
      <c r="GC56" s="4"/>
      <c r="GD56" s="4"/>
      <c r="GE56" s="4"/>
      <c r="GF56" s="4"/>
      <c r="GI56" s="13"/>
      <c r="GJ56" s="13"/>
      <c r="GK56" s="12"/>
      <c r="GL56" s="4"/>
      <c r="GM56" s="4"/>
      <c r="GN56" s="4"/>
      <c r="GO56" s="4"/>
    </row>
    <row r="57" spans="1:197" x14ac:dyDescent="0.3">
      <c r="A57" s="1">
        <v>32</v>
      </c>
      <c r="B57" s="3">
        <f t="shared" si="1"/>
        <v>18</v>
      </c>
      <c r="C57" s="13">
        <f t="shared" si="60"/>
        <v>46873</v>
      </c>
      <c r="D57" s="12"/>
      <c r="E57" s="4">
        <f t="shared" si="28"/>
        <v>105745786.48629664</v>
      </c>
      <c r="F57" s="4">
        <f t="shared" si="29"/>
        <v>100052.20853242368</v>
      </c>
      <c r="G57" s="4">
        <f t="shared" si="30"/>
        <v>21430.793076483671</v>
      </c>
      <c r="H57" s="4">
        <f t="shared" si="31"/>
        <v>121483.00160890736</v>
      </c>
      <c r="I57" s="383"/>
      <c r="J57" s="383"/>
      <c r="K57" s="4"/>
      <c r="P57"/>
      <c r="Q57" s="4"/>
      <c r="R57" s="12"/>
      <c r="S57" s="4"/>
      <c r="T57" s="4"/>
      <c r="U57" s="4"/>
      <c r="V57" s="383"/>
      <c r="W57" s="383"/>
      <c r="X57" s="383"/>
      <c r="Y57" s="383"/>
      <c r="Z57" s="383"/>
      <c r="AA57" s="383"/>
      <c r="AB57" s="4"/>
      <c r="AF57"/>
      <c r="AG57" s="4"/>
      <c r="AH57" s="12"/>
      <c r="AI57" s="4"/>
      <c r="AJ57" s="4"/>
      <c r="AK57" s="383"/>
      <c r="AL57" s="383"/>
      <c r="AM57" s="383"/>
      <c r="AN57" s="383"/>
      <c r="AO57" s="383"/>
      <c r="AP57" s="4"/>
      <c r="AR57" s="1">
        <v>32</v>
      </c>
      <c r="AS57" s="13">
        <f t="shared" si="5"/>
        <v>48548</v>
      </c>
      <c r="AT57" s="13">
        <v>48538</v>
      </c>
      <c r="AU57" s="12"/>
      <c r="AV57" s="4">
        <f t="shared" si="57"/>
        <v>2345281.9802941829</v>
      </c>
      <c r="AW57" s="4">
        <v>525047.46469953598</v>
      </c>
      <c r="AX57" s="4">
        <f t="shared" si="58"/>
        <v>44011.718156570358</v>
      </c>
      <c r="AY57" s="4">
        <f t="shared" si="65"/>
        <v>569059.18285610632</v>
      </c>
      <c r="AZ57" s="383"/>
      <c r="BA57" s="383"/>
      <c r="BB57" s="383"/>
      <c r="BC57" s="383"/>
      <c r="BD57" s="383"/>
      <c r="BE57" s="383"/>
      <c r="BH57" s="13"/>
      <c r="BI57" s="13"/>
      <c r="BJ57" s="12"/>
      <c r="BK57" s="4"/>
      <c r="BL57" s="4"/>
      <c r="BM57" s="4"/>
      <c r="BN57" s="4"/>
      <c r="BO57" s="4"/>
      <c r="BP57" s="451"/>
      <c r="BQ57" s="383"/>
      <c r="BR57" s="383"/>
      <c r="BS57" s="383"/>
      <c r="BT57" s="383"/>
      <c r="BW57" s="13"/>
      <c r="BX57" s="13"/>
      <c r="BY57" s="12"/>
      <c r="BZ57" s="4"/>
      <c r="CA57" s="4"/>
      <c r="CB57" s="4"/>
      <c r="CC57" s="4"/>
      <c r="CD57" s="4"/>
      <c r="CE57" s="4"/>
      <c r="CF57" s="451"/>
      <c r="CG57" s="383"/>
      <c r="CH57" s="383"/>
      <c r="CI57" s="383"/>
      <c r="CJ57" s="383"/>
      <c r="CM57" s="13"/>
      <c r="CN57" s="13"/>
      <c r="CO57" s="12"/>
      <c r="CP57" s="4"/>
      <c r="CQ57" s="4"/>
      <c r="CR57" s="4"/>
      <c r="CS57" s="4"/>
      <c r="CV57" s="13"/>
      <c r="CW57" s="13"/>
      <c r="CX57" s="12"/>
      <c r="CY57" s="4"/>
      <c r="CZ57" s="4"/>
      <c r="DA57" s="4"/>
      <c r="DB57" s="4"/>
      <c r="DD57" s="1">
        <v>32</v>
      </c>
      <c r="DE57" s="13">
        <f t="shared" si="13"/>
        <v>48669</v>
      </c>
      <c r="DF57" s="13">
        <v>48655</v>
      </c>
      <c r="DG57" s="12"/>
      <c r="DH57" s="4">
        <f t="shared" si="47"/>
        <v>1419866.3388674662</v>
      </c>
      <c r="DI57" s="4">
        <v>283973.26</v>
      </c>
      <c r="DJ57" s="4">
        <v>24980.18</v>
      </c>
      <c r="DK57" s="4">
        <f t="shared" si="64"/>
        <v>308953.44</v>
      </c>
      <c r="DL57" s="386"/>
      <c r="DM57" s="1">
        <v>32</v>
      </c>
      <c r="DN57" s="13">
        <f t="shared" si="0"/>
        <v>48699</v>
      </c>
      <c r="DO57" s="13">
        <v>48674</v>
      </c>
      <c r="DP57" s="12"/>
      <c r="DQ57" s="4">
        <f t="shared" si="48"/>
        <v>39494.22268659767</v>
      </c>
      <c r="DR57" s="4">
        <v>39494.31</v>
      </c>
      <c r="DS57" s="4">
        <f t="shared" si="59"/>
        <v>1149.283150589996</v>
      </c>
      <c r="DT57" s="4">
        <f t="shared" si="15"/>
        <v>40643.593150589993</v>
      </c>
      <c r="DW57" s="13"/>
      <c r="DX57" s="13"/>
      <c r="DY57" s="12"/>
      <c r="DZ57" s="4"/>
      <c r="EA57" s="4"/>
      <c r="EB57" s="4"/>
      <c r="EC57" s="4"/>
      <c r="EE57" s="1">
        <v>32</v>
      </c>
      <c r="EF57" s="13">
        <f t="shared" si="16"/>
        <v>48579</v>
      </c>
      <c r="EG57" s="13">
        <v>48564</v>
      </c>
      <c r="EH57" s="115"/>
      <c r="EI57" s="4">
        <f t="shared" si="49"/>
        <v>1739043.3699999978</v>
      </c>
      <c r="EJ57" s="4">
        <v>40216.85</v>
      </c>
      <c r="EK57" s="4">
        <v>3055.9</v>
      </c>
      <c r="EL57" s="4"/>
      <c r="EM57" s="4">
        <f t="shared" si="50"/>
        <v>43272.75</v>
      </c>
      <c r="EP57" s="13"/>
      <c r="EQ57" s="13"/>
      <c r="ER57" s="12"/>
      <c r="ES57" s="4"/>
      <c r="ET57" s="4"/>
      <c r="EU57" s="4"/>
      <c r="EV57" s="4"/>
      <c r="EY57" s="13"/>
      <c r="EZ57" s="13"/>
      <c r="FA57" s="12"/>
      <c r="FB57" s="4"/>
      <c r="FC57" s="4"/>
      <c r="FD57" s="4"/>
      <c r="FE57" s="4"/>
      <c r="FH57" s="13"/>
      <c r="FI57" s="13"/>
      <c r="FJ57" s="12"/>
      <c r="FK57" s="4"/>
      <c r="FL57" s="4"/>
      <c r="FM57" s="4"/>
      <c r="FN57" s="4"/>
      <c r="FQ57" s="13"/>
      <c r="FR57" s="13"/>
      <c r="FS57" s="12"/>
      <c r="FT57" s="4"/>
      <c r="FU57" s="4"/>
      <c r="FV57" s="4"/>
      <c r="FW57" s="4"/>
      <c r="FZ57" s="13"/>
      <c r="GA57" s="13"/>
      <c r="GB57" s="12"/>
      <c r="GC57" s="4"/>
      <c r="GD57" s="4"/>
      <c r="GE57" s="4"/>
      <c r="GF57" s="4"/>
      <c r="GI57" s="13"/>
      <c r="GJ57" s="13"/>
      <c r="GK57" s="12"/>
      <c r="GL57" s="4"/>
      <c r="GM57" s="4"/>
      <c r="GN57" s="4"/>
      <c r="GO57" s="4"/>
    </row>
    <row r="58" spans="1:197" x14ac:dyDescent="0.3">
      <c r="A58" s="1">
        <v>33</v>
      </c>
      <c r="B58" s="3">
        <f t="shared" si="1"/>
        <v>23</v>
      </c>
      <c r="C58" s="13">
        <f t="shared" si="60"/>
        <v>46904</v>
      </c>
      <c r="D58" s="12"/>
      <c r="E58" s="4">
        <f t="shared" si="28"/>
        <v>101095900.3503578</v>
      </c>
      <c r="F58" s="4">
        <f t="shared" si="29"/>
        <v>4649886.1359388344</v>
      </c>
      <c r="G58" s="4">
        <f t="shared" si="30"/>
        <v>1643835.9202070928</v>
      </c>
      <c r="H58" s="4">
        <f t="shared" si="31"/>
        <v>6293722.0561459269</v>
      </c>
      <c r="I58" s="383"/>
      <c r="J58" s="383"/>
      <c r="K58" s="4"/>
      <c r="P58"/>
      <c r="R58" s="3"/>
      <c r="AF58"/>
      <c r="AH58" s="3"/>
      <c r="AR58" s="1">
        <v>33</v>
      </c>
      <c r="AS58" s="13">
        <f t="shared" si="5"/>
        <v>48638</v>
      </c>
      <c r="AT58" s="13">
        <v>48630</v>
      </c>
      <c r="AU58" s="12"/>
      <c r="AV58" s="4">
        <f t="shared" si="57"/>
        <v>1820234.5155946468</v>
      </c>
      <c r="AW58" s="4">
        <v>525047.46469953598</v>
      </c>
      <c r="AX58" s="4">
        <f t="shared" si="58"/>
        <v>35960.990364510806</v>
      </c>
      <c r="AY58" s="4">
        <f t="shared" si="65"/>
        <v>561008.45506404678</v>
      </c>
      <c r="AZ58" s="383"/>
      <c r="BA58" s="383"/>
      <c r="BB58" s="383"/>
      <c r="BC58" s="383"/>
      <c r="BD58" s="383"/>
      <c r="BE58" s="383"/>
      <c r="BH58" s="13"/>
      <c r="BI58" s="13"/>
      <c r="BJ58" s="12"/>
      <c r="BK58" s="4"/>
      <c r="BL58" s="4"/>
      <c r="BM58" s="4"/>
      <c r="BN58" s="4"/>
      <c r="BO58" s="4"/>
      <c r="BW58" s="13"/>
      <c r="BX58" s="13"/>
      <c r="BY58" s="12"/>
      <c r="BZ58" s="4"/>
      <c r="CA58" s="4"/>
      <c r="CB58" s="4"/>
      <c r="CC58" s="4"/>
      <c r="CD58" s="4"/>
      <c r="CE58" s="4"/>
      <c r="CM58" s="13"/>
      <c r="CN58" s="13"/>
      <c r="CO58" s="12"/>
      <c r="CP58" s="4"/>
      <c r="CQ58" s="4"/>
      <c r="CR58" s="4"/>
      <c r="CS58" s="4"/>
      <c r="CV58" s="13"/>
      <c r="CW58" s="13"/>
      <c r="CX58" s="12"/>
      <c r="CY58" s="4"/>
      <c r="CZ58" s="4"/>
      <c r="DA58" s="4"/>
      <c r="DB58" s="4"/>
      <c r="DD58" s="1">
        <v>33</v>
      </c>
      <c r="DE58" s="13">
        <f>+EOMONTH(DF58,0)</f>
        <v>48760</v>
      </c>
      <c r="DF58" s="13">
        <v>48747</v>
      </c>
      <c r="DG58" s="12"/>
      <c r="DH58" s="4">
        <f t="shared" si="47"/>
        <v>1135893.0788674592</v>
      </c>
      <c r="DI58" s="4">
        <v>283973.26000000699</v>
      </c>
      <c r="DJ58" s="4">
        <v>21045.58</v>
      </c>
      <c r="DK58" s="4">
        <f t="shared" si="64"/>
        <v>305018.84000000701</v>
      </c>
      <c r="DL58" s="386"/>
      <c r="DM58" s="1">
        <v>33</v>
      </c>
      <c r="DN58" s="13">
        <f t="shared" si="0"/>
        <v>48791</v>
      </c>
      <c r="DO58" s="13">
        <v>48765</v>
      </c>
      <c r="DP58" s="12"/>
      <c r="DQ58" s="4">
        <f t="shared" si="48"/>
        <v>-8.73134023277089E-2</v>
      </c>
      <c r="DR58" s="4">
        <v>39494.31</v>
      </c>
      <c r="DS58" s="4">
        <f t="shared" si="59"/>
        <v>581.02583942432932</v>
      </c>
      <c r="DT58" s="4">
        <f t="shared" si="15"/>
        <v>40075.335839424326</v>
      </c>
      <c r="DW58" s="13"/>
      <c r="DX58" s="13"/>
      <c r="DY58" s="12"/>
      <c r="DZ58" s="4"/>
      <c r="EA58" s="4"/>
      <c r="EB58" s="4"/>
      <c r="EC58" s="4"/>
      <c r="EE58" s="1">
        <v>33</v>
      </c>
      <c r="EF58" s="13">
        <f t="shared" si="16"/>
        <v>48669</v>
      </c>
      <c r="EG58" s="13">
        <v>48655</v>
      </c>
      <c r="EH58" s="115"/>
      <c r="EI58" s="4">
        <f t="shared" si="49"/>
        <v>1698826.5199999977</v>
      </c>
      <c r="EJ58" s="4">
        <v>40216.85</v>
      </c>
      <c r="EK58" s="4">
        <v>2446.96</v>
      </c>
      <c r="EL58" s="4"/>
      <c r="EM58" s="4">
        <f t="shared" si="50"/>
        <v>42663.81</v>
      </c>
      <c r="EP58" s="13"/>
      <c r="EQ58" s="13"/>
      <c r="ER58" s="12"/>
      <c r="ES58" s="4"/>
      <c r="ET58" s="4"/>
      <c r="EU58" s="4"/>
      <c r="EV58" s="4"/>
      <c r="EY58" s="13"/>
      <c r="EZ58" s="13"/>
      <c r="FA58" s="12"/>
      <c r="FB58" s="4"/>
      <c r="FC58" s="4"/>
      <c r="FD58" s="4"/>
      <c r="FE58" s="4"/>
      <c r="FH58" s="13"/>
      <c r="FI58" s="13"/>
      <c r="FJ58" s="12"/>
      <c r="FK58" s="4"/>
      <c r="FL58" s="4"/>
      <c r="FM58" s="4"/>
      <c r="FN58" s="4"/>
      <c r="FQ58" s="13"/>
      <c r="FR58" s="13"/>
      <c r="FS58" s="12"/>
      <c r="FT58" s="4"/>
      <c r="FU58" s="4"/>
      <c r="FV58" s="4"/>
      <c r="FW58" s="4"/>
      <c r="FZ58" s="13"/>
      <c r="GA58" s="13"/>
      <c r="GB58" s="12"/>
      <c r="GC58" s="4"/>
      <c r="GD58" s="4"/>
      <c r="GE58" s="4"/>
      <c r="GF58" s="4"/>
      <c r="GI58" s="13"/>
      <c r="GJ58" s="13"/>
      <c r="GK58" s="12"/>
      <c r="GL58" s="4"/>
      <c r="GM58" s="4"/>
      <c r="GN58" s="4"/>
      <c r="GO58" s="4"/>
    </row>
    <row r="59" spans="1:197" x14ac:dyDescent="0.3">
      <c r="A59" s="1">
        <v>34</v>
      </c>
      <c r="B59" s="3">
        <f t="shared" si="1"/>
        <v>27</v>
      </c>
      <c r="C59" s="13">
        <f t="shared" si="60"/>
        <v>46934</v>
      </c>
      <c r="D59" s="12"/>
      <c r="E59" s="4">
        <f t="shared" si="28"/>
        <v>95319730.977357805</v>
      </c>
      <c r="F59" s="4">
        <f t="shared" si="29"/>
        <v>5776169.3729999997</v>
      </c>
      <c r="G59" s="4">
        <f t="shared" si="30"/>
        <v>356474.67830466677</v>
      </c>
      <c r="H59" s="4">
        <f t="shared" si="31"/>
        <v>6132644.0513046663</v>
      </c>
      <c r="I59" s="383"/>
      <c r="J59" s="383"/>
      <c r="K59" s="4"/>
      <c r="P59"/>
      <c r="AF59"/>
      <c r="AR59" s="1">
        <v>34</v>
      </c>
      <c r="AS59" s="13">
        <f t="shared" si="5"/>
        <v>48730</v>
      </c>
      <c r="AT59" s="13">
        <v>48719</v>
      </c>
      <c r="AU59" s="12"/>
      <c r="AV59" s="4">
        <f t="shared" si="57"/>
        <v>1295187.0508951107</v>
      </c>
      <c r="AW59" s="4">
        <v>525047.46469953598</v>
      </c>
      <c r="AX59" s="4">
        <f t="shared" si="58"/>
        <v>27000.145314653928</v>
      </c>
      <c r="AY59" s="4">
        <f t="shared" si="65"/>
        <v>552047.61001418997</v>
      </c>
      <c r="AZ59" s="383"/>
      <c r="BA59" s="383"/>
      <c r="BB59" s="383"/>
      <c r="BC59" s="383"/>
      <c r="BD59" s="383"/>
      <c r="BE59" s="383"/>
      <c r="BH59" s="13"/>
      <c r="BI59" s="13"/>
      <c r="BJ59" s="12"/>
      <c r="BK59" s="4"/>
      <c r="BL59" s="4"/>
      <c r="BM59" s="4"/>
      <c r="BN59" s="4"/>
      <c r="BO59" s="4"/>
      <c r="BW59" s="13"/>
      <c r="BX59" s="13"/>
      <c r="BY59" s="12"/>
      <c r="BZ59" s="4"/>
      <c r="CA59" s="4"/>
      <c r="CB59" s="4"/>
      <c r="CC59" s="4"/>
      <c r="CD59" s="4"/>
      <c r="CE59" s="4"/>
      <c r="CM59" s="13"/>
      <c r="CN59" s="13"/>
      <c r="CO59" s="12"/>
      <c r="CP59" s="4"/>
      <c r="CQ59" s="4"/>
      <c r="CR59" s="4"/>
      <c r="CS59" s="4"/>
      <c r="CV59" s="13"/>
      <c r="CW59" s="13"/>
      <c r="CX59" s="12"/>
      <c r="CY59" s="4"/>
      <c r="CZ59" s="4"/>
      <c r="DA59" s="4"/>
      <c r="DB59" s="4"/>
      <c r="DD59" s="1">
        <v>34</v>
      </c>
      <c r="DE59" s="13">
        <f>+EOMONTH(DF59,0)</f>
        <v>48852</v>
      </c>
      <c r="DF59" s="13">
        <v>48837</v>
      </c>
      <c r="DG59" s="12"/>
      <c r="DH59" s="4">
        <f t="shared" si="47"/>
        <v>851919.81886745919</v>
      </c>
      <c r="DI59" s="4">
        <v>283973.26</v>
      </c>
      <c r="DJ59" s="4">
        <v>16470.45</v>
      </c>
      <c r="DK59" s="4">
        <f t="shared" si="64"/>
        <v>300443.71000000002</v>
      </c>
      <c r="DL59" s="386"/>
      <c r="DN59" s="13"/>
      <c r="DO59" s="13"/>
      <c r="DP59" s="12"/>
      <c r="DQ59" s="4"/>
      <c r="DR59" s="4"/>
      <c r="DS59" s="4"/>
      <c r="DT59" s="4"/>
      <c r="DW59" s="13"/>
      <c r="DX59" s="13"/>
      <c r="DY59" s="12"/>
      <c r="DZ59" s="4"/>
      <c r="EA59" s="4"/>
      <c r="EB59" s="4"/>
      <c r="EC59" s="4"/>
      <c r="EE59" s="1">
        <v>34</v>
      </c>
      <c r="EF59" s="13">
        <f t="shared" si="16"/>
        <v>48760</v>
      </c>
      <c r="EG59" s="13">
        <v>48747</v>
      </c>
      <c r="EH59" s="115"/>
      <c r="EI59" s="4">
        <f t="shared" si="49"/>
        <v>1658609.6699999976</v>
      </c>
      <c r="EJ59" s="4">
        <v>40216.85</v>
      </c>
      <c r="EK59" s="4">
        <v>1851.4</v>
      </c>
      <c r="EL59" s="4"/>
      <c r="EM59" s="4">
        <f t="shared" si="50"/>
        <v>42068.25</v>
      </c>
      <c r="EP59" s="13"/>
      <c r="EQ59" s="13"/>
      <c r="ER59" s="12"/>
      <c r="ES59" s="4"/>
      <c r="ET59" s="4"/>
      <c r="EU59" s="4"/>
      <c r="EV59" s="4"/>
      <c r="EY59" s="13"/>
      <c r="EZ59" s="13"/>
      <c r="FA59" s="12"/>
      <c r="FB59" s="4"/>
      <c r="FC59" s="4"/>
      <c r="FD59" s="4"/>
      <c r="FE59" s="4"/>
      <c r="FH59" s="13"/>
      <c r="FI59" s="13"/>
      <c r="FJ59" s="12"/>
      <c r="FK59" s="4"/>
      <c r="FL59" s="4"/>
      <c r="FM59" s="4"/>
      <c r="FN59" s="4"/>
      <c r="FQ59" s="13"/>
      <c r="FR59" s="13"/>
      <c r="FS59" s="12"/>
      <c r="FT59" s="4"/>
      <c r="FU59" s="4"/>
      <c r="FV59" s="4"/>
      <c r="FW59" s="4"/>
      <c r="FZ59" s="13"/>
      <c r="GA59" s="13"/>
      <c r="GB59" s="12"/>
      <c r="GC59" s="4"/>
      <c r="GD59" s="4"/>
      <c r="GE59" s="4"/>
      <c r="GF59" s="4"/>
      <c r="GI59" s="13"/>
      <c r="GJ59" s="13"/>
      <c r="GK59" s="12"/>
      <c r="GL59" s="4"/>
      <c r="GM59" s="4"/>
      <c r="GN59" s="4"/>
      <c r="GO59" s="4"/>
    </row>
    <row r="60" spans="1:197" x14ac:dyDescent="0.3">
      <c r="A60" s="1">
        <v>35</v>
      </c>
      <c r="B60" s="3">
        <f t="shared" si="1"/>
        <v>32</v>
      </c>
      <c r="C60" s="13">
        <f t="shared" si="60"/>
        <v>46965</v>
      </c>
      <c r="D60" s="12"/>
      <c r="E60" s="4">
        <f t="shared" si="28"/>
        <v>95219678.768825382</v>
      </c>
      <c r="F60" s="4">
        <f t="shared" si="29"/>
        <v>100052.20853242368</v>
      </c>
      <c r="G60" s="4">
        <f t="shared" si="30"/>
        <v>19974.096156585194</v>
      </c>
      <c r="H60" s="4">
        <f t="shared" si="31"/>
        <v>120026.30468900887</v>
      </c>
      <c r="I60" s="383"/>
      <c r="J60" s="383"/>
      <c r="K60" s="4"/>
      <c r="P60"/>
      <c r="AF60"/>
      <c r="AR60" s="1">
        <v>35</v>
      </c>
      <c r="AS60" s="13">
        <f t="shared" si="5"/>
        <v>48822</v>
      </c>
      <c r="AT60" s="13">
        <v>48811</v>
      </c>
      <c r="AU60" s="12"/>
      <c r="AV60" s="4">
        <f t="shared" si="57"/>
        <v>770139.58619557472</v>
      </c>
      <c r="AW60" s="4">
        <v>525047.46469953598</v>
      </c>
      <c r="AX60" s="4">
        <f t="shared" si="58"/>
        <v>19859.534780391696</v>
      </c>
      <c r="AY60" s="4">
        <f t="shared" si="65"/>
        <v>544906.9994799277</v>
      </c>
      <c r="AZ60" s="383"/>
      <c r="BA60" s="383"/>
      <c r="BB60" s="383"/>
      <c r="BC60" s="383"/>
      <c r="BD60" s="383"/>
      <c r="BE60" s="383"/>
      <c r="BH60" s="13"/>
      <c r="BI60" s="13"/>
      <c r="BJ60" s="12"/>
      <c r="BK60" s="4"/>
      <c r="BL60" s="4"/>
      <c r="BM60" s="4"/>
      <c r="BN60" s="4"/>
      <c r="BO60" s="4"/>
      <c r="BW60" s="13"/>
      <c r="BX60" s="13"/>
      <c r="BY60" s="12"/>
      <c r="BZ60" s="4"/>
      <c r="CA60" s="4"/>
      <c r="CB60" s="4"/>
      <c r="CC60" s="4"/>
      <c r="CD60" s="4"/>
      <c r="CE60" s="4"/>
      <c r="CM60" s="13"/>
      <c r="CN60" s="13"/>
      <c r="CO60" s="12"/>
      <c r="CP60" s="4"/>
      <c r="CQ60" s="4"/>
      <c r="CR60" s="4"/>
      <c r="CS60" s="4"/>
      <c r="CV60" s="13"/>
      <c r="CW60" s="13"/>
      <c r="CX60" s="12"/>
      <c r="CY60" s="4"/>
      <c r="CZ60" s="4"/>
      <c r="DA60" s="4"/>
      <c r="DB60" s="4"/>
      <c r="DD60" s="1">
        <v>35</v>
      </c>
      <c r="DE60" s="13">
        <f>+EOMONTH(DF60,0)</f>
        <v>48944</v>
      </c>
      <c r="DF60" s="13">
        <v>48928</v>
      </c>
      <c r="DG60" s="12"/>
      <c r="DH60" s="4">
        <f t="shared" si="47"/>
        <v>567946.55886745919</v>
      </c>
      <c r="DI60" s="4">
        <v>283973.26</v>
      </c>
      <c r="DJ60" s="4">
        <v>12490.09</v>
      </c>
      <c r="DK60" s="4">
        <f t="shared" si="64"/>
        <v>296463.35000000003</v>
      </c>
      <c r="DN60" s="13"/>
      <c r="DO60" s="13"/>
      <c r="DP60" s="12"/>
      <c r="DQ60" s="4"/>
      <c r="DR60" s="4"/>
      <c r="DS60" s="4"/>
      <c r="DT60" s="4"/>
      <c r="DW60" s="13"/>
      <c r="DX60" s="13"/>
      <c r="DY60" s="12"/>
      <c r="DZ60" s="4"/>
      <c r="EA60" s="4"/>
      <c r="EB60" s="4"/>
      <c r="EC60" s="4"/>
      <c r="EE60" s="1">
        <v>35</v>
      </c>
      <c r="EF60" s="13">
        <f t="shared" si="16"/>
        <v>48852</v>
      </c>
      <c r="EG60" s="13">
        <v>48837</v>
      </c>
      <c r="EH60" s="115"/>
      <c r="EI60" s="4">
        <f t="shared" si="49"/>
        <v>1618392.7999999975</v>
      </c>
      <c r="EJ60" s="4">
        <v>40216.870000000003</v>
      </c>
      <c r="EK60" s="4">
        <v>1222.3900000000001</v>
      </c>
      <c r="EL60" s="4"/>
      <c r="EM60" s="4">
        <f t="shared" si="50"/>
        <v>41439.26</v>
      </c>
      <c r="EP60" s="13"/>
      <c r="EQ60" s="13"/>
      <c r="ER60" s="12"/>
      <c r="ES60" s="4"/>
      <c r="ET60" s="4"/>
      <c r="EU60" s="4"/>
      <c r="EV60" s="4"/>
      <c r="EY60" s="13"/>
      <c r="EZ60" s="13"/>
      <c r="FA60" s="12"/>
      <c r="FB60" s="4"/>
      <c r="FC60" s="4"/>
      <c r="FD60" s="4"/>
      <c r="FE60" s="4"/>
      <c r="FH60" s="13"/>
      <c r="FI60" s="13"/>
      <c r="FJ60" s="12"/>
      <c r="FK60" s="4"/>
      <c r="FL60" s="4"/>
      <c r="FM60" s="4"/>
      <c r="FN60" s="4"/>
      <c r="FQ60" s="13"/>
      <c r="FR60" s="13"/>
      <c r="FS60" s="12"/>
      <c r="FT60" s="4"/>
      <c r="FU60" s="4"/>
      <c r="FV60" s="4"/>
      <c r="FW60" s="4"/>
      <c r="FZ60" s="13"/>
      <c r="GA60" s="13"/>
      <c r="GB60" s="12"/>
      <c r="GC60" s="4"/>
      <c r="GD60" s="4"/>
      <c r="GE60" s="4"/>
      <c r="GF60" s="4"/>
      <c r="GI60" s="13"/>
      <c r="GJ60" s="13"/>
      <c r="GK60" s="12"/>
      <c r="GL60" s="4"/>
      <c r="GM60" s="4"/>
      <c r="GN60" s="4"/>
      <c r="GO60" s="4"/>
    </row>
    <row r="61" spans="1:197" x14ac:dyDescent="0.3">
      <c r="A61" s="1">
        <v>36</v>
      </c>
      <c r="B61" s="3">
        <f t="shared" si="1"/>
        <v>36</v>
      </c>
      <c r="C61" s="13">
        <f t="shared" si="60"/>
        <v>46996</v>
      </c>
      <c r="D61" s="12"/>
      <c r="E61" s="4">
        <f t="shared" si="28"/>
        <v>90569792.632886544</v>
      </c>
      <c r="F61" s="4">
        <f t="shared" si="29"/>
        <v>4649886.1359388344</v>
      </c>
      <c r="G61" s="4">
        <f t="shared" si="30"/>
        <v>1598654.693222224</v>
      </c>
      <c r="H61" s="4">
        <f t="shared" si="31"/>
        <v>6248540.8291610582</v>
      </c>
      <c r="I61" s="383">
        <f>+H61</f>
        <v>6248540.8291610582</v>
      </c>
      <c r="J61" s="383" t="s">
        <v>656</v>
      </c>
      <c r="K61" s="4"/>
      <c r="P61"/>
      <c r="AF61"/>
      <c r="AR61" s="1">
        <v>36</v>
      </c>
      <c r="AS61" s="13">
        <f t="shared" si="5"/>
        <v>48913</v>
      </c>
      <c r="AT61" s="13">
        <v>48903</v>
      </c>
      <c r="AU61" s="12"/>
      <c r="AV61" s="4">
        <f t="shared" si="57"/>
        <v>245092.12149603874</v>
      </c>
      <c r="AW61" s="4">
        <v>525047.46469953598</v>
      </c>
      <c r="AX61" s="4">
        <f t="shared" si="58"/>
        <v>11808.806988332144</v>
      </c>
      <c r="AY61" s="4">
        <f t="shared" si="65"/>
        <v>536856.27168786817</v>
      </c>
      <c r="AZ61" s="383"/>
      <c r="BA61" s="383"/>
      <c r="BB61" s="383"/>
      <c r="BC61" s="383"/>
      <c r="BD61" s="383"/>
      <c r="BE61" s="383"/>
      <c r="BH61" s="13"/>
      <c r="BI61" s="13"/>
      <c r="BJ61" s="12"/>
      <c r="BK61" s="4"/>
      <c r="BL61" s="4"/>
      <c r="BM61" s="4"/>
      <c r="BN61" s="4"/>
      <c r="BO61" s="4"/>
      <c r="BW61" s="13"/>
      <c r="BX61" s="13"/>
      <c r="BY61" s="12"/>
      <c r="BZ61" s="4"/>
      <c r="CA61" s="4"/>
      <c r="CB61" s="4"/>
      <c r="CC61" s="4"/>
      <c r="CD61" s="4"/>
      <c r="CE61" s="4"/>
      <c r="CM61" s="13"/>
      <c r="CN61" s="13"/>
      <c r="CO61" s="12"/>
      <c r="CP61" s="4"/>
      <c r="CQ61" s="4"/>
      <c r="CR61" s="4"/>
      <c r="CS61" s="4"/>
      <c r="CV61" s="13"/>
      <c r="CW61" s="13"/>
      <c r="CX61" s="12"/>
      <c r="CY61" s="4"/>
      <c r="CZ61" s="4"/>
      <c r="DA61" s="4"/>
      <c r="DB61" s="4"/>
      <c r="DD61" s="1">
        <v>36</v>
      </c>
      <c r="DE61" s="13">
        <f>+EOMONTH(DF61,0)</f>
        <v>49034</v>
      </c>
      <c r="DF61" s="13">
        <v>49019</v>
      </c>
      <c r="DG61" s="12"/>
      <c r="DH61" s="4">
        <f t="shared" si="47"/>
        <v>283973.29886745918</v>
      </c>
      <c r="DI61" s="4">
        <v>283973.26</v>
      </c>
      <c r="DJ61" s="4">
        <v>8326.73</v>
      </c>
      <c r="DK61" s="4">
        <f t="shared" si="64"/>
        <v>292299.99</v>
      </c>
      <c r="DN61" s="13"/>
      <c r="DO61" s="13"/>
      <c r="DP61" s="12"/>
      <c r="DQ61" s="4"/>
      <c r="DR61" s="4"/>
      <c r="DS61" s="4"/>
      <c r="DT61" s="4"/>
      <c r="DW61" s="13"/>
      <c r="DX61" s="13"/>
      <c r="DY61" s="12"/>
      <c r="DZ61" s="4"/>
      <c r="EA61" s="4"/>
      <c r="EB61" s="4"/>
      <c r="EC61" s="4"/>
      <c r="EE61" s="1">
        <v>36</v>
      </c>
      <c r="EF61" s="13">
        <f t="shared" si="16"/>
        <v>48944</v>
      </c>
      <c r="EG61" s="13">
        <v>48928</v>
      </c>
      <c r="EH61" s="115"/>
      <c r="EI61" s="4">
        <f t="shared" si="49"/>
        <v>1087389.7899999975</v>
      </c>
      <c r="EJ61" s="4">
        <v>531003.01</v>
      </c>
      <c r="EK61" s="4">
        <v>620.14</v>
      </c>
      <c r="EL61" s="4"/>
      <c r="EM61" s="4">
        <f t="shared" si="50"/>
        <v>531623.15</v>
      </c>
      <c r="EP61" s="13"/>
      <c r="EQ61" s="13"/>
      <c r="ER61" s="12"/>
      <c r="ES61" s="4"/>
      <c r="ET61" s="4"/>
      <c r="EU61" s="4"/>
      <c r="EV61" s="4"/>
      <c r="EY61" s="13"/>
      <c r="EZ61" s="13"/>
      <c r="FA61" s="12"/>
      <c r="FB61" s="4"/>
      <c r="FC61" s="4"/>
      <c r="FD61" s="4"/>
      <c r="FE61" s="4"/>
      <c r="FH61" s="13"/>
      <c r="FI61" s="13"/>
      <c r="FJ61" s="12"/>
      <c r="FK61" s="4"/>
      <c r="FL61" s="4"/>
      <c r="FM61" s="4"/>
      <c r="FN61" s="4"/>
      <c r="FQ61" s="13"/>
      <c r="FR61" s="13"/>
      <c r="FS61" s="12"/>
      <c r="FT61" s="4"/>
      <c r="FU61" s="4"/>
      <c r="FV61" s="4"/>
      <c r="FW61" s="4"/>
      <c r="FZ61" s="13"/>
      <c r="GA61" s="13"/>
      <c r="GB61" s="12"/>
      <c r="GC61" s="4"/>
      <c r="GD61" s="4"/>
      <c r="GE61" s="4"/>
      <c r="GF61" s="4"/>
      <c r="GI61" s="13"/>
      <c r="GJ61" s="13"/>
      <c r="GK61" s="12"/>
      <c r="GL61" s="4"/>
      <c r="GM61" s="4"/>
      <c r="GN61" s="4"/>
      <c r="GO61" s="4"/>
    </row>
    <row r="62" spans="1:197" x14ac:dyDescent="0.3">
      <c r="A62" s="1">
        <v>37</v>
      </c>
      <c r="B62" s="3">
        <f t="shared" si="1"/>
        <v>40</v>
      </c>
      <c r="C62" s="13">
        <f t="shared" si="60"/>
        <v>47026</v>
      </c>
      <c r="D62" s="12"/>
      <c r="E62" s="4">
        <f t="shared" si="28"/>
        <v>84793623.259886548</v>
      </c>
      <c r="F62" s="4">
        <f t="shared" si="29"/>
        <v>5776169.3729999997</v>
      </c>
      <c r="G62" s="4">
        <f t="shared" si="30"/>
        <v>268714.29293866677</v>
      </c>
      <c r="H62" s="4">
        <f t="shared" si="31"/>
        <v>6044883.6659386661</v>
      </c>
      <c r="I62" s="383"/>
      <c r="P62"/>
      <c r="AF62"/>
      <c r="AR62" s="1">
        <v>37</v>
      </c>
      <c r="AS62" s="13">
        <f t="shared" si="5"/>
        <v>49003</v>
      </c>
      <c r="AT62" s="13">
        <v>48997</v>
      </c>
      <c r="AU62" s="12"/>
      <c r="AV62" s="4">
        <f t="shared" si="57"/>
        <v>-7.4214767664670944E-9</v>
      </c>
      <c r="AW62" s="4">
        <v>245092.12149604617</v>
      </c>
      <c r="AX62" s="4">
        <f t="shared" si="58"/>
        <v>3839.7765701046064</v>
      </c>
      <c r="AY62" s="4">
        <f t="shared" si="65"/>
        <v>248931.89806615078</v>
      </c>
      <c r="AZ62" s="383"/>
      <c r="BA62" s="383"/>
      <c r="BB62" s="383"/>
      <c r="BC62" s="383"/>
      <c r="BD62" s="383"/>
      <c r="BE62" s="383"/>
      <c r="BJ62"/>
      <c r="BY62"/>
      <c r="CO62"/>
      <c r="CX62"/>
      <c r="DD62" s="1">
        <v>37</v>
      </c>
      <c r="DE62" s="13">
        <f>+EOMONTH(DF62,0)</f>
        <v>49125</v>
      </c>
      <c r="DF62" s="13">
        <v>49111</v>
      </c>
      <c r="DG62"/>
      <c r="DH62" s="4">
        <f t="shared" si="47"/>
        <v>3.8867459166795015E-2</v>
      </c>
      <c r="DI62" s="4">
        <v>283973.26</v>
      </c>
      <c r="DJ62" s="4">
        <v>4209.12</v>
      </c>
      <c r="DK62" s="4">
        <f t="shared" si="64"/>
        <v>288182.38</v>
      </c>
      <c r="DP62"/>
      <c r="DY62"/>
      <c r="EE62" s="1">
        <v>37</v>
      </c>
      <c r="EF62" s="13">
        <f t="shared" si="16"/>
        <v>49034</v>
      </c>
      <c r="EG62" s="13">
        <v>49019</v>
      </c>
      <c r="EH62" s="115"/>
      <c r="EI62" s="4">
        <f t="shared" si="49"/>
        <v>548258.30999999749</v>
      </c>
      <c r="EJ62" s="4">
        <v>539131.48</v>
      </c>
      <c r="EK62" s="1">
        <v>88653.24</v>
      </c>
      <c r="EM62" s="4">
        <f t="shared" si="50"/>
        <v>627784.72</v>
      </c>
      <c r="ER62"/>
      <c r="FA62"/>
      <c r="FJ62"/>
      <c r="FS62"/>
      <c r="GB62"/>
      <c r="GK62"/>
    </row>
    <row r="63" spans="1:197" x14ac:dyDescent="0.3">
      <c r="A63" s="1">
        <v>38</v>
      </c>
      <c r="B63" s="3">
        <f t="shared" si="1"/>
        <v>45</v>
      </c>
      <c r="C63" s="13">
        <f t="shared" si="60"/>
        <v>47057</v>
      </c>
      <c r="D63" s="12"/>
      <c r="E63" s="4">
        <f t="shared" si="28"/>
        <v>84693571.051354125</v>
      </c>
      <c r="F63" s="4">
        <f t="shared" si="29"/>
        <v>100052.20853242368</v>
      </c>
      <c r="G63" s="4">
        <f t="shared" si="30"/>
        <v>18702.833959552481</v>
      </c>
      <c r="H63" s="4">
        <f t="shared" si="31"/>
        <v>118755.04249197617</v>
      </c>
      <c r="I63" s="383"/>
      <c r="EE63" s="1">
        <v>38</v>
      </c>
      <c r="EF63" s="13">
        <f t="shared" si="16"/>
        <v>49125</v>
      </c>
      <c r="EG63" s="13">
        <v>49111</v>
      </c>
      <c r="EH63" s="115"/>
      <c r="EI63" s="4">
        <f t="shared" si="49"/>
        <v>-2.5611370801925659E-9</v>
      </c>
      <c r="EJ63" s="4">
        <v>548258.31000000006</v>
      </c>
      <c r="EK63" s="1">
        <v>79526.41</v>
      </c>
      <c r="EM63" s="4">
        <f t="shared" si="50"/>
        <v>627784.72000000009</v>
      </c>
    </row>
    <row r="64" spans="1:197" x14ac:dyDescent="0.3">
      <c r="A64" s="1">
        <v>39</v>
      </c>
      <c r="B64" s="3">
        <f t="shared" si="1"/>
        <v>49</v>
      </c>
      <c r="C64" s="13">
        <f t="shared" si="60"/>
        <v>47087</v>
      </c>
      <c r="D64" s="12"/>
      <c r="E64" s="4">
        <f t="shared" si="28"/>
        <v>80043684.915415287</v>
      </c>
      <c r="F64" s="4">
        <f t="shared" si="29"/>
        <v>4649886.1359388344</v>
      </c>
      <c r="G64" s="4">
        <f t="shared" si="30"/>
        <v>1527422.680147273</v>
      </c>
      <c r="H64" s="4">
        <f t="shared" si="31"/>
        <v>6177308.8160861079</v>
      </c>
      <c r="I64" s="383"/>
    </row>
    <row r="65" spans="1:10" x14ac:dyDescent="0.3">
      <c r="A65" s="1">
        <v>40</v>
      </c>
      <c r="B65" s="3">
        <f t="shared" si="1"/>
        <v>53</v>
      </c>
      <c r="C65" s="13">
        <f t="shared" si="60"/>
        <v>47118</v>
      </c>
      <c r="D65" s="12"/>
      <c r="E65" s="4">
        <f t="shared" si="28"/>
        <v>74267515.542415291</v>
      </c>
      <c r="F65" s="4">
        <f t="shared" si="29"/>
        <v>5776169.3729999997</v>
      </c>
      <c r="G65" s="4">
        <f t="shared" si="30"/>
        <v>180027.86803383339</v>
      </c>
      <c r="H65" s="4">
        <f t="shared" si="31"/>
        <v>5956197.2410338335</v>
      </c>
      <c r="I65" s="383"/>
      <c r="J65" s="444"/>
    </row>
    <row r="66" spans="1:10" x14ac:dyDescent="0.3">
      <c r="A66" s="1">
        <v>41</v>
      </c>
      <c r="B66" s="3">
        <f t="shared" si="1"/>
        <v>5</v>
      </c>
      <c r="C66" s="13">
        <f t="shared" si="60"/>
        <v>47149</v>
      </c>
      <c r="D66" s="12"/>
      <c r="E66" s="4">
        <f t="shared" si="28"/>
        <v>74167463.333882868</v>
      </c>
      <c r="F66" s="4">
        <f t="shared" si="29"/>
        <v>100052.20853242368</v>
      </c>
      <c r="G66" s="4">
        <f t="shared" si="30"/>
        <v>17230.129381193579</v>
      </c>
      <c r="H66" s="4">
        <f t="shared" si="31"/>
        <v>117282.33791361726</v>
      </c>
      <c r="I66" s="383"/>
    </row>
    <row r="67" spans="1:10" x14ac:dyDescent="0.3">
      <c r="A67" s="1">
        <v>42</v>
      </c>
      <c r="B67" s="3">
        <f t="shared" si="1"/>
        <v>9</v>
      </c>
      <c r="C67" s="13">
        <f t="shared" si="60"/>
        <v>47177</v>
      </c>
      <c r="D67" s="12"/>
      <c r="E67" s="4">
        <f t="shared" si="28"/>
        <v>69517577.19794403</v>
      </c>
      <c r="F67" s="4">
        <f t="shared" si="29"/>
        <v>4649886.1359388344</v>
      </c>
      <c r="G67" s="4">
        <f t="shared" si="30"/>
        <v>1456190.667072322</v>
      </c>
      <c r="H67" s="4">
        <f t="shared" si="31"/>
        <v>6106076.8030111566</v>
      </c>
      <c r="I67" s="383"/>
    </row>
    <row r="68" spans="1:10" x14ac:dyDescent="0.3">
      <c r="A68" s="1">
        <v>43</v>
      </c>
      <c r="B68" s="3">
        <f t="shared" si="1"/>
        <v>13</v>
      </c>
      <c r="C68" s="13">
        <f t="shared" si="60"/>
        <v>47208</v>
      </c>
      <c r="D68" s="12"/>
      <c r="E68" s="4">
        <f t="shared" si="28"/>
        <v>69089069.117944032</v>
      </c>
      <c r="F68" s="4">
        <f t="shared" si="29"/>
        <v>428508.07999999996</v>
      </c>
      <c r="G68" s="4">
        <f t="shared" si="30"/>
        <v>93158.769549999997</v>
      </c>
      <c r="H68" s="4">
        <f t="shared" si="31"/>
        <v>521666.84954999993</v>
      </c>
      <c r="I68" s="383"/>
    </row>
    <row r="69" spans="1:10" x14ac:dyDescent="0.3">
      <c r="A69" s="1">
        <v>44</v>
      </c>
      <c r="B69" s="3">
        <f t="shared" si="1"/>
        <v>18</v>
      </c>
      <c r="C69" s="13">
        <f t="shared" si="60"/>
        <v>47238</v>
      </c>
      <c r="D69" s="12"/>
      <c r="E69" s="4">
        <f t="shared" si="28"/>
        <v>68989016.909411609</v>
      </c>
      <c r="F69" s="4">
        <f t="shared" si="29"/>
        <v>100052.20853242368</v>
      </c>
      <c r="G69" s="4">
        <f t="shared" si="30"/>
        <v>15450.585990944834</v>
      </c>
      <c r="H69" s="4">
        <f t="shared" si="31"/>
        <v>115502.79452336852</v>
      </c>
      <c r="I69" s="383">
        <f>+H69</f>
        <v>115502.79452336852</v>
      </c>
      <c r="J69" s="356" t="s">
        <v>657</v>
      </c>
    </row>
    <row r="70" spans="1:10" x14ac:dyDescent="0.3">
      <c r="A70" s="1">
        <v>45</v>
      </c>
      <c r="B70" s="3">
        <f t="shared" si="1"/>
        <v>22</v>
      </c>
      <c r="C70" s="13">
        <f t="shared" si="60"/>
        <v>47269</v>
      </c>
      <c r="D70" s="12"/>
      <c r="E70" s="4">
        <f t="shared" si="28"/>
        <v>64339130.773472771</v>
      </c>
      <c r="F70" s="4">
        <f t="shared" si="29"/>
        <v>4649886.1359388344</v>
      </c>
      <c r="G70" s="4">
        <f t="shared" si="30"/>
        <v>1355173.6070024583</v>
      </c>
      <c r="H70" s="4">
        <f t="shared" si="31"/>
        <v>6005059.7429412929</v>
      </c>
      <c r="I70" s="383"/>
      <c r="J70" s="444"/>
    </row>
    <row r="71" spans="1:10" x14ac:dyDescent="0.3">
      <c r="A71" s="1">
        <v>46</v>
      </c>
      <c r="B71" s="3">
        <f t="shared" si="1"/>
        <v>26</v>
      </c>
      <c r="C71" s="13">
        <f t="shared" si="60"/>
        <v>47299</v>
      </c>
      <c r="D71" s="12"/>
      <c r="E71" s="4">
        <f t="shared" si="28"/>
        <v>63910622.81347277</v>
      </c>
      <c r="F71" s="4">
        <f t="shared" si="29"/>
        <v>428507.95999999996</v>
      </c>
      <c r="G71" s="4">
        <f t="shared" si="30"/>
        <v>144375.33000000002</v>
      </c>
      <c r="H71" s="4">
        <f t="shared" si="31"/>
        <v>572883.29</v>
      </c>
      <c r="I71" s="383"/>
    </row>
    <row r="72" spans="1:10" x14ac:dyDescent="0.3">
      <c r="A72" s="1">
        <v>47</v>
      </c>
      <c r="B72" s="3">
        <f t="shared" si="1"/>
        <v>31</v>
      </c>
      <c r="C72" s="13">
        <f t="shared" si="60"/>
        <v>47330</v>
      </c>
      <c r="D72" s="12"/>
      <c r="E72" s="4">
        <f t="shared" si="28"/>
        <v>63810570.604940347</v>
      </c>
      <c r="F72" s="4">
        <f t="shared" si="29"/>
        <v>100052.20853242368</v>
      </c>
      <c r="G72" s="4">
        <f t="shared" si="30"/>
        <v>14147.308476991277</v>
      </c>
      <c r="H72" s="4">
        <f t="shared" si="31"/>
        <v>114199.51700941497</v>
      </c>
      <c r="I72" s="383"/>
    </row>
    <row r="73" spans="1:10" x14ac:dyDescent="0.3">
      <c r="A73" s="1">
        <v>48</v>
      </c>
      <c r="B73" s="3">
        <f t="shared" si="1"/>
        <v>35</v>
      </c>
      <c r="C73" s="13">
        <f t="shared" si="60"/>
        <v>47361</v>
      </c>
      <c r="D73" s="12"/>
      <c r="E73" s="4">
        <f t="shared" si="28"/>
        <v>59160684.469001517</v>
      </c>
      <c r="F73" s="4">
        <f t="shared" si="29"/>
        <v>4649886.1359388344</v>
      </c>
      <c r="G73" s="4">
        <f t="shared" si="30"/>
        <v>1313726.6409224202</v>
      </c>
      <c r="H73" s="4">
        <f t="shared" si="31"/>
        <v>5963612.7768612541</v>
      </c>
      <c r="I73" s="383"/>
    </row>
    <row r="74" spans="1:10" x14ac:dyDescent="0.3">
      <c r="A74" s="1">
        <v>49</v>
      </c>
      <c r="B74" s="3">
        <f t="shared" si="1"/>
        <v>39</v>
      </c>
      <c r="C74" s="13">
        <f t="shared" si="60"/>
        <v>47391</v>
      </c>
      <c r="D74" s="12"/>
      <c r="E74" s="4">
        <f t="shared" si="28"/>
        <v>58732176.509001516</v>
      </c>
      <c r="F74" s="4">
        <f t="shared" si="29"/>
        <v>428507.95999999996</v>
      </c>
      <c r="G74" s="4">
        <f t="shared" si="30"/>
        <v>136145.49</v>
      </c>
      <c r="H74" s="4">
        <f t="shared" si="31"/>
        <v>564653.44999999995</v>
      </c>
      <c r="I74" s="383">
        <f>+H74</f>
        <v>564653.44999999995</v>
      </c>
      <c r="J74" s="356" t="s">
        <v>658</v>
      </c>
    </row>
    <row r="75" spans="1:10" x14ac:dyDescent="0.3">
      <c r="A75" s="1">
        <v>50</v>
      </c>
      <c r="B75" s="3">
        <f t="shared" si="1"/>
        <v>44</v>
      </c>
      <c r="C75" s="13">
        <f t="shared" si="60"/>
        <v>47422</v>
      </c>
      <c r="D75" s="12"/>
      <c r="E75" s="4">
        <f t="shared" si="28"/>
        <v>58563102.133781247</v>
      </c>
      <c r="F75" s="4">
        <f t="shared" si="29"/>
        <v>169074.37522027033</v>
      </c>
      <c r="G75" s="4">
        <f t="shared" si="30"/>
        <v>12561.824302900217</v>
      </c>
      <c r="H75" s="4">
        <f t="shared" si="31"/>
        <v>181636.19952317054</v>
      </c>
      <c r="I75" s="383">
        <f>+H75</f>
        <v>181636.19952317054</v>
      </c>
      <c r="J75" s="444"/>
    </row>
    <row r="76" spans="1:10" x14ac:dyDescent="0.3">
      <c r="A76" s="1">
        <v>51</v>
      </c>
      <c r="B76" s="3">
        <f t="shared" si="1"/>
        <v>48</v>
      </c>
      <c r="C76" s="13">
        <f t="shared" si="60"/>
        <v>47452</v>
      </c>
      <c r="D76" s="12"/>
      <c r="E76" s="4">
        <f t="shared" si="28"/>
        <v>53913215.997842416</v>
      </c>
      <c r="F76" s="4">
        <f t="shared" si="29"/>
        <v>4649886.1359388344</v>
      </c>
      <c r="G76" s="4">
        <f t="shared" si="30"/>
        <v>770944.08169408934</v>
      </c>
      <c r="H76" s="4">
        <f t="shared" si="31"/>
        <v>5420830.2176329233</v>
      </c>
      <c r="I76" s="383"/>
    </row>
    <row r="77" spans="1:10" x14ac:dyDescent="0.3">
      <c r="A77" s="1">
        <v>52</v>
      </c>
      <c r="B77" s="3">
        <f t="shared" si="1"/>
        <v>53</v>
      </c>
      <c r="C77" s="13">
        <f t="shared" si="60"/>
        <v>47483</v>
      </c>
      <c r="D77" s="12"/>
      <c r="E77" s="4">
        <f t="shared" si="28"/>
        <v>53589025.887842417</v>
      </c>
      <c r="F77" s="4">
        <f t="shared" si="29"/>
        <v>324190.11</v>
      </c>
      <c r="G77" s="4">
        <f t="shared" si="30"/>
        <v>79103.91</v>
      </c>
      <c r="H77" s="4">
        <f t="shared" si="31"/>
        <v>403294.02</v>
      </c>
      <c r="I77" s="383"/>
    </row>
    <row r="78" spans="1:10" x14ac:dyDescent="0.3">
      <c r="A78" s="1">
        <v>53</v>
      </c>
      <c r="B78" s="3">
        <f t="shared" si="1"/>
        <v>5</v>
      </c>
      <c r="C78" s="13">
        <f t="shared" si="60"/>
        <v>47514</v>
      </c>
      <c r="D78" s="12"/>
      <c r="E78" s="4">
        <f t="shared" si="28"/>
        <v>53549531.577842414</v>
      </c>
      <c r="F78" s="4">
        <f t="shared" si="29"/>
        <v>39494.31</v>
      </c>
      <c r="G78" s="4">
        <f t="shared" si="30"/>
        <v>9002.726637627331</v>
      </c>
      <c r="H78" s="4">
        <f t="shared" si="31"/>
        <v>48497.03663762733</v>
      </c>
      <c r="I78" s="383"/>
    </row>
    <row r="79" spans="1:10" x14ac:dyDescent="0.3">
      <c r="A79" s="1">
        <v>54</v>
      </c>
      <c r="B79" s="3">
        <f t="shared" si="1"/>
        <v>9</v>
      </c>
      <c r="C79" s="13">
        <f t="shared" si="60"/>
        <v>47542</v>
      </c>
      <c r="D79" s="12"/>
      <c r="E79" s="4">
        <f t="shared" si="28"/>
        <v>48899645.441903576</v>
      </c>
      <c r="F79" s="4">
        <f t="shared" si="29"/>
        <v>4649886.1359388344</v>
      </c>
      <c r="G79" s="4">
        <f t="shared" si="30"/>
        <v>699712.06861913844</v>
      </c>
      <c r="H79" s="4">
        <f t="shared" si="31"/>
        <v>5349598.204557973</v>
      </c>
      <c r="I79" s="383">
        <f>+H79</f>
        <v>5349598.204557973</v>
      </c>
      <c r="J79" s="356" t="s">
        <v>656</v>
      </c>
    </row>
    <row r="80" spans="1:10" x14ac:dyDescent="0.3">
      <c r="A80" s="1">
        <v>55</v>
      </c>
      <c r="B80" s="3">
        <f t="shared" si="1"/>
        <v>13</v>
      </c>
      <c r="C80" s="13">
        <f t="shared" si="60"/>
        <v>47573</v>
      </c>
      <c r="D80" s="12"/>
      <c r="E80" s="4">
        <f t="shared" si="28"/>
        <v>48575455.331903577</v>
      </c>
      <c r="F80" s="4">
        <f t="shared" si="29"/>
        <v>324190.11</v>
      </c>
      <c r="G80" s="4">
        <f t="shared" si="30"/>
        <v>74940.55</v>
      </c>
      <c r="H80" s="4">
        <f t="shared" si="31"/>
        <v>399130.66</v>
      </c>
      <c r="I80" s="383"/>
    </row>
    <row r="81" spans="1:10" x14ac:dyDescent="0.3">
      <c r="A81" s="1">
        <v>56</v>
      </c>
      <c r="B81" s="3">
        <f t="shared" si="1"/>
        <v>18</v>
      </c>
      <c r="C81" s="13">
        <f t="shared" si="60"/>
        <v>47603</v>
      </c>
      <c r="D81" s="12"/>
      <c r="E81" s="4">
        <f t="shared" si="28"/>
        <v>48535961.021903574</v>
      </c>
      <c r="F81" s="4">
        <f t="shared" si="29"/>
        <v>39494.31</v>
      </c>
      <c r="G81" s="4">
        <f t="shared" si="30"/>
        <v>7866.2121282213293</v>
      </c>
      <c r="H81" s="4">
        <f t="shared" si="31"/>
        <v>47360.522128221324</v>
      </c>
      <c r="I81" s="383"/>
    </row>
    <row r="82" spans="1:10" x14ac:dyDescent="0.3">
      <c r="A82" s="1">
        <v>57</v>
      </c>
      <c r="B82" s="3">
        <f t="shared" si="1"/>
        <v>22</v>
      </c>
      <c r="C82" s="13">
        <f t="shared" si="60"/>
        <v>47634</v>
      </c>
      <c r="D82" s="12"/>
      <c r="E82" s="4">
        <f t="shared" si="28"/>
        <v>43886074.885964736</v>
      </c>
      <c r="F82" s="4">
        <f t="shared" si="29"/>
        <v>4649886.1359388344</v>
      </c>
      <c r="G82" s="4">
        <f t="shared" si="30"/>
        <v>607986.14068948547</v>
      </c>
      <c r="H82" s="4">
        <f t="shared" si="31"/>
        <v>5257872.2766283201</v>
      </c>
      <c r="I82" s="383"/>
    </row>
    <row r="83" spans="1:10" x14ac:dyDescent="0.3">
      <c r="A83" s="1">
        <v>58</v>
      </c>
      <c r="B83" s="3">
        <f t="shared" si="1"/>
        <v>26</v>
      </c>
      <c r="C83" s="13">
        <f t="shared" si="60"/>
        <v>47664</v>
      </c>
      <c r="D83" s="12"/>
      <c r="E83" s="4">
        <f t="shared" si="28"/>
        <v>43561884.775964737</v>
      </c>
      <c r="F83" s="4">
        <f t="shared" si="29"/>
        <v>324190.11</v>
      </c>
      <c r="G83" s="4">
        <f t="shared" si="30"/>
        <v>72332.72</v>
      </c>
      <c r="H83" s="4">
        <f t="shared" si="31"/>
        <v>396522.82999999996</v>
      </c>
      <c r="I83" s="383"/>
    </row>
    <row r="84" spans="1:10" x14ac:dyDescent="0.3">
      <c r="A84" s="1">
        <v>59</v>
      </c>
      <c r="B84" s="3">
        <f t="shared" si="1"/>
        <v>31</v>
      </c>
      <c r="C84" s="13">
        <f t="shared" si="60"/>
        <v>47695</v>
      </c>
      <c r="D84" s="12"/>
      <c r="E84" s="4">
        <f t="shared" si="28"/>
        <v>43522390.465964735</v>
      </c>
      <c r="F84" s="4">
        <f t="shared" si="29"/>
        <v>39494.31</v>
      </c>
      <c r="G84" s="4">
        <f t="shared" si="30"/>
        <v>7553.3513268243287</v>
      </c>
      <c r="H84" s="4">
        <f t="shared" si="31"/>
        <v>47047.661326824324</v>
      </c>
      <c r="I84" s="383"/>
    </row>
    <row r="85" spans="1:10" x14ac:dyDescent="0.3">
      <c r="A85" s="1">
        <v>60</v>
      </c>
      <c r="B85" s="3">
        <f t="shared" si="1"/>
        <v>35</v>
      </c>
      <c r="C85" s="13">
        <f t="shared" si="60"/>
        <v>47726</v>
      </c>
      <c r="D85" s="12"/>
      <c r="E85" s="4">
        <f t="shared" si="28"/>
        <v>38872504.330025896</v>
      </c>
      <c r="F85" s="4">
        <f t="shared" si="29"/>
        <v>4649886.1359388344</v>
      </c>
      <c r="G85" s="4">
        <f t="shared" si="30"/>
        <v>557248.0424692363</v>
      </c>
      <c r="H85" s="4">
        <f t="shared" si="31"/>
        <v>5207134.1784080705</v>
      </c>
      <c r="I85" s="383"/>
    </row>
    <row r="86" spans="1:10" x14ac:dyDescent="0.3">
      <c r="A86" s="1">
        <v>61</v>
      </c>
      <c r="B86" s="3">
        <f t="shared" si="1"/>
        <v>40</v>
      </c>
      <c r="C86" s="13">
        <f t="shared" si="60"/>
        <v>47756</v>
      </c>
      <c r="D86" s="12"/>
      <c r="E86" s="4">
        <f t="shared" si="28"/>
        <v>38548314.220025897</v>
      </c>
      <c r="F86" s="4">
        <f t="shared" si="29"/>
        <v>324190.11</v>
      </c>
      <c r="G86" s="4">
        <f t="shared" si="30"/>
        <v>65149.78</v>
      </c>
      <c r="H86" s="4">
        <f t="shared" si="31"/>
        <v>389339.89</v>
      </c>
      <c r="I86" s="383"/>
    </row>
    <row r="87" spans="1:10" x14ac:dyDescent="0.3">
      <c r="A87" s="1">
        <v>62</v>
      </c>
      <c r="B87" s="3">
        <f t="shared" si="1"/>
        <v>44</v>
      </c>
      <c r="C87" s="13">
        <f t="shared" si="60"/>
        <v>47787</v>
      </c>
      <c r="D87" s="12"/>
      <c r="E87" s="4">
        <f t="shared" si="28"/>
        <v>38508819.910025895</v>
      </c>
      <c r="F87" s="4">
        <f t="shared" si="29"/>
        <v>39494.31</v>
      </c>
      <c r="G87" s="4">
        <f t="shared" si="30"/>
        <v>7202.1810447273283</v>
      </c>
      <c r="H87" s="4">
        <f t="shared" si="31"/>
        <v>46696.491044727329</v>
      </c>
      <c r="I87" s="383"/>
    </row>
    <row r="88" spans="1:10" x14ac:dyDescent="0.3">
      <c r="A88" s="1">
        <v>63</v>
      </c>
      <c r="B88" s="3">
        <f t="shared" si="1"/>
        <v>48</v>
      </c>
      <c r="C88" s="13">
        <f t="shared" si="60"/>
        <v>47817</v>
      </c>
      <c r="D88" s="12"/>
      <c r="E88" s="4">
        <f t="shared" si="28"/>
        <v>33858933.774087057</v>
      </c>
      <c r="F88" s="4">
        <f t="shared" si="29"/>
        <v>4649886.1359388344</v>
      </c>
      <c r="G88" s="4">
        <f t="shared" si="30"/>
        <v>486016.02939428529</v>
      </c>
      <c r="H88" s="4">
        <f t="shared" si="31"/>
        <v>5135902.1653331202</v>
      </c>
      <c r="I88" s="383"/>
    </row>
    <row r="89" spans="1:10" x14ac:dyDescent="0.3">
      <c r="A89" s="1">
        <v>64</v>
      </c>
      <c r="B89" s="3">
        <f t="shared" si="1"/>
        <v>53</v>
      </c>
      <c r="C89" s="13">
        <f t="shared" si="60"/>
        <v>47848</v>
      </c>
      <c r="D89" s="12"/>
      <c r="E89" s="4">
        <f t="shared" si="28"/>
        <v>33534743.664087057</v>
      </c>
      <c r="F89" s="4">
        <f t="shared" si="29"/>
        <v>324190.11</v>
      </c>
      <c r="G89" s="4">
        <f t="shared" si="30"/>
        <v>62450.45</v>
      </c>
      <c r="H89" s="4">
        <f t="shared" si="31"/>
        <v>386640.56</v>
      </c>
      <c r="I89" s="383"/>
    </row>
    <row r="90" spans="1:10" x14ac:dyDescent="0.3">
      <c r="A90" s="1">
        <v>65</v>
      </c>
      <c r="B90" s="3">
        <f t="shared" ref="B90:B153" si="66">+WEEKNUM(C90,2)</f>
        <v>5</v>
      </c>
      <c r="C90" s="13">
        <f t="shared" si="60"/>
        <v>47879</v>
      </c>
      <c r="D90" s="12"/>
      <c r="E90" s="4">
        <f t="shared" si="28"/>
        <v>33495249.354087058</v>
      </c>
      <c r="F90" s="4">
        <f t="shared" si="29"/>
        <v>39494.31</v>
      </c>
      <c r="G90" s="4">
        <f t="shared" si="30"/>
        <v>6391.2970789243282</v>
      </c>
      <c r="H90" s="4">
        <f t="shared" si="31"/>
        <v>45885.607078924324</v>
      </c>
      <c r="I90" s="383"/>
    </row>
    <row r="91" spans="1:10" x14ac:dyDescent="0.3">
      <c r="A91" s="1">
        <v>66</v>
      </c>
      <c r="B91" s="3">
        <f t="shared" si="66"/>
        <v>9</v>
      </c>
      <c r="C91" s="13">
        <f t="shared" si="60"/>
        <v>47907</v>
      </c>
      <c r="D91" s="12"/>
      <c r="E91" s="4">
        <f t="shared" ref="E91:E154" si="67">+E90+D91-F91</f>
        <v>28845363.218148224</v>
      </c>
      <c r="F91" s="4">
        <f t="shared" ref="F91:F154" si="68">+SUMIF(N:N,C91,R:R)+SUMIF(AD:AD,C91,AH:AH)+SUMIF(AS:AS,C91,AW:AW)+SUMIF(BH:BH,C91,BL:BL)+SUMIF(BW:BW,C91,CA:CA)+SUMIF(BW:BW,C91,CB:CB)+SUMIF(CM:CM,C91,CQ:CQ)+SUMIF(CV:CV,C91,CZ:CZ)+SUMIF(DE:DE,C91,DI:DI)+SUMIF(DN:DN,C91,DR:DR)+SUMIF(DW:DW,C91,EA:EA)+SUMIF(EF:EF,C91,EJ:EJ)+SUMIF(EP:EP,C91,ET:ET)+SUMIF(EY:EY,C91,FC:FC)+SUMIF(FH:FH,C91,FL:FL)+SUMIF(FQ:FQ,C91,FU:FU)+SUMIF(FZ:FZ,C91,GD:GD)+SUMIF(GI:GI,C91,GM:GM)</f>
        <v>4649886.1359388344</v>
      </c>
      <c r="G91" s="4">
        <f t="shared" ref="G91:G154" si="69">+SUMIF(N:N,C91,S:S)+SUMIF(N:N,C91,T:T)+SUMIF(AD:AD,C91,AI:AI)+SUMIF(AS:AS,C91,AX:AX)+SUMIF(BH:BH,C91,BM:BM)+SUMIF(BW:BW,C91,CD:CD)+SUMIF(BW:BW,C91,CC:CC)+SUMIF(CM:CM,C91,CR:CR)+SUMIF(CV:CV,C91,DA:DA)+SUMIF(DE:DE,C91,DJ:DJ)+SUMIF(DN:DN,C91,DS:DS)+SUMIF(DX:DX,C91,EB:EB)+SUMIF(EG:EG,C91,EK:EK)+SUMIF(EP:EP,C91,EU:EU)+SUMIF(EY:EY,C91,FD:FD)+SUMIF(FH:FH,C91,FM:FM)+SUMIF(FQ:FQ,C91,FV:FV)+SUMIF(FZ:FZ,C91,GE:GE)+SUMIF(GI:GI,C91,GN:GN)</f>
        <v>414784.01631933427</v>
      </c>
      <c r="H91" s="4">
        <f t="shared" ref="H91:H154" si="70">+SUM(F91:G91)</f>
        <v>5064670.1522581689</v>
      </c>
      <c r="I91" s="383"/>
      <c r="J91" s="444"/>
    </row>
    <row r="92" spans="1:10" x14ac:dyDescent="0.3">
      <c r="A92" s="1">
        <v>67</v>
      </c>
      <c r="B92" s="3">
        <f t="shared" si="66"/>
        <v>14</v>
      </c>
      <c r="C92" s="13">
        <f t="shared" si="60"/>
        <v>47938</v>
      </c>
      <c r="D92" s="12"/>
      <c r="E92" s="4">
        <f t="shared" si="67"/>
        <v>28521173.108148225</v>
      </c>
      <c r="F92" s="4">
        <f t="shared" si="68"/>
        <v>324190.11</v>
      </c>
      <c r="G92" s="4">
        <f t="shared" si="69"/>
        <v>58287.09</v>
      </c>
      <c r="H92" s="4">
        <f t="shared" si="70"/>
        <v>382477.19999999995</v>
      </c>
      <c r="I92" s="383"/>
    </row>
    <row r="93" spans="1:10" x14ac:dyDescent="0.3">
      <c r="A93" s="1">
        <v>68</v>
      </c>
      <c r="B93" s="3">
        <f t="shared" si="66"/>
        <v>18</v>
      </c>
      <c r="C93" s="13">
        <f t="shared" ref="C93:C156" si="71">+EOMONTH(C92,1)</f>
        <v>47968</v>
      </c>
      <c r="D93" s="12"/>
      <c r="E93" s="4">
        <f t="shared" si="67"/>
        <v>28481678.798148226</v>
      </c>
      <c r="F93" s="4">
        <f t="shared" si="68"/>
        <v>39494.31</v>
      </c>
      <c r="G93" s="4">
        <f t="shared" si="69"/>
        <v>5810.2699549743284</v>
      </c>
      <c r="H93" s="4">
        <f t="shared" si="70"/>
        <v>45304.579954974324</v>
      </c>
      <c r="I93" s="383"/>
    </row>
    <row r="94" spans="1:10" x14ac:dyDescent="0.3">
      <c r="A94" s="1">
        <v>69</v>
      </c>
      <c r="B94" s="3">
        <f t="shared" si="66"/>
        <v>22</v>
      </c>
      <c r="C94" s="13">
        <f t="shared" si="71"/>
        <v>47999</v>
      </c>
      <c r="D94" s="12"/>
      <c r="E94" s="4">
        <f t="shared" si="67"/>
        <v>23831792.662209392</v>
      </c>
      <c r="F94" s="4">
        <f t="shared" si="68"/>
        <v>4649886.1359388344</v>
      </c>
      <c r="G94" s="4">
        <f t="shared" si="69"/>
        <v>332349.22052989254</v>
      </c>
      <c r="H94" s="4">
        <f t="shared" si="70"/>
        <v>4982235.3564687269</v>
      </c>
      <c r="I94" s="383"/>
    </row>
    <row r="95" spans="1:10" x14ac:dyDescent="0.3">
      <c r="A95" s="1">
        <v>70</v>
      </c>
      <c r="B95" s="3">
        <f t="shared" si="66"/>
        <v>27</v>
      </c>
      <c r="C95" s="13">
        <f t="shared" si="71"/>
        <v>48029</v>
      </c>
      <c r="D95" s="12"/>
      <c r="E95" s="4">
        <f t="shared" si="67"/>
        <v>23507602.552209392</v>
      </c>
      <c r="F95" s="4">
        <f t="shared" si="68"/>
        <v>324190.11</v>
      </c>
      <c r="G95" s="4">
        <f t="shared" si="69"/>
        <v>54123.72</v>
      </c>
      <c r="H95" s="4">
        <f t="shared" si="70"/>
        <v>378313.82999999996</v>
      </c>
      <c r="I95" s="383"/>
    </row>
    <row r="96" spans="1:10" x14ac:dyDescent="0.3">
      <c r="A96" s="1">
        <v>71</v>
      </c>
      <c r="B96" s="3">
        <f t="shared" si="66"/>
        <v>31</v>
      </c>
      <c r="C96" s="13">
        <f t="shared" si="71"/>
        <v>48060</v>
      </c>
      <c r="D96" s="12"/>
      <c r="E96" s="4">
        <f t="shared" si="67"/>
        <v>23418538.482209392</v>
      </c>
      <c r="F96" s="4">
        <f t="shared" si="68"/>
        <v>89064.07</v>
      </c>
      <c r="G96" s="4">
        <f t="shared" si="69"/>
        <v>5895.6807154687667</v>
      </c>
      <c r="H96" s="4">
        <f t="shared" si="70"/>
        <v>94959.750715468777</v>
      </c>
      <c r="I96" s="383"/>
      <c r="J96" s="444"/>
    </row>
    <row r="97" spans="1:10" x14ac:dyDescent="0.3">
      <c r="A97" s="1">
        <v>72</v>
      </c>
      <c r="B97" s="3">
        <f t="shared" si="66"/>
        <v>35</v>
      </c>
      <c r="C97" s="13">
        <f t="shared" si="71"/>
        <v>48091</v>
      </c>
      <c r="D97" s="12"/>
      <c r="E97" s="4">
        <f t="shared" si="67"/>
        <v>18820493.136270557</v>
      </c>
      <c r="F97" s="4">
        <f t="shared" si="68"/>
        <v>4598045.3459388344</v>
      </c>
      <c r="G97" s="4">
        <f t="shared" si="69"/>
        <v>271623.25965387665</v>
      </c>
      <c r="H97" s="4">
        <f t="shared" si="70"/>
        <v>4869668.6055927109</v>
      </c>
      <c r="I97" s="383"/>
    </row>
    <row r="98" spans="1:10" x14ac:dyDescent="0.3">
      <c r="A98" s="1">
        <v>73</v>
      </c>
      <c r="B98" s="3">
        <f t="shared" si="66"/>
        <v>40</v>
      </c>
      <c r="C98" s="13">
        <f t="shared" si="71"/>
        <v>48121</v>
      </c>
      <c r="D98" s="12"/>
      <c r="E98" s="4">
        <f t="shared" si="67"/>
        <v>18496303.026270557</v>
      </c>
      <c r="F98" s="4">
        <f t="shared" si="68"/>
        <v>324190.11</v>
      </c>
      <c r="G98" s="4">
        <f t="shared" si="69"/>
        <v>49960.37</v>
      </c>
      <c r="H98" s="4">
        <f t="shared" si="70"/>
        <v>374150.48</v>
      </c>
      <c r="I98" s="383"/>
    </row>
    <row r="99" spans="1:10" x14ac:dyDescent="0.3">
      <c r="A99" s="1">
        <v>74</v>
      </c>
      <c r="B99" s="3">
        <f t="shared" si="66"/>
        <v>44</v>
      </c>
      <c r="C99" s="13">
        <f t="shared" si="71"/>
        <v>48152</v>
      </c>
      <c r="D99" s="12"/>
      <c r="E99" s="4">
        <f t="shared" si="67"/>
        <v>18456808.716270559</v>
      </c>
      <c r="F99" s="4">
        <f t="shared" si="68"/>
        <v>39494.31</v>
      </c>
      <c r="G99" s="4">
        <f t="shared" si="69"/>
        <v>4648.2157070743287</v>
      </c>
      <c r="H99" s="4">
        <f t="shared" si="70"/>
        <v>44142.525707074325</v>
      </c>
      <c r="I99" s="383"/>
    </row>
    <row r="100" spans="1:10" x14ac:dyDescent="0.3">
      <c r="A100" s="1">
        <v>75</v>
      </c>
      <c r="B100" s="3">
        <f t="shared" si="66"/>
        <v>48</v>
      </c>
      <c r="C100" s="13">
        <f t="shared" si="71"/>
        <v>48182</v>
      </c>
      <c r="D100" s="12"/>
      <c r="E100" s="4">
        <f t="shared" si="67"/>
        <v>13858763.370331723</v>
      </c>
      <c r="F100" s="4">
        <f t="shared" si="68"/>
        <v>4598045.3459388344</v>
      </c>
      <c r="G100" s="4">
        <f t="shared" si="69"/>
        <v>201119.89768281457</v>
      </c>
      <c r="H100" s="4">
        <f t="shared" si="70"/>
        <v>4799165.2436216492</v>
      </c>
      <c r="I100" s="383"/>
    </row>
    <row r="101" spans="1:10" x14ac:dyDescent="0.3">
      <c r="A101" s="1">
        <v>76</v>
      </c>
      <c r="B101" s="3">
        <f t="shared" si="66"/>
        <v>53</v>
      </c>
      <c r="C101" s="13">
        <f t="shared" si="71"/>
        <v>48213</v>
      </c>
      <c r="D101" s="12"/>
      <c r="E101" s="4">
        <f t="shared" si="67"/>
        <v>13534573.260331724</v>
      </c>
      <c r="F101" s="4">
        <f t="shared" si="68"/>
        <v>324190.11</v>
      </c>
      <c r="G101" s="4">
        <f t="shared" si="69"/>
        <v>45797</v>
      </c>
      <c r="H101" s="4">
        <f t="shared" si="70"/>
        <v>369987.11</v>
      </c>
      <c r="I101" s="383"/>
    </row>
    <row r="102" spans="1:10" x14ac:dyDescent="0.3">
      <c r="A102" s="1">
        <v>77</v>
      </c>
      <c r="B102" s="3">
        <f t="shared" si="66"/>
        <v>5</v>
      </c>
      <c r="C102" s="13">
        <f t="shared" si="71"/>
        <v>48244</v>
      </c>
      <c r="D102" s="12"/>
      <c r="E102" s="4">
        <f t="shared" si="67"/>
        <v>13495078.950331723</v>
      </c>
      <c r="F102" s="4">
        <f t="shared" si="68"/>
        <v>39494.31</v>
      </c>
      <c r="G102" s="4">
        <f t="shared" si="69"/>
        <v>4067.1885831243294</v>
      </c>
      <c r="H102" s="4">
        <f t="shared" si="70"/>
        <v>43561.498583124325</v>
      </c>
      <c r="I102" s="383"/>
    </row>
    <row r="103" spans="1:10" x14ac:dyDescent="0.3">
      <c r="A103" s="1">
        <v>78</v>
      </c>
      <c r="B103" s="3">
        <f t="shared" si="66"/>
        <v>9</v>
      </c>
      <c r="C103" s="13">
        <f t="shared" si="71"/>
        <v>48273</v>
      </c>
      <c r="D103" s="12"/>
      <c r="E103" s="4">
        <f t="shared" si="67"/>
        <v>8897033.6043928899</v>
      </c>
      <c r="F103" s="4">
        <f t="shared" si="68"/>
        <v>4598045.3459388344</v>
      </c>
      <c r="G103" s="4">
        <f t="shared" si="69"/>
        <v>123149.37292948031</v>
      </c>
      <c r="H103" s="4">
        <f t="shared" si="70"/>
        <v>4721194.7188683143</v>
      </c>
      <c r="I103" s="383"/>
    </row>
    <row r="104" spans="1:10" x14ac:dyDescent="0.3">
      <c r="A104" s="1">
        <v>79</v>
      </c>
      <c r="B104" s="3">
        <f t="shared" si="66"/>
        <v>14</v>
      </c>
      <c r="C104" s="13">
        <f t="shared" si="71"/>
        <v>48304</v>
      </c>
      <c r="D104" s="12"/>
      <c r="E104" s="4">
        <f t="shared" si="67"/>
        <v>8572843.4943928905</v>
      </c>
      <c r="F104" s="4">
        <f t="shared" si="68"/>
        <v>324190.11</v>
      </c>
      <c r="G104" s="4">
        <f t="shared" si="69"/>
        <v>41633.64</v>
      </c>
      <c r="H104" s="4">
        <f t="shared" si="70"/>
        <v>365823.75</v>
      </c>
      <c r="I104" s="383"/>
    </row>
    <row r="105" spans="1:10" x14ac:dyDescent="0.3">
      <c r="A105" s="1">
        <v>80</v>
      </c>
      <c r="B105" s="3">
        <f t="shared" si="66"/>
        <v>18</v>
      </c>
      <c r="C105" s="13">
        <f t="shared" si="71"/>
        <v>48334</v>
      </c>
      <c r="D105" s="12"/>
      <c r="E105" s="4">
        <f t="shared" si="67"/>
        <v>8533349.18439289</v>
      </c>
      <c r="F105" s="4">
        <f t="shared" si="68"/>
        <v>39494.31</v>
      </c>
      <c r="G105" s="4">
        <f t="shared" si="69"/>
        <v>3486.1614591743291</v>
      </c>
      <c r="H105" s="4">
        <f t="shared" si="70"/>
        <v>42980.471459174325</v>
      </c>
      <c r="I105" s="383"/>
    </row>
    <row r="106" spans="1:10" x14ac:dyDescent="0.3">
      <c r="A106" s="1">
        <v>81</v>
      </c>
      <c r="B106" s="3">
        <f t="shared" si="66"/>
        <v>23</v>
      </c>
      <c r="C106" s="13">
        <f t="shared" si="71"/>
        <v>48365</v>
      </c>
      <c r="D106" s="12"/>
      <c r="E106" s="4">
        <f t="shared" si="67"/>
        <v>8008301.7196933543</v>
      </c>
      <c r="F106" s="4">
        <f t="shared" si="68"/>
        <v>525047.46469953598</v>
      </c>
      <c r="G106" s="4">
        <f t="shared" si="69"/>
        <v>58806.365615891875</v>
      </c>
      <c r="H106" s="4">
        <f t="shared" si="70"/>
        <v>583853.83031542785</v>
      </c>
      <c r="I106" s="383">
        <v>0</v>
      </c>
      <c r="J106" s="444"/>
    </row>
    <row r="107" spans="1:10" x14ac:dyDescent="0.3">
      <c r="A107" s="1">
        <v>82</v>
      </c>
      <c r="B107" s="3">
        <f t="shared" si="66"/>
        <v>27</v>
      </c>
      <c r="C107" s="13">
        <f t="shared" si="71"/>
        <v>48395</v>
      </c>
      <c r="D107" s="12"/>
      <c r="E107" s="4">
        <f t="shared" si="67"/>
        <v>7684111.609693354</v>
      </c>
      <c r="F107" s="4">
        <f t="shared" si="68"/>
        <v>324190.11</v>
      </c>
      <c r="G107" s="4">
        <f t="shared" si="69"/>
        <v>37470.269999999997</v>
      </c>
      <c r="H107" s="4">
        <f t="shared" si="70"/>
        <v>361660.38</v>
      </c>
      <c r="I107" s="383"/>
    </row>
    <row r="108" spans="1:10" x14ac:dyDescent="0.3">
      <c r="A108" s="1">
        <v>83</v>
      </c>
      <c r="B108" s="3">
        <f t="shared" si="66"/>
        <v>31</v>
      </c>
      <c r="C108" s="13">
        <f t="shared" si="71"/>
        <v>48426</v>
      </c>
      <c r="D108" s="12"/>
      <c r="E108" s="4">
        <f t="shared" si="67"/>
        <v>7644617.2996933544</v>
      </c>
      <c r="F108" s="4">
        <f t="shared" si="68"/>
        <v>39494.31</v>
      </c>
      <c r="G108" s="4">
        <f t="shared" si="69"/>
        <v>2905.1343352243293</v>
      </c>
      <c r="H108" s="4">
        <f t="shared" si="70"/>
        <v>42399.444335224325</v>
      </c>
      <c r="I108" s="383"/>
    </row>
    <row r="109" spans="1:10" x14ac:dyDescent="0.3">
      <c r="A109" s="1">
        <v>84</v>
      </c>
      <c r="B109" s="3">
        <f t="shared" si="66"/>
        <v>36</v>
      </c>
      <c r="C109" s="13">
        <f t="shared" si="71"/>
        <v>48457</v>
      </c>
      <c r="D109" s="12"/>
      <c r="E109" s="4">
        <f t="shared" si="67"/>
        <v>7119569.8349938188</v>
      </c>
      <c r="F109" s="4">
        <f t="shared" si="68"/>
        <v>525047.46469953598</v>
      </c>
      <c r="G109" s="4">
        <f t="shared" si="69"/>
        <v>52062.445948629909</v>
      </c>
      <c r="H109" s="4">
        <f t="shared" si="70"/>
        <v>577109.91064816585</v>
      </c>
      <c r="I109" s="383"/>
    </row>
    <row r="110" spans="1:10" x14ac:dyDescent="0.3">
      <c r="A110" s="1">
        <v>85</v>
      </c>
      <c r="B110" s="3">
        <f t="shared" si="66"/>
        <v>40</v>
      </c>
      <c r="C110" s="13">
        <f t="shared" si="71"/>
        <v>48487</v>
      </c>
      <c r="D110" s="12"/>
      <c r="E110" s="4">
        <f t="shared" si="67"/>
        <v>6795379.7249938184</v>
      </c>
      <c r="F110" s="4">
        <f t="shared" si="68"/>
        <v>324190.11</v>
      </c>
      <c r="G110" s="4">
        <f t="shared" si="69"/>
        <v>33306.910000000003</v>
      </c>
      <c r="H110" s="4">
        <f t="shared" si="70"/>
        <v>357497.02</v>
      </c>
      <c r="I110" s="383"/>
    </row>
    <row r="111" spans="1:10" x14ac:dyDescent="0.3">
      <c r="A111" s="1">
        <v>86</v>
      </c>
      <c r="B111" s="3">
        <f t="shared" si="66"/>
        <v>44</v>
      </c>
      <c r="C111" s="13">
        <f t="shared" si="71"/>
        <v>48518</v>
      </c>
      <c r="D111" s="12"/>
      <c r="E111" s="4">
        <f t="shared" si="67"/>
        <v>6755885.4149938188</v>
      </c>
      <c r="F111" s="4">
        <f t="shared" si="68"/>
        <v>39494.31</v>
      </c>
      <c r="G111" s="4">
        <f t="shared" si="69"/>
        <v>2349.6468509586625</v>
      </c>
      <c r="H111" s="4">
        <f t="shared" si="70"/>
        <v>41843.956850958661</v>
      </c>
      <c r="I111" s="383"/>
    </row>
    <row r="112" spans="1:10" x14ac:dyDescent="0.3">
      <c r="A112" s="1">
        <v>87</v>
      </c>
      <c r="B112" s="3">
        <f t="shared" si="66"/>
        <v>49</v>
      </c>
      <c r="C112" s="13">
        <f t="shared" si="71"/>
        <v>48548</v>
      </c>
      <c r="D112" s="12"/>
      <c r="E112" s="4">
        <f t="shared" si="67"/>
        <v>6230837.9502942832</v>
      </c>
      <c r="F112" s="4">
        <f t="shared" si="68"/>
        <v>525047.46469953598</v>
      </c>
      <c r="G112" s="4">
        <f t="shared" si="69"/>
        <v>44011.718156570358</v>
      </c>
      <c r="H112" s="4">
        <f t="shared" si="70"/>
        <v>569059.18285610632</v>
      </c>
      <c r="I112" s="383"/>
    </row>
    <row r="113" spans="1:9" x14ac:dyDescent="0.3">
      <c r="A113" s="1">
        <v>88</v>
      </c>
      <c r="B113" s="3">
        <f t="shared" si="66"/>
        <v>53</v>
      </c>
      <c r="C113" s="13">
        <f t="shared" si="71"/>
        <v>48579</v>
      </c>
      <c r="D113" s="12"/>
      <c r="E113" s="4">
        <f t="shared" si="67"/>
        <v>5906647.8402942829</v>
      </c>
      <c r="F113" s="4">
        <f t="shared" si="68"/>
        <v>324190.11</v>
      </c>
      <c r="G113" s="4">
        <f t="shared" si="69"/>
        <v>29143.54</v>
      </c>
      <c r="H113" s="4">
        <f t="shared" si="70"/>
        <v>353333.64999999997</v>
      </c>
      <c r="I113" s="383"/>
    </row>
    <row r="114" spans="1:9" x14ac:dyDescent="0.3">
      <c r="A114" s="1">
        <v>89</v>
      </c>
      <c r="B114" s="3">
        <f t="shared" si="66"/>
        <v>6</v>
      </c>
      <c r="C114" s="13">
        <f t="shared" si="71"/>
        <v>48610</v>
      </c>
      <c r="D114" s="12"/>
      <c r="E114" s="4">
        <f t="shared" si="67"/>
        <v>5867153.5302942833</v>
      </c>
      <c r="F114" s="4">
        <f t="shared" si="68"/>
        <v>39494.31</v>
      </c>
      <c r="G114" s="4">
        <f t="shared" si="69"/>
        <v>1762.2348135586628</v>
      </c>
      <c r="H114" s="4">
        <f t="shared" si="70"/>
        <v>41256.544813558663</v>
      </c>
      <c r="I114" s="383"/>
    </row>
    <row r="115" spans="1:9" x14ac:dyDescent="0.3">
      <c r="A115" s="1">
        <v>90</v>
      </c>
      <c r="B115" s="3">
        <f t="shared" si="66"/>
        <v>10</v>
      </c>
      <c r="C115" s="13">
        <f t="shared" si="71"/>
        <v>48638</v>
      </c>
      <c r="D115" s="12"/>
      <c r="E115" s="4">
        <f t="shared" si="67"/>
        <v>5342106.0655947477</v>
      </c>
      <c r="F115" s="4">
        <f t="shared" si="68"/>
        <v>525047.46469953598</v>
      </c>
      <c r="G115" s="4">
        <f t="shared" si="69"/>
        <v>35960.990364510806</v>
      </c>
      <c r="H115" s="4">
        <f t="shared" si="70"/>
        <v>561008.45506404678</v>
      </c>
      <c r="I115" s="383"/>
    </row>
    <row r="116" spans="1:9" x14ac:dyDescent="0.3">
      <c r="A116" s="1">
        <v>91</v>
      </c>
      <c r="B116" s="3">
        <f t="shared" si="66"/>
        <v>14</v>
      </c>
      <c r="C116" s="13">
        <f t="shared" si="71"/>
        <v>48669</v>
      </c>
      <c r="D116" s="12"/>
      <c r="E116" s="4">
        <f t="shared" si="67"/>
        <v>5017915.9555947473</v>
      </c>
      <c r="F116" s="4">
        <f t="shared" si="68"/>
        <v>324190.11</v>
      </c>
      <c r="G116" s="4">
        <f t="shared" si="69"/>
        <v>24980.18</v>
      </c>
      <c r="H116" s="4">
        <f t="shared" si="70"/>
        <v>349170.29</v>
      </c>
      <c r="I116" s="383"/>
    </row>
    <row r="117" spans="1:9" x14ac:dyDescent="0.3">
      <c r="A117" s="1">
        <v>92</v>
      </c>
      <c r="B117" s="3">
        <f t="shared" si="66"/>
        <v>18</v>
      </c>
      <c r="C117" s="13">
        <f t="shared" si="71"/>
        <v>48699</v>
      </c>
      <c r="D117" s="12"/>
      <c r="E117" s="4">
        <f t="shared" si="67"/>
        <v>4978421.6455947477</v>
      </c>
      <c r="F117" s="4">
        <f t="shared" si="68"/>
        <v>39494.31</v>
      </c>
      <c r="G117" s="4">
        <f t="shared" si="69"/>
        <v>1149.283150589996</v>
      </c>
      <c r="H117" s="4">
        <f t="shared" si="70"/>
        <v>40643.593150589993</v>
      </c>
      <c r="I117" s="383"/>
    </row>
    <row r="118" spans="1:9" x14ac:dyDescent="0.3">
      <c r="A118" s="1">
        <v>93</v>
      </c>
      <c r="B118" s="3">
        <f t="shared" si="66"/>
        <v>23</v>
      </c>
      <c r="C118" s="13">
        <f t="shared" si="71"/>
        <v>48730</v>
      </c>
      <c r="D118" s="12"/>
      <c r="E118" s="4">
        <f t="shared" si="67"/>
        <v>4453374.1808952121</v>
      </c>
      <c r="F118" s="4">
        <f t="shared" si="68"/>
        <v>525047.46469953598</v>
      </c>
      <c r="G118" s="4">
        <f t="shared" si="69"/>
        <v>27000.145314653928</v>
      </c>
      <c r="H118" s="4">
        <f t="shared" si="70"/>
        <v>552047.61001418997</v>
      </c>
      <c r="I118" s="383"/>
    </row>
    <row r="119" spans="1:9" x14ac:dyDescent="0.3">
      <c r="A119" s="1">
        <v>94</v>
      </c>
      <c r="B119" s="3">
        <f t="shared" si="66"/>
        <v>27</v>
      </c>
      <c r="C119" s="13">
        <f t="shared" si="71"/>
        <v>48760</v>
      </c>
      <c r="D119" s="12"/>
      <c r="E119" s="4">
        <f t="shared" si="67"/>
        <v>4129184.0708952053</v>
      </c>
      <c r="F119" s="4">
        <f t="shared" si="68"/>
        <v>324190.11000000697</v>
      </c>
      <c r="G119" s="4">
        <f t="shared" si="69"/>
        <v>21045.58</v>
      </c>
      <c r="H119" s="4">
        <f t="shared" si="70"/>
        <v>345235.69000000699</v>
      </c>
      <c r="I119" s="383"/>
    </row>
    <row r="120" spans="1:9" x14ac:dyDescent="0.3">
      <c r="A120" s="1">
        <v>95</v>
      </c>
      <c r="B120" s="3">
        <f t="shared" si="66"/>
        <v>31</v>
      </c>
      <c r="C120" s="13">
        <f t="shared" si="71"/>
        <v>48791</v>
      </c>
      <c r="D120" s="12"/>
      <c r="E120" s="4">
        <f t="shared" si="67"/>
        <v>4089689.7608952052</v>
      </c>
      <c r="F120" s="4">
        <f t="shared" si="68"/>
        <v>39494.31</v>
      </c>
      <c r="G120" s="4">
        <f t="shared" si="69"/>
        <v>581.02583942432932</v>
      </c>
      <c r="H120" s="4">
        <f t="shared" si="70"/>
        <v>40075.335839424326</v>
      </c>
      <c r="I120" s="383"/>
    </row>
    <row r="121" spans="1:9" x14ac:dyDescent="0.3">
      <c r="A121" s="1">
        <v>96</v>
      </c>
      <c r="B121" s="3">
        <f t="shared" si="66"/>
        <v>36</v>
      </c>
      <c r="C121" s="13">
        <f t="shared" si="71"/>
        <v>48822</v>
      </c>
      <c r="D121" s="12"/>
      <c r="E121" s="4">
        <f t="shared" si="67"/>
        <v>3564642.2961956691</v>
      </c>
      <c r="F121" s="4">
        <f t="shared" si="68"/>
        <v>525047.46469953598</v>
      </c>
      <c r="G121" s="4">
        <f t="shared" si="69"/>
        <v>19859.534780391696</v>
      </c>
      <c r="H121" s="4">
        <f t="shared" si="70"/>
        <v>544906.9994799277</v>
      </c>
      <c r="I121" s="383"/>
    </row>
    <row r="122" spans="1:9" x14ac:dyDescent="0.3">
      <c r="A122" s="1">
        <v>97</v>
      </c>
      <c r="B122" s="3">
        <f t="shared" si="66"/>
        <v>40</v>
      </c>
      <c r="C122" s="13">
        <f t="shared" si="71"/>
        <v>48852</v>
      </c>
      <c r="D122" s="12"/>
      <c r="E122" s="4">
        <f t="shared" si="67"/>
        <v>3240452.1661956692</v>
      </c>
      <c r="F122" s="4">
        <f t="shared" si="68"/>
        <v>324190.13</v>
      </c>
      <c r="G122" s="4">
        <f t="shared" si="69"/>
        <v>16470.45</v>
      </c>
      <c r="H122" s="4">
        <f t="shared" si="70"/>
        <v>340660.58</v>
      </c>
      <c r="I122" s="383"/>
    </row>
    <row r="123" spans="1:9" x14ac:dyDescent="0.3">
      <c r="A123" s="1">
        <v>98</v>
      </c>
      <c r="B123" s="3">
        <f t="shared" si="66"/>
        <v>45</v>
      </c>
      <c r="C123" s="13">
        <f t="shared" si="71"/>
        <v>48883</v>
      </c>
      <c r="D123" s="12"/>
      <c r="E123" s="4">
        <f t="shared" si="67"/>
        <v>3240452.1661956692</v>
      </c>
      <c r="F123" s="4">
        <f t="shared" si="68"/>
        <v>0</v>
      </c>
      <c r="G123" s="4">
        <f t="shared" si="69"/>
        <v>0</v>
      </c>
      <c r="H123" s="4">
        <f t="shared" si="70"/>
        <v>0</v>
      </c>
      <c r="I123" s="383"/>
    </row>
    <row r="124" spans="1:9" x14ac:dyDescent="0.3">
      <c r="A124" s="1">
        <v>99</v>
      </c>
      <c r="B124" s="3">
        <f t="shared" si="66"/>
        <v>49</v>
      </c>
      <c r="C124" s="13">
        <f t="shared" si="71"/>
        <v>48913</v>
      </c>
      <c r="D124" s="12"/>
      <c r="E124" s="4">
        <f t="shared" si="67"/>
        <v>2715404.7014961331</v>
      </c>
      <c r="F124" s="4">
        <f t="shared" si="68"/>
        <v>525047.46469953598</v>
      </c>
      <c r="G124" s="4">
        <f t="shared" si="69"/>
        <v>11808.806988332144</v>
      </c>
      <c r="H124" s="4">
        <f t="shared" si="70"/>
        <v>536856.27168786817</v>
      </c>
      <c r="I124" s="383"/>
    </row>
    <row r="125" spans="1:9" x14ac:dyDescent="0.3">
      <c r="A125" s="1">
        <v>100</v>
      </c>
      <c r="B125" s="3">
        <f t="shared" si="66"/>
        <v>53</v>
      </c>
      <c r="C125" s="13">
        <f t="shared" si="71"/>
        <v>48944</v>
      </c>
      <c r="D125" s="12"/>
      <c r="E125" s="4">
        <f t="shared" si="67"/>
        <v>1900428.4314961331</v>
      </c>
      <c r="F125" s="4">
        <f t="shared" si="68"/>
        <v>814976.27</v>
      </c>
      <c r="G125" s="4">
        <f t="shared" si="69"/>
        <v>12490.09</v>
      </c>
      <c r="H125" s="4">
        <f t="shared" si="70"/>
        <v>827466.36</v>
      </c>
      <c r="I125" s="383"/>
    </row>
    <row r="126" spans="1:9" x14ac:dyDescent="0.3">
      <c r="A126" s="1">
        <v>101</v>
      </c>
      <c r="B126" s="3">
        <f t="shared" si="66"/>
        <v>6</v>
      </c>
      <c r="C126" s="13">
        <f t="shared" si="71"/>
        <v>48975</v>
      </c>
      <c r="D126" s="12"/>
      <c r="E126" s="4">
        <f t="shared" si="67"/>
        <v>1900428.4314961331</v>
      </c>
      <c r="F126" s="4">
        <f t="shared" si="68"/>
        <v>0</v>
      </c>
      <c r="G126" s="4">
        <f t="shared" si="69"/>
        <v>0</v>
      </c>
      <c r="H126" s="4">
        <f t="shared" si="70"/>
        <v>0</v>
      </c>
      <c r="I126" s="383"/>
    </row>
    <row r="127" spans="1:9" x14ac:dyDescent="0.3">
      <c r="A127" s="1">
        <v>102</v>
      </c>
      <c r="B127" s="3">
        <f t="shared" si="66"/>
        <v>10</v>
      </c>
      <c r="C127" s="13">
        <f t="shared" si="71"/>
        <v>49003</v>
      </c>
      <c r="D127" s="12"/>
      <c r="E127" s="4">
        <f t="shared" si="67"/>
        <v>1655336.3100000869</v>
      </c>
      <c r="F127" s="4">
        <f t="shared" si="68"/>
        <v>245092.12149604617</v>
      </c>
      <c r="G127" s="4">
        <f t="shared" si="69"/>
        <v>3839.7765701046064</v>
      </c>
      <c r="H127" s="4">
        <f t="shared" si="70"/>
        <v>248931.89806615078</v>
      </c>
      <c r="I127" s="383"/>
    </row>
    <row r="128" spans="1:9" x14ac:dyDescent="0.3">
      <c r="A128" s="1">
        <v>103</v>
      </c>
      <c r="B128" s="3">
        <f t="shared" si="66"/>
        <v>14</v>
      </c>
      <c r="C128" s="13">
        <f t="shared" si="71"/>
        <v>49034</v>
      </c>
      <c r="D128" s="12"/>
      <c r="E128" s="4">
        <f t="shared" si="67"/>
        <v>832231.57000008691</v>
      </c>
      <c r="F128" s="4">
        <f t="shared" si="68"/>
        <v>823104.74</v>
      </c>
      <c r="G128" s="4">
        <f t="shared" si="69"/>
        <v>8326.73</v>
      </c>
      <c r="H128" s="4">
        <f t="shared" si="70"/>
        <v>831431.47</v>
      </c>
      <c r="I128" s="383"/>
    </row>
    <row r="129" spans="1:9" x14ac:dyDescent="0.3">
      <c r="A129" s="1">
        <v>104</v>
      </c>
      <c r="B129" s="3">
        <f t="shared" si="66"/>
        <v>18</v>
      </c>
      <c r="C129" s="13">
        <f t="shared" si="71"/>
        <v>49064</v>
      </c>
      <c r="D129" s="12"/>
      <c r="E129" s="4">
        <f t="shared" si="67"/>
        <v>832231.57000008691</v>
      </c>
      <c r="F129" s="4">
        <f t="shared" si="68"/>
        <v>0</v>
      </c>
      <c r="G129" s="4">
        <f t="shared" si="69"/>
        <v>0</v>
      </c>
      <c r="H129" s="4">
        <f t="shared" si="70"/>
        <v>0</v>
      </c>
      <c r="I129" s="383"/>
    </row>
    <row r="130" spans="1:9" x14ac:dyDescent="0.3">
      <c r="A130" s="1">
        <v>105</v>
      </c>
      <c r="B130" s="3">
        <f t="shared" si="66"/>
        <v>23</v>
      </c>
      <c r="C130" s="13">
        <f t="shared" si="71"/>
        <v>49095</v>
      </c>
      <c r="D130" s="12"/>
      <c r="E130" s="4">
        <f t="shared" si="67"/>
        <v>832231.57000008691</v>
      </c>
      <c r="F130" s="4">
        <f t="shared" si="68"/>
        <v>0</v>
      </c>
      <c r="G130" s="4">
        <f t="shared" si="69"/>
        <v>0</v>
      </c>
      <c r="H130" s="4">
        <f t="shared" si="70"/>
        <v>0</v>
      </c>
      <c r="I130" s="383"/>
    </row>
    <row r="131" spans="1:9" x14ac:dyDescent="0.3">
      <c r="A131" s="1">
        <v>106</v>
      </c>
      <c r="B131" s="3">
        <f t="shared" si="66"/>
        <v>27</v>
      </c>
      <c r="C131" s="13">
        <f t="shared" si="71"/>
        <v>49125</v>
      </c>
      <c r="D131" s="12"/>
      <c r="E131" s="4">
        <f t="shared" si="67"/>
        <v>8.6845830082893372E-8</v>
      </c>
      <c r="F131" s="4">
        <f t="shared" si="68"/>
        <v>832231.57000000007</v>
      </c>
      <c r="G131" s="4">
        <f t="shared" si="69"/>
        <v>4209.12</v>
      </c>
      <c r="H131" s="4">
        <f t="shared" si="70"/>
        <v>836440.69000000006</v>
      </c>
      <c r="I131" s="383"/>
    </row>
    <row r="132" spans="1:9" x14ac:dyDescent="0.3">
      <c r="A132" s="1">
        <v>107</v>
      </c>
      <c r="B132" s="3">
        <f t="shared" si="66"/>
        <v>32</v>
      </c>
      <c r="C132" s="13">
        <f t="shared" si="71"/>
        <v>49156</v>
      </c>
      <c r="D132" s="12"/>
      <c r="E132" s="4">
        <f t="shared" si="67"/>
        <v>8.6845830082893372E-8</v>
      </c>
      <c r="F132" s="4">
        <f t="shared" si="68"/>
        <v>0</v>
      </c>
      <c r="G132" s="4">
        <f t="shared" si="69"/>
        <v>0</v>
      </c>
      <c r="H132" s="4">
        <f t="shared" si="70"/>
        <v>0</v>
      </c>
      <c r="I132" s="383"/>
    </row>
    <row r="133" spans="1:9" x14ac:dyDescent="0.3">
      <c r="A133" s="1">
        <v>108</v>
      </c>
      <c r="B133" s="3">
        <f t="shared" si="66"/>
        <v>36</v>
      </c>
      <c r="C133" s="13">
        <f t="shared" si="71"/>
        <v>49187</v>
      </c>
      <c r="D133" s="12"/>
      <c r="E133" s="4">
        <f t="shared" si="67"/>
        <v>8.6845830082893372E-8</v>
      </c>
      <c r="F133" s="4">
        <f t="shared" si="68"/>
        <v>0</v>
      </c>
      <c r="G133" s="4">
        <f t="shared" si="69"/>
        <v>0</v>
      </c>
      <c r="H133" s="4">
        <f t="shared" si="70"/>
        <v>0</v>
      </c>
      <c r="I133" s="383"/>
    </row>
    <row r="134" spans="1:9" x14ac:dyDescent="0.3">
      <c r="A134" s="1">
        <v>109</v>
      </c>
      <c r="B134" s="3">
        <f t="shared" si="66"/>
        <v>40</v>
      </c>
      <c r="C134" s="13">
        <f t="shared" si="71"/>
        <v>49217</v>
      </c>
      <c r="D134" s="12"/>
      <c r="E134" s="4">
        <f t="shared" si="67"/>
        <v>8.6845830082893372E-8</v>
      </c>
      <c r="F134" s="4">
        <f t="shared" si="68"/>
        <v>0</v>
      </c>
      <c r="G134" s="4">
        <f t="shared" si="69"/>
        <v>0</v>
      </c>
      <c r="H134" s="4">
        <f t="shared" si="70"/>
        <v>0</v>
      </c>
      <c r="I134" s="383"/>
    </row>
    <row r="135" spans="1:9" x14ac:dyDescent="0.3">
      <c r="A135" s="1">
        <v>110</v>
      </c>
      <c r="B135" s="3">
        <f t="shared" si="66"/>
        <v>45</v>
      </c>
      <c r="C135" s="13">
        <f t="shared" si="71"/>
        <v>49248</v>
      </c>
      <c r="D135" s="12"/>
      <c r="E135" s="4">
        <f t="shared" si="67"/>
        <v>8.6845830082893372E-8</v>
      </c>
      <c r="F135" s="4">
        <f t="shared" si="68"/>
        <v>0</v>
      </c>
      <c r="G135" s="4">
        <f t="shared" si="69"/>
        <v>0</v>
      </c>
      <c r="H135" s="4">
        <f t="shared" si="70"/>
        <v>0</v>
      </c>
      <c r="I135" s="383"/>
    </row>
    <row r="136" spans="1:9" x14ac:dyDescent="0.3">
      <c r="A136" s="1">
        <v>111</v>
      </c>
      <c r="B136" s="3">
        <f t="shared" si="66"/>
        <v>49</v>
      </c>
      <c r="C136" s="13">
        <f t="shared" si="71"/>
        <v>49278</v>
      </c>
      <c r="D136" s="12"/>
      <c r="E136" s="4">
        <f t="shared" si="67"/>
        <v>8.6845830082893372E-8</v>
      </c>
      <c r="F136" s="4">
        <f t="shared" si="68"/>
        <v>0</v>
      </c>
      <c r="G136" s="4">
        <f t="shared" si="69"/>
        <v>0</v>
      </c>
      <c r="H136" s="4">
        <f t="shared" si="70"/>
        <v>0</v>
      </c>
      <c r="I136" s="383"/>
    </row>
    <row r="137" spans="1:9" x14ac:dyDescent="0.3">
      <c r="A137" s="1">
        <v>112</v>
      </c>
      <c r="B137" s="3">
        <f t="shared" si="66"/>
        <v>53</v>
      </c>
      <c r="C137" s="13">
        <f t="shared" si="71"/>
        <v>49309</v>
      </c>
      <c r="D137" s="12"/>
      <c r="E137" s="4">
        <f t="shared" si="67"/>
        <v>8.6845830082893372E-8</v>
      </c>
      <c r="F137" s="4">
        <f t="shared" si="68"/>
        <v>0</v>
      </c>
      <c r="G137" s="4">
        <f t="shared" si="69"/>
        <v>0</v>
      </c>
      <c r="H137" s="4">
        <f t="shared" si="70"/>
        <v>0</v>
      </c>
      <c r="I137" s="383"/>
    </row>
    <row r="138" spans="1:9" x14ac:dyDescent="0.3">
      <c r="A138" s="1">
        <v>113</v>
      </c>
      <c r="B138" s="3">
        <f t="shared" si="66"/>
        <v>5</v>
      </c>
      <c r="C138" s="13">
        <f t="shared" si="71"/>
        <v>49340</v>
      </c>
      <c r="D138" s="12"/>
      <c r="E138" s="4">
        <f t="shared" si="67"/>
        <v>8.6845830082893372E-8</v>
      </c>
      <c r="F138" s="4">
        <f t="shared" si="68"/>
        <v>0</v>
      </c>
      <c r="G138" s="4">
        <f t="shared" si="69"/>
        <v>0</v>
      </c>
      <c r="H138" s="4">
        <f t="shared" si="70"/>
        <v>0</v>
      </c>
      <c r="I138" s="383"/>
    </row>
    <row r="139" spans="1:9" x14ac:dyDescent="0.3">
      <c r="A139" s="1">
        <v>114</v>
      </c>
      <c r="B139" s="3">
        <f t="shared" si="66"/>
        <v>9</v>
      </c>
      <c r="C139" s="13">
        <f t="shared" si="71"/>
        <v>49368</v>
      </c>
      <c r="D139" s="12"/>
      <c r="E139" s="4">
        <f t="shared" si="67"/>
        <v>8.6845830082893372E-8</v>
      </c>
      <c r="F139" s="4">
        <f t="shared" si="68"/>
        <v>0</v>
      </c>
      <c r="G139" s="4">
        <f t="shared" si="69"/>
        <v>0</v>
      </c>
      <c r="H139" s="4">
        <f t="shared" si="70"/>
        <v>0</v>
      </c>
      <c r="I139" s="383"/>
    </row>
    <row r="140" spans="1:9" x14ac:dyDescent="0.3">
      <c r="A140" s="1">
        <v>115</v>
      </c>
      <c r="B140" s="3">
        <f t="shared" si="66"/>
        <v>13</v>
      </c>
      <c r="C140" s="13">
        <f t="shared" si="71"/>
        <v>49399</v>
      </c>
      <c r="D140" s="12"/>
      <c r="E140" s="4">
        <f t="shared" si="67"/>
        <v>8.6845830082893372E-8</v>
      </c>
      <c r="F140" s="4">
        <f t="shared" si="68"/>
        <v>0</v>
      </c>
      <c r="G140" s="4">
        <f t="shared" si="69"/>
        <v>0</v>
      </c>
      <c r="H140" s="4">
        <f t="shared" si="70"/>
        <v>0</v>
      </c>
      <c r="I140" s="383"/>
    </row>
    <row r="141" spans="1:9" x14ac:dyDescent="0.3">
      <c r="A141" s="1">
        <v>116</v>
      </c>
      <c r="B141" s="3">
        <f t="shared" si="66"/>
        <v>18</v>
      </c>
      <c r="C141" s="13">
        <f t="shared" si="71"/>
        <v>49429</v>
      </c>
      <c r="D141" s="12"/>
      <c r="E141" s="4">
        <f t="shared" si="67"/>
        <v>8.6845830082893372E-8</v>
      </c>
      <c r="F141" s="4">
        <f t="shared" si="68"/>
        <v>0</v>
      </c>
      <c r="G141" s="4">
        <f t="shared" si="69"/>
        <v>0</v>
      </c>
      <c r="H141" s="4">
        <f t="shared" si="70"/>
        <v>0</v>
      </c>
      <c r="I141" s="383"/>
    </row>
    <row r="142" spans="1:9" x14ac:dyDescent="0.3">
      <c r="A142" s="1">
        <v>117</v>
      </c>
      <c r="B142" s="3">
        <f t="shared" si="66"/>
        <v>22</v>
      </c>
      <c r="C142" s="13">
        <f t="shared" si="71"/>
        <v>49460</v>
      </c>
      <c r="D142" s="12"/>
      <c r="E142" s="4">
        <f t="shared" si="67"/>
        <v>8.6845830082893372E-8</v>
      </c>
      <c r="F142" s="4">
        <f t="shared" si="68"/>
        <v>0</v>
      </c>
      <c r="G142" s="4">
        <f t="shared" si="69"/>
        <v>0</v>
      </c>
      <c r="H142" s="4">
        <f t="shared" si="70"/>
        <v>0</v>
      </c>
      <c r="I142" s="383"/>
    </row>
    <row r="143" spans="1:9" x14ac:dyDescent="0.3">
      <c r="A143" s="1">
        <v>118</v>
      </c>
      <c r="B143" s="3">
        <f t="shared" si="66"/>
        <v>26</v>
      </c>
      <c r="C143" s="13">
        <f t="shared" si="71"/>
        <v>49490</v>
      </c>
      <c r="D143" s="12"/>
      <c r="E143" s="4">
        <f t="shared" si="67"/>
        <v>8.6845830082893372E-8</v>
      </c>
      <c r="F143" s="4">
        <f t="shared" si="68"/>
        <v>0</v>
      </c>
      <c r="G143" s="4">
        <f t="shared" si="69"/>
        <v>0</v>
      </c>
      <c r="H143" s="4">
        <f t="shared" si="70"/>
        <v>0</v>
      </c>
      <c r="I143" s="383"/>
    </row>
    <row r="144" spans="1:9" x14ac:dyDescent="0.3">
      <c r="A144" s="1">
        <v>119</v>
      </c>
      <c r="B144" s="3">
        <f t="shared" si="66"/>
        <v>31</v>
      </c>
      <c r="C144" s="13">
        <f t="shared" si="71"/>
        <v>49521</v>
      </c>
      <c r="D144" s="12"/>
      <c r="E144" s="4">
        <f t="shared" si="67"/>
        <v>8.6845830082893372E-8</v>
      </c>
      <c r="F144" s="4">
        <f t="shared" si="68"/>
        <v>0</v>
      </c>
      <c r="G144" s="4">
        <f t="shared" si="69"/>
        <v>0</v>
      </c>
      <c r="H144" s="4">
        <f t="shared" si="70"/>
        <v>0</v>
      </c>
      <c r="I144" s="383"/>
    </row>
    <row r="145" spans="1:9" x14ac:dyDescent="0.3">
      <c r="A145" s="1">
        <v>120</v>
      </c>
      <c r="B145" s="3">
        <f t="shared" si="66"/>
        <v>35</v>
      </c>
      <c r="C145" s="13">
        <f t="shared" si="71"/>
        <v>49552</v>
      </c>
      <c r="D145" s="12"/>
      <c r="E145" s="4">
        <f t="shared" si="67"/>
        <v>8.6845830082893372E-8</v>
      </c>
      <c r="F145" s="4">
        <f t="shared" si="68"/>
        <v>0</v>
      </c>
      <c r="G145" s="4">
        <f t="shared" si="69"/>
        <v>0</v>
      </c>
      <c r="H145" s="4">
        <f t="shared" si="70"/>
        <v>0</v>
      </c>
      <c r="I145" s="383"/>
    </row>
    <row r="146" spans="1:9" x14ac:dyDescent="0.3">
      <c r="A146" s="1">
        <v>121</v>
      </c>
      <c r="B146" s="3">
        <f t="shared" si="66"/>
        <v>39</v>
      </c>
      <c r="C146" s="13">
        <f t="shared" si="71"/>
        <v>49582</v>
      </c>
      <c r="D146" s="12"/>
      <c r="E146" s="4">
        <f t="shared" si="67"/>
        <v>8.6845830082893372E-8</v>
      </c>
      <c r="F146" s="4">
        <f t="shared" si="68"/>
        <v>0</v>
      </c>
      <c r="G146" s="4">
        <f t="shared" si="69"/>
        <v>0</v>
      </c>
      <c r="H146" s="4">
        <f t="shared" si="70"/>
        <v>0</v>
      </c>
      <c r="I146" s="383"/>
    </row>
    <row r="147" spans="1:9" x14ac:dyDescent="0.3">
      <c r="A147" s="1">
        <v>122</v>
      </c>
      <c r="B147" s="3">
        <f t="shared" si="66"/>
        <v>44</v>
      </c>
      <c r="C147" s="13">
        <f t="shared" si="71"/>
        <v>49613</v>
      </c>
      <c r="D147" s="12"/>
      <c r="E147" s="4">
        <f t="shared" si="67"/>
        <v>8.6845830082893372E-8</v>
      </c>
      <c r="F147" s="4">
        <f t="shared" si="68"/>
        <v>0</v>
      </c>
      <c r="G147" s="4">
        <f t="shared" si="69"/>
        <v>0</v>
      </c>
      <c r="H147" s="4">
        <f t="shared" si="70"/>
        <v>0</v>
      </c>
      <c r="I147" s="383"/>
    </row>
    <row r="148" spans="1:9" x14ac:dyDescent="0.3">
      <c r="A148" s="1">
        <v>123</v>
      </c>
      <c r="B148" s="3">
        <f t="shared" si="66"/>
        <v>48</v>
      </c>
      <c r="C148" s="13">
        <f t="shared" si="71"/>
        <v>49643</v>
      </c>
      <c r="D148" s="12"/>
      <c r="E148" s="4">
        <f t="shared" si="67"/>
        <v>8.6845830082893372E-8</v>
      </c>
      <c r="F148" s="4">
        <f t="shared" si="68"/>
        <v>0</v>
      </c>
      <c r="G148" s="4">
        <f t="shared" si="69"/>
        <v>0</v>
      </c>
      <c r="H148" s="4">
        <f t="shared" si="70"/>
        <v>0</v>
      </c>
      <c r="I148" s="383"/>
    </row>
    <row r="149" spans="1:9" x14ac:dyDescent="0.3">
      <c r="A149" s="1">
        <v>124</v>
      </c>
      <c r="B149" s="3">
        <f t="shared" si="66"/>
        <v>53</v>
      </c>
      <c r="C149" s="13">
        <f t="shared" si="71"/>
        <v>49674</v>
      </c>
      <c r="D149" s="12"/>
      <c r="E149" s="4">
        <f t="shared" si="67"/>
        <v>8.6845830082893372E-8</v>
      </c>
      <c r="F149" s="4">
        <f t="shared" si="68"/>
        <v>0</v>
      </c>
      <c r="G149" s="4">
        <f t="shared" si="69"/>
        <v>0</v>
      </c>
      <c r="H149" s="4">
        <f t="shared" si="70"/>
        <v>0</v>
      </c>
      <c r="I149" s="383"/>
    </row>
    <row r="150" spans="1:9" x14ac:dyDescent="0.3">
      <c r="A150" s="1">
        <v>125</v>
      </c>
      <c r="B150" s="3">
        <f t="shared" si="66"/>
        <v>5</v>
      </c>
      <c r="C150" s="13">
        <f t="shared" si="71"/>
        <v>49705</v>
      </c>
      <c r="D150" s="12"/>
      <c r="E150" s="4">
        <f t="shared" si="67"/>
        <v>8.6845830082893372E-8</v>
      </c>
      <c r="F150" s="4">
        <f t="shared" si="68"/>
        <v>0</v>
      </c>
      <c r="G150" s="4">
        <f t="shared" si="69"/>
        <v>0</v>
      </c>
      <c r="H150" s="4">
        <f t="shared" si="70"/>
        <v>0</v>
      </c>
      <c r="I150" s="383"/>
    </row>
    <row r="151" spans="1:9" x14ac:dyDescent="0.3">
      <c r="A151" s="1">
        <v>126</v>
      </c>
      <c r="B151" s="3">
        <f t="shared" si="66"/>
        <v>9</v>
      </c>
      <c r="C151" s="13">
        <f t="shared" si="71"/>
        <v>49734</v>
      </c>
      <c r="E151" s="4">
        <f t="shared" si="67"/>
        <v>8.6845830082893372E-8</v>
      </c>
      <c r="F151" s="4">
        <f t="shared" si="68"/>
        <v>0</v>
      </c>
      <c r="G151" s="4">
        <f t="shared" si="69"/>
        <v>0</v>
      </c>
      <c r="H151" s="4">
        <f t="shared" si="70"/>
        <v>0</v>
      </c>
      <c r="I151" s="383"/>
    </row>
    <row r="152" spans="1:9" x14ac:dyDescent="0.3">
      <c r="A152" s="1">
        <v>127</v>
      </c>
      <c r="B152" s="3">
        <f t="shared" si="66"/>
        <v>14</v>
      </c>
      <c r="C152" s="13">
        <f t="shared" si="71"/>
        <v>49765</v>
      </c>
      <c r="E152" s="4">
        <f t="shared" si="67"/>
        <v>8.6845830082893372E-8</v>
      </c>
      <c r="F152" s="4">
        <f t="shared" si="68"/>
        <v>0</v>
      </c>
      <c r="G152" s="4">
        <f t="shared" si="69"/>
        <v>0</v>
      </c>
      <c r="H152" s="4">
        <f t="shared" si="70"/>
        <v>0</v>
      </c>
      <c r="I152" s="383"/>
    </row>
    <row r="153" spans="1:9" x14ac:dyDescent="0.3">
      <c r="A153" s="1">
        <v>128</v>
      </c>
      <c r="B153" s="3">
        <f t="shared" si="66"/>
        <v>18</v>
      </c>
      <c r="C153" s="13">
        <f t="shared" si="71"/>
        <v>49795</v>
      </c>
      <c r="E153" s="4">
        <f t="shared" si="67"/>
        <v>8.6845830082893372E-8</v>
      </c>
      <c r="F153" s="4">
        <f t="shared" si="68"/>
        <v>0</v>
      </c>
      <c r="G153" s="4">
        <f t="shared" si="69"/>
        <v>0</v>
      </c>
      <c r="H153" s="4">
        <f t="shared" si="70"/>
        <v>0</v>
      </c>
      <c r="I153" s="383"/>
    </row>
    <row r="154" spans="1:9" x14ac:dyDescent="0.3">
      <c r="A154" s="1">
        <v>129</v>
      </c>
      <c r="B154" s="3">
        <f t="shared" ref="B154:B217" si="72">+WEEKNUM(C154,2)</f>
        <v>22</v>
      </c>
      <c r="C154" s="13">
        <f t="shared" si="71"/>
        <v>49826</v>
      </c>
      <c r="E154" s="4">
        <f t="shared" si="67"/>
        <v>8.6845830082893372E-8</v>
      </c>
      <c r="F154" s="4">
        <f t="shared" si="68"/>
        <v>0</v>
      </c>
      <c r="G154" s="4">
        <f t="shared" si="69"/>
        <v>0</v>
      </c>
      <c r="H154" s="4">
        <f t="shared" si="70"/>
        <v>0</v>
      </c>
      <c r="I154" s="383"/>
    </row>
    <row r="155" spans="1:9" x14ac:dyDescent="0.3">
      <c r="A155" s="1">
        <v>130</v>
      </c>
      <c r="B155" s="3">
        <f t="shared" si="72"/>
        <v>27</v>
      </c>
      <c r="C155" s="13">
        <f t="shared" si="71"/>
        <v>49856</v>
      </c>
      <c r="E155" s="4">
        <f t="shared" ref="E155:E218" si="73">+E154+D155-F155</f>
        <v>8.6845830082893372E-8</v>
      </c>
      <c r="F155" s="4">
        <f t="shared" ref="F155:F218" si="74">+SUMIF(N:N,C155,R:R)+SUMIF(AD:AD,C155,AH:AH)+SUMIF(AS:AS,C155,AW:AW)+SUMIF(BH:BH,C155,BL:BL)+SUMIF(BW:BW,C155,CA:CA)+SUMIF(BW:BW,C155,CB:CB)+SUMIF(CM:CM,C155,CQ:CQ)+SUMIF(CV:CV,C155,CZ:CZ)+SUMIF(DE:DE,C155,DI:DI)+SUMIF(DN:DN,C155,DR:DR)+SUMIF(DW:DW,C155,EA:EA)+SUMIF(EF:EF,C155,EJ:EJ)+SUMIF(EP:EP,C155,ET:ET)+SUMIF(EY:EY,C155,FC:FC)+SUMIF(FH:FH,C155,FL:FL)+SUMIF(FQ:FQ,C155,FU:FU)+SUMIF(FZ:FZ,C155,GD:GD)+SUMIF(GI:GI,C155,GM:GM)</f>
        <v>0</v>
      </c>
      <c r="G155" s="4">
        <f t="shared" ref="G155:G218" si="75">+SUMIF(N:N,C155,S:S)+SUMIF(N:N,C155,T:T)+SUMIF(AD:AD,C155,AI:AI)+SUMIF(AS:AS,C155,AX:AX)+SUMIF(BH:BH,C155,BM:BM)+SUMIF(BW:BW,C155,CD:CD)+SUMIF(BW:BW,C155,CC:CC)+SUMIF(CM:CM,C155,CR:CR)+SUMIF(CV:CV,C155,DA:DA)+SUMIF(DE:DE,C155,DJ:DJ)+SUMIF(DN:DN,C155,DS:DS)+SUMIF(DX:DX,C155,EB:EB)+SUMIF(EG:EG,C155,EK:EK)+SUMIF(EP:EP,C155,EU:EU)+SUMIF(EY:EY,C155,FD:FD)+SUMIF(FH:FH,C155,FM:FM)+SUMIF(FQ:FQ,C155,FV:FV)+SUMIF(FZ:FZ,C155,GE:GE)+SUMIF(GI:GI,C155,GN:GN)</f>
        <v>0</v>
      </c>
      <c r="H155" s="4">
        <f t="shared" ref="H155:H218" si="76">+SUM(F155:G155)</f>
        <v>0</v>
      </c>
      <c r="I155" s="383"/>
    </row>
    <row r="156" spans="1:9" x14ac:dyDescent="0.3">
      <c r="A156" s="1">
        <v>131</v>
      </c>
      <c r="B156" s="3">
        <f t="shared" si="72"/>
        <v>31</v>
      </c>
      <c r="C156" s="13">
        <f t="shared" si="71"/>
        <v>49887</v>
      </c>
      <c r="E156" s="4">
        <f t="shared" si="73"/>
        <v>8.6845830082893372E-8</v>
      </c>
      <c r="F156" s="4">
        <f t="shared" si="74"/>
        <v>0</v>
      </c>
      <c r="G156" s="4">
        <f t="shared" si="75"/>
        <v>0</v>
      </c>
      <c r="H156" s="4">
        <f t="shared" si="76"/>
        <v>0</v>
      </c>
      <c r="I156" s="383"/>
    </row>
    <row r="157" spans="1:9" x14ac:dyDescent="0.3">
      <c r="A157" s="1">
        <v>132</v>
      </c>
      <c r="B157" s="3">
        <f t="shared" si="72"/>
        <v>35</v>
      </c>
      <c r="C157" s="13">
        <f t="shared" ref="C157:C220" si="77">+EOMONTH(C156,1)</f>
        <v>49918</v>
      </c>
      <c r="E157" s="4">
        <f t="shared" si="73"/>
        <v>8.6845830082893372E-8</v>
      </c>
      <c r="F157" s="4">
        <f t="shared" si="74"/>
        <v>0</v>
      </c>
      <c r="G157" s="4">
        <f t="shared" si="75"/>
        <v>0</v>
      </c>
      <c r="H157" s="4">
        <f t="shared" si="76"/>
        <v>0</v>
      </c>
      <c r="I157" s="383"/>
    </row>
    <row r="158" spans="1:9" x14ac:dyDescent="0.3">
      <c r="A158" s="1">
        <v>133</v>
      </c>
      <c r="B158" s="3">
        <f t="shared" si="72"/>
        <v>40</v>
      </c>
      <c r="C158" s="13">
        <f t="shared" si="77"/>
        <v>49948</v>
      </c>
      <c r="E158" s="4">
        <f t="shared" si="73"/>
        <v>8.6845830082893372E-8</v>
      </c>
      <c r="F158" s="4">
        <f t="shared" si="74"/>
        <v>0</v>
      </c>
      <c r="G158" s="4">
        <f t="shared" si="75"/>
        <v>0</v>
      </c>
      <c r="H158" s="4">
        <f t="shared" si="76"/>
        <v>0</v>
      </c>
      <c r="I158" s="383"/>
    </row>
    <row r="159" spans="1:9" x14ac:dyDescent="0.3">
      <c r="A159" s="1">
        <v>134</v>
      </c>
      <c r="B159" s="3">
        <f t="shared" si="72"/>
        <v>44</v>
      </c>
      <c r="C159" s="13">
        <f t="shared" si="77"/>
        <v>49979</v>
      </c>
      <c r="E159" s="4">
        <f t="shared" si="73"/>
        <v>8.6845830082893372E-8</v>
      </c>
      <c r="F159" s="4">
        <f t="shared" si="74"/>
        <v>0</v>
      </c>
      <c r="G159" s="4">
        <f t="shared" si="75"/>
        <v>0</v>
      </c>
      <c r="H159" s="4">
        <f t="shared" si="76"/>
        <v>0</v>
      </c>
      <c r="I159" s="383"/>
    </row>
    <row r="160" spans="1:9" x14ac:dyDescent="0.3">
      <c r="A160" s="1">
        <v>135</v>
      </c>
      <c r="B160" s="3">
        <f t="shared" si="72"/>
        <v>48</v>
      </c>
      <c r="C160" s="13">
        <f t="shared" si="77"/>
        <v>50009</v>
      </c>
      <c r="E160" s="4">
        <f t="shared" si="73"/>
        <v>8.6845830082893372E-8</v>
      </c>
      <c r="F160" s="4">
        <f t="shared" si="74"/>
        <v>0</v>
      </c>
      <c r="G160" s="4">
        <f t="shared" si="75"/>
        <v>0</v>
      </c>
      <c r="H160" s="4">
        <f t="shared" si="76"/>
        <v>0</v>
      </c>
      <c r="I160" s="383"/>
    </row>
    <row r="161" spans="1:9" x14ac:dyDescent="0.3">
      <c r="A161" s="1">
        <v>136</v>
      </c>
      <c r="B161" s="3">
        <f t="shared" si="72"/>
        <v>53</v>
      </c>
      <c r="C161" s="13">
        <f t="shared" si="77"/>
        <v>50040</v>
      </c>
      <c r="E161" s="4">
        <f t="shared" si="73"/>
        <v>8.6845830082893372E-8</v>
      </c>
      <c r="F161" s="4">
        <f t="shared" si="74"/>
        <v>0</v>
      </c>
      <c r="G161" s="4">
        <f t="shared" si="75"/>
        <v>0</v>
      </c>
      <c r="H161" s="4">
        <f t="shared" si="76"/>
        <v>0</v>
      </c>
      <c r="I161" s="383"/>
    </row>
    <row r="162" spans="1:9" x14ac:dyDescent="0.3">
      <c r="A162" s="1">
        <v>137</v>
      </c>
      <c r="B162" s="3">
        <f t="shared" si="72"/>
        <v>5</v>
      </c>
      <c r="C162" s="13">
        <f t="shared" si="77"/>
        <v>50071</v>
      </c>
      <c r="E162" s="4">
        <f t="shared" si="73"/>
        <v>8.6845830082893372E-8</v>
      </c>
      <c r="F162" s="4">
        <f t="shared" si="74"/>
        <v>0</v>
      </c>
      <c r="G162" s="4">
        <f t="shared" si="75"/>
        <v>0</v>
      </c>
      <c r="H162" s="4">
        <f t="shared" si="76"/>
        <v>0</v>
      </c>
      <c r="I162" s="383"/>
    </row>
    <row r="163" spans="1:9" x14ac:dyDescent="0.3">
      <c r="A163" s="1">
        <v>138</v>
      </c>
      <c r="B163" s="3">
        <f t="shared" si="72"/>
        <v>9</v>
      </c>
      <c r="C163" s="13">
        <f t="shared" si="77"/>
        <v>50099</v>
      </c>
      <c r="E163" s="4">
        <f t="shared" si="73"/>
        <v>8.6845830082893372E-8</v>
      </c>
      <c r="F163" s="4">
        <f t="shared" si="74"/>
        <v>0</v>
      </c>
      <c r="G163" s="4">
        <f t="shared" si="75"/>
        <v>0</v>
      </c>
      <c r="H163" s="4">
        <f t="shared" si="76"/>
        <v>0</v>
      </c>
      <c r="I163" s="383"/>
    </row>
    <row r="164" spans="1:9" x14ac:dyDescent="0.3">
      <c r="A164" s="1">
        <v>139</v>
      </c>
      <c r="B164" s="3">
        <f t="shared" si="72"/>
        <v>14</v>
      </c>
      <c r="C164" s="13">
        <f t="shared" si="77"/>
        <v>50130</v>
      </c>
      <c r="E164" s="4">
        <f t="shared" si="73"/>
        <v>8.6845830082893372E-8</v>
      </c>
      <c r="F164" s="4">
        <f t="shared" si="74"/>
        <v>0</v>
      </c>
      <c r="G164" s="4">
        <f t="shared" si="75"/>
        <v>0</v>
      </c>
      <c r="H164" s="4">
        <f t="shared" si="76"/>
        <v>0</v>
      </c>
      <c r="I164" s="383"/>
    </row>
    <row r="165" spans="1:9" x14ac:dyDescent="0.3">
      <c r="A165" s="1">
        <v>140</v>
      </c>
      <c r="B165" s="3">
        <f t="shared" si="72"/>
        <v>18</v>
      </c>
      <c r="C165" s="13">
        <f t="shared" si="77"/>
        <v>50160</v>
      </c>
      <c r="E165" s="4">
        <f t="shared" si="73"/>
        <v>8.6845830082893372E-8</v>
      </c>
      <c r="F165" s="4">
        <f t="shared" si="74"/>
        <v>0</v>
      </c>
      <c r="G165" s="4">
        <f t="shared" si="75"/>
        <v>0</v>
      </c>
      <c r="H165" s="4">
        <f t="shared" si="76"/>
        <v>0</v>
      </c>
      <c r="I165" s="383"/>
    </row>
    <row r="166" spans="1:9" x14ac:dyDescent="0.3">
      <c r="A166" s="1">
        <v>141</v>
      </c>
      <c r="B166" s="3">
        <f t="shared" si="72"/>
        <v>22</v>
      </c>
      <c r="C166" s="13">
        <f t="shared" si="77"/>
        <v>50191</v>
      </c>
      <c r="E166" s="4">
        <f t="shared" si="73"/>
        <v>8.6845830082893372E-8</v>
      </c>
      <c r="F166" s="4">
        <f t="shared" si="74"/>
        <v>0</v>
      </c>
      <c r="G166" s="4">
        <f t="shared" si="75"/>
        <v>0</v>
      </c>
      <c r="H166" s="4">
        <f t="shared" si="76"/>
        <v>0</v>
      </c>
      <c r="I166" s="383"/>
    </row>
    <row r="167" spans="1:9" x14ac:dyDescent="0.3">
      <c r="A167" s="1">
        <v>142</v>
      </c>
      <c r="B167" s="3">
        <f t="shared" si="72"/>
        <v>27</v>
      </c>
      <c r="C167" s="13">
        <f t="shared" si="77"/>
        <v>50221</v>
      </c>
      <c r="E167" s="4">
        <f t="shared" si="73"/>
        <v>8.6845830082893372E-8</v>
      </c>
      <c r="F167" s="4">
        <f t="shared" si="74"/>
        <v>0</v>
      </c>
      <c r="G167" s="4">
        <f t="shared" si="75"/>
        <v>0</v>
      </c>
      <c r="H167" s="4">
        <f t="shared" si="76"/>
        <v>0</v>
      </c>
      <c r="I167" s="383"/>
    </row>
    <row r="168" spans="1:9" x14ac:dyDescent="0.3">
      <c r="A168" s="1">
        <v>143</v>
      </c>
      <c r="B168" s="3">
        <f t="shared" si="72"/>
        <v>31</v>
      </c>
      <c r="C168" s="13">
        <f t="shared" si="77"/>
        <v>50252</v>
      </c>
      <c r="E168" s="4">
        <f t="shared" si="73"/>
        <v>8.6845830082893372E-8</v>
      </c>
      <c r="F168" s="4">
        <f t="shared" si="74"/>
        <v>0</v>
      </c>
      <c r="G168" s="4">
        <f t="shared" si="75"/>
        <v>0</v>
      </c>
      <c r="H168" s="4">
        <f t="shared" si="76"/>
        <v>0</v>
      </c>
      <c r="I168" s="383"/>
    </row>
    <row r="169" spans="1:9" x14ac:dyDescent="0.3">
      <c r="A169" s="1">
        <v>144</v>
      </c>
      <c r="B169" s="3">
        <f t="shared" si="72"/>
        <v>36</v>
      </c>
      <c r="C169" s="13">
        <f t="shared" si="77"/>
        <v>50283</v>
      </c>
      <c r="E169" s="4">
        <f t="shared" si="73"/>
        <v>8.6845830082893372E-8</v>
      </c>
      <c r="F169" s="4">
        <f t="shared" si="74"/>
        <v>0</v>
      </c>
      <c r="G169" s="4">
        <f t="shared" si="75"/>
        <v>0</v>
      </c>
      <c r="H169" s="4">
        <f t="shared" si="76"/>
        <v>0</v>
      </c>
      <c r="I169" s="383"/>
    </row>
    <row r="170" spans="1:9" x14ac:dyDescent="0.3">
      <c r="A170" s="1">
        <v>145</v>
      </c>
      <c r="B170" s="3">
        <f t="shared" si="72"/>
        <v>40</v>
      </c>
      <c r="C170" s="13">
        <f t="shared" si="77"/>
        <v>50313</v>
      </c>
      <c r="E170" s="4">
        <f t="shared" si="73"/>
        <v>8.6845830082893372E-8</v>
      </c>
      <c r="F170" s="4">
        <f t="shared" si="74"/>
        <v>0</v>
      </c>
      <c r="G170" s="4">
        <f t="shared" si="75"/>
        <v>0</v>
      </c>
      <c r="H170" s="4">
        <f t="shared" si="76"/>
        <v>0</v>
      </c>
      <c r="I170" s="383"/>
    </row>
    <row r="171" spans="1:9" x14ac:dyDescent="0.3">
      <c r="A171" s="1">
        <v>146</v>
      </c>
      <c r="B171" s="3">
        <f t="shared" si="72"/>
        <v>44</v>
      </c>
      <c r="C171" s="13">
        <f t="shared" si="77"/>
        <v>50344</v>
      </c>
      <c r="E171" s="4">
        <f t="shared" si="73"/>
        <v>8.6845830082893372E-8</v>
      </c>
      <c r="F171" s="4">
        <f t="shared" si="74"/>
        <v>0</v>
      </c>
      <c r="G171" s="4">
        <f t="shared" si="75"/>
        <v>0</v>
      </c>
      <c r="H171" s="4">
        <f t="shared" si="76"/>
        <v>0</v>
      </c>
      <c r="I171" s="383"/>
    </row>
    <row r="172" spans="1:9" x14ac:dyDescent="0.3">
      <c r="A172" s="1">
        <v>147</v>
      </c>
      <c r="B172" s="3">
        <f t="shared" si="72"/>
        <v>49</v>
      </c>
      <c r="C172" s="13">
        <f t="shared" si="77"/>
        <v>50374</v>
      </c>
      <c r="E172" s="4">
        <f t="shared" si="73"/>
        <v>8.6845830082893372E-8</v>
      </c>
      <c r="F172" s="4">
        <f t="shared" si="74"/>
        <v>0</v>
      </c>
      <c r="G172" s="4">
        <f t="shared" si="75"/>
        <v>0</v>
      </c>
      <c r="H172" s="4">
        <f t="shared" si="76"/>
        <v>0</v>
      </c>
      <c r="I172" s="383"/>
    </row>
    <row r="173" spans="1:9" x14ac:dyDescent="0.3">
      <c r="A173" s="1">
        <v>148</v>
      </c>
      <c r="B173" s="3">
        <f t="shared" si="72"/>
        <v>53</v>
      </c>
      <c r="C173" s="13">
        <f t="shared" si="77"/>
        <v>50405</v>
      </c>
      <c r="E173" s="4">
        <f t="shared" si="73"/>
        <v>8.6845830082893372E-8</v>
      </c>
      <c r="F173" s="4">
        <f t="shared" si="74"/>
        <v>0</v>
      </c>
      <c r="G173" s="4">
        <f t="shared" si="75"/>
        <v>0</v>
      </c>
      <c r="H173" s="4">
        <f t="shared" si="76"/>
        <v>0</v>
      </c>
      <c r="I173" s="383"/>
    </row>
    <row r="174" spans="1:9" x14ac:dyDescent="0.3">
      <c r="A174" s="1">
        <v>149</v>
      </c>
      <c r="B174" s="3">
        <f t="shared" si="72"/>
        <v>5</v>
      </c>
      <c r="C174" s="13">
        <f t="shared" si="77"/>
        <v>50436</v>
      </c>
      <c r="E174" s="4">
        <f t="shared" si="73"/>
        <v>8.6845830082893372E-8</v>
      </c>
      <c r="F174" s="4">
        <f t="shared" si="74"/>
        <v>0</v>
      </c>
      <c r="G174" s="4">
        <f t="shared" si="75"/>
        <v>0</v>
      </c>
      <c r="H174" s="4">
        <f t="shared" si="76"/>
        <v>0</v>
      </c>
      <c r="I174" s="383"/>
    </row>
    <row r="175" spans="1:9" x14ac:dyDescent="0.3">
      <c r="A175" s="1">
        <v>150</v>
      </c>
      <c r="B175" s="3">
        <f t="shared" si="72"/>
        <v>9</v>
      </c>
      <c r="C175" s="13">
        <f t="shared" si="77"/>
        <v>50464</v>
      </c>
      <c r="E175" s="4">
        <f t="shared" si="73"/>
        <v>8.6845830082893372E-8</v>
      </c>
      <c r="F175" s="4">
        <f t="shared" si="74"/>
        <v>0</v>
      </c>
      <c r="G175" s="4">
        <f t="shared" si="75"/>
        <v>0</v>
      </c>
      <c r="H175" s="4">
        <f t="shared" si="76"/>
        <v>0</v>
      </c>
      <c r="I175" s="383"/>
    </row>
    <row r="176" spans="1:9" x14ac:dyDescent="0.3">
      <c r="A176" s="1">
        <v>151</v>
      </c>
      <c r="B176" s="3">
        <f t="shared" si="72"/>
        <v>14</v>
      </c>
      <c r="C176" s="13">
        <f t="shared" si="77"/>
        <v>50495</v>
      </c>
      <c r="E176" s="4">
        <f t="shared" si="73"/>
        <v>8.6845830082893372E-8</v>
      </c>
      <c r="F176" s="4">
        <f t="shared" si="74"/>
        <v>0</v>
      </c>
      <c r="G176" s="4">
        <f t="shared" si="75"/>
        <v>0</v>
      </c>
      <c r="H176" s="4">
        <f t="shared" si="76"/>
        <v>0</v>
      </c>
      <c r="I176" s="383"/>
    </row>
    <row r="177" spans="1:9" x14ac:dyDescent="0.3">
      <c r="A177" s="1">
        <v>152</v>
      </c>
      <c r="B177" s="3">
        <f t="shared" si="72"/>
        <v>18</v>
      </c>
      <c r="C177" s="13">
        <f t="shared" si="77"/>
        <v>50525</v>
      </c>
      <c r="E177" s="4">
        <f t="shared" si="73"/>
        <v>8.6845830082893372E-8</v>
      </c>
      <c r="F177" s="4">
        <f t="shared" si="74"/>
        <v>0</v>
      </c>
      <c r="G177" s="4">
        <f t="shared" si="75"/>
        <v>0</v>
      </c>
      <c r="H177" s="4">
        <f t="shared" si="76"/>
        <v>0</v>
      </c>
      <c r="I177" s="383"/>
    </row>
    <row r="178" spans="1:9" x14ac:dyDescent="0.3">
      <c r="A178" s="1">
        <v>153</v>
      </c>
      <c r="B178" s="3">
        <f t="shared" si="72"/>
        <v>23</v>
      </c>
      <c r="C178" s="13">
        <f t="shared" si="77"/>
        <v>50556</v>
      </c>
      <c r="E178" s="4">
        <f t="shared" si="73"/>
        <v>8.6845830082893372E-8</v>
      </c>
      <c r="F178" s="4">
        <f t="shared" si="74"/>
        <v>0</v>
      </c>
      <c r="G178" s="4">
        <f t="shared" si="75"/>
        <v>0</v>
      </c>
      <c r="H178" s="4">
        <f t="shared" si="76"/>
        <v>0</v>
      </c>
      <c r="I178" s="383"/>
    </row>
    <row r="179" spans="1:9" x14ac:dyDescent="0.3">
      <c r="A179" s="1">
        <v>154</v>
      </c>
      <c r="B179" s="3">
        <f t="shared" si="72"/>
        <v>27</v>
      </c>
      <c r="C179" s="13">
        <f t="shared" si="77"/>
        <v>50586</v>
      </c>
      <c r="E179" s="4">
        <f t="shared" si="73"/>
        <v>8.6845830082893372E-8</v>
      </c>
      <c r="F179" s="4">
        <f t="shared" si="74"/>
        <v>0</v>
      </c>
      <c r="G179" s="4">
        <f t="shared" si="75"/>
        <v>0</v>
      </c>
      <c r="H179" s="4">
        <f t="shared" si="76"/>
        <v>0</v>
      </c>
      <c r="I179" s="383"/>
    </row>
    <row r="180" spans="1:9" x14ac:dyDescent="0.3">
      <c r="A180" s="1">
        <v>155</v>
      </c>
      <c r="B180" s="3">
        <f t="shared" si="72"/>
        <v>31</v>
      </c>
      <c r="C180" s="13">
        <f t="shared" si="77"/>
        <v>50617</v>
      </c>
      <c r="E180" s="4">
        <f t="shared" si="73"/>
        <v>8.6845830082893372E-8</v>
      </c>
      <c r="F180" s="4">
        <f t="shared" si="74"/>
        <v>0</v>
      </c>
      <c r="G180" s="4">
        <f t="shared" si="75"/>
        <v>0</v>
      </c>
      <c r="H180" s="4">
        <f t="shared" si="76"/>
        <v>0</v>
      </c>
      <c r="I180" s="383"/>
    </row>
    <row r="181" spans="1:9" x14ac:dyDescent="0.3">
      <c r="A181" s="1">
        <v>156</v>
      </c>
      <c r="B181" s="3">
        <f t="shared" si="72"/>
        <v>36</v>
      </c>
      <c r="C181" s="13">
        <f t="shared" si="77"/>
        <v>50648</v>
      </c>
      <c r="E181" s="4">
        <f t="shared" si="73"/>
        <v>8.6845830082893372E-8</v>
      </c>
      <c r="F181" s="4">
        <f t="shared" si="74"/>
        <v>0</v>
      </c>
      <c r="G181" s="4">
        <f t="shared" si="75"/>
        <v>0</v>
      </c>
      <c r="H181" s="4">
        <f t="shared" si="76"/>
        <v>0</v>
      </c>
      <c r="I181" s="383"/>
    </row>
    <row r="182" spans="1:9" x14ac:dyDescent="0.3">
      <c r="A182" s="1">
        <v>157</v>
      </c>
      <c r="B182" s="3">
        <f t="shared" si="72"/>
        <v>40</v>
      </c>
      <c r="C182" s="13">
        <f t="shared" si="77"/>
        <v>50678</v>
      </c>
      <c r="E182" s="4">
        <f t="shared" si="73"/>
        <v>8.6845830082893372E-8</v>
      </c>
      <c r="F182" s="4">
        <f t="shared" si="74"/>
        <v>0</v>
      </c>
      <c r="G182" s="4">
        <f t="shared" si="75"/>
        <v>0</v>
      </c>
      <c r="H182" s="4">
        <f t="shared" si="76"/>
        <v>0</v>
      </c>
      <c r="I182" s="383"/>
    </row>
    <row r="183" spans="1:9" x14ac:dyDescent="0.3">
      <c r="A183" s="1">
        <v>158</v>
      </c>
      <c r="B183" s="3">
        <f t="shared" si="72"/>
        <v>44</v>
      </c>
      <c r="C183" s="13">
        <f t="shared" si="77"/>
        <v>50709</v>
      </c>
      <c r="E183" s="4">
        <f t="shared" si="73"/>
        <v>8.6845830082893372E-8</v>
      </c>
      <c r="F183" s="4">
        <f t="shared" si="74"/>
        <v>0</v>
      </c>
      <c r="G183" s="4">
        <f t="shared" si="75"/>
        <v>0</v>
      </c>
      <c r="H183" s="4">
        <f t="shared" si="76"/>
        <v>0</v>
      </c>
      <c r="I183" s="383"/>
    </row>
    <row r="184" spans="1:9" x14ac:dyDescent="0.3">
      <c r="A184" s="1">
        <v>159</v>
      </c>
      <c r="B184" s="3">
        <f t="shared" si="72"/>
        <v>49</v>
      </c>
      <c r="C184" s="13">
        <f t="shared" si="77"/>
        <v>50739</v>
      </c>
      <c r="E184" s="4">
        <f t="shared" si="73"/>
        <v>8.6845830082893372E-8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383"/>
    </row>
    <row r="185" spans="1:9" x14ac:dyDescent="0.3">
      <c r="A185" s="1">
        <v>160</v>
      </c>
      <c r="B185" s="3">
        <f t="shared" si="72"/>
        <v>53</v>
      </c>
      <c r="C185" s="13">
        <f t="shared" si="77"/>
        <v>50770</v>
      </c>
      <c r="E185" s="4">
        <f t="shared" si="73"/>
        <v>8.6845830082893372E-8</v>
      </c>
      <c r="F185" s="4">
        <f t="shared" si="74"/>
        <v>0</v>
      </c>
      <c r="G185" s="4">
        <f t="shared" si="75"/>
        <v>0</v>
      </c>
      <c r="H185" s="4">
        <f t="shared" si="76"/>
        <v>0</v>
      </c>
      <c r="I185" s="383"/>
    </row>
    <row r="186" spans="1:9" x14ac:dyDescent="0.3">
      <c r="A186" s="1">
        <v>161</v>
      </c>
      <c r="B186" s="3">
        <f t="shared" si="72"/>
        <v>6</v>
      </c>
      <c r="C186" s="13">
        <f t="shared" si="77"/>
        <v>50801</v>
      </c>
      <c r="E186" s="4">
        <f t="shared" si="73"/>
        <v>8.6845830082893372E-8</v>
      </c>
      <c r="F186" s="4">
        <f t="shared" si="74"/>
        <v>0</v>
      </c>
      <c r="G186" s="4">
        <f t="shared" si="75"/>
        <v>0</v>
      </c>
      <c r="H186" s="4">
        <f t="shared" si="76"/>
        <v>0</v>
      </c>
      <c r="I186" s="383"/>
    </row>
    <row r="187" spans="1:9" x14ac:dyDescent="0.3">
      <c r="A187" s="1">
        <v>162</v>
      </c>
      <c r="B187" s="3">
        <f t="shared" si="72"/>
        <v>10</v>
      </c>
      <c r="C187" s="13">
        <f t="shared" si="77"/>
        <v>50829</v>
      </c>
      <c r="E187" s="4">
        <f t="shared" si="73"/>
        <v>8.6845830082893372E-8</v>
      </c>
      <c r="F187" s="4">
        <f t="shared" si="74"/>
        <v>0</v>
      </c>
      <c r="G187" s="4">
        <f t="shared" si="75"/>
        <v>0</v>
      </c>
      <c r="H187" s="4">
        <f t="shared" si="76"/>
        <v>0</v>
      </c>
      <c r="I187" s="383"/>
    </row>
    <row r="188" spans="1:9" x14ac:dyDescent="0.3">
      <c r="A188" s="1">
        <v>163</v>
      </c>
      <c r="B188" s="3">
        <f t="shared" si="72"/>
        <v>14</v>
      </c>
      <c r="C188" s="13">
        <f t="shared" si="77"/>
        <v>50860</v>
      </c>
      <c r="E188" s="4">
        <f t="shared" si="73"/>
        <v>8.6845830082893372E-8</v>
      </c>
      <c r="F188" s="4">
        <f t="shared" si="74"/>
        <v>0</v>
      </c>
      <c r="G188" s="4">
        <f t="shared" si="75"/>
        <v>0</v>
      </c>
      <c r="H188" s="4">
        <f t="shared" si="76"/>
        <v>0</v>
      </c>
      <c r="I188" s="383"/>
    </row>
    <row r="189" spans="1:9" x14ac:dyDescent="0.3">
      <c r="A189" s="1">
        <v>164</v>
      </c>
      <c r="B189" s="3">
        <f t="shared" si="72"/>
        <v>18</v>
      </c>
      <c r="C189" s="13">
        <f t="shared" si="77"/>
        <v>50890</v>
      </c>
      <c r="E189" s="4">
        <f t="shared" si="73"/>
        <v>8.6845830082893372E-8</v>
      </c>
      <c r="F189" s="4">
        <f t="shared" si="74"/>
        <v>0</v>
      </c>
      <c r="G189" s="4">
        <f t="shared" si="75"/>
        <v>0</v>
      </c>
      <c r="H189" s="4">
        <f t="shared" si="76"/>
        <v>0</v>
      </c>
      <c r="I189" s="383"/>
    </row>
    <row r="190" spans="1:9" x14ac:dyDescent="0.3">
      <c r="A190" s="1">
        <v>165</v>
      </c>
      <c r="B190" s="3">
        <f t="shared" si="72"/>
        <v>23</v>
      </c>
      <c r="C190" s="13">
        <f t="shared" si="77"/>
        <v>50921</v>
      </c>
      <c r="E190" s="4">
        <f t="shared" si="73"/>
        <v>8.6845830082893372E-8</v>
      </c>
      <c r="F190" s="4">
        <f t="shared" si="74"/>
        <v>0</v>
      </c>
      <c r="G190" s="4">
        <f t="shared" si="75"/>
        <v>0</v>
      </c>
      <c r="H190" s="4">
        <f t="shared" si="76"/>
        <v>0</v>
      </c>
      <c r="I190" s="383"/>
    </row>
    <row r="191" spans="1:9" x14ac:dyDescent="0.3">
      <c r="A191" s="1">
        <v>166</v>
      </c>
      <c r="B191" s="3">
        <f t="shared" si="72"/>
        <v>27</v>
      </c>
      <c r="C191" s="13">
        <f t="shared" si="77"/>
        <v>50951</v>
      </c>
      <c r="E191" s="4">
        <f t="shared" si="73"/>
        <v>8.6845830082893372E-8</v>
      </c>
      <c r="F191" s="4">
        <f t="shared" si="74"/>
        <v>0</v>
      </c>
      <c r="G191" s="4">
        <f t="shared" si="75"/>
        <v>0</v>
      </c>
      <c r="H191" s="4">
        <f t="shared" si="76"/>
        <v>0</v>
      </c>
      <c r="I191" s="383"/>
    </row>
    <row r="192" spans="1:9" x14ac:dyDescent="0.3">
      <c r="A192" s="1">
        <v>167</v>
      </c>
      <c r="B192" s="3">
        <f t="shared" si="72"/>
        <v>31</v>
      </c>
      <c r="C192" s="13">
        <f t="shared" si="77"/>
        <v>50982</v>
      </c>
      <c r="E192" s="4">
        <f t="shared" si="73"/>
        <v>8.6845830082893372E-8</v>
      </c>
      <c r="F192" s="4">
        <f t="shared" si="74"/>
        <v>0</v>
      </c>
      <c r="G192" s="4">
        <f t="shared" si="75"/>
        <v>0</v>
      </c>
      <c r="H192" s="4">
        <f t="shared" si="76"/>
        <v>0</v>
      </c>
      <c r="I192" s="383"/>
    </row>
    <row r="193" spans="1:9" x14ac:dyDescent="0.3">
      <c r="A193" s="1">
        <v>168</v>
      </c>
      <c r="B193" s="3">
        <f t="shared" si="72"/>
        <v>36</v>
      </c>
      <c r="C193" s="13">
        <f t="shared" si="77"/>
        <v>51013</v>
      </c>
      <c r="E193" s="4">
        <f t="shared" si="73"/>
        <v>8.6845830082893372E-8</v>
      </c>
      <c r="F193" s="4">
        <f t="shared" si="74"/>
        <v>0</v>
      </c>
      <c r="G193" s="4">
        <f t="shared" si="75"/>
        <v>0</v>
      </c>
      <c r="H193" s="4">
        <f t="shared" si="76"/>
        <v>0</v>
      </c>
      <c r="I193" s="383"/>
    </row>
    <row r="194" spans="1:9" x14ac:dyDescent="0.3">
      <c r="A194" s="1">
        <v>169</v>
      </c>
      <c r="B194" s="3">
        <f t="shared" si="72"/>
        <v>40</v>
      </c>
      <c r="C194" s="13">
        <f t="shared" si="77"/>
        <v>51043</v>
      </c>
      <c r="E194" s="4">
        <f t="shared" si="73"/>
        <v>8.6845830082893372E-8</v>
      </c>
      <c r="F194" s="4">
        <f t="shared" si="74"/>
        <v>0</v>
      </c>
      <c r="G194" s="4">
        <f t="shared" si="75"/>
        <v>0</v>
      </c>
      <c r="H194" s="4">
        <f t="shared" si="76"/>
        <v>0</v>
      </c>
      <c r="I194" s="383"/>
    </row>
    <row r="195" spans="1:9" x14ac:dyDescent="0.3">
      <c r="A195" s="1">
        <v>170</v>
      </c>
      <c r="B195" s="3">
        <f t="shared" si="72"/>
        <v>45</v>
      </c>
      <c r="C195" s="13">
        <f t="shared" si="77"/>
        <v>51074</v>
      </c>
      <c r="E195" s="4">
        <f t="shared" si="73"/>
        <v>8.6845830082893372E-8</v>
      </c>
      <c r="F195" s="4">
        <f t="shared" si="74"/>
        <v>0</v>
      </c>
      <c r="G195" s="4">
        <f t="shared" si="75"/>
        <v>0</v>
      </c>
      <c r="H195" s="4">
        <f t="shared" si="76"/>
        <v>0</v>
      </c>
      <c r="I195" s="383"/>
    </row>
    <row r="196" spans="1:9" x14ac:dyDescent="0.3">
      <c r="A196" s="1">
        <v>171</v>
      </c>
      <c r="B196" s="3">
        <f t="shared" si="72"/>
        <v>49</v>
      </c>
      <c r="C196" s="13">
        <f t="shared" si="77"/>
        <v>51104</v>
      </c>
      <c r="E196" s="4">
        <f t="shared" si="73"/>
        <v>8.6845830082893372E-8</v>
      </c>
      <c r="F196" s="4">
        <f t="shared" si="74"/>
        <v>0</v>
      </c>
      <c r="G196" s="4">
        <f t="shared" si="75"/>
        <v>0</v>
      </c>
      <c r="H196" s="4">
        <f t="shared" si="76"/>
        <v>0</v>
      </c>
      <c r="I196" s="383"/>
    </row>
    <row r="197" spans="1:9" x14ac:dyDescent="0.3">
      <c r="A197" s="1">
        <v>172</v>
      </c>
      <c r="B197" s="3">
        <f t="shared" si="72"/>
        <v>53</v>
      </c>
      <c r="C197" s="13">
        <f t="shared" si="77"/>
        <v>51135</v>
      </c>
      <c r="E197" s="4">
        <f t="shared" si="73"/>
        <v>8.6845830082893372E-8</v>
      </c>
      <c r="F197" s="4">
        <f t="shared" si="74"/>
        <v>0</v>
      </c>
      <c r="G197" s="4">
        <f t="shared" si="75"/>
        <v>0</v>
      </c>
      <c r="H197" s="4">
        <f t="shared" si="76"/>
        <v>0</v>
      </c>
      <c r="I197" s="383"/>
    </row>
    <row r="198" spans="1:9" x14ac:dyDescent="0.3">
      <c r="A198" s="1">
        <v>173</v>
      </c>
      <c r="B198" s="3">
        <f t="shared" si="72"/>
        <v>6</v>
      </c>
      <c r="C198" s="13">
        <f t="shared" si="77"/>
        <v>51166</v>
      </c>
      <c r="E198" s="4">
        <f t="shared" si="73"/>
        <v>8.6845830082893372E-8</v>
      </c>
      <c r="F198" s="4">
        <f t="shared" si="74"/>
        <v>0</v>
      </c>
      <c r="G198" s="4">
        <f t="shared" si="75"/>
        <v>0</v>
      </c>
      <c r="H198" s="4">
        <f t="shared" si="76"/>
        <v>0</v>
      </c>
      <c r="I198" s="383"/>
    </row>
    <row r="199" spans="1:9" x14ac:dyDescent="0.3">
      <c r="A199" s="1">
        <v>174</v>
      </c>
      <c r="B199" s="3">
        <f t="shared" si="72"/>
        <v>10</v>
      </c>
      <c r="C199" s="13">
        <f t="shared" si="77"/>
        <v>51195</v>
      </c>
      <c r="E199" s="4">
        <f t="shared" si="73"/>
        <v>8.6845830082893372E-8</v>
      </c>
      <c r="F199" s="4">
        <f t="shared" si="74"/>
        <v>0</v>
      </c>
      <c r="G199" s="4">
        <f t="shared" si="75"/>
        <v>0</v>
      </c>
      <c r="H199" s="4">
        <f t="shared" si="76"/>
        <v>0</v>
      </c>
      <c r="I199" s="383"/>
    </row>
    <row r="200" spans="1:9" x14ac:dyDescent="0.3">
      <c r="A200" s="1">
        <v>175</v>
      </c>
      <c r="B200" s="3">
        <f t="shared" si="72"/>
        <v>14</v>
      </c>
      <c r="C200" s="13">
        <f t="shared" si="77"/>
        <v>51226</v>
      </c>
      <c r="E200" s="4">
        <f t="shared" si="73"/>
        <v>8.6845830082893372E-8</v>
      </c>
      <c r="F200" s="4">
        <f t="shared" si="74"/>
        <v>0</v>
      </c>
      <c r="G200" s="4">
        <f t="shared" si="75"/>
        <v>0</v>
      </c>
      <c r="H200" s="4">
        <f t="shared" si="76"/>
        <v>0</v>
      </c>
      <c r="I200" s="383"/>
    </row>
    <row r="201" spans="1:9" x14ac:dyDescent="0.3">
      <c r="A201" s="1">
        <v>176</v>
      </c>
      <c r="B201" s="3">
        <f t="shared" si="72"/>
        <v>19</v>
      </c>
      <c r="C201" s="13">
        <f t="shared" si="77"/>
        <v>51256</v>
      </c>
      <c r="E201" s="4">
        <f t="shared" si="73"/>
        <v>8.6845830082893372E-8</v>
      </c>
      <c r="F201" s="4">
        <f t="shared" si="74"/>
        <v>0</v>
      </c>
      <c r="G201" s="4">
        <f t="shared" si="75"/>
        <v>0</v>
      </c>
      <c r="H201" s="4">
        <f t="shared" si="76"/>
        <v>0</v>
      </c>
      <c r="I201" s="383"/>
    </row>
    <row r="202" spans="1:9" x14ac:dyDescent="0.3">
      <c r="A202" s="1">
        <v>177</v>
      </c>
      <c r="B202" s="3">
        <f t="shared" si="72"/>
        <v>23</v>
      </c>
      <c r="C202" s="13">
        <f t="shared" si="77"/>
        <v>51287</v>
      </c>
      <c r="E202" s="4">
        <f t="shared" si="73"/>
        <v>8.6845830082893372E-8</v>
      </c>
      <c r="F202" s="4">
        <f t="shared" si="74"/>
        <v>0</v>
      </c>
      <c r="G202" s="4">
        <f t="shared" si="75"/>
        <v>0</v>
      </c>
      <c r="H202" s="4">
        <f t="shared" si="76"/>
        <v>0</v>
      </c>
      <c r="I202" s="383"/>
    </row>
    <row r="203" spans="1:9" x14ac:dyDescent="0.3">
      <c r="A203" s="1">
        <v>178</v>
      </c>
      <c r="B203" s="3">
        <f t="shared" si="72"/>
        <v>27</v>
      </c>
      <c r="C203" s="13">
        <f t="shared" si="77"/>
        <v>51317</v>
      </c>
      <c r="E203" s="4">
        <f t="shared" si="73"/>
        <v>8.6845830082893372E-8</v>
      </c>
      <c r="F203" s="4">
        <f t="shared" si="74"/>
        <v>0</v>
      </c>
      <c r="G203" s="4">
        <f t="shared" si="75"/>
        <v>0</v>
      </c>
      <c r="H203" s="4">
        <f t="shared" si="76"/>
        <v>0</v>
      </c>
      <c r="I203" s="383"/>
    </row>
    <row r="204" spans="1:9" x14ac:dyDescent="0.3">
      <c r="A204" s="1">
        <v>179</v>
      </c>
      <c r="B204" s="3">
        <f t="shared" si="72"/>
        <v>32</v>
      </c>
      <c r="C204" s="13">
        <f t="shared" si="77"/>
        <v>51348</v>
      </c>
      <c r="E204" s="4">
        <f t="shared" si="73"/>
        <v>8.6845830082893372E-8</v>
      </c>
      <c r="F204" s="4">
        <f t="shared" si="74"/>
        <v>0</v>
      </c>
      <c r="G204" s="4">
        <f t="shared" si="75"/>
        <v>0</v>
      </c>
      <c r="H204" s="4">
        <f t="shared" si="76"/>
        <v>0</v>
      </c>
      <c r="I204" s="383"/>
    </row>
    <row r="205" spans="1:9" x14ac:dyDescent="0.3">
      <c r="A205" s="1">
        <v>180</v>
      </c>
      <c r="B205" s="3">
        <f t="shared" si="72"/>
        <v>36</v>
      </c>
      <c r="C205" s="13">
        <f t="shared" si="77"/>
        <v>51379</v>
      </c>
      <c r="E205" s="4">
        <f t="shared" si="73"/>
        <v>8.6845830082893372E-8</v>
      </c>
      <c r="F205" s="4">
        <f t="shared" si="74"/>
        <v>0</v>
      </c>
      <c r="G205" s="4">
        <f t="shared" si="75"/>
        <v>0</v>
      </c>
      <c r="H205" s="4">
        <f t="shared" si="76"/>
        <v>0</v>
      </c>
      <c r="I205" s="383"/>
    </row>
    <row r="206" spans="1:9" x14ac:dyDescent="0.3">
      <c r="A206" s="1">
        <v>181</v>
      </c>
      <c r="B206" s="3">
        <f t="shared" si="72"/>
        <v>40</v>
      </c>
      <c r="C206" s="13">
        <f t="shared" si="77"/>
        <v>51409</v>
      </c>
      <c r="E206" s="4">
        <f t="shared" si="73"/>
        <v>8.6845830082893372E-8</v>
      </c>
      <c r="F206" s="4">
        <f t="shared" si="74"/>
        <v>0</v>
      </c>
      <c r="G206" s="4">
        <f t="shared" si="75"/>
        <v>0</v>
      </c>
      <c r="H206" s="4">
        <f t="shared" si="76"/>
        <v>0</v>
      </c>
      <c r="I206" s="383"/>
    </row>
    <row r="207" spans="1:9" x14ac:dyDescent="0.3">
      <c r="A207" s="1">
        <v>182</v>
      </c>
      <c r="B207" s="3">
        <f t="shared" si="72"/>
        <v>45</v>
      </c>
      <c r="C207" s="13">
        <f t="shared" si="77"/>
        <v>51440</v>
      </c>
      <c r="E207" s="4">
        <f t="shared" si="73"/>
        <v>8.6845830082893372E-8</v>
      </c>
      <c r="F207" s="4">
        <f t="shared" si="74"/>
        <v>0</v>
      </c>
      <c r="G207" s="4">
        <f t="shared" si="75"/>
        <v>0</v>
      </c>
      <c r="H207" s="4">
        <f t="shared" si="76"/>
        <v>0</v>
      </c>
      <c r="I207" s="383"/>
    </row>
    <row r="208" spans="1:9" x14ac:dyDescent="0.3">
      <c r="A208" s="1">
        <v>183</v>
      </c>
      <c r="B208" s="3">
        <f t="shared" si="72"/>
        <v>49</v>
      </c>
      <c r="C208" s="13">
        <f t="shared" si="77"/>
        <v>51470</v>
      </c>
      <c r="E208" s="4">
        <f t="shared" si="73"/>
        <v>8.6845830082893372E-8</v>
      </c>
      <c r="F208" s="4">
        <f t="shared" si="74"/>
        <v>0</v>
      </c>
      <c r="G208" s="4">
        <f t="shared" si="75"/>
        <v>0</v>
      </c>
      <c r="H208" s="4">
        <f t="shared" si="76"/>
        <v>0</v>
      </c>
      <c r="I208" s="383"/>
    </row>
    <row r="209" spans="1:9" x14ac:dyDescent="0.3">
      <c r="A209" s="1">
        <v>184</v>
      </c>
      <c r="B209" s="3">
        <f t="shared" si="72"/>
        <v>54</v>
      </c>
      <c r="C209" s="13">
        <f t="shared" si="77"/>
        <v>51501</v>
      </c>
      <c r="E209" s="4">
        <f t="shared" si="73"/>
        <v>8.6845830082893372E-8</v>
      </c>
      <c r="F209" s="4">
        <f t="shared" si="74"/>
        <v>0</v>
      </c>
      <c r="G209" s="4">
        <f t="shared" si="75"/>
        <v>0</v>
      </c>
      <c r="H209" s="4">
        <f t="shared" si="76"/>
        <v>0</v>
      </c>
      <c r="I209" s="383"/>
    </row>
    <row r="210" spans="1:9" x14ac:dyDescent="0.3">
      <c r="A210" s="1">
        <v>185</v>
      </c>
      <c r="B210" s="3">
        <f t="shared" si="72"/>
        <v>5</v>
      </c>
      <c r="C210" s="13">
        <f t="shared" si="77"/>
        <v>51532</v>
      </c>
      <c r="E210" s="4">
        <f t="shared" si="73"/>
        <v>8.6845830082893372E-8</v>
      </c>
      <c r="F210" s="4">
        <f t="shared" si="74"/>
        <v>0</v>
      </c>
      <c r="G210" s="4">
        <f t="shared" si="75"/>
        <v>0</v>
      </c>
      <c r="H210" s="4">
        <f t="shared" si="76"/>
        <v>0</v>
      </c>
      <c r="I210" s="383"/>
    </row>
    <row r="211" spans="1:9" x14ac:dyDescent="0.3">
      <c r="A211" s="1">
        <v>186</v>
      </c>
      <c r="B211" s="3">
        <f t="shared" si="72"/>
        <v>9</v>
      </c>
      <c r="C211" s="13">
        <f t="shared" si="77"/>
        <v>51560</v>
      </c>
      <c r="E211" s="4">
        <f t="shared" si="73"/>
        <v>8.6845830082893372E-8</v>
      </c>
      <c r="F211" s="4">
        <f t="shared" si="74"/>
        <v>0</v>
      </c>
      <c r="G211" s="4">
        <f t="shared" si="75"/>
        <v>0</v>
      </c>
      <c r="H211" s="4">
        <f t="shared" si="76"/>
        <v>0</v>
      </c>
      <c r="I211" s="383"/>
    </row>
    <row r="212" spans="1:9" x14ac:dyDescent="0.3">
      <c r="A212" s="1">
        <v>187</v>
      </c>
      <c r="B212" s="3">
        <f t="shared" si="72"/>
        <v>13</v>
      </c>
      <c r="C212" s="13">
        <f t="shared" si="77"/>
        <v>51591</v>
      </c>
      <c r="E212" s="4">
        <f t="shared" si="73"/>
        <v>8.6845830082893372E-8</v>
      </c>
      <c r="F212" s="4">
        <f t="shared" si="74"/>
        <v>0</v>
      </c>
      <c r="G212" s="4">
        <f t="shared" si="75"/>
        <v>0</v>
      </c>
      <c r="H212" s="4">
        <f t="shared" si="76"/>
        <v>0</v>
      </c>
      <c r="I212" s="383"/>
    </row>
    <row r="213" spans="1:9" x14ac:dyDescent="0.3">
      <c r="A213" s="1">
        <v>188</v>
      </c>
      <c r="B213" s="3">
        <f t="shared" si="72"/>
        <v>18</v>
      </c>
      <c r="C213" s="13">
        <f t="shared" si="77"/>
        <v>51621</v>
      </c>
      <c r="E213" s="4">
        <f t="shared" si="73"/>
        <v>8.6845830082893372E-8</v>
      </c>
      <c r="F213" s="4">
        <f t="shared" si="74"/>
        <v>0</v>
      </c>
      <c r="G213" s="4">
        <f t="shared" si="75"/>
        <v>0</v>
      </c>
      <c r="H213" s="4">
        <f t="shared" si="76"/>
        <v>0</v>
      </c>
      <c r="I213" s="383"/>
    </row>
    <row r="214" spans="1:9" x14ac:dyDescent="0.3">
      <c r="A214" s="1">
        <v>189</v>
      </c>
      <c r="B214" s="3">
        <f t="shared" si="72"/>
        <v>22</v>
      </c>
      <c r="C214" s="13">
        <f t="shared" si="77"/>
        <v>51652</v>
      </c>
      <c r="E214" s="4">
        <f t="shared" si="73"/>
        <v>8.6845830082893372E-8</v>
      </c>
      <c r="F214" s="4">
        <f t="shared" si="74"/>
        <v>0</v>
      </c>
      <c r="G214" s="4">
        <f t="shared" si="75"/>
        <v>0</v>
      </c>
      <c r="H214" s="4">
        <f t="shared" si="76"/>
        <v>0</v>
      </c>
      <c r="I214" s="383"/>
    </row>
    <row r="215" spans="1:9" x14ac:dyDescent="0.3">
      <c r="A215" s="1">
        <v>190</v>
      </c>
      <c r="B215" s="3">
        <f t="shared" si="72"/>
        <v>26</v>
      </c>
      <c r="C215" s="13">
        <f t="shared" si="77"/>
        <v>51682</v>
      </c>
      <c r="E215" s="4">
        <f t="shared" si="73"/>
        <v>8.6845830082893372E-8</v>
      </c>
      <c r="F215" s="4">
        <f t="shared" si="74"/>
        <v>0</v>
      </c>
      <c r="G215" s="4">
        <f t="shared" si="75"/>
        <v>0</v>
      </c>
      <c r="H215" s="4">
        <f t="shared" si="76"/>
        <v>0</v>
      </c>
      <c r="I215" s="383"/>
    </row>
    <row r="216" spans="1:9" x14ac:dyDescent="0.3">
      <c r="A216" s="1">
        <v>191</v>
      </c>
      <c r="B216" s="3">
        <f t="shared" si="72"/>
        <v>31</v>
      </c>
      <c r="C216" s="13">
        <f t="shared" si="77"/>
        <v>51713</v>
      </c>
      <c r="E216" s="4">
        <f t="shared" si="73"/>
        <v>8.6845830082893372E-8</v>
      </c>
      <c r="F216" s="4">
        <f t="shared" si="74"/>
        <v>0</v>
      </c>
      <c r="G216" s="4">
        <f t="shared" si="75"/>
        <v>0</v>
      </c>
      <c r="H216" s="4">
        <f t="shared" si="76"/>
        <v>0</v>
      </c>
      <c r="I216" s="383"/>
    </row>
    <row r="217" spans="1:9" x14ac:dyDescent="0.3">
      <c r="A217" s="1">
        <v>192</v>
      </c>
      <c r="B217" s="3">
        <f t="shared" si="72"/>
        <v>35</v>
      </c>
      <c r="C217" s="13">
        <f t="shared" si="77"/>
        <v>51744</v>
      </c>
      <c r="E217" s="4">
        <f t="shared" si="73"/>
        <v>8.6845830082893372E-8</v>
      </c>
      <c r="F217" s="4">
        <f t="shared" si="74"/>
        <v>0</v>
      </c>
      <c r="G217" s="4">
        <f t="shared" si="75"/>
        <v>0</v>
      </c>
      <c r="H217" s="4">
        <f t="shared" si="76"/>
        <v>0</v>
      </c>
      <c r="I217" s="383"/>
    </row>
    <row r="218" spans="1:9" x14ac:dyDescent="0.3">
      <c r="A218" s="1">
        <v>193</v>
      </c>
      <c r="B218" s="3">
        <f t="shared" ref="B218:B281" si="78">+WEEKNUM(C218,2)</f>
        <v>40</v>
      </c>
      <c r="C218" s="13">
        <f t="shared" si="77"/>
        <v>51774</v>
      </c>
      <c r="E218" s="4">
        <f t="shared" si="73"/>
        <v>8.6845830082893372E-8</v>
      </c>
      <c r="F218" s="4">
        <f t="shared" si="74"/>
        <v>0</v>
      </c>
      <c r="G218" s="4">
        <f t="shared" si="75"/>
        <v>0</v>
      </c>
      <c r="H218" s="4">
        <f t="shared" si="76"/>
        <v>0</v>
      </c>
      <c r="I218" s="383"/>
    </row>
    <row r="219" spans="1:9" x14ac:dyDescent="0.3">
      <c r="A219" s="1">
        <v>194</v>
      </c>
      <c r="B219" s="3">
        <f t="shared" si="78"/>
        <v>44</v>
      </c>
      <c r="C219" s="13">
        <f t="shared" si="77"/>
        <v>51805</v>
      </c>
      <c r="E219" s="4">
        <f t="shared" ref="E219:E282" si="79">+E218+D219-F219</f>
        <v>8.6845830082893372E-8</v>
      </c>
      <c r="F219" s="4">
        <f t="shared" ref="F219:F282" si="80">+SUMIF(N:N,C219,R:R)+SUMIF(AD:AD,C219,AH:AH)+SUMIF(AS:AS,C219,AW:AW)+SUMIF(BH:BH,C219,BL:BL)+SUMIF(BW:BW,C219,CA:CA)+SUMIF(BW:BW,C219,CB:CB)+SUMIF(CM:CM,C219,CQ:CQ)+SUMIF(CV:CV,C219,CZ:CZ)+SUMIF(DE:DE,C219,DI:DI)+SUMIF(DN:DN,C219,DR:DR)+SUMIF(DW:DW,C219,EA:EA)+SUMIF(EF:EF,C219,EJ:EJ)+SUMIF(EP:EP,C219,ET:ET)+SUMIF(EY:EY,C219,FC:FC)+SUMIF(FH:FH,C219,FL:FL)+SUMIF(FQ:FQ,C219,FU:FU)+SUMIF(FZ:FZ,C219,GD:GD)+SUMIF(GI:GI,C219,GM:GM)</f>
        <v>0</v>
      </c>
      <c r="G219" s="4">
        <f t="shared" ref="G219:G282" si="81">+SUMIF(N:N,C219,S:S)+SUMIF(N:N,C219,T:T)+SUMIF(AD:AD,C219,AI:AI)+SUMIF(AS:AS,C219,AX:AX)+SUMIF(BH:BH,C219,BM:BM)+SUMIF(BW:BW,C219,CD:CD)+SUMIF(BW:BW,C219,CC:CC)+SUMIF(CM:CM,C219,CR:CR)+SUMIF(CV:CV,C219,DA:DA)+SUMIF(DE:DE,C219,DJ:DJ)+SUMIF(DN:DN,C219,DS:DS)+SUMIF(DX:DX,C219,EB:EB)+SUMIF(EG:EG,C219,EK:EK)+SUMIF(EP:EP,C219,EU:EU)+SUMIF(EY:EY,C219,FD:FD)+SUMIF(FH:FH,C219,FM:FM)+SUMIF(FQ:FQ,C219,FV:FV)+SUMIF(FZ:FZ,C219,GE:GE)+SUMIF(GI:GI,C219,GN:GN)</f>
        <v>0</v>
      </c>
      <c r="H219" s="4">
        <f t="shared" ref="H219:H282" si="82">+SUM(F219:G219)</f>
        <v>0</v>
      </c>
      <c r="I219" s="383"/>
    </row>
    <row r="220" spans="1:9" x14ac:dyDescent="0.3">
      <c r="A220" s="1">
        <v>195</v>
      </c>
      <c r="B220" s="3">
        <f t="shared" si="78"/>
        <v>48</v>
      </c>
      <c r="C220" s="13">
        <f t="shared" si="77"/>
        <v>51835</v>
      </c>
      <c r="E220" s="4">
        <f t="shared" si="79"/>
        <v>8.6845830082893372E-8</v>
      </c>
      <c r="F220" s="4">
        <f t="shared" si="80"/>
        <v>0</v>
      </c>
      <c r="G220" s="4">
        <f t="shared" si="81"/>
        <v>0</v>
      </c>
      <c r="H220" s="4">
        <f t="shared" si="82"/>
        <v>0</v>
      </c>
      <c r="I220" s="383"/>
    </row>
    <row r="221" spans="1:9" x14ac:dyDescent="0.3">
      <c r="A221" s="1">
        <v>196</v>
      </c>
      <c r="B221" s="3">
        <f t="shared" si="78"/>
        <v>53</v>
      </c>
      <c r="C221" s="13">
        <f t="shared" ref="C221:C284" si="83">+EOMONTH(C220,1)</f>
        <v>51866</v>
      </c>
      <c r="E221" s="4">
        <f t="shared" si="79"/>
        <v>8.6845830082893372E-8</v>
      </c>
      <c r="F221" s="4">
        <f t="shared" si="80"/>
        <v>0</v>
      </c>
      <c r="G221" s="4">
        <f t="shared" si="81"/>
        <v>0</v>
      </c>
      <c r="H221" s="4">
        <f t="shared" si="82"/>
        <v>0</v>
      </c>
      <c r="I221" s="383"/>
    </row>
    <row r="222" spans="1:9" x14ac:dyDescent="0.3">
      <c r="A222" s="1">
        <v>197</v>
      </c>
      <c r="B222" s="3">
        <f t="shared" si="78"/>
        <v>5</v>
      </c>
      <c r="C222" s="13">
        <f t="shared" si="83"/>
        <v>51897</v>
      </c>
      <c r="E222" s="4">
        <f t="shared" si="79"/>
        <v>8.6845830082893372E-8</v>
      </c>
      <c r="F222" s="4">
        <f t="shared" si="80"/>
        <v>0</v>
      </c>
      <c r="G222" s="4">
        <f t="shared" si="81"/>
        <v>0</v>
      </c>
      <c r="H222" s="4">
        <f t="shared" si="82"/>
        <v>0</v>
      </c>
      <c r="I222" s="383"/>
    </row>
    <row r="223" spans="1:9" x14ac:dyDescent="0.3">
      <c r="A223" s="1">
        <v>198</v>
      </c>
      <c r="B223" s="3">
        <f t="shared" si="78"/>
        <v>9</v>
      </c>
      <c r="C223" s="13">
        <f t="shared" si="83"/>
        <v>51925</v>
      </c>
      <c r="E223" s="4">
        <f t="shared" si="79"/>
        <v>8.6845830082893372E-8</v>
      </c>
      <c r="F223" s="4">
        <f t="shared" si="80"/>
        <v>0</v>
      </c>
      <c r="G223" s="4">
        <f t="shared" si="81"/>
        <v>0</v>
      </c>
      <c r="H223" s="4">
        <f t="shared" si="82"/>
        <v>0</v>
      </c>
      <c r="I223" s="383"/>
    </row>
    <row r="224" spans="1:9" x14ac:dyDescent="0.3">
      <c r="A224" s="1">
        <v>199</v>
      </c>
      <c r="B224" s="3">
        <f t="shared" si="78"/>
        <v>14</v>
      </c>
      <c r="C224" s="13">
        <f t="shared" si="83"/>
        <v>51956</v>
      </c>
      <c r="E224" s="4">
        <f t="shared" si="79"/>
        <v>8.6845830082893372E-8</v>
      </c>
      <c r="F224" s="4">
        <f t="shared" si="80"/>
        <v>0</v>
      </c>
      <c r="G224" s="4">
        <f t="shared" si="81"/>
        <v>0</v>
      </c>
      <c r="H224" s="4">
        <f t="shared" si="82"/>
        <v>0</v>
      </c>
      <c r="I224" s="383"/>
    </row>
    <row r="225" spans="1:9" x14ac:dyDescent="0.3">
      <c r="A225" s="1">
        <v>200</v>
      </c>
      <c r="B225" s="3">
        <f t="shared" si="78"/>
        <v>18</v>
      </c>
      <c r="C225" s="13">
        <f t="shared" si="83"/>
        <v>51986</v>
      </c>
      <c r="E225" s="4">
        <f t="shared" si="79"/>
        <v>8.6845830082893372E-8</v>
      </c>
      <c r="F225" s="4">
        <f t="shared" si="80"/>
        <v>0</v>
      </c>
      <c r="G225" s="4">
        <f t="shared" si="81"/>
        <v>0</v>
      </c>
      <c r="H225" s="4">
        <f t="shared" si="82"/>
        <v>0</v>
      </c>
      <c r="I225" s="383"/>
    </row>
    <row r="226" spans="1:9" x14ac:dyDescent="0.3">
      <c r="A226" s="1">
        <v>201</v>
      </c>
      <c r="B226" s="3">
        <f t="shared" si="78"/>
        <v>22</v>
      </c>
      <c r="C226" s="13">
        <f t="shared" si="83"/>
        <v>52017</v>
      </c>
      <c r="E226" s="4">
        <f t="shared" si="79"/>
        <v>8.6845830082893372E-8</v>
      </c>
      <c r="F226" s="4">
        <f t="shared" si="80"/>
        <v>0</v>
      </c>
      <c r="G226" s="4">
        <f t="shared" si="81"/>
        <v>0</v>
      </c>
      <c r="H226" s="4">
        <f t="shared" si="82"/>
        <v>0</v>
      </c>
      <c r="I226" s="383"/>
    </row>
    <row r="227" spans="1:9" x14ac:dyDescent="0.3">
      <c r="A227" s="1">
        <v>202</v>
      </c>
      <c r="B227" s="3">
        <f t="shared" si="78"/>
        <v>27</v>
      </c>
      <c r="C227" s="13">
        <f t="shared" si="83"/>
        <v>52047</v>
      </c>
      <c r="E227" s="4">
        <f t="shared" si="79"/>
        <v>8.6845830082893372E-8</v>
      </c>
      <c r="F227" s="4">
        <f t="shared" si="80"/>
        <v>0</v>
      </c>
      <c r="G227" s="4">
        <f t="shared" si="81"/>
        <v>0</v>
      </c>
      <c r="H227" s="4">
        <f t="shared" si="82"/>
        <v>0</v>
      </c>
      <c r="I227" s="383"/>
    </row>
    <row r="228" spans="1:9" x14ac:dyDescent="0.3">
      <c r="A228" s="1">
        <v>203</v>
      </c>
      <c r="B228" s="3">
        <f t="shared" si="78"/>
        <v>31</v>
      </c>
      <c r="C228" s="13">
        <f t="shared" si="83"/>
        <v>52078</v>
      </c>
      <c r="E228" s="4">
        <f t="shared" si="79"/>
        <v>8.6845830082893372E-8</v>
      </c>
      <c r="F228" s="4">
        <f t="shared" si="80"/>
        <v>0</v>
      </c>
      <c r="G228" s="4">
        <f t="shared" si="81"/>
        <v>0</v>
      </c>
      <c r="H228" s="4">
        <f t="shared" si="82"/>
        <v>0</v>
      </c>
      <c r="I228" s="383"/>
    </row>
    <row r="229" spans="1:9" x14ac:dyDescent="0.3">
      <c r="A229" s="1">
        <v>204</v>
      </c>
      <c r="B229" s="3">
        <f t="shared" si="78"/>
        <v>35</v>
      </c>
      <c r="C229" s="13">
        <f t="shared" si="83"/>
        <v>52109</v>
      </c>
      <c r="E229" s="4">
        <f t="shared" si="79"/>
        <v>8.6845830082893372E-8</v>
      </c>
      <c r="F229" s="4">
        <f t="shared" si="80"/>
        <v>0</v>
      </c>
      <c r="G229" s="4">
        <f t="shared" si="81"/>
        <v>0</v>
      </c>
      <c r="H229" s="4">
        <f t="shared" si="82"/>
        <v>0</v>
      </c>
      <c r="I229" s="383"/>
    </row>
    <row r="230" spans="1:9" x14ac:dyDescent="0.3">
      <c r="A230" s="1">
        <v>205</v>
      </c>
      <c r="B230" s="3">
        <f t="shared" si="78"/>
        <v>40</v>
      </c>
      <c r="C230" s="13">
        <f t="shared" si="83"/>
        <v>52139</v>
      </c>
      <c r="E230" s="4">
        <f t="shared" si="79"/>
        <v>8.6845830082893372E-8</v>
      </c>
      <c r="F230" s="4">
        <f t="shared" si="80"/>
        <v>0</v>
      </c>
      <c r="G230" s="4">
        <f t="shared" si="81"/>
        <v>0</v>
      </c>
      <c r="H230" s="4">
        <f t="shared" si="82"/>
        <v>0</v>
      </c>
      <c r="I230" s="383"/>
    </row>
    <row r="231" spans="1:9" x14ac:dyDescent="0.3">
      <c r="A231" s="1">
        <v>206</v>
      </c>
      <c r="B231" s="3">
        <f t="shared" si="78"/>
        <v>44</v>
      </c>
      <c r="C231" s="13">
        <f t="shared" si="83"/>
        <v>52170</v>
      </c>
      <c r="E231" s="4">
        <f t="shared" si="79"/>
        <v>8.6845830082893372E-8</v>
      </c>
      <c r="F231" s="4">
        <f t="shared" si="80"/>
        <v>0</v>
      </c>
      <c r="G231" s="4">
        <f t="shared" si="81"/>
        <v>0</v>
      </c>
      <c r="H231" s="4">
        <f t="shared" si="82"/>
        <v>0</v>
      </c>
      <c r="I231" s="383"/>
    </row>
    <row r="232" spans="1:9" x14ac:dyDescent="0.3">
      <c r="A232" s="1">
        <v>207</v>
      </c>
      <c r="B232" s="3">
        <f t="shared" si="78"/>
        <v>48</v>
      </c>
      <c r="C232" s="13">
        <f t="shared" si="83"/>
        <v>52200</v>
      </c>
      <c r="E232" s="4">
        <f t="shared" si="79"/>
        <v>8.6845830082893372E-8</v>
      </c>
      <c r="F232" s="4">
        <f t="shared" si="80"/>
        <v>0</v>
      </c>
      <c r="G232" s="4">
        <f t="shared" si="81"/>
        <v>0</v>
      </c>
      <c r="H232" s="4">
        <f t="shared" si="82"/>
        <v>0</v>
      </c>
      <c r="I232" s="383"/>
    </row>
    <row r="233" spans="1:9" x14ac:dyDescent="0.3">
      <c r="A233" s="1">
        <v>208</v>
      </c>
      <c r="B233" s="3">
        <f t="shared" si="78"/>
        <v>53</v>
      </c>
      <c r="C233" s="13">
        <f t="shared" si="83"/>
        <v>52231</v>
      </c>
      <c r="E233" s="4">
        <f t="shared" si="79"/>
        <v>8.6845830082893372E-8</v>
      </c>
      <c r="F233" s="4">
        <f t="shared" si="80"/>
        <v>0</v>
      </c>
      <c r="G233" s="4">
        <f t="shared" si="81"/>
        <v>0</v>
      </c>
      <c r="H233" s="4">
        <f t="shared" si="82"/>
        <v>0</v>
      </c>
      <c r="I233" s="383"/>
    </row>
    <row r="234" spans="1:9" x14ac:dyDescent="0.3">
      <c r="A234" s="1">
        <v>209</v>
      </c>
      <c r="B234" s="3">
        <f t="shared" si="78"/>
        <v>5</v>
      </c>
      <c r="C234" s="13">
        <f t="shared" si="83"/>
        <v>52262</v>
      </c>
      <c r="E234" s="4">
        <f t="shared" si="79"/>
        <v>8.6845830082893372E-8</v>
      </c>
      <c r="F234" s="4">
        <f t="shared" si="80"/>
        <v>0</v>
      </c>
      <c r="G234" s="4">
        <f t="shared" si="81"/>
        <v>0</v>
      </c>
      <c r="H234" s="4">
        <f t="shared" si="82"/>
        <v>0</v>
      </c>
      <c r="I234" s="383"/>
    </row>
    <row r="235" spans="1:9" x14ac:dyDescent="0.3">
      <c r="A235" s="1">
        <v>210</v>
      </c>
      <c r="B235" s="3">
        <f t="shared" si="78"/>
        <v>9</v>
      </c>
      <c r="C235" s="13">
        <f t="shared" si="83"/>
        <v>52290</v>
      </c>
      <c r="E235" s="4">
        <f t="shared" si="79"/>
        <v>8.6845830082893372E-8</v>
      </c>
      <c r="F235" s="4">
        <f t="shared" si="80"/>
        <v>0</v>
      </c>
      <c r="G235" s="4">
        <f t="shared" si="81"/>
        <v>0</v>
      </c>
      <c r="H235" s="4">
        <f t="shared" si="82"/>
        <v>0</v>
      </c>
      <c r="I235" s="383"/>
    </row>
    <row r="236" spans="1:9" x14ac:dyDescent="0.3">
      <c r="A236" s="1">
        <v>211</v>
      </c>
      <c r="B236" s="3">
        <f t="shared" si="78"/>
        <v>14</v>
      </c>
      <c r="C236" s="13">
        <f t="shared" si="83"/>
        <v>52321</v>
      </c>
      <c r="E236" s="4">
        <f t="shared" si="79"/>
        <v>8.6845830082893372E-8</v>
      </c>
      <c r="F236" s="4">
        <f t="shared" si="80"/>
        <v>0</v>
      </c>
      <c r="G236" s="4">
        <f t="shared" si="81"/>
        <v>0</v>
      </c>
      <c r="H236" s="4">
        <f t="shared" si="82"/>
        <v>0</v>
      </c>
      <c r="I236" s="383"/>
    </row>
    <row r="237" spans="1:9" x14ac:dyDescent="0.3">
      <c r="A237" s="1">
        <v>212</v>
      </c>
      <c r="B237" s="3">
        <f t="shared" si="78"/>
        <v>18</v>
      </c>
      <c r="C237" s="13">
        <f t="shared" si="83"/>
        <v>52351</v>
      </c>
      <c r="E237" s="4">
        <f t="shared" si="79"/>
        <v>8.6845830082893372E-8</v>
      </c>
      <c r="F237" s="4">
        <f t="shared" si="80"/>
        <v>0</v>
      </c>
      <c r="G237" s="4">
        <f t="shared" si="81"/>
        <v>0</v>
      </c>
      <c r="H237" s="4">
        <f t="shared" si="82"/>
        <v>0</v>
      </c>
      <c r="I237" s="383"/>
    </row>
    <row r="238" spans="1:9" x14ac:dyDescent="0.3">
      <c r="A238" s="1">
        <v>213</v>
      </c>
      <c r="B238" s="3">
        <f t="shared" si="78"/>
        <v>22</v>
      </c>
      <c r="C238" s="13">
        <f t="shared" si="83"/>
        <v>52382</v>
      </c>
      <c r="E238" s="4">
        <f t="shared" si="79"/>
        <v>8.6845830082893372E-8</v>
      </c>
      <c r="F238" s="4">
        <f t="shared" si="80"/>
        <v>0</v>
      </c>
      <c r="G238" s="4">
        <f t="shared" si="81"/>
        <v>0</v>
      </c>
      <c r="H238" s="4">
        <f t="shared" si="82"/>
        <v>0</v>
      </c>
      <c r="I238" s="383"/>
    </row>
    <row r="239" spans="1:9" x14ac:dyDescent="0.3">
      <c r="A239" s="1">
        <v>214</v>
      </c>
      <c r="B239" s="3">
        <f t="shared" si="78"/>
        <v>27</v>
      </c>
      <c r="C239" s="13">
        <f t="shared" si="83"/>
        <v>52412</v>
      </c>
      <c r="E239" s="4">
        <f t="shared" si="79"/>
        <v>8.6845830082893372E-8</v>
      </c>
      <c r="F239" s="4">
        <f t="shared" si="80"/>
        <v>0</v>
      </c>
      <c r="G239" s="4">
        <f t="shared" si="81"/>
        <v>0</v>
      </c>
      <c r="H239" s="4">
        <f t="shared" si="82"/>
        <v>0</v>
      </c>
      <c r="I239" s="383"/>
    </row>
    <row r="240" spans="1:9" x14ac:dyDescent="0.3">
      <c r="A240" s="1">
        <v>215</v>
      </c>
      <c r="B240" s="3">
        <f t="shared" si="78"/>
        <v>31</v>
      </c>
      <c r="C240" s="13">
        <f t="shared" si="83"/>
        <v>52443</v>
      </c>
      <c r="E240" s="4">
        <f t="shared" si="79"/>
        <v>8.6845830082893372E-8</v>
      </c>
      <c r="F240" s="4">
        <f t="shared" si="80"/>
        <v>0</v>
      </c>
      <c r="G240" s="4">
        <f t="shared" si="81"/>
        <v>0</v>
      </c>
      <c r="H240" s="4">
        <f t="shared" si="82"/>
        <v>0</v>
      </c>
      <c r="I240" s="383"/>
    </row>
    <row r="241" spans="1:9" x14ac:dyDescent="0.3">
      <c r="A241" s="1">
        <v>216</v>
      </c>
      <c r="B241" s="3">
        <f t="shared" si="78"/>
        <v>36</v>
      </c>
      <c r="C241" s="13">
        <f t="shared" si="83"/>
        <v>52474</v>
      </c>
      <c r="E241" s="4">
        <f t="shared" si="79"/>
        <v>8.6845830082893372E-8</v>
      </c>
      <c r="F241" s="4">
        <f t="shared" si="80"/>
        <v>0</v>
      </c>
      <c r="G241" s="4">
        <f t="shared" si="81"/>
        <v>0</v>
      </c>
      <c r="H241" s="4">
        <f t="shared" si="82"/>
        <v>0</v>
      </c>
      <c r="I241" s="383"/>
    </row>
    <row r="242" spans="1:9" x14ac:dyDescent="0.3">
      <c r="A242" s="1">
        <v>217</v>
      </c>
      <c r="B242" s="3">
        <f t="shared" si="78"/>
        <v>40</v>
      </c>
      <c r="C242" s="13">
        <f t="shared" si="83"/>
        <v>52504</v>
      </c>
      <c r="E242" s="4">
        <f t="shared" si="79"/>
        <v>8.6845830082893372E-8</v>
      </c>
      <c r="F242" s="4">
        <f t="shared" si="80"/>
        <v>0</v>
      </c>
      <c r="G242" s="4">
        <f t="shared" si="81"/>
        <v>0</v>
      </c>
      <c r="H242" s="4">
        <f t="shared" si="82"/>
        <v>0</v>
      </c>
      <c r="I242" s="383"/>
    </row>
    <row r="243" spans="1:9" x14ac:dyDescent="0.3">
      <c r="A243" s="1">
        <v>218</v>
      </c>
      <c r="B243" s="3">
        <f t="shared" si="78"/>
        <v>44</v>
      </c>
      <c r="C243" s="13">
        <f t="shared" si="83"/>
        <v>52535</v>
      </c>
      <c r="E243" s="4">
        <f t="shared" si="79"/>
        <v>8.6845830082893372E-8</v>
      </c>
      <c r="F243" s="4">
        <f t="shared" si="80"/>
        <v>0</v>
      </c>
      <c r="G243" s="4">
        <f t="shared" si="81"/>
        <v>0</v>
      </c>
      <c r="H243" s="4">
        <f t="shared" si="82"/>
        <v>0</v>
      </c>
      <c r="I243" s="383"/>
    </row>
    <row r="244" spans="1:9" x14ac:dyDescent="0.3">
      <c r="A244" s="1">
        <v>219</v>
      </c>
      <c r="B244" s="3">
        <f t="shared" si="78"/>
        <v>49</v>
      </c>
      <c r="C244" s="13">
        <f t="shared" si="83"/>
        <v>52565</v>
      </c>
      <c r="E244" s="4">
        <f t="shared" si="79"/>
        <v>8.6845830082893372E-8</v>
      </c>
      <c r="F244" s="4">
        <f t="shared" si="80"/>
        <v>0</v>
      </c>
      <c r="G244" s="4">
        <f t="shared" si="81"/>
        <v>0</v>
      </c>
      <c r="H244" s="4">
        <f t="shared" si="82"/>
        <v>0</v>
      </c>
      <c r="I244" s="383"/>
    </row>
    <row r="245" spans="1:9" x14ac:dyDescent="0.3">
      <c r="A245" s="1">
        <v>220</v>
      </c>
      <c r="B245" s="3">
        <f t="shared" si="78"/>
        <v>53</v>
      </c>
      <c r="C245" s="13">
        <f t="shared" si="83"/>
        <v>52596</v>
      </c>
      <c r="E245" s="4">
        <f t="shared" si="79"/>
        <v>8.6845830082893372E-8</v>
      </c>
      <c r="F245" s="4">
        <f t="shared" si="80"/>
        <v>0</v>
      </c>
      <c r="G245" s="4">
        <f t="shared" si="81"/>
        <v>0</v>
      </c>
      <c r="H245" s="4">
        <f t="shared" si="82"/>
        <v>0</v>
      </c>
      <c r="I245" s="383"/>
    </row>
    <row r="246" spans="1:9" x14ac:dyDescent="0.3">
      <c r="A246" s="1">
        <v>221</v>
      </c>
      <c r="B246" s="3">
        <f t="shared" si="78"/>
        <v>5</v>
      </c>
      <c r="C246" s="13">
        <f t="shared" si="83"/>
        <v>52627</v>
      </c>
      <c r="E246" s="4">
        <f t="shared" si="79"/>
        <v>8.6845830082893372E-8</v>
      </c>
      <c r="F246" s="4">
        <f t="shared" si="80"/>
        <v>0</v>
      </c>
      <c r="G246" s="4">
        <f t="shared" si="81"/>
        <v>0</v>
      </c>
      <c r="H246" s="4">
        <f t="shared" si="82"/>
        <v>0</v>
      </c>
      <c r="I246" s="383"/>
    </row>
    <row r="247" spans="1:9" x14ac:dyDescent="0.3">
      <c r="A247" s="1">
        <v>222</v>
      </c>
      <c r="B247" s="3">
        <f t="shared" si="78"/>
        <v>10</v>
      </c>
      <c r="C247" s="13">
        <f t="shared" si="83"/>
        <v>52656</v>
      </c>
      <c r="E247" s="4">
        <f t="shared" si="79"/>
        <v>8.6845830082893372E-8</v>
      </c>
      <c r="F247" s="4">
        <f t="shared" si="80"/>
        <v>0</v>
      </c>
      <c r="G247" s="4">
        <f t="shared" si="81"/>
        <v>0</v>
      </c>
      <c r="H247" s="4">
        <f t="shared" si="82"/>
        <v>0</v>
      </c>
      <c r="I247" s="383"/>
    </row>
    <row r="248" spans="1:9" x14ac:dyDescent="0.3">
      <c r="A248" s="1">
        <v>223</v>
      </c>
      <c r="B248" s="3">
        <f t="shared" si="78"/>
        <v>14</v>
      </c>
      <c r="C248" s="13">
        <f t="shared" si="83"/>
        <v>52687</v>
      </c>
      <c r="E248" s="4">
        <f t="shared" si="79"/>
        <v>8.6845830082893372E-8</v>
      </c>
      <c r="F248" s="4">
        <f t="shared" si="80"/>
        <v>0</v>
      </c>
      <c r="G248" s="4">
        <f t="shared" si="81"/>
        <v>0</v>
      </c>
      <c r="H248" s="4">
        <f t="shared" si="82"/>
        <v>0</v>
      </c>
      <c r="I248" s="383"/>
    </row>
    <row r="249" spans="1:9" x14ac:dyDescent="0.3">
      <c r="A249" s="1">
        <v>224</v>
      </c>
      <c r="B249" s="3">
        <f t="shared" si="78"/>
        <v>18</v>
      </c>
      <c r="C249" s="13">
        <f t="shared" si="83"/>
        <v>52717</v>
      </c>
      <c r="E249" s="4">
        <f t="shared" si="79"/>
        <v>8.6845830082893372E-8</v>
      </c>
      <c r="F249" s="4">
        <f t="shared" si="80"/>
        <v>0</v>
      </c>
      <c r="G249" s="4">
        <f t="shared" si="81"/>
        <v>0</v>
      </c>
      <c r="H249" s="4">
        <f t="shared" si="82"/>
        <v>0</v>
      </c>
      <c r="I249" s="383"/>
    </row>
    <row r="250" spans="1:9" x14ac:dyDescent="0.3">
      <c r="A250" s="1">
        <v>225</v>
      </c>
      <c r="B250" s="3">
        <f t="shared" si="78"/>
        <v>23</v>
      </c>
      <c r="C250" s="13">
        <f t="shared" si="83"/>
        <v>52748</v>
      </c>
      <c r="E250" s="4">
        <f t="shared" si="79"/>
        <v>8.6845830082893372E-8</v>
      </c>
      <c r="F250" s="4">
        <f t="shared" si="80"/>
        <v>0</v>
      </c>
      <c r="G250" s="4">
        <f t="shared" si="81"/>
        <v>0</v>
      </c>
      <c r="H250" s="4">
        <f t="shared" si="82"/>
        <v>0</v>
      </c>
      <c r="I250" s="383"/>
    </row>
    <row r="251" spans="1:9" x14ac:dyDescent="0.3">
      <c r="A251" s="1">
        <v>226</v>
      </c>
      <c r="B251" s="3">
        <f t="shared" si="78"/>
        <v>27</v>
      </c>
      <c r="C251" s="13">
        <f t="shared" si="83"/>
        <v>52778</v>
      </c>
      <c r="E251" s="4">
        <f t="shared" si="79"/>
        <v>8.6845830082893372E-8</v>
      </c>
      <c r="F251" s="4">
        <f t="shared" si="80"/>
        <v>0</v>
      </c>
      <c r="G251" s="4">
        <f t="shared" si="81"/>
        <v>0</v>
      </c>
      <c r="H251" s="4">
        <f t="shared" si="82"/>
        <v>0</v>
      </c>
      <c r="I251" s="383"/>
    </row>
    <row r="252" spans="1:9" x14ac:dyDescent="0.3">
      <c r="A252" s="1">
        <v>227</v>
      </c>
      <c r="B252" s="3">
        <f t="shared" si="78"/>
        <v>31</v>
      </c>
      <c r="C252" s="13">
        <f t="shared" si="83"/>
        <v>52809</v>
      </c>
      <c r="E252" s="4">
        <f t="shared" si="79"/>
        <v>8.6845830082893372E-8</v>
      </c>
      <c r="F252" s="4">
        <f t="shared" si="80"/>
        <v>0</v>
      </c>
      <c r="G252" s="4">
        <f t="shared" si="81"/>
        <v>0</v>
      </c>
      <c r="H252" s="4">
        <f t="shared" si="82"/>
        <v>0</v>
      </c>
      <c r="I252" s="383"/>
    </row>
    <row r="253" spans="1:9" x14ac:dyDescent="0.3">
      <c r="A253" s="1">
        <v>228</v>
      </c>
      <c r="B253" s="3">
        <f t="shared" si="78"/>
        <v>36</v>
      </c>
      <c r="C253" s="13">
        <f t="shared" si="83"/>
        <v>52840</v>
      </c>
      <c r="E253" s="4">
        <f t="shared" si="79"/>
        <v>8.6845830082893372E-8</v>
      </c>
      <c r="F253" s="4">
        <f t="shared" si="80"/>
        <v>0</v>
      </c>
      <c r="G253" s="4">
        <f t="shared" si="81"/>
        <v>0</v>
      </c>
      <c r="H253" s="4">
        <f t="shared" si="82"/>
        <v>0</v>
      </c>
      <c r="I253" s="383"/>
    </row>
    <row r="254" spans="1:9" x14ac:dyDescent="0.3">
      <c r="A254" s="1">
        <v>229</v>
      </c>
      <c r="B254" s="3">
        <f t="shared" si="78"/>
        <v>40</v>
      </c>
      <c r="C254" s="13">
        <f t="shared" si="83"/>
        <v>52870</v>
      </c>
      <c r="E254" s="4">
        <f t="shared" si="79"/>
        <v>8.6845830082893372E-8</v>
      </c>
      <c r="F254" s="4">
        <f t="shared" si="80"/>
        <v>0</v>
      </c>
      <c r="G254" s="4">
        <f t="shared" si="81"/>
        <v>0</v>
      </c>
      <c r="H254" s="4">
        <f t="shared" si="82"/>
        <v>0</v>
      </c>
      <c r="I254" s="436"/>
    </row>
    <row r="255" spans="1:9" x14ac:dyDescent="0.3">
      <c r="A255" s="1">
        <v>230</v>
      </c>
      <c r="B255" s="3">
        <f t="shared" si="78"/>
        <v>45</v>
      </c>
      <c r="C255" s="13">
        <f t="shared" si="83"/>
        <v>52901</v>
      </c>
      <c r="E255" s="4">
        <f t="shared" si="79"/>
        <v>8.6845830082893372E-8</v>
      </c>
      <c r="F255" s="4">
        <f t="shared" si="80"/>
        <v>0</v>
      </c>
      <c r="G255" s="4">
        <f t="shared" si="81"/>
        <v>0</v>
      </c>
      <c r="H255" s="4">
        <f t="shared" si="82"/>
        <v>0</v>
      </c>
      <c r="I255" s="383"/>
    </row>
    <row r="256" spans="1:9" x14ac:dyDescent="0.3">
      <c r="A256" s="1">
        <v>231</v>
      </c>
      <c r="B256" s="3">
        <f t="shared" si="78"/>
        <v>49</v>
      </c>
      <c r="C256" s="13">
        <f t="shared" si="83"/>
        <v>52931</v>
      </c>
      <c r="E256" s="4">
        <f t="shared" si="79"/>
        <v>8.6845830082893372E-8</v>
      </c>
      <c r="F256" s="4">
        <f t="shared" si="80"/>
        <v>0</v>
      </c>
      <c r="G256" s="4">
        <f t="shared" si="81"/>
        <v>0</v>
      </c>
      <c r="H256" s="4">
        <f t="shared" si="82"/>
        <v>0</v>
      </c>
      <c r="I256" s="383"/>
    </row>
    <row r="257" spans="1:9" x14ac:dyDescent="0.3">
      <c r="A257" s="1">
        <v>232</v>
      </c>
      <c r="B257" s="3">
        <f t="shared" si="78"/>
        <v>53</v>
      </c>
      <c r="C257" s="13">
        <f t="shared" si="83"/>
        <v>52962</v>
      </c>
      <c r="E257" s="4">
        <f t="shared" si="79"/>
        <v>8.6845830082893372E-8</v>
      </c>
      <c r="F257" s="4">
        <f t="shared" si="80"/>
        <v>0</v>
      </c>
      <c r="G257" s="4">
        <f t="shared" si="81"/>
        <v>0</v>
      </c>
      <c r="H257" s="4">
        <f t="shared" si="82"/>
        <v>0</v>
      </c>
      <c r="I257" s="383"/>
    </row>
    <row r="258" spans="1:9" x14ac:dyDescent="0.3">
      <c r="A258" s="1">
        <v>233</v>
      </c>
      <c r="B258" s="3">
        <f t="shared" si="78"/>
        <v>6</v>
      </c>
      <c r="C258" s="13">
        <f t="shared" si="83"/>
        <v>52993</v>
      </c>
      <c r="E258" s="4">
        <f t="shared" si="79"/>
        <v>8.6845830082893372E-8</v>
      </c>
      <c r="F258" s="4">
        <f t="shared" si="80"/>
        <v>0</v>
      </c>
      <c r="G258" s="4">
        <f t="shared" si="81"/>
        <v>0</v>
      </c>
      <c r="H258" s="4">
        <f t="shared" si="82"/>
        <v>0</v>
      </c>
      <c r="I258" s="383"/>
    </row>
    <row r="259" spans="1:9" x14ac:dyDescent="0.3">
      <c r="A259" s="1">
        <v>234</v>
      </c>
      <c r="B259" s="3">
        <f t="shared" si="78"/>
        <v>10</v>
      </c>
      <c r="C259" s="13">
        <f t="shared" si="83"/>
        <v>53021</v>
      </c>
      <c r="E259" s="4">
        <f t="shared" si="79"/>
        <v>8.6845830082893372E-8</v>
      </c>
      <c r="F259" s="4">
        <f t="shared" si="80"/>
        <v>0</v>
      </c>
      <c r="G259" s="4">
        <f t="shared" si="81"/>
        <v>0</v>
      </c>
      <c r="H259" s="4">
        <f t="shared" si="82"/>
        <v>0</v>
      </c>
      <c r="I259" s="383"/>
    </row>
    <row r="260" spans="1:9" x14ac:dyDescent="0.3">
      <c r="A260" s="1">
        <v>235</v>
      </c>
      <c r="B260" s="3">
        <f t="shared" si="78"/>
        <v>14</v>
      </c>
      <c r="C260" s="13">
        <f t="shared" si="83"/>
        <v>53052</v>
      </c>
      <c r="E260" s="4">
        <f t="shared" si="79"/>
        <v>8.6845830082893372E-8</v>
      </c>
      <c r="F260" s="4">
        <f t="shared" si="80"/>
        <v>0</v>
      </c>
      <c r="G260" s="4">
        <f t="shared" si="81"/>
        <v>0</v>
      </c>
      <c r="H260" s="4">
        <f t="shared" si="82"/>
        <v>0</v>
      </c>
      <c r="I260" s="383"/>
    </row>
    <row r="261" spans="1:9" x14ac:dyDescent="0.3">
      <c r="A261" s="1">
        <v>236</v>
      </c>
      <c r="B261" s="3">
        <f t="shared" si="78"/>
        <v>18</v>
      </c>
      <c r="C261" s="13">
        <f t="shared" si="83"/>
        <v>53082</v>
      </c>
      <c r="E261" s="4">
        <f t="shared" si="79"/>
        <v>8.6845830082893372E-8</v>
      </c>
      <c r="F261" s="4">
        <f t="shared" si="80"/>
        <v>0</v>
      </c>
      <c r="G261" s="4">
        <f t="shared" si="81"/>
        <v>0</v>
      </c>
      <c r="H261" s="4">
        <f t="shared" si="82"/>
        <v>0</v>
      </c>
      <c r="I261" s="383"/>
    </row>
    <row r="262" spans="1:9" x14ac:dyDescent="0.3">
      <c r="A262" s="1">
        <v>237</v>
      </c>
      <c r="B262" s="3">
        <f t="shared" si="78"/>
        <v>23</v>
      </c>
      <c r="C262" s="13">
        <f t="shared" si="83"/>
        <v>53113</v>
      </c>
      <c r="E262" s="4">
        <f t="shared" si="79"/>
        <v>8.6845830082893372E-8</v>
      </c>
      <c r="F262" s="4">
        <f t="shared" si="80"/>
        <v>0</v>
      </c>
      <c r="G262" s="4">
        <f t="shared" si="81"/>
        <v>0</v>
      </c>
      <c r="H262" s="4">
        <f t="shared" si="82"/>
        <v>0</v>
      </c>
      <c r="I262" s="383"/>
    </row>
    <row r="263" spans="1:9" x14ac:dyDescent="0.3">
      <c r="A263" s="1">
        <v>238</v>
      </c>
      <c r="B263" s="3">
        <f t="shared" si="78"/>
        <v>27</v>
      </c>
      <c r="C263" s="13">
        <f t="shared" si="83"/>
        <v>53143</v>
      </c>
      <c r="E263" s="4">
        <f t="shared" si="79"/>
        <v>8.6845830082893372E-8</v>
      </c>
      <c r="F263" s="4">
        <f t="shared" si="80"/>
        <v>0</v>
      </c>
      <c r="G263" s="4">
        <f t="shared" si="81"/>
        <v>0</v>
      </c>
      <c r="H263" s="4">
        <f t="shared" si="82"/>
        <v>0</v>
      </c>
      <c r="I263" s="383"/>
    </row>
    <row r="264" spans="1:9" x14ac:dyDescent="0.3">
      <c r="A264" s="1">
        <v>239</v>
      </c>
      <c r="B264" s="3">
        <f t="shared" si="78"/>
        <v>32</v>
      </c>
      <c r="C264" s="13">
        <f t="shared" si="83"/>
        <v>53174</v>
      </c>
      <c r="E264" s="4">
        <f t="shared" si="79"/>
        <v>8.6845830082893372E-8</v>
      </c>
      <c r="F264" s="4">
        <f t="shared" si="80"/>
        <v>0</v>
      </c>
      <c r="G264" s="4">
        <f t="shared" si="81"/>
        <v>0</v>
      </c>
      <c r="H264" s="4">
        <f t="shared" si="82"/>
        <v>0</v>
      </c>
      <c r="I264" s="383"/>
    </row>
    <row r="265" spans="1:9" x14ac:dyDescent="0.3">
      <c r="A265" s="1">
        <v>240</v>
      </c>
      <c r="B265" s="3">
        <f t="shared" si="78"/>
        <v>36</v>
      </c>
      <c r="C265" s="13">
        <f t="shared" si="83"/>
        <v>53205</v>
      </c>
      <c r="E265" s="4">
        <f t="shared" si="79"/>
        <v>8.6845830082893372E-8</v>
      </c>
      <c r="F265" s="4">
        <f t="shared" si="80"/>
        <v>0</v>
      </c>
      <c r="G265" s="4">
        <f t="shared" si="81"/>
        <v>0</v>
      </c>
      <c r="H265" s="4">
        <f t="shared" si="82"/>
        <v>0</v>
      </c>
      <c r="I265" s="383"/>
    </row>
    <row r="266" spans="1:9" x14ac:dyDescent="0.3">
      <c r="A266" s="1">
        <v>241</v>
      </c>
      <c r="B266" s="3">
        <f t="shared" si="78"/>
        <v>40</v>
      </c>
      <c r="C266" s="13">
        <f t="shared" si="83"/>
        <v>53235</v>
      </c>
      <c r="E266" s="4">
        <f t="shared" si="79"/>
        <v>8.6845830082893372E-8</v>
      </c>
      <c r="F266" s="4">
        <f t="shared" si="80"/>
        <v>0</v>
      </c>
      <c r="G266" s="4">
        <f t="shared" si="81"/>
        <v>0</v>
      </c>
      <c r="H266" s="4">
        <f t="shared" si="82"/>
        <v>0</v>
      </c>
      <c r="I266" s="383"/>
    </row>
    <row r="267" spans="1:9" x14ac:dyDescent="0.3">
      <c r="A267" s="1">
        <v>242</v>
      </c>
      <c r="B267" s="3">
        <f t="shared" si="78"/>
        <v>45</v>
      </c>
      <c r="C267" s="13">
        <f t="shared" si="83"/>
        <v>53266</v>
      </c>
      <c r="E267" s="4">
        <f t="shared" si="79"/>
        <v>8.6845830082893372E-8</v>
      </c>
      <c r="F267" s="4">
        <f t="shared" si="80"/>
        <v>0</v>
      </c>
      <c r="G267" s="4">
        <f t="shared" si="81"/>
        <v>0</v>
      </c>
      <c r="H267" s="4">
        <f t="shared" si="82"/>
        <v>0</v>
      </c>
      <c r="I267" s="383"/>
    </row>
    <row r="268" spans="1:9" x14ac:dyDescent="0.3">
      <c r="A268" s="1">
        <v>243</v>
      </c>
      <c r="B268" s="3">
        <f t="shared" si="78"/>
        <v>49</v>
      </c>
      <c r="C268" s="13">
        <f t="shared" si="83"/>
        <v>53296</v>
      </c>
      <c r="E268" s="4">
        <f t="shared" si="79"/>
        <v>8.6845830082893372E-8</v>
      </c>
      <c r="F268" s="4">
        <f t="shared" si="80"/>
        <v>0</v>
      </c>
      <c r="G268" s="4">
        <f t="shared" si="81"/>
        <v>0</v>
      </c>
      <c r="H268" s="4">
        <f t="shared" si="82"/>
        <v>0</v>
      </c>
      <c r="I268" s="383"/>
    </row>
    <row r="269" spans="1:9" x14ac:dyDescent="0.3">
      <c r="A269" s="1">
        <v>244</v>
      </c>
      <c r="B269" s="3">
        <f t="shared" si="78"/>
        <v>53</v>
      </c>
      <c r="C269" s="13">
        <f t="shared" si="83"/>
        <v>53327</v>
      </c>
      <c r="E269" s="4">
        <f t="shared" si="79"/>
        <v>8.6845830082893372E-8</v>
      </c>
      <c r="F269" s="4">
        <f t="shared" si="80"/>
        <v>0</v>
      </c>
      <c r="G269" s="4">
        <f t="shared" si="81"/>
        <v>0</v>
      </c>
      <c r="H269" s="4">
        <f t="shared" si="82"/>
        <v>0</v>
      </c>
      <c r="I269" s="383"/>
    </row>
    <row r="270" spans="1:9" x14ac:dyDescent="0.3">
      <c r="A270" s="1">
        <v>245</v>
      </c>
      <c r="B270" s="3">
        <f t="shared" si="78"/>
        <v>5</v>
      </c>
      <c r="C270" s="13">
        <f t="shared" si="83"/>
        <v>53358</v>
      </c>
      <c r="E270" s="4">
        <f t="shared" si="79"/>
        <v>8.6845830082893372E-8</v>
      </c>
      <c r="F270" s="4">
        <f t="shared" si="80"/>
        <v>0</v>
      </c>
      <c r="G270" s="4">
        <f t="shared" si="81"/>
        <v>0</v>
      </c>
      <c r="H270" s="4">
        <f t="shared" si="82"/>
        <v>0</v>
      </c>
      <c r="I270" s="383"/>
    </row>
    <row r="271" spans="1:9" x14ac:dyDescent="0.3">
      <c r="A271" s="1">
        <v>246</v>
      </c>
      <c r="B271" s="3">
        <f t="shared" si="78"/>
        <v>9</v>
      </c>
      <c r="C271" s="13">
        <f t="shared" si="83"/>
        <v>53386</v>
      </c>
      <c r="E271" s="4">
        <f t="shared" si="79"/>
        <v>8.6845830082893372E-8</v>
      </c>
      <c r="F271" s="4">
        <f t="shared" si="80"/>
        <v>0</v>
      </c>
      <c r="G271" s="4">
        <f t="shared" si="81"/>
        <v>0</v>
      </c>
      <c r="H271" s="4">
        <f t="shared" si="82"/>
        <v>0</v>
      </c>
      <c r="I271" s="383"/>
    </row>
    <row r="272" spans="1:9" x14ac:dyDescent="0.3">
      <c r="A272" s="1">
        <v>247</v>
      </c>
      <c r="B272" s="3">
        <f t="shared" si="78"/>
        <v>13</v>
      </c>
      <c r="C272" s="13">
        <f t="shared" si="83"/>
        <v>53417</v>
      </c>
      <c r="E272" s="4">
        <f t="shared" si="79"/>
        <v>8.6845830082893372E-8</v>
      </c>
      <c r="F272" s="4">
        <f t="shared" si="80"/>
        <v>0</v>
      </c>
      <c r="G272" s="4">
        <f t="shared" si="81"/>
        <v>0</v>
      </c>
      <c r="H272" s="4">
        <f t="shared" si="82"/>
        <v>0</v>
      </c>
      <c r="I272" s="383"/>
    </row>
    <row r="273" spans="1:9" x14ac:dyDescent="0.3">
      <c r="A273" s="1">
        <v>248</v>
      </c>
      <c r="B273" s="3">
        <f t="shared" si="78"/>
        <v>18</v>
      </c>
      <c r="C273" s="13">
        <f t="shared" si="83"/>
        <v>53447</v>
      </c>
      <c r="E273" s="4">
        <f t="shared" si="79"/>
        <v>8.6845830082893372E-8</v>
      </c>
      <c r="F273" s="4">
        <f t="shared" si="80"/>
        <v>0</v>
      </c>
      <c r="G273" s="4">
        <f t="shared" si="81"/>
        <v>0</v>
      </c>
      <c r="H273" s="4">
        <f t="shared" si="82"/>
        <v>0</v>
      </c>
      <c r="I273" s="383"/>
    </row>
    <row r="274" spans="1:9" x14ac:dyDescent="0.3">
      <c r="A274" s="1">
        <v>249</v>
      </c>
      <c r="B274" s="3">
        <f t="shared" si="78"/>
        <v>22</v>
      </c>
      <c r="C274" s="13">
        <f t="shared" si="83"/>
        <v>53478</v>
      </c>
      <c r="E274" s="4">
        <f t="shared" si="79"/>
        <v>8.6845830082893372E-8</v>
      </c>
      <c r="F274" s="4">
        <f t="shared" si="80"/>
        <v>0</v>
      </c>
      <c r="G274" s="4">
        <f t="shared" si="81"/>
        <v>0</v>
      </c>
      <c r="H274" s="4">
        <f t="shared" si="82"/>
        <v>0</v>
      </c>
      <c r="I274" s="383"/>
    </row>
    <row r="275" spans="1:9" x14ac:dyDescent="0.3">
      <c r="A275" s="1">
        <v>250</v>
      </c>
      <c r="B275" s="3">
        <f t="shared" si="78"/>
        <v>26</v>
      </c>
      <c r="C275" s="13">
        <f t="shared" si="83"/>
        <v>53508</v>
      </c>
      <c r="E275" s="4">
        <f t="shared" si="79"/>
        <v>8.6845830082893372E-8</v>
      </c>
      <c r="F275" s="4">
        <f t="shared" si="80"/>
        <v>0</v>
      </c>
      <c r="G275" s="4">
        <f t="shared" si="81"/>
        <v>0</v>
      </c>
      <c r="H275" s="4">
        <f t="shared" si="82"/>
        <v>0</v>
      </c>
      <c r="I275" s="383"/>
    </row>
    <row r="276" spans="1:9" x14ac:dyDescent="0.3">
      <c r="A276" s="1">
        <v>251</v>
      </c>
      <c r="B276" s="3">
        <f t="shared" si="78"/>
        <v>31</v>
      </c>
      <c r="C276" s="13">
        <f t="shared" si="83"/>
        <v>53539</v>
      </c>
      <c r="E276" s="4">
        <f t="shared" si="79"/>
        <v>8.6845830082893372E-8</v>
      </c>
      <c r="F276" s="4">
        <f t="shared" si="80"/>
        <v>0</v>
      </c>
      <c r="G276" s="4">
        <f t="shared" si="81"/>
        <v>0</v>
      </c>
      <c r="H276" s="4">
        <f t="shared" si="82"/>
        <v>0</v>
      </c>
      <c r="I276" s="383"/>
    </row>
    <row r="277" spans="1:9" x14ac:dyDescent="0.3">
      <c r="A277" s="1">
        <v>252</v>
      </c>
      <c r="B277" s="3">
        <f t="shared" si="78"/>
        <v>35</v>
      </c>
      <c r="C277" s="13">
        <f t="shared" si="83"/>
        <v>53570</v>
      </c>
      <c r="E277" s="4">
        <f t="shared" si="79"/>
        <v>8.6845830082893372E-8</v>
      </c>
      <c r="F277" s="4">
        <f t="shared" si="80"/>
        <v>0</v>
      </c>
      <c r="G277" s="4">
        <f t="shared" si="81"/>
        <v>0</v>
      </c>
      <c r="H277" s="4">
        <f t="shared" si="82"/>
        <v>0</v>
      </c>
      <c r="I277" s="383"/>
    </row>
    <row r="278" spans="1:9" x14ac:dyDescent="0.3">
      <c r="A278" s="1">
        <v>253</v>
      </c>
      <c r="B278" s="3">
        <f t="shared" si="78"/>
        <v>39</v>
      </c>
      <c r="C278" s="13">
        <f t="shared" si="83"/>
        <v>53600</v>
      </c>
      <c r="E278" s="4">
        <f t="shared" si="79"/>
        <v>8.6845830082893372E-8</v>
      </c>
      <c r="F278" s="4">
        <f t="shared" si="80"/>
        <v>0</v>
      </c>
      <c r="G278" s="4">
        <f t="shared" si="81"/>
        <v>0</v>
      </c>
      <c r="H278" s="4">
        <f t="shared" si="82"/>
        <v>0</v>
      </c>
      <c r="I278" s="383"/>
    </row>
    <row r="279" spans="1:9" x14ac:dyDescent="0.3">
      <c r="A279" s="1">
        <v>254</v>
      </c>
      <c r="B279" s="3">
        <f t="shared" si="78"/>
        <v>44</v>
      </c>
      <c r="C279" s="13">
        <f t="shared" si="83"/>
        <v>53631</v>
      </c>
      <c r="E279" s="4">
        <f t="shared" si="79"/>
        <v>8.6845830082893372E-8</v>
      </c>
      <c r="F279" s="4">
        <f t="shared" si="80"/>
        <v>0</v>
      </c>
      <c r="G279" s="4">
        <f t="shared" si="81"/>
        <v>0</v>
      </c>
      <c r="H279" s="4">
        <f t="shared" si="82"/>
        <v>0</v>
      </c>
      <c r="I279" s="383"/>
    </row>
    <row r="280" spans="1:9" x14ac:dyDescent="0.3">
      <c r="A280" s="1">
        <v>255</v>
      </c>
      <c r="B280" s="3">
        <f t="shared" si="78"/>
        <v>48</v>
      </c>
      <c r="C280" s="13">
        <f t="shared" si="83"/>
        <v>53661</v>
      </c>
      <c r="E280" s="4">
        <f t="shared" si="79"/>
        <v>8.6845830082893372E-8</v>
      </c>
      <c r="F280" s="4">
        <f t="shared" si="80"/>
        <v>0</v>
      </c>
      <c r="G280" s="4">
        <f t="shared" si="81"/>
        <v>0</v>
      </c>
      <c r="H280" s="4">
        <f t="shared" si="82"/>
        <v>0</v>
      </c>
      <c r="I280" s="383"/>
    </row>
    <row r="281" spans="1:9" x14ac:dyDescent="0.3">
      <c r="A281" s="1">
        <v>256</v>
      </c>
      <c r="B281" s="3">
        <f t="shared" si="78"/>
        <v>53</v>
      </c>
      <c r="C281" s="13">
        <f t="shared" si="83"/>
        <v>53692</v>
      </c>
      <c r="E281" s="4">
        <f t="shared" si="79"/>
        <v>8.6845830082893372E-8</v>
      </c>
      <c r="F281" s="4">
        <f t="shared" si="80"/>
        <v>0</v>
      </c>
      <c r="G281" s="4">
        <f t="shared" si="81"/>
        <v>0</v>
      </c>
      <c r="H281" s="4">
        <f t="shared" si="82"/>
        <v>0</v>
      </c>
      <c r="I281" s="383"/>
    </row>
    <row r="282" spans="1:9" x14ac:dyDescent="0.3">
      <c r="A282" s="1">
        <v>257</v>
      </c>
      <c r="B282" s="3">
        <f t="shared" ref="B282:B345" si="84">+WEEKNUM(C282,2)</f>
        <v>5</v>
      </c>
      <c r="C282" s="13">
        <f t="shared" si="83"/>
        <v>53723</v>
      </c>
      <c r="E282" s="4">
        <f t="shared" si="79"/>
        <v>8.6845830082893372E-8</v>
      </c>
      <c r="F282" s="4">
        <f t="shared" si="80"/>
        <v>0</v>
      </c>
      <c r="G282" s="4">
        <f t="shared" si="81"/>
        <v>0</v>
      </c>
      <c r="H282" s="4">
        <f t="shared" si="82"/>
        <v>0</v>
      </c>
      <c r="I282" s="383"/>
    </row>
    <row r="283" spans="1:9" x14ac:dyDescent="0.3">
      <c r="A283" s="1">
        <v>258</v>
      </c>
      <c r="B283" s="3">
        <f t="shared" si="84"/>
        <v>9</v>
      </c>
      <c r="C283" s="13">
        <f t="shared" si="83"/>
        <v>53751</v>
      </c>
      <c r="E283" s="4">
        <f t="shared" ref="E283:E346" si="85">+E282+D283-F283</f>
        <v>8.6845830082893372E-8</v>
      </c>
      <c r="F283" s="4">
        <f t="shared" ref="F283:F346" si="86">+SUMIF(N:N,C283,R:R)+SUMIF(AD:AD,C283,AH:AH)+SUMIF(AS:AS,C283,AW:AW)+SUMIF(BH:BH,C283,BL:BL)+SUMIF(BW:BW,C283,CA:CA)+SUMIF(BW:BW,C283,CB:CB)+SUMIF(CM:CM,C283,CQ:CQ)+SUMIF(CV:CV,C283,CZ:CZ)+SUMIF(DE:DE,C283,DI:DI)+SUMIF(DN:DN,C283,DR:DR)+SUMIF(DW:DW,C283,EA:EA)+SUMIF(EF:EF,C283,EJ:EJ)+SUMIF(EP:EP,C283,ET:ET)+SUMIF(EY:EY,C283,FC:FC)+SUMIF(FH:FH,C283,FL:FL)+SUMIF(FQ:FQ,C283,FU:FU)+SUMIF(FZ:FZ,C283,GD:GD)+SUMIF(GI:GI,C283,GM:GM)</f>
        <v>0</v>
      </c>
      <c r="G283" s="4">
        <f t="shared" ref="G283:G346" si="87">+SUMIF(N:N,C283,S:S)+SUMIF(N:N,C283,T:T)+SUMIF(AD:AD,C283,AI:AI)+SUMIF(AS:AS,C283,AX:AX)+SUMIF(BH:BH,C283,BM:BM)+SUMIF(BW:BW,C283,CD:CD)+SUMIF(BW:BW,C283,CC:CC)+SUMIF(CM:CM,C283,CR:CR)+SUMIF(CV:CV,C283,DA:DA)+SUMIF(DE:DE,C283,DJ:DJ)+SUMIF(DN:DN,C283,DS:DS)+SUMIF(DX:DX,C283,EB:EB)+SUMIF(EG:EG,C283,EK:EK)+SUMIF(EP:EP,C283,EU:EU)+SUMIF(EY:EY,C283,FD:FD)+SUMIF(FH:FH,C283,FM:FM)+SUMIF(FQ:FQ,C283,FV:FV)+SUMIF(FZ:FZ,C283,GE:GE)+SUMIF(GI:GI,C283,GN:GN)</f>
        <v>0</v>
      </c>
      <c r="H283" s="4">
        <f t="shared" ref="H283:H346" si="88">+SUM(F283:G283)</f>
        <v>0</v>
      </c>
      <c r="I283" s="383"/>
    </row>
    <row r="284" spans="1:9" x14ac:dyDescent="0.3">
      <c r="A284" s="1">
        <v>259</v>
      </c>
      <c r="B284" s="3">
        <f t="shared" si="84"/>
        <v>13</v>
      </c>
      <c r="C284" s="13">
        <f t="shared" si="83"/>
        <v>53782</v>
      </c>
      <c r="E284" s="4">
        <f t="shared" si="85"/>
        <v>8.6845830082893372E-8</v>
      </c>
      <c r="F284" s="4">
        <f t="shared" si="86"/>
        <v>0</v>
      </c>
      <c r="G284" s="4">
        <f t="shared" si="87"/>
        <v>0</v>
      </c>
      <c r="H284" s="4">
        <f t="shared" si="88"/>
        <v>0</v>
      </c>
      <c r="I284" s="383"/>
    </row>
    <row r="285" spans="1:9" x14ac:dyDescent="0.3">
      <c r="A285" s="1">
        <v>260</v>
      </c>
      <c r="B285" s="3">
        <f t="shared" si="84"/>
        <v>18</v>
      </c>
      <c r="C285" s="13">
        <f t="shared" ref="C285:C348" si="89">+EOMONTH(C284,1)</f>
        <v>53812</v>
      </c>
      <c r="E285" s="4">
        <f t="shared" si="85"/>
        <v>8.6845830082893372E-8</v>
      </c>
      <c r="F285" s="4">
        <f t="shared" si="86"/>
        <v>0</v>
      </c>
      <c r="G285" s="4">
        <f t="shared" si="87"/>
        <v>0</v>
      </c>
      <c r="H285" s="4">
        <f t="shared" si="88"/>
        <v>0</v>
      </c>
      <c r="I285" s="383"/>
    </row>
    <row r="286" spans="1:9" x14ac:dyDescent="0.3">
      <c r="A286" s="1">
        <v>261</v>
      </c>
      <c r="B286" s="3">
        <f t="shared" si="84"/>
        <v>22</v>
      </c>
      <c r="C286" s="13">
        <f t="shared" si="89"/>
        <v>53843</v>
      </c>
      <c r="E286" s="4">
        <f t="shared" si="85"/>
        <v>8.6845830082893372E-8</v>
      </c>
      <c r="F286" s="4">
        <f t="shared" si="86"/>
        <v>0</v>
      </c>
      <c r="G286" s="4">
        <f t="shared" si="87"/>
        <v>0</v>
      </c>
      <c r="H286" s="4">
        <f t="shared" si="88"/>
        <v>0</v>
      </c>
      <c r="I286" s="383"/>
    </row>
    <row r="287" spans="1:9" x14ac:dyDescent="0.3">
      <c r="A287" s="1">
        <v>262</v>
      </c>
      <c r="B287" s="3">
        <f t="shared" si="84"/>
        <v>26</v>
      </c>
      <c r="C287" s="13">
        <f t="shared" si="89"/>
        <v>53873</v>
      </c>
      <c r="E287" s="4">
        <f t="shared" si="85"/>
        <v>8.6845830082893372E-8</v>
      </c>
      <c r="F287" s="4">
        <f t="shared" si="86"/>
        <v>0</v>
      </c>
      <c r="G287" s="4">
        <f t="shared" si="87"/>
        <v>0</v>
      </c>
      <c r="H287" s="4">
        <f t="shared" si="88"/>
        <v>0</v>
      </c>
      <c r="I287" s="383"/>
    </row>
    <row r="288" spans="1:9" x14ac:dyDescent="0.3">
      <c r="A288" s="1">
        <v>263</v>
      </c>
      <c r="B288" s="3">
        <f t="shared" si="84"/>
        <v>31</v>
      </c>
      <c r="C288" s="13">
        <f t="shared" si="89"/>
        <v>53904</v>
      </c>
      <c r="E288" s="4">
        <f t="shared" si="85"/>
        <v>8.6845830082893372E-8</v>
      </c>
      <c r="F288" s="4">
        <f t="shared" si="86"/>
        <v>0</v>
      </c>
      <c r="G288" s="4">
        <f t="shared" si="87"/>
        <v>0</v>
      </c>
      <c r="H288" s="4">
        <f t="shared" si="88"/>
        <v>0</v>
      </c>
      <c r="I288" s="383"/>
    </row>
    <row r="289" spans="1:9" x14ac:dyDescent="0.3">
      <c r="A289" s="1">
        <v>264</v>
      </c>
      <c r="B289" s="3">
        <f t="shared" si="84"/>
        <v>35</v>
      </c>
      <c r="C289" s="13">
        <f t="shared" si="89"/>
        <v>53935</v>
      </c>
      <c r="E289" s="4">
        <f t="shared" si="85"/>
        <v>8.6845830082893372E-8</v>
      </c>
      <c r="F289" s="4">
        <f t="shared" si="86"/>
        <v>0</v>
      </c>
      <c r="G289" s="4">
        <f t="shared" si="87"/>
        <v>0</v>
      </c>
      <c r="H289" s="4">
        <f t="shared" si="88"/>
        <v>0</v>
      </c>
      <c r="I289" s="383"/>
    </row>
    <row r="290" spans="1:9" x14ac:dyDescent="0.3">
      <c r="A290" s="1">
        <v>265</v>
      </c>
      <c r="B290" s="3">
        <f t="shared" si="84"/>
        <v>40</v>
      </c>
      <c r="C290" s="13">
        <f t="shared" si="89"/>
        <v>53965</v>
      </c>
      <c r="E290" s="4">
        <f t="shared" si="85"/>
        <v>8.6845830082893372E-8</v>
      </c>
      <c r="F290" s="4">
        <f t="shared" si="86"/>
        <v>0</v>
      </c>
      <c r="G290" s="4">
        <f t="shared" si="87"/>
        <v>0</v>
      </c>
      <c r="H290" s="4">
        <f t="shared" si="88"/>
        <v>0</v>
      </c>
      <c r="I290" s="383"/>
    </row>
    <row r="291" spans="1:9" x14ac:dyDescent="0.3">
      <c r="A291" s="1">
        <v>266</v>
      </c>
      <c r="B291" s="3">
        <f t="shared" si="84"/>
        <v>44</v>
      </c>
      <c r="C291" s="13">
        <f t="shared" si="89"/>
        <v>53996</v>
      </c>
      <c r="E291" s="4">
        <f t="shared" si="85"/>
        <v>8.6845830082893372E-8</v>
      </c>
      <c r="F291" s="4">
        <f t="shared" si="86"/>
        <v>0</v>
      </c>
      <c r="G291" s="4">
        <f t="shared" si="87"/>
        <v>0</v>
      </c>
      <c r="H291" s="4">
        <f t="shared" si="88"/>
        <v>0</v>
      </c>
      <c r="I291" s="383"/>
    </row>
    <row r="292" spans="1:9" x14ac:dyDescent="0.3">
      <c r="A292" s="1">
        <v>267</v>
      </c>
      <c r="B292" s="3">
        <f t="shared" si="84"/>
        <v>48</v>
      </c>
      <c r="C292" s="13">
        <f t="shared" si="89"/>
        <v>54026</v>
      </c>
      <c r="E292" s="4">
        <f t="shared" si="85"/>
        <v>8.6845830082893372E-8</v>
      </c>
      <c r="F292" s="4">
        <f t="shared" si="86"/>
        <v>0</v>
      </c>
      <c r="G292" s="4">
        <f t="shared" si="87"/>
        <v>0</v>
      </c>
      <c r="H292" s="4">
        <f t="shared" si="88"/>
        <v>0</v>
      </c>
      <c r="I292" s="383"/>
    </row>
    <row r="293" spans="1:9" x14ac:dyDescent="0.3">
      <c r="A293" s="1">
        <v>268</v>
      </c>
      <c r="B293" s="3">
        <f t="shared" si="84"/>
        <v>53</v>
      </c>
      <c r="C293" s="13">
        <f t="shared" si="89"/>
        <v>54057</v>
      </c>
      <c r="E293" s="4">
        <f t="shared" si="85"/>
        <v>8.6845830082893372E-8</v>
      </c>
      <c r="F293" s="4">
        <f t="shared" si="86"/>
        <v>0</v>
      </c>
      <c r="G293" s="4">
        <f t="shared" si="87"/>
        <v>0</v>
      </c>
      <c r="H293" s="4">
        <f t="shared" si="88"/>
        <v>0</v>
      </c>
      <c r="I293" s="383"/>
    </row>
    <row r="294" spans="1:9" x14ac:dyDescent="0.3">
      <c r="A294" s="1">
        <v>269</v>
      </c>
      <c r="B294" s="3">
        <f t="shared" si="84"/>
        <v>5</v>
      </c>
      <c r="C294" s="13">
        <f t="shared" si="89"/>
        <v>54088</v>
      </c>
      <c r="E294" s="4">
        <f t="shared" si="85"/>
        <v>8.6845830082893372E-8</v>
      </c>
      <c r="F294" s="4">
        <f t="shared" si="86"/>
        <v>0</v>
      </c>
      <c r="G294" s="4">
        <f t="shared" si="87"/>
        <v>0</v>
      </c>
      <c r="H294" s="4">
        <f t="shared" si="88"/>
        <v>0</v>
      </c>
      <c r="I294" s="383"/>
    </row>
    <row r="295" spans="1:9" x14ac:dyDescent="0.3">
      <c r="A295" s="1">
        <v>270</v>
      </c>
      <c r="B295" s="3">
        <f t="shared" si="84"/>
        <v>9</v>
      </c>
      <c r="C295" s="13">
        <f t="shared" si="89"/>
        <v>54117</v>
      </c>
      <c r="E295" s="4">
        <f t="shared" si="85"/>
        <v>8.6845830082893372E-8</v>
      </c>
      <c r="F295" s="4">
        <f t="shared" si="86"/>
        <v>0</v>
      </c>
      <c r="G295" s="4">
        <f t="shared" si="87"/>
        <v>0</v>
      </c>
      <c r="H295" s="4">
        <f t="shared" si="88"/>
        <v>0</v>
      </c>
      <c r="I295" s="383"/>
    </row>
    <row r="296" spans="1:9" x14ac:dyDescent="0.3">
      <c r="A296" s="1">
        <v>271</v>
      </c>
      <c r="B296" s="3">
        <f t="shared" si="84"/>
        <v>14</v>
      </c>
      <c r="C296" s="13">
        <f t="shared" si="89"/>
        <v>54148</v>
      </c>
      <c r="E296" s="4">
        <f t="shared" si="85"/>
        <v>8.6845830082893372E-8</v>
      </c>
      <c r="F296" s="4">
        <f t="shared" si="86"/>
        <v>0</v>
      </c>
      <c r="G296" s="4">
        <f t="shared" si="87"/>
        <v>0</v>
      </c>
      <c r="H296" s="4">
        <f t="shared" si="88"/>
        <v>0</v>
      </c>
      <c r="I296" s="383"/>
    </row>
    <row r="297" spans="1:9" x14ac:dyDescent="0.3">
      <c r="A297" s="1">
        <v>272</v>
      </c>
      <c r="B297" s="3">
        <f t="shared" si="84"/>
        <v>18</v>
      </c>
      <c r="C297" s="13">
        <f t="shared" si="89"/>
        <v>54178</v>
      </c>
      <c r="E297" s="4">
        <f t="shared" si="85"/>
        <v>8.6845830082893372E-8</v>
      </c>
      <c r="F297" s="4">
        <f t="shared" si="86"/>
        <v>0</v>
      </c>
      <c r="G297" s="4">
        <f t="shared" si="87"/>
        <v>0</v>
      </c>
      <c r="H297" s="4">
        <f t="shared" si="88"/>
        <v>0</v>
      </c>
      <c r="I297" s="383"/>
    </row>
    <row r="298" spans="1:9" x14ac:dyDescent="0.3">
      <c r="A298" s="1">
        <v>273</v>
      </c>
      <c r="B298" s="3">
        <f t="shared" si="84"/>
        <v>22</v>
      </c>
      <c r="C298" s="13">
        <f t="shared" si="89"/>
        <v>54209</v>
      </c>
      <c r="E298" s="4">
        <f t="shared" si="85"/>
        <v>8.6845830082893372E-8</v>
      </c>
      <c r="F298" s="4">
        <f t="shared" si="86"/>
        <v>0</v>
      </c>
      <c r="G298" s="4">
        <f t="shared" si="87"/>
        <v>0</v>
      </c>
      <c r="H298" s="4">
        <f t="shared" si="88"/>
        <v>0</v>
      </c>
      <c r="I298" s="383"/>
    </row>
    <row r="299" spans="1:9" x14ac:dyDescent="0.3">
      <c r="A299" s="1">
        <v>274</v>
      </c>
      <c r="B299" s="3">
        <f t="shared" si="84"/>
        <v>27</v>
      </c>
      <c r="C299" s="13">
        <f t="shared" si="89"/>
        <v>54239</v>
      </c>
      <c r="E299" s="4">
        <f t="shared" si="85"/>
        <v>8.6845830082893372E-8</v>
      </c>
      <c r="F299" s="4">
        <f t="shared" si="86"/>
        <v>0</v>
      </c>
      <c r="G299" s="4">
        <f t="shared" si="87"/>
        <v>0</v>
      </c>
      <c r="H299" s="4">
        <f t="shared" si="88"/>
        <v>0</v>
      </c>
      <c r="I299" s="383"/>
    </row>
    <row r="300" spans="1:9" x14ac:dyDescent="0.3">
      <c r="A300" s="1">
        <v>275</v>
      </c>
      <c r="B300" s="3">
        <f t="shared" si="84"/>
        <v>31</v>
      </c>
      <c r="C300" s="13">
        <f t="shared" si="89"/>
        <v>54270</v>
      </c>
      <c r="E300" s="4">
        <f t="shared" si="85"/>
        <v>8.6845830082893372E-8</v>
      </c>
      <c r="F300" s="4">
        <f t="shared" si="86"/>
        <v>0</v>
      </c>
      <c r="G300" s="4">
        <f t="shared" si="87"/>
        <v>0</v>
      </c>
      <c r="H300" s="4">
        <f t="shared" si="88"/>
        <v>0</v>
      </c>
      <c r="I300" s="383"/>
    </row>
    <row r="301" spans="1:9" x14ac:dyDescent="0.3">
      <c r="A301" s="1">
        <v>276</v>
      </c>
      <c r="B301" s="3">
        <f t="shared" si="84"/>
        <v>36</v>
      </c>
      <c r="C301" s="13">
        <f t="shared" si="89"/>
        <v>54301</v>
      </c>
      <c r="E301" s="4">
        <f t="shared" si="85"/>
        <v>8.6845830082893372E-8</v>
      </c>
      <c r="F301" s="4">
        <f t="shared" si="86"/>
        <v>0</v>
      </c>
      <c r="G301" s="4">
        <f t="shared" si="87"/>
        <v>0</v>
      </c>
      <c r="H301" s="4">
        <f t="shared" si="88"/>
        <v>0</v>
      </c>
      <c r="I301" s="383"/>
    </row>
    <row r="302" spans="1:9" x14ac:dyDescent="0.3">
      <c r="A302" s="1">
        <v>277</v>
      </c>
      <c r="B302" s="3">
        <f t="shared" si="84"/>
        <v>40</v>
      </c>
      <c r="C302" s="13">
        <f t="shared" si="89"/>
        <v>54331</v>
      </c>
      <c r="E302" s="4">
        <f t="shared" si="85"/>
        <v>8.6845830082893372E-8</v>
      </c>
      <c r="F302" s="4">
        <f t="shared" si="86"/>
        <v>0</v>
      </c>
      <c r="G302" s="4">
        <f t="shared" si="87"/>
        <v>0</v>
      </c>
      <c r="H302" s="4">
        <f t="shared" si="88"/>
        <v>0</v>
      </c>
      <c r="I302" s="383"/>
    </row>
    <row r="303" spans="1:9" x14ac:dyDescent="0.3">
      <c r="A303" s="1">
        <v>278</v>
      </c>
      <c r="B303" s="3">
        <f t="shared" si="84"/>
        <v>44</v>
      </c>
      <c r="C303" s="13">
        <f t="shared" si="89"/>
        <v>54362</v>
      </c>
      <c r="E303" s="4">
        <f t="shared" si="85"/>
        <v>8.6845830082893372E-8</v>
      </c>
      <c r="F303" s="4">
        <f t="shared" si="86"/>
        <v>0</v>
      </c>
      <c r="G303" s="4">
        <f t="shared" si="87"/>
        <v>0</v>
      </c>
      <c r="H303" s="4">
        <f t="shared" si="88"/>
        <v>0</v>
      </c>
      <c r="I303" s="383"/>
    </row>
    <row r="304" spans="1:9" x14ac:dyDescent="0.3">
      <c r="A304" s="1">
        <v>279</v>
      </c>
      <c r="B304" s="3">
        <f t="shared" si="84"/>
        <v>49</v>
      </c>
      <c r="C304" s="13">
        <f t="shared" si="89"/>
        <v>54392</v>
      </c>
      <c r="E304" s="4">
        <f t="shared" si="85"/>
        <v>8.6845830082893372E-8</v>
      </c>
      <c r="F304" s="4">
        <f t="shared" si="86"/>
        <v>0</v>
      </c>
      <c r="G304" s="4">
        <f t="shared" si="87"/>
        <v>0</v>
      </c>
      <c r="H304" s="4">
        <f t="shared" si="88"/>
        <v>0</v>
      </c>
      <c r="I304" s="383"/>
    </row>
    <row r="305" spans="1:9" x14ac:dyDescent="0.3">
      <c r="A305" s="1">
        <v>280</v>
      </c>
      <c r="B305" s="3">
        <f t="shared" si="84"/>
        <v>53</v>
      </c>
      <c r="C305" s="13">
        <f t="shared" si="89"/>
        <v>54423</v>
      </c>
      <c r="E305" s="4">
        <f t="shared" si="85"/>
        <v>8.6845830082893372E-8</v>
      </c>
      <c r="F305" s="4">
        <f t="shared" si="86"/>
        <v>0</v>
      </c>
      <c r="G305" s="4">
        <f t="shared" si="87"/>
        <v>0</v>
      </c>
      <c r="H305" s="4">
        <f t="shared" si="88"/>
        <v>0</v>
      </c>
      <c r="I305" s="383"/>
    </row>
    <row r="306" spans="1:9" x14ac:dyDescent="0.3">
      <c r="A306" s="1">
        <v>281</v>
      </c>
      <c r="B306" s="3">
        <f t="shared" si="84"/>
        <v>5</v>
      </c>
      <c r="C306" s="13">
        <f t="shared" si="89"/>
        <v>54454</v>
      </c>
      <c r="E306" s="4">
        <f t="shared" si="85"/>
        <v>8.6845830082893372E-8</v>
      </c>
      <c r="F306" s="4">
        <f t="shared" si="86"/>
        <v>0</v>
      </c>
      <c r="G306" s="4">
        <f t="shared" si="87"/>
        <v>0</v>
      </c>
      <c r="H306" s="4">
        <f t="shared" si="88"/>
        <v>0</v>
      </c>
      <c r="I306" s="383"/>
    </row>
    <row r="307" spans="1:9" x14ac:dyDescent="0.3">
      <c r="A307" s="1">
        <v>282</v>
      </c>
      <c r="B307" s="3">
        <f t="shared" si="84"/>
        <v>9</v>
      </c>
      <c r="C307" s="13">
        <f t="shared" si="89"/>
        <v>54482</v>
      </c>
      <c r="E307" s="4">
        <f t="shared" si="85"/>
        <v>8.6845830082893372E-8</v>
      </c>
      <c r="F307" s="4">
        <f t="shared" si="86"/>
        <v>0</v>
      </c>
      <c r="G307" s="4">
        <f t="shared" si="87"/>
        <v>0</v>
      </c>
      <c r="H307" s="4">
        <f t="shared" si="88"/>
        <v>0</v>
      </c>
      <c r="I307" s="383"/>
    </row>
    <row r="308" spans="1:9" x14ac:dyDescent="0.3">
      <c r="A308" s="1">
        <v>283</v>
      </c>
      <c r="B308" s="3">
        <f t="shared" si="84"/>
        <v>14</v>
      </c>
      <c r="C308" s="13">
        <f t="shared" si="89"/>
        <v>54513</v>
      </c>
      <c r="E308" s="4">
        <f t="shared" si="85"/>
        <v>8.6845830082893372E-8</v>
      </c>
      <c r="F308" s="4">
        <f t="shared" si="86"/>
        <v>0</v>
      </c>
      <c r="G308" s="4">
        <f t="shared" si="87"/>
        <v>0</v>
      </c>
      <c r="H308" s="4">
        <f t="shared" si="88"/>
        <v>0</v>
      </c>
      <c r="I308" s="383"/>
    </row>
    <row r="309" spans="1:9" x14ac:dyDescent="0.3">
      <c r="A309" s="1">
        <v>284</v>
      </c>
      <c r="B309" s="3">
        <f t="shared" si="84"/>
        <v>18</v>
      </c>
      <c r="C309" s="13">
        <f t="shared" si="89"/>
        <v>54543</v>
      </c>
      <c r="E309" s="4">
        <f t="shared" si="85"/>
        <v>8.6845830082893372E-8</v>
      </c>
      <c r="F309" s="4">
        <f t="shared" si="86"/>
        <v>0</v>
      </c>
      <c r="G309" s="4">
        <f t="shared" si="87"/>
        <v>0</v>
      </c>
      <c r="H309" s="4">
        <f t="shared" si="88"/>
        <v>0</v>
      </c>
      <c r="I309" s="383"/>
    </row>
    <row r="310" spans="1:9" x14ac:dyDescent="0.3">
      <c r="A310" s="1">
        <v>285</v>
      </c>
      <c r="B310" s="3">
        <f t="shared" si="84"/>
        <v>23</v>
      </c>
      <c r="C310" s="13">
        <f t="shared" si="89"/>
        <v>54574</v>
      </c>
      <c r="E310" s="4">
        <f t="shared" si="85"/>
        <v>8.6845830082893372E-8</v>
      </c>
      <c r="F310" s="4">
        <f t="shared" si="86"/>
        <v>0</v>
      </c>
      <c r="G310" s="4">
        <f t="shared" si="87"/>
        <v>0</v>
      </c>
      <c r="H310" s="4">
        <f t="shared" si="88"/>
        <v>0</v>
      </c>
      <c r="I310" s="383"/>
    </row>
    <row r="311" spans="1:9" x14ac:dyDescent="0.3">
      <c r="A311" s="1">
        <v>286</v>
      </c>
      <c r="B311" s="3">
        <f t="shared" si="84"/>
        <v>27</v>
      </c>
      <c r="C311" s="13">
        <f t="shared" si="89"/>
        <v>54604</v>
      </c>
      <c r="E311" s="4">
        <f t="shared" si="85"/>
        <v>8.6845830082893372E-8</v>
      </c>
      <c r="F311" s="4">
        <f t="shared" si="86"/>
        <v>0</v>
      </c>
      <c r="G311" s="4">
        <f t="shared" si="87"/>
        <v>0</v>
      </c>
      <c r="H311" s="4">
        <f t="shared" si="88"/>
        <v>0</v>
      </c>
      <c r="I311" s="383"/>
    </row>
    <row r="312" spans="1:9" x14ac:dyDescent="0.3">
      <c r="A312" s="1">
        <v>287</v>
      </c>
      <c r="B312" s="3">
        <f t="shared" si="84"/>
        <v>31</v>
      </c>
      <c r="C312" s="13">
        <f t="shared" si="89"/>
        <v>54635</v>
      </c>
      <c r="E312" s="4">
        <f t="shared" si="85"/>
        <v>8.6845830082893372E-8</v>
      </c>
      <c r="F312" s="4">
        <f t="shared" si="86"/>
        <v>0</v>
      </c>
      <c r="G312" s="4">
        <f t="shared" si="87"/>
        <v>0</v>
      </c>
      <c r="H312" s="4">
        <f t="shared" si="88"/>
        <v>0</v>
      </c>
      <c r="I312" s="383"/>
    </row>
    <row r="313" spans="1:9" x14ac:dyDescent="0.3">
      <c r="A313" s="1">
        <v>288</v>
      </c>
      <c r="B313" s="3">
        <f t="shared" si="84"/>
        <v>36</v>
      </c>
      <c r="C313" s="13">
        <f t="shared" si="89"/>
        <v>54666</v>
      </c>
      <c r="E313" s="4">
        <f t="shared" si="85"/>
        <v>8.6845830082893372E-8</v>
      </c>
      <c r="F313" s="4">
        <f t="shared" si="86"/>
        <v>0</v>
      </c>
      <c r="G313" s="4">
        <f t="shared" si="87"/>
        <v>0</v>
      </c>
      <c r="H313" s="4">
        <f t="shared" si="88"/>
        <v>0</v>
      </c>
      <c r="I313" s="383"/>
    </row>
    <row r="314" spans="1:9" x14ac:dyDescent="0.3">
      <c r="A314" s="1">
        <v>289</v>
      </c>
      <c r="B314" s="3">
        <f t="shared" si="84"/>
        <v>40</v>
      </c>
      <c r="C314" s="13">
        <f t="shared" si="89"/>
        <v>54696</v>
      </c>
      <c r="E314" s="4">
        <f t="shared" si="85"/>
        <v>8.6845830082893372E-8</v>
      </c>
      <c r="F314" s="4">
        <f t="shared" si="86"/>
        <v>0</v>
      </c>
      <c r="G314" s="4">
        <f t="shared" si="87"/>
        <v>0</v>
      </c>
      <c r="H314" s="4">
        <f t="shared" si="88"/>
        <v>0</v>
      </c>
      <c r="I314" s="383"/>
    </row>
    <row r="315" spans="1:9" x14ac:dyDescent="0.3">
      <c r="A315" s="1">
        <v>290</v>
      </c>
      <c r="B315" s="3">
        <f t="shared" si="84"/>
        <v>44</v>
      </c>
      <c r="C315" s="13">
        <f t="shared" si="89"/>
        <v>54727</v>
      </c>
      <c r="E315" s="4">
        <f t="shared" si="85"/>
        <v>8.6845830082893372E-8</v>
      </c>
      <c r="F315" s="4">
        <f t="shared" si="86"/>
        <v>0</v>
      </c>
      <c r="G315" s="4">
        <f t="shared" si="87"/>
        <v>0</v>
      </c>
      <c r="H315" s="4">
        <f t="shared" si="88"/>
        <v>0</v>
      </c>
      <c r="I315" s="383"/>
    </row>
    <row r="316" spans="1:9" x14ac:dyDescent="0.3">
      <c r="A316" s="1">
        <v>291</v>
      </c>
      <c r="B316" s="3">
        <f t="shared" si="84"/>
        <v>49</v>
      </c>
      <c r="C316" s="13">
        <f t="shared" si="89"/>
        <v>54757</v>
      </c>
      <c r="E316" s="4">
        <f t="shared" si="85"/>
        <v>8.6845830082893372E-8</v>
      </c>
      <c r="F316" s="4">
        <f t="shared" si="86"/>
        <v>0</v>
      </c>
      <c r="G316" s="4">
        <f t="shared" si="87"/>
        <v>0</v>
      </c>
      <c r="H316" s="4">
        <f t="shared" si="88"/>
        <v>0</v>
      </c>
      <c r="I316" s="383"/>
    </row>
    <row r="317" spans="1:9" x14ac:dyDescent="0.3">
      <c r="A317" s="1">
        <v>292</v>
      </c>
      <c r="B317" s="3">
        <f t="shared" si="84"/>
        <v>53</v>
      </c>
      <c r="C317" s="13">
        <f t="shared" si="89"/>
        <v>54788</v>
      </c>
      <c r="E317" s="4">
        <f t="shared" si="85"/>
        <v>8.6845830082893372E-8</v>
      </c>
      <c r="F317" s="4">
        <f t="shared" si="86"/>
        <v>0</v>
      </c>
      <c r="G317" s="4">
        <f t="shared" si="87"/>
        <v>0</v>
      </c>
      <c r="H317" s="4">
        <f t="shared" si="88"/>
        <v>0</v>
      </c>
      <c r="I317" s="383"/>
    </row>
    <row r="318" spans="1:9" x14ac:dyDescent="0.3">
      <c r="A318" s="1">
        <v>293</v>
      </c>
      <c r="B318" s="3">
        <f t="shared" si="84"/>
        <v>6</v>
      </c>
      <c r="C318" s="13">
        <f t="shared" si="89"/>
        <v>54819</v>
      </c>
      <c r="E318" s="4">
        <f t="shared" si="85"/>
        <v>8.6845830082893372E-8</v>
      </c>
      <c r="F318" s="4">
        <f t="shared" si="86"/>
        <v>0</v>
      </c>
      <c r="G318" s="4">
        <f t="shared" si="87"/>
        <v>0</v>
      </c>
      <c r="H318" s="4">
        <f t="shared" si="88"/>
        <v>0</v>
      </c>
      <c r="I318" s="383"/>
    </row>
    <row r="319" spans="1:9" x14ac:dyDescent="0.3">
      <c r="A319" s="1">
        <v>294</v>
      </c>
      <c r="B319" s="3">
        <f t="shared" si="84"/>
        <v>10</v>
      </c>
      <c r="C319" s="13">
        <f t="shared" si="89"/>
        <v>54847</v>
      </c>
      <c r="E319" s="4">
        <f t="shared" si="85"/>
        <v>8.6845830082893372E-8</v>
      </c>
      <c r="F319" s="4">
        <f t="shared" si="86"/>
        <v>0</v>
      </c>
      <c r="G319" s="4">
        <f t="shared" si="87"/>
        <v>0</v>
      </c>
      <c r="H319" s="4">
        <f t="shared" si="88"/>
        <v>0</v>
      </c>
      <c r="I319" s="383"/>
    </row>
    <row r="320" spans="1:9" x14ac:dyDescent="0.3">
      <c r="A320" s="1">
        <v>295</v>
      </c>
      <c r="B320" s="3">
        <f t="shared" si="84"/>
        <v>14</v>
      </c>
      <c r="C320" s="13">
        <f t="shared" si="89"/>
        <v>54878</v>
      </c>
      <c r="E320" s="4">
        <f t="shared" si="85"/>
        <v>8.6845830082893372E-8</v>
      </c>
      <c r="F320" s="4">
        <f t="shared" si="86"/>
        <v>0</v>
      </c>
      <c r="G320" s="4">
        <f t="shared" si="87"/>
        <v>0</v>
      </c>
      <c r="H320" s="4">
        <f t="shared" si="88"/>
        <v>0</v>
      </c>
      <c r="I320" s="383"/>
    </row>
    <row r="321" spans="1:9" x14ac:dyDescent="0.3">
      <c r="A321" s="1">
        <v>296</v>
      </c>
      <c r="B321" s="3">
        <f t="shared" si="84"/>
        <v>18</v>
      </c>
      <c r="C321" s="13">
        <f t="shared" si="89"/>
        <v>54908</v>
      </c>
      <c r="E321" s="4">
        <f t="shared" si="85"/>
        <v>8.6845830082893372E-8</v>
      </c>
      <c r="F321" s="4">
        <f t="shared" si="86"/>
        <v>0</v>
      </c>
      <c r="G321" s="4">
        <f t="shared" si="87"/>
        <v>0</v>
      </c>
      <c r="H321" s="4">
        <f t="shared" si="88"/>
        <v>0</v>
      </c>
      <c r="I321" s="383"/>
    </row>
    <row r="322" spans="1:9" x14ac:dyDescent="0.3">
      <c r="A322" s="1">
        <v>297</v>
      </c>
      <c r="B322" s="3">
        <f t="shared" si="84"/>
        <v>23</v>
      </c>
      <c r="C322" s="13">
        <f t="shared" si="89"/>
        <v>54939</v>
      </c>
      <c r="E322" s="4">
        <f t="shared" si="85"/>
        <v>8.6845830082893372E-8</v>
      </c>
      <c r="F322" s="4">
        <f t="shared" si="86"/>
        <v>0</v>
      </c>
      <c r="G322" s="4">
        <f t="shared" si="87"/>
        <v>0</v>
      </c>
      <c r="H322" s="4">
        <f t="shared" si="88"/>
        <v>0</v>
      </c>
      <c r="I322" s="383"/>
    </row>
    <row r="323" spans="1:9" x14ac:dyDescent="0.3">
      <c r="A323" s="1">
        <v>298</v>
      </c>
      <c r="B323" s="3">
        <f t="shared" si="84"/>
        <v>27</v>
      </c>
      <c r="C323" s="13">
        <f t="shared" si="89"/>
        <v>54969</v>
      </c>
      <c r="E323" s="4">
        <f t="shared" si="85"/>
        <v>8.6845830082893372E-8</v>
      </c>
      <c r="F323" s="4">
        <f t="shared" si="86"/>
        <v>0</v>
      </c>
      <c r="G323" s="4">
        <f t="shared" si="87"/>
        <v>0</v>
      </c>
      <c r="H323" s="4">
        <f t="shared" si="88"/>
        <v>0</v>
      </c>
      <c r="I323" s="383"/>
    </row>
    <row r="324" spans="1:9" x14ac:dyDescent="0.3">
      <c r="A324" s="1">
        <v>299</v>
      </c>
      <c r="B324" s="3">
        <f t="shared" si="84"/>
        <v>31</v>
      </c>
      <c r="C324" s="13">
        <f t="shared" si="89"/>
        <v>55000</v>
      </c>
      <c r="E324" s="4">
        <f t="shared" si="85"/>
        <v>8.6845830082893372E-8</v>
      </c>
      <c r="F324" s="4">
        <f t="shared" si="86"/>
        <v>0</v>
      </c>
      <c r="G324" s="4">
        <f t="shared" si="87"/>
        <v>0</v>
      </c>
      <c r="H324" s="4">
        <f t="shared" si="88"/>
        <v>0</v>
      </c>
      <c r="I324" s="383"/>
    </row>
    <row r="325" spans="1:9" x14ac:dyDescent="0.3">
      <c r="A325" s="1">
        <v>300</v>
      </c>
      <c r="B325" s="3">
        <f t="shared" si="84"/>
        <v>36</v>
      </c>
      <c r="C325" s="13">
        <f t="shared" si="89"/>
        <v>55031</v>
      </c>
      <c r="E325" s="4">
        <f t="shared" si="85"/>
        <v>8.6845830082893372E-8</v>
      </c>
      <c r="F325" s="4">
        <f t="shared" si="86"/>
        <v>0</v>
      </c>
      <c r="G325" s="4">
        <f t="shared" si="87"/>
        <v>0</v>
      </c>
      <c r="H325" s="4">
        <f t="shared" si="88"/>
        <v>0</v>
      </c>
      <c r="I325" s="383"/>
    </row>
    <row r="326" spans="1:9" x14ac:dyDescent="0.3">
      <c r="A326" s="1">
        <v>301</v>
      </c>
      <c r="B326" s="3">
        <f t="shared" si="84"/>
        <v>40</v>
      </c>
      <c r="C326" s="13">
        <f t="shared" si="89"/>
        <v>55061</v>
      </c>
      <c r="E326" s="4">
        <f t="shared" si="85"/>
        <v>8.6845830082893372E-8</v>
      </c>
      <c r="F326" s="4">
        <f t="shared" si="86"/>
        <v>0</v>
      </c>
      <c r="G326" s="4">
        <f t="shared" si="87"/>
        <v>0</v>
      </c>
      <c r="H326" s="4">
        <f t="shared" si="88"/>
        <v>0</v>
      </c>
      <c r="I326" s="383"/>
    </row>
    <row r="327" spans="1:9" x14ac:dyDescent="0.3">
      <c r="A327" s="1">
        <v>302</v>
      </c>
      <c r="B327" s="3">
        <f t="shared" si="84"/>
        <v>45</v>
      </c>
      <c r="C327" s="13">
        <f t="shared" si="89"/>
        <v>55092</v>
      </c>
      <c r="E327" s="4">
        <f t="shared" si="85"/>
        <v>8.6845830082893372E-8</v>
      </c>
      <c r="F327" s="4">
        <f t="shared" si="86"/>
        <v>0</v>
      </c>
      <c r="G327" s="4">
        <f t="shared" si="87"/>
        <v>0</v>
      </c>
      <c r="H327" s="4">
        <f t="shared" si="88"/>
        <v>0</v>
      </c>
      <c r="I327" s="383"/>
    </row>
    <row r="328" spans="1:9" x14ac:dyDescent="0.3">
      <c r="A328" s="1">
        <v>303</v>
      </c>
      <c r="B328" s="3">
        <f t="shared" si="84"/>
        <v>49</v>
      </c>
      <c r="C328" s="13">
        <f t="shared" si="89"/>
        <v>55122</v>
      </c>
      <c r="E328" s="4">
        <f t="shared" si="85"/>
        <v>8.6845830082893372E-8</v>
      </c>
      <c r="F328" s="4">
        <f t="shared" si="86"/>
        <v>0</v>
      </c>
      <c r="G328" s="4">
        <f t="shared" si="87"/>
        <v>0</v>
      </c>
      <c r="H328" s="4">
        <f t="shared" si="88"/>
        <v>0</v>
      </c>
      <c r="I328" s="383"/>
    </row>
    <row r="329" spans="1:9" x14ac:dyDescent="0.3">
      <c r="A329" s="1">
        <v>304</v>
      </c>
      <c r="B329" s="3">
        <f t="shared" si="84"/>
        <v>53</v>
      </c>
      <c r="C329" s="13">
        <f t="shared" si="89"/>
        <v>55153</v>
      </c>
      <c r="E329" s="4">
        <f t="shared" si="85"/>
        <v>8.6845830082893372E-8</v>
      </c>
      <c r="F329" s="4">
        <f t="shared" si="86"/>
        <v>0</v>
      </c>
      <c r="G329" s="4">
        <f t="shared" si="87"/>
        <v>0</v>
      </c>
      <c r="H329" s="4">
        <f t="shared" si="88"/>
        <v>0</v>
      </c>
      <c r="I329" s="383"/>
    </row>
    <row r="330" spans="1:9" x14ac:dyDescent="0.3">
      <c r="A330" s="1">
        <v>305</v>
      </c>
      <c r="B330" s="3">
        <f t="shared" si="84"/>
        <v>6</v>
      </c>
      <c r="C330" s="13">
        <f t="shared" si="89"/>
        <v>55184</v>
      </c>
      <c r="E330" s="4">
        <f t="shared" si="85"/>
        <v>8.6845830082893372E-8</v>
      </c>
      <c r="F330" s="4">
        <f t="shared" si="86"/>
        <v>0</v>
      </c>
      <c r="G330" s="4">
        <f t="shared" si="87"/>
        <v>0</v>
      </c>
      <c r="H330" s="4">
        <f t="shared" si="88"/>
        <v>0</v>
      </c>
      <c r="I330" s="383"/>
    </row>
    <row r="331" spans="1:9" x14ac:dyDescent="0.3">
      <c r="A331" s="1">
        <v>306</v>
      </c>
      <c r="B331" s="3">
        <f t="shared" si="84"/>
        <v>10</v>
      </c>
      <c r="C331" s="13">
        <f t="shared" si="89"/>
        <v>55212</v>
      </c>
      <c r="E331" s="4">
        <f t="shared" si="85"/>
        <v>8.6845830082893372E-8</v>
      </c>
      <c r="F331" s="4">
        <f t="shared" si="86"/>
        <v>0</v>
      </c>
      <c r="G331" s="4">
        <f t="shared" si="87"/>
        <v>0</v>
      </c>
      <c r="H331" s="4">
        <f t="shared" si="88"/>
        <v>0</v>
      </c>
      <c r="I331" s="383"/>
    </row>
    <row r="332" spans="1:9" x14ac:dyDescent="0.3">
      <c r="A332" s="1">
        <v>307</v>
      </c>
      <c r="B332" s="3">
        <f t="shared" si="84"/>
        <v>14</v>
      </c>
      <c r="C332" s="13">
        <f t="shared" si="89"/>
        <v>55243</v>
      </c>
      <c r="E332" s="4">
        <f t="shared" si="85"/>
        <v>8.6845830082893372E-8</v>
      </c>
      <c r="F332" s="4">
        <f t="shared" si="86"/>
        <v>0</v>
      </c>
      <c r="G332" s="4">
        <f t="shared" si="87"/>
        <v>0</v>
      </c>
      <c r="H332" s="4">
        <f t="shared" si="88"/>
        <v>0</v>
      </c>
      <c r="I332" s="383"/>
    </row>
    <row r="333" spans="1:9" x14ac:dyDescent="0.3">
      <c r="A333" s="1">
        <v>308</v>
      </c>
      <c r="B333" s="3">
        <f t="shared" si="84"/>
        <v>18</v>
      </c>
      <c r="C333" s="13">
        <f t="shared" si="89"/>
        <v>55273</v>
      </c>
      <c r="E333" s="4">
        <f t="shared" si="85"/>
        <v>8.6845830082893372E-8</v>
      </c>
      <c r="F333" s="4">
        <f t="shared" si="86"/>
        <v>0</v>
      </c>
      <c r="G333" s="4">
        <f t="shared" si="87"/>
        <v>0</v>
      </c>
      <c r="H333" s="4">
        <f t="shared" si="88"/>
        <v>0</v>
      </c>
      <c r="I333" s="383"/>
    </row>
    <row r="334" spans="1:9" x14ac:dyDescent="0.3">
      <c r="A334" s="1">
        <v>309</v>
      </c>
      <c r="B334" s="3">
        <f t="shared" si="84"/>
        <v>23</v>
      </c>
      <c r="C334" s="13">
        <f t="shared" si="89"/>
        <v>55304</v>
      </c>
      <c r="E334" s="4">
        <f t="shared" si="85"/>
        <v>8.6845830082893372E-8</v>
      </c>
      <c r="F334" s="4">
        <f t="shared" si="86"/>
        <v>0</v>
      </c>
      <c r="G334" s="4">
        <f t="shared" si="87"/>
        <v>0</v>
      </c>
      <c r="H334" s="4">
        <f t="shared" si="88"/>
        <v>0</v>
      </c>
      <c r="I334" s="383"/>
    </row>
    <row r="335" spans="1:9" x14ac:dyDescent="0.3">
      <c r="A335" s="1">
        <v>310</v>
      </c>
      <c r="B335" s="3">
        <f t="shared" si="84"/>
        <v>27</v>
      </c>
      <c r="C335" s="13">
        <f t="shared" si="89"/>
        <v>55334</v>
      </c>
      <c r="E335" s="4">
        <f t="shared" si="85"/>
        <v>8.6845830082893372E-8</v>
      </c>
      <c r="F335" s="4">
        <f t="shared" si="86"/>
        <v>0</v>
      </c>
      <c r="G335" s="4">
        <f t="shared" si="87"/>
        <v>0</v>
      </c>
      <c r="H335" s="4">
        <f t="shared" si="88"/>
        <v>0</v>
      </c>
      <c r="I335" s="383"/>
    </row>
    <row r="336" spans="1:9" x14ac:dyDescent="0.3">
      <c r="A336" s="1">
        <v>311</v>
      </c>
      <c r="B336" s="3">
        <f t="shared" si="84"/>
        <v>32</v>
      </c>
      <c r="C336" s="13">
        <f t="shared" si="89"/>
        <v>55365</v>
      </c>
      <c r="E336" s="4">
        <f t="shared" si="85"/>
        <v>8.6845830082893372E-8</v>
      </c>
      <c r="F336" s="4">
        <f t="shared" si="86"/>
        <v>0</v>
      </c>
      <c r="G336" s="4">
        <f t="shared" si="87"/>
        <v>0</v>
      </c>
      <c r="H336" s="4">
        <f t="shared" si="88"/>
        <v>0</v>
      </c>
      <c r="I336" s="383"/>
    </row>
    <row r="337" spans="1:9" x14ac:dyDescent="0.3">
      <c r="A337" s="1">
        <v>312</v>
      </c>
      <c r="B337" s="3">
        <f t="shared" si="84"/>
        <v>36</v>
      </c>
      <c r="C337" s="13">
        <f t="shared" si="89"/>
        <v>55396</v>
      </c>
      <c r="E337" s="4">
        <f t="shared" si="85"/>
        <v>8.6845830082893372E-8</v>
      </c>
      <c r="F337" s="4">
        <f t="shared" si="86"/>
        <v>0</v>
      </c>
      <c r="G337" s="4">
        <f t="shared" si="87"/>
        <v>0</v>
      </c>
      <c r="H337" s="4">
        <f t="shared" si="88"/>
        <v>0</v>
      </c>
      <c r="I337" s="383"/>
    </row>
    <row r="338" spans="1:9" x14ac:dyDescent="0.3">
      <c r="A338" s="1">
        <v>313</v>
      </c>
      <c r="B338" s="3">
        <f t="shared" si="84"/>
        <v>40</v>
      </c>
      <c r="C338" s="13">
        <f t="shared" si="89"/>
        <v>55426</v>
      </c>
      <c r="E338" s="4">
        <f t="shared" si="85"/>
        <v>8.6845830082893372E-8</v>
      </c>
      <c r="F338" s="4">
        <f t="shared" si="86"/>
        <v>0</v>
      </c>
      <c r="G338" s="4">
        <f t="shared" si="87"/>
        <v>0</v>
      </c>
      <c r="H338" s="4">
        <f t="shared" si="88"/>
        <v>0</v>
      </c>
      <c r="I338" s="383"/>
    </row>
    <row r="339" spans="1:9" x14ac:dyDescent="0.3">
      <c r="A339" s="1">
        <v>314</v>
      </c>
      <c r="B339" s="3">
        <f t="shared" si="84"/>
        <v>45</v>
      </c>
      <c r="C339" s="13">
        <f t="shared" si="89"/>
        <v>55457</v>
      </c>
      <c r="E339" s="4">
        <f t="shared" si="85"/>
        <v>8.6845830082893372E-8</v>
      </c>
      <c r="F339" s="4">
        <f t="shared" si="86"/>
        <v>0</v>
      </c>
      <c r="G339" s="4">
        <f t="shared" si="87"/>
        <v>0</v>
      </c>
      <c r="H339" s="4">
        <f t="shared" si="88"/>
        <v>0</v>
      </c>
      <c r="I339" s="383"/>
    </row>
    <row r="340" spans="1:9" x14ac:dyDescent="0.3">
      <c r="A340" s="1">
        <v>315</v>
      </c>
      <c r="B340" s="3">
        <f t="shared" si="84"/>
        <v>49</v>
      </c>
      <c r="C340" s="13">
        <f t="shared" si="89"/>
        <v>55487</v>
      </c>
      <c r="E340" s="4">
        <f t="shared" si="85"/>
        <v>8.6845830082893372E-8</v>
      </c>
      <c r="F340" s="4">
        <f t="shared" si="86"/>
        <v>0</v>
      </c>
      <c r="G340" s="4">
        <f t="shared" si="87"/>
        <v>0</v>
      </c>
      <c r="H340" s="4">
        <f t="shared" si="88"/>
        <v>0</v>
      </c>
      <c r="I340" s="383"/>
    </row>
    <row r="341" spans="1:9" x14ac:dyDescent="0.3">
      <c r="A341" s="1">
        <v>316</v>
      </c>
      <c r="B341" s="3">
        <f t="shared" si="84"/>
        <v>53</v>
      </c>
      <c r="C341" s="13">
        <f t="shared" si="89"/>
        <v>55518</v>
      </c>
      <c r="E341" s="4">
        <f t="shared" si="85"/>
        <v>8.6845830082893372E-8</v>
      </c>
      <c r="F341" s="4">
        <f t="shared" si="86"/>
        <v>0</v>
      </c>
      <c r="G341" s="4">
        <f t="shared" si="87"/>
        <v>0</v>
      </c>
      <c r="H341" s="4">
        <f t="shared" si="88"/>
        <v>0</v>
      </c>
      <c r="I341" s="383"/>
    </row>
    <row r="342" spans="1:9" x14ac:dyDescent="0.3">
      <c r="A342" s="1">
        <v>317</v>
      </c>
      <c r="B342" s="3">
        <f t="shared" si="84"/>
        <v>5</v>
      </c>
      <c r="C342" s="13">
        <f t="shared" si="89"/>
        <v>55549</v>
      </c>
      <c r="E342" s="4">
        <f t="shared" si="85"/>
        <v>8.6845830082893372E-8</v>
      </c>
      <c r="F342" s="4">
        <f t="shared" si="86"/>
        <v>0</v>
      </c>
      <c r="G342" s="4">
        <f t="shared" si="87"/>
        <v>0</v>
      </c>
      <c r="H342" s="4">
        <f t="shared" si="88"/>
        <v>0</v>
      </c>
      <c r="I342" s="383"/>
    </row>
    <row r="343" spans="1:9" x14ac:dyDescent="0.3">
      <c r="A343" s="1">
        <v>318</v>
      </c>
      <c r="B343" s="3">
        <f t="shared" si="84"/>
        <v>9</v>
      </c>
      <c r="C343" s="13">
        <f t="shared" si="89"/>
        <v>55578</v>
      </c>
      <c r="E343" s="4">
        <f t="shared" si="85"/>
        <v>8.6845830082893372E-8</v>
      </c>
      <c r="F343" s="4">
        <f t="shared" si="86"/>
        <v>0</v>
      </c>
      <c r="G343" s="4">
        <f t="shared" si="87"/>
        <v>0</v>
      </c>
      <c r="H343" s="4">
        <f t="shared" si="88"/>
        <v>0</v>
      </c>
      <c r="I343" s="383"/>
    </row>
    <row r="344" spans="1:9" x14ac:dyDescent="0.3">
      <c r="A344" s="1">
        <v>319</v>
      </c>
      <c r="B344" s="3">
        <f t="shared" si="84"/>
        <v>13</v>
      </c>
      <c r="C344" s="13">
        <f t="shared" si="89"/>
        <v>55609</v>
      </c>
      <c r="E344" s="4">
        <f t="shared" si="85"/>
        <v>8.6845830082893372E-8</v>
      </c>
      <c r="F344" s="4">
        <f t="shared" si="86"/>
        <v>0</v>
      </c>
      <c r="G344" s="4">
        <f t="shared" si="87"/>
        <v>0</v>
      </c>
      <c r="H344" s="4">
        <f t="shared" si="88"/>
        <v>0</v>
      </c>
      <c r="I344" s="383"/>
    </row>
    <row r="345" spans="1:9" x14ac:dyDescent="0.3">
      <c r="A345" s="1">
        <v>320</v>
      </c>
      <c r="B345" s="3">
        <f t="shared" si="84"/>
        <v>18</v>
      </c>
      <c r="C345" s="13">
        <f t="shared" si="89"/>
        <v>55639</v>
      </c>
      <c r="E345" s="4">
        <f t="shared" si="85"/>
        <v>8.6845830082893372E-8</v>
      </c>
      <c r="F345" s="4">
        <f t="shared" si="86"/>
        <v>0</v>
      </c>
      <c r="G345" s="4">
        <f t="shared" si="87"/>
        <v>0</v>
      </c>
      <c r="H345" s="4">
        <f t="shared" si="88"/>
        <v>0</v>
      </c>
      <c r="I345" s="383"/>
    </row>
    <row r="346" spans="1:9" x14ac:dyDescent="0.3">
      <c r="A346" s="1">
        <v>321</v>
      </c>
      <c r="B346" s="3">
        <f t="shared" ref="B346:B390" si="90">+WEEKNUM(C346,2)</f>
        <v>22</v>
      </c>
      <c r="C346" s="13">
        <f t="shared" si="89"/>
        <v>55670</v>
      </c>
      <c r="E346" s="4">
        <f t="shared" si="85"/>
        <v>8.6845830082893372E-8</v>
      </c>
      <c r="F346" s="4">
        <f t="shared" si="86"/>
        <v>0</v>
      </c>
      <c r="G346" s="4">
        <f t="shared" si="87"/>
        <v>0</v>
      </c>
      <c r="H346" s="4">
        <f t="shared" si="88"/>
        <v>0</v>
      </c>
      <c r="I346" s="383"/>
    </row>
    <row r="347" spans="1:9" x14ac:dyDescent="0.3">
      <c r="A347" s="1">
        <v>322</v>
      </c>
      <c r="B347" s="3">
        <f t="shared" si="90"/>
        <v>26</v>
      </c>
      <c r="C347" s="13">
        <f t="shared" si="89"/>
        <v>55700</v>
      </c>
      <c r="E347" s="4">
        <f t="shared" ref="E347:E390" si="91">+E346+D347-F347</f>
        <v>8.6845830082893372E-8</v>
      </c>
      <c r="F347" s="4">
        <f t="shared" ref="F347:F390" si="92">+SUMIF(N:N,C347,R:R)+SUMIF(AD:AD,C347,AH:AH)+SUMIF(AS:AS,C347,AW:AW)+SUMIF(BH:BH,C347,BL:BL)+SUMIF(BW:BW,C347,CA:CA)+SUMIF(BW:BW,C347,CB:CB)+SUMIF(CM:CM,C347,CQ:CQ)+SUMIF(CV:CV,C347,CZ:CZ)+SUMIF(DE:DE,C347,DI:DI)+SUMIF(DN:DN,C347,DR:DR)+SUMIF(DW:DW,C347,EA:EA)+SUMIF(EF:EF,C347,EJ:EJ)+SUMIF(EP:EP,C347,ET:ET)+SUMIF(EY:EY,C347,FC:FC)+SUMIF(FH:FH,C347,FL:FL)+SUMIF(FQ:FQ,C347,FU:FU)+SUMIF(FZ:FZ,C347,GD:GD)+SUMIF(GI:GI,C347,GM:GM)</f>
        <v>0</v>
      </c>
      <c r="G347" s="4">
        <f t="shared" ref="G347:G390" si="93">+SUMIF(N:N,C347,S:S)+SUMIF(N:N,C347,T:T)+SUMIF(AD:AD,C347,AI:AI)+SUMIF(AS:AS,C347,AX:AX)+SUMIF(BH:BH,C347,BM:BM)+SUMIF(BW:BW,C347,CD:CD)+SUMIF(BW:BW,C347,CC:CC)+SUMIF(CM:CM,C347,CR:CR)+SUMIF(CV:CV,C347,DA:DA)+SUMIF(DE:DE,C347,DJ:DJ)+SUMIF(DN:DN,C347,DS:DS)+SUMIF(DX:DX,C347,EB:EB)+SUMIF(EG:EG,C347,EK:EK)+SUMIF(EP:EP,C347,EU:EU)+SUMIF(EY:EY,C347,FD:FD)+SUMIF(FH:FH,C347,FM:FM)+SUMIF(FQ:FQ,C347,FV:FV)+SUMIF(FZ:FZ,C347,GE:GE)+SUMIF(GI:GI,C347,GN:GN)</f>
        <v>0</v>
      </c>
      <c r="H347" s="4">
        <f t="shared" ref="H347:H390" si="94">+SUM(F347:G347)</f>
        <v>0</v>
      </c>
      <c r="I347" s="383"/>
    </row>
    <row r="348" spans="1:9" x14ac:dyDescent="0.3">
      <c r="A348" s="1">
        <v>323</v>
      </c>
      <c r="B348" s="3">
        <f t="shared" si="90"/>
        <v>31</v>
      </c>
      <c r="C348" s="13">
        <f t="shared" si="89"/>
        <v>55731</v>
      </c>
      <c r="E348" s="4">
        <f t="shared" si="91"/>
        <v>8.6845830082893372E-8</v>
      </c>
      <c r="F348" s="4">
        <f t="shared" si="92"/>
        <v>0</v>
      </c>
      <c r="G348" s="4">
        <f t="shared" si="93"/>
        <v>0</v>
      </c>
      <c r="H348" s="4">
        <f t="shared" si="94"/>
        <v>0</v>
      </c>
      <c r="I348" s="383"/>
    </row>
    <row r="349" spans="1:9" x14ac:dyDescent="0.3">
      <c r="A349" s="1">
        <v>324</v>
      </c>
      <c r="B349" s="3">
        <f t="shared" si="90"/>
        <v>35</v>
      </c>
      <c r="C349" s="13">
        <f t="shared" ref="C349:C390" si="95">+EOMONTH(C348,1)</f>
        <v>55762</v>
      </c>
      <c r="E349" s="4">
        <f t="shared" si="91"/>
        <v>8.6845830082893372E-8</v>
      </c>
      <c r="F349" s="4">
        <f t="shared" si="92"/>
        <v>0</v>
      </c>
      <c r="G349" s="4">
        <f t="shared" si="93"/>
        <v>0</v>
      </c>
      <c r="H349" s="4">
        <f t="shared" si="94"/>
        <v>0</v>
      </c>
      <c r="I349" s="383"/>
    </row>
    <row r="350" spans="1:9" x14ac:dyDescent="0.3">
      <c r="A350" s="1">
        <v>325</v>
      </c>
      <c r="B350" s="3">
        <f t="shared" si="90"/>
        <v>40</v>
      </c>
      <c r="C350" s="13">
        <f t="shared" si="95"/>
        <v>55792</v>
      </c>
      <c r="E350" s="4">
        <f t="shared" si="91"/>
        <v>8.6845830082893372E-8</v>
      </c>
      <c r="F350" s="4">
        <f t="shared" si="92"/>
        <v>0</v>
      </c>
      <c r="G350" s="4">
        <f t="shared" si="93"/>
        <v>0</v>
      </c>
      <c r="H350" s="4">
        <f t="shared" si="94"/>
        <v>0</v>
      </c>
      <c r="I350" s="383"/>
    </row>
    <row r="351" spans="1:9" x14ac:dyDescent="0.3">
      <c r="A351" s="1">
        <v>326</v>
      </c>
      <c r="B351" s="3">
        <f t="shared" si="90"/>
        <v>44</v>
      </c>
      <c r="C351" s="13">
        <f t="shared" si="95"/>
        <v>55823</v>
      </c>
      <c r="E351" s="4">
        <f t="shared" si="91"/>
        <v>8.6845830082893372E-8</v>
      </c>
      <c r="F351" s="4">
        <f t="shared" si="92"/>
        <v>0</v>
      </c>
      <c r="G351" s="4">
        <f t="shared" si="93"/>
        <v>0</v>
      </c>
      <c r="H351" s="4">
        <f t="shared" si="94"/>
        <v>0</v>
      </c>
      <c r="I351" s="383"/>
    </row>
    <row r="352" spans="1:9" x14ac:dyDescent="0.3">
      <c r="A352" s="1">
        <v>327</v>
      </c>
      <c r="B352" s="3">
        <f t="shared" si="90"/>
        <v>48</v>
      </c>
      <c r="C352" s="13">
        <f t="shared" si="95"/>
        <v>55853</v>
      </c>
      <c r="E352" s="4">
        <f t="shared" si="91"/>
        <v>8.6845830082893372E-8</v>
      </c>
      <c r="F352" s="4">
        <f t="shared" si="92"/>
        <v>0</v>
      </c>
      <c r="G352" s="4">
        <f t="shared" si="93"/>
        <v>0</v>
      </c>
      <c r="H352" s="4">
        <f t="shared" si="94"/>
        <v>0</v>
      </c>
      <c r="I352" s="383"/>
    </row>
    <row r="353" spans="1:9" x14ac:dyDescent="0.3">
      <c r="A353" s="1">
        <v>328</v>
      </c>
      <c r="B353" s="3">
        <f t="shared" si="90"/>
        <v>53</v>
      </c>
      <c r="C353" s="13">
        <f t="shared" si="95"/>
        <v>55884</v>
      </c>
      <c r="E353" s="4">
        <f t="shared" si="91"/>
        <v>8.6845830082893372E-8</v>
      </c>
      <c r="F353" s="4">
        <f t="shared" si="92"/>
        <v>0</v>
      </c>
      <c r="G353" s="4">
        <f t="shared" si="93"/>
        <v>0</v>
      </c>
      <c r="H353" s="4">
        <f t="shared" si="94"/>
        <v>0</v>
      </c>
      <c r="I353" s="383"/>
    </row>
    <row r="354" spans="1:9" x14ac:dyDescent="0.3">
      <c r="A354" s="1">
        <v>329</v>
      </c>
      <c r="B354" s="3">
        <f t="shared" si="90"/>
        <v>5</v>
      </c>
      <c r="C354" s="13">
        <f t="shared" si="95"/>
        <v>55915</v>
      </c>
      <c r="E354" s="4">
        <f t="shared" si="91"/>
        <v>8.6845830082893372E-8</v>
      </c>
      <c r="F354" s="4">
        <f t="shared" si="92"/>
        <v>0</v>
      </c>
      <c r="G354" s="4">
        <f t="shared" si="93"/>
        <v>0</v>
      </c>
      <c r="H354" s="4">
        <f t="shared" si="94"/>
        <v>0</v>
      </c>
      <c r="I354" s="383"/>
    </row>
    <row r="355" spans="1:9" x14ac:dyDescent="0.3">
      <c r="A355" s="1">
        <v>330</v>
      </c>
      <c r="B355" s="3">
        <f t="shared" si="90"/>
        <v>9</v>
      </c>
      <c r="C355" s="13">
        <f t="shared" si="95"/>
        <v>55943</v>
      </c>
      <c r="E355" s="4">
        <f t="shared" si="91"/>
        <v>8.6845830082893372E-8</v>
      </c>
      <c r="F355" s="4">
        <f t="shared" si="92"/>
        <v>0</v>
      </c>
      <c r="G355" s="4">
        <f t="shared" si="93"/>
        <v>0</v>
      </c>
      <c r="H355" s="4">
        <f t="shared" si="94"/>
        <v>0</v>
      </c>
      <c r="I355" s="383"/>
    </row>
    <row r="356" spans="1:9" x14ac:dyDescent="0.3">
      <c r="A356" s="1">
        <v>331</v>
      </c>
      <c r="B356" s="3">
        <f t="shared" si="90"/>
        <v>14</v>
      </c>
      <c r="C356" s="13">
        <f t="shared" si="95"/>
        <v>55974</v>
      </c>
      <c r="E356" s="4">
        <f t="shared" si="91"/>
        <v>8.6845830082893372E-8</v>
      </c>
      <c r="F356" s="4">
        <f t="shared" si="92"/>
        <v>0</v>
      </c>
      <c r="G356" s="4">
        <f t="shared" si="93"/>
        <v>0</v>
      </c>
      <c r="H356" s="4">
        <f t="shared" si="94"/>
        <v>0</v>
      </c>
      <c r="I356" s="383"/>
    </row>
    <row r="357" spans="1:9" x14ac:dyDescent="0.3">
      <c r="A357" s="1">
        <v>332</v>
      </c>
      <c r="B357" s="3">
        <f t="shared" si="90"/>
        <v>18</v>
      </c>
      <c r="C357" s="13">
        <f t="shared" si="95"/>
        <v>56004</v>
      </c>
      <c r="E357" s="4">
        <f t="shared" si="91"/>
        <v>8.6845830082893372E-8</v>
      </c>
      <c r="F357" s="4">
        <f t="shared" si="92"/>
        <v>0</v>
      </c>
      <c r="G357" s="4">
        <f t="shared" si="93"/>
        <v>0</v>
      </c>
      <c r="H357" s="4">
        <f t="shared" si="94"/>
        <v>0</v>
      </c>
      <c r="I357" s="383"/>
    </row>
    <row r="358" spans="1:9" x14ac:dyDescent="0.3">
      <c r="A358" s="1">
        <v>333</v>
      </c>
      <c r="B358" s="3">
        <f t="shared" si="90"/>
        <v>22</v>
      </c>
      <c r="C358" s="13">
        <f t="shared" si="95"/>
        <v>56035</v>
      </c>
      <c r="E358" s="4">
        <f t="shared" si="91"/>
        <v>8.6845830082893372E-8</v>
      </c>
      <c r="F358" s="4">
        <f t="shared" si="92"/>
        <v>0</v>
      </c>
      <c r="G358" s="4">
        <f t="shared" si="93"/>
        <v>0</v>
      </c>
      <c r="H358" s="4">
        <f t="shared" si="94"/>
        <v>0</v>
      </c>
      <c r="I358" s="383"/>
    </row>
    <row r="359" spans="1:9" x14ac:dyDescent="0.3">
      <c r="A359" s="1">
        <v>334</v>
      </c>
      <c r="B359" s="3">
        <f t="shared" si="90"/>
        <v>27</v>
      </c>
      <c r="C359" s="13">
        <f t="shared" si="95"/>
        <v>56065</v>
      </c>
      <c r="E359" s="4">
        <f t="shared" si="91"/>
        <v>8.6845830082893372E-8</v>
      </c>
      <c r="F359" s="4">
        <f t="shared" si="92"/>
        <v>0</v>
      </c>
      <c r="G359" s="4">
        <f t="shared" si="93"/>
        <v>0</v>
      </c>
      <c r="H359" s="4">
        <f t="shared" si="94"/>
        <v>0</v>
      </c>
      <c r="I359" s="383"/>
    </row>
    <row r="360" spans="1:9" x14ac:dyDescent="0.3">
      <c r="A360" s="1">
        <v>335</v>
      </c>
      <c r="B360" s="3">
        <f t="shared" si="90"/>
        <v>31</v>
      </c>
      <c r="C360" s="13">
        <f t="shared" si="95"/>
        <v>56096</v>
      </c>
      <c r="E360" s="4">
        <f t="shared" si="91"/>
        <v>8.6845830082893372E-8</v>
      </c>
      <c r="F360" s="4">
        <f t="shared" si="92"/>
        <v>0</v>
      </c>
      <c r="G360" s="4">
        <f t="shared" si="93"/>
        <v>0</v>
      </c>
      <c r="H360" s="4">
        <f t="shared" si="94"/>
        <v>0</v>
      </c>
      <c r="I360" s="383"/>
    </row>
    <row r="361" spans="1:9" x14ac:dyDescent="0.3">
      <c r="A361" s="1">
        <v>336</v>
      </c>
      <c r="B361" s="3">
        <f t="shared" si="90"/>
        <v>35</v>
      </c>
      <c r="C361" s="13">
        <f t="shared" si="95"/>
        <v>56127</v>
      </c>
      <c r="E361" s="4">
        <f t="shared" si="91"/>
        <v>8.6845830082893372E-8</v>
      </c>
      <c r="F361" s="4">
        <f t="shared" si="92"/>
        <v>0</v>
      </c>
      <c r="G361" s="4">
        <f t="shared" si="93"/>
        <v>0</v>
      </c>
      <c r="H361" s="4">
        <f t="shared" si="94"/>
        <v>0</v>
      </c>
      <c r="I361" s="383"/>
    </row>
    <row r="362" spans="1:9" x14ac:dyDescent="0.3">
      <c r="A362" s="1">
        <v>337</v>
      </c>
      <c r="B362" s="3">
        <f t="shared" si="90"/>
        <v>40</v>
      </c>
      <c r="C362" s="13">
        <f t="shared" si="95"/>
        <v>56157</v>
      </c>
      <c r="E362" s="4">
        <f t="shared" si="91"/>
        <v>8.6845830082893372E-8</v>
      </c>
      <c r="F362" s="4">
        <f t="shared" si="92"/>
        <v>0</v>
      </c>
      <c r="G362" s="4">
        <f t="shared" si="93"/>
        <v>0</v>
      </c>
      <c r="H362" s="4">
        <f t="shared" si="94"/>
        <v>0</v>
      </c>
      <c r="I362" s="383"/>
    </row>
    <row r="363" spans="1:9" x14ac:dyDescent="0.3">
      <c r="A363" s="1">
        <v>338</v>
      </c>
      <c r="B363" s="3">
        <f t="shared" si="90"/>
        <v>44</v>
      </c>
      <c r="C363" s="13">
        <f t="shared" si="95"/>
        <v>56188</v>
      </c>
      <c r="E363" s="4">
        <f t="shared" si="91"/>
        <v>8.6845830082893372E-8</v>
      </c>
      <c r="F363" s="4">
        <f t="shared" si="92"/>
        <v>0</v>
      </c>
      <c r="G363" s="4">
        <f t="shared" si="93"/>
        <v>0</v>
      </c>
      <c r="H363" s="4">
        <f t="shared" si="94"/>
        <v>0</v>
      </c>
      <c r="I363" s="383"/>
    </row>
    <row r="364" spans="1:9" x14ac:dyDescent="0.3">
      <c r="A364" s="1">
        <v>339</v>
      </c>
      <c r="B364" s="3">
        <f t="shared" si="90"/>
        <v>48</v>
      </c>
      <c r="C364" s="13">
        <f t="shared" si="95"/>
        <v>56218</v>
      </c>
      <c r="E364" s="4">
        <f t="shared" si="91"/>
        <v>8.6845830082893372E-8</v>
      </c>
      <c r="F364" s="4">
        <f t="shared" si="92"/>
        <v>0</v>
      </c>
      <c r="G364" s="4">
        <f t="shared" si="93"/>
        <v>0</v>
      </c>
      <c r="H364" s="4">
        <f t="shared" si="94"/>
        <v>0</v>
      </c>
      <c r="I364" s="383"/>
    </row>
    <row r="365" spans="1:9" x14ac:dyDescent="0.3">
      <c r="A365" s="1">
        <v>340</v>
      </c>
      <c r="B365" s="3">
        <f t="shared" si="90"/>
        <v>53</v>
      </c>
      <c r="C365" s="13">
        <f t="shared" si="95"/>
        <v>56249</v>
      </c>
      <c r="E365" s="4">
        <f t="shared" si="91"/>
        <v>8.6845830082893372E-8</v>
      </c>
      <c r="F365" s="4">
        <f t="shared" si="92"/>
        <v>0</v>
      </c>
      <c r="G365" s="4">
        <f t="shared" si="93"/>
        <v>0</v>
      </c>
      <c r="H365" s="4">
        <f t="shared" si="94"/>
        <v>0</v>
      </c>
      <c r="I365" s="383"/>
    </row>
    <row r="366" spans="1:9" x14ac:dyDescent="0.3">
      <c r="A366" s="1">
        <v>341</v>
      </c>
      <c r="B366" s="3">
        <f t="shared" si="90"/>
        <v>5</v>
      </c>
      <c r="C366" s="13">
        <f t="shared" si="95"/>
        <v>56280</v>
      </c>
      <c r="E366" s="4">
        <f t="shared" si="91"/>
        <v>8.6845830082893372E-8</v>
      </c>
      <c r="F366" s="4">
        <f t="shared" si="92"/>
        <v>0</v>
      </c>
      <c r="G366" s="4">
        <f t="shared" si="93"/>
        <v>0</v>
      </c>
      <c r="H366" s="4">
        <f t="shared" si="94"/>
        <v>0</v>
      </c>
      <c r="I366" s="383"/>
    </row>
    <row r="367" spans="1:9" x14ac:dyDescent="0.3">
      <c r="A367" s="1">
        <v>342</v>
      </c>
      <c r="B367" s="3">
        <f t="shared" si="90"/>
        <v>9</v>
      </c>
      <c r="C367" s="13">
        <f t="shared" si="95"/>
        <v>56308</v>
      </c>
      <c r="E367" s="4">
        <f t="shared" si="91"/>
        <v>8.6845830082893372E-8</v>
      </c>
      <c r="F367" s="4">
        <f t="shared" si="92"/>
        <v>0</v>
      </c>
      <c r="G367" s="4">
        <f t="shared" si="93"/>
        <v>0</v>
      </c>
      <c r="H367" s="4">
        <f t="shared" si="94"/>
        <v>0</v>
      </c>
      <c r="I367" s="383"/>
    </row>
    <row r="368" spans="1:9" x14ac:dyDescent="0.3">
      <c r="A368" s="1">
        <v>343</v>
      </c>
      <c r="B368" s="3">
        <f t="shared" si="90"/>
        <v>14</v>
      </c>
      <c r="C368" s="13">
        <f t="shared" si="95"/>
        <v>56339</v>
      </c>
      <c r="E368" s="4">
        <f t="shared" si="91"/>
        <v>8.6845830082893372E-8</v>
      </c>
      <c r="F368" s="4">
        <f t="shared" si="92"/>
        <v>0</v>
      </c>
      <c r="G368" s="4">
        <f t="shared" si="93"/>
        <v>0</v>
      </c>
      <c r="H368" s="4">
        <f t="shared" si="94"/>
        <v>0</v>
      </c>
      <c r="I368" s="383"/>
    </row>
    <row r="369" spans="1:9" x14ac:dyDescent="0.3">
      <c r="A369" s="1">
        <v>344</v>
      </c>
      <c r="B369" s="3">
        <f t="shared" si="90"/>
        <v>18</v>
      </c>
      <c r="C369" s="13">
        <f t="shared" si="95"/>
        <v>56369</v>
      </c>
      <c r="E369" s="4">
        <f t="shared" si="91"/>
        <v>8.6845830082893372E-8</v>
      </c>
      <c r="F369" s="4">
        <f t="shared" si="92"/>
        <v>0</v>
      </c>
      <c r="G369" s="4">
        <f t="shared" si="93"/>
        <v>0</v>
      </c>
      <c r="H369" s="4">
        <f t="shared" si="94"/>
        <v>0</v>
      </c>
      <c r="I369" s="383"/>
    </row>
    <row r="370" spans="1:9" x14ac:dyDescent="0.3">
      <c r="A370" s="1">
        <v>345</v>
      </c>
      <c r="B370" s="3">
        <f t="shared" si="90"/>
        <v>22</v>
      </c>
      <c r="C370" s="13">
        <f t="shared" si="95"/>
        <v>56400</v>
      </c>
      <c r="E370" s="4">
        <f t="shared" si="91"/>
        <v>8.6845830082893372E-8</v>
      </c>
      <c r="F370" s="4">
        <f t="shared" si="92"/>
        <v>0</v>
      </c>
      <c r="G370" s="4">
        <f t="shared" si="93"/>
        <v>0</v>
      </c>
      <c r="H370" s="4">
        <f t="shared" si="94"/>
        <v>0</v>
      </c>
      <c r="I370" s="383"/>
    </row>
    <row r="371" spans="1:9" x14ac:dyDescent="0.3">
      <c r="A371" s="1">
        <v>346</v>
      </c>
      <c r="B371" s="3">
        <f t="shared" si="90"/>
        <v>27</v>
      </c>
      <c r="C371" s="13">
        <f t="shared" si="95"/>
        <v>56430</v>
      </c>
      <c r="E371" s="4">
        <f t="shared" si="91"/>
        <v>8.6845830082893372E-8</v>
      </c>
      <c r="F371" s="4">
        <f t="shared" si="92"/>
        <v>0</v>
      </c>
      <c r="G371" s="4">
        <f t="shared" si="93"/>
        <v>0</v>
      </c>
      <c r="H371" s="4">
        <f t="shared" si="94"/>
        <v>0</v>
      </c>
      <c r="I371" s="383"/>
    </row>
    <row r="372" spans="1:9" x14ac:dyDescent="0.3">
      <c r="A372" s="1">
        <v>347</v>
      </c>
      <c r="B372" s="3">
        <f t="shared" si="90"/>
        <v>31</v>
      </c>
      <c r="C372" s="13">
        <f t="shared" si="95"/>
        <v>56461</v>
      </c>
      <c r="E372" s="4">
        <f t="shared" si="91"/>
        <v>8.6845830082893372E-8</v>
      </c>
      <c r="F372" s="4">
        <f t="shared" si="92"/>
        <v>0</v>
      </c>
      <c r="G372" s="4">
        <f t="shared" si="93"/>
        <v>0</v>
      </c>
      <c r="H372" s="4">
        <f t="shared" si="94"/>
        <v>0</v>
      </c>
      <c r="I372" s="383"/>
    </row>
    <row r="373" spans="1:9" x14ac:dyDescent="0.3">
      <c r="A373" s="1">
        <v>348</v>
      </c>
      <c r="B373" s="3">
        <f t="shared" si="90"/>
        <v>36</v>
      </c>
      <c r="C373" s="13">
        <f t="shared" si="95"/>
        <v>56492</v>
      </c>
      <c r="E373" s="4">
        <f t="shared" si="91"/>
        <v>8.6845830082893372E-8</v>
      </c>
      <c r="F373" s="4">
        <f t="shared" si="92"/>
        <v>0</v>
      </c>
      <c r="G373" s="4">
        <f t="shared" si="93"/>
        <v>0</v>
      </c>
      <c r="H373" s="4">
        <f t="shared" si="94"/>
        <v>0</v>
      </c>
      <c r="I373" s="383"/>
    </row>
    <row r="374" spans="1:9" x14ac:dyDescent="0.3">
      <c r="A374" s="1">
        <v>349</v>
      </c>
      <c r="B374" s="3">
        <f t="shared" si="90"/>
        <v>40</v>
      </c>
      <c r="C374" s="13">
        <f t="shared" si="95"/>
        <v>56522</v>
      </c>
      <c r="E374" s="4">
        <f t="shared" si="91"/>
        <v>8.6845830082893372E-8</v>
      </c>
      <c r="F374" s="4">
        <f t="shared" si="92"/>
        <v>0</v>
      </c>
      <c r="G374" s="4">
        <f t="shared" si="93"/>
        <v>0</v>
      </c>
      <c r="H374" s="4">
        <f t="shared" si="94"/>
        <v>0</v>
      </c>
      <c r="I374" s="383"/>
    </row>
    <row r="375" spans="1:9" x14ac:dyDescent="0.3">
      <c r="A375" s="1">
        <v>350</v>
      </c>
      <c r="B375" s="3">
        <f t="shared" si="90"/>
        <v>44</v>
      </c>
      <c r="C375" s="13">
        <f t="shared" si="95"/>
        <v>56553</v>
      </c>
      <c r="E375" s="4">
        <f t="shared" si="91"/>
        <v>8.6845830082893372E-8</v>
      </c>
      <c r="F375" s="4">
        <f t="shared" si="92"/>
        <v>0</v>
      </c>
      <c r="G375" s="4">
        <f t="shared" si="93"/>
        <v>0</v>
      </c>
      <c r="H375" s="4">
        <f t="shared" si="94"/>
        <v>0</v>
      </c>
      <c r="I375" s="383"/>
    </row>
    <row r="376" spans="1:9" x14ac:dyDescent="0.3">
      <c r="A376" s="1">
        <v>351</v>
      </c>
      <c r="B376" s="3">
        <f t="shared" si="90"/>
        <v>49</v>
      </c>
      <c r="C376" s="13">
        <f t="shared" si="95"/>
        <v>56583</v>
      </c>
      <c r="E376" s="4">
        <f t="shared" si="91"/>
        <v>8.6845830082893372E-8</v>
      </c>
      <c r="F376" s="4">
        <f t="shared" si="92"/>
        <v>0</v>
      </c>
      <c r="G376" s="4">
        <f t="shared" si="93"/>
        <v>0</v>
      </c>
      <c r="H376" s="4">
        <f t="shared" si="94"/>
        <v>0</v>
      </c>
      <c r="I376" s="383"/>
    </row>
    <row r="377" spans="1:9" x14ac:dyDescent="0.3">
      <c r="A377" s="1">
        <v>352</v>
      </c>
      <c r="B377" s="3">
        <f t="shared" si="90"/>
        <v>53</v>
      </c>
      <c r="C377" s="13">
        <f t="shared" si="95"/>
        <v>56614</v>
      </c>
      <c r="E377" s="4">
        <f t="shared" si="91"/>
        <v>8.6845830082893372E-8</v>
      </c>
      <c r="F377" s="4">
        <f t="shared" si="92"/>
        <v>0</v>
      </c>
      <c r="G377" s="4">
        <f t="shared" si="93"/>
        <v>0</v>
      </c>
      <c r="H377" s="4">
        <f t="shared" si="94"/>
        <v>0</v>
      </c>
      <c r="I377" s="383"/>
    </row>
    <row r="378" spans="1:9" x14ac:dyDescent="0.3">
      <c r="A378" s="1">
        <v>353</v>
      </c>
      <c r="B378" s="3">
        <f t="shared" si="90"/>
        <v>5</v>
      </c>
      <c r="C378" s="13">
        <f t="shared" si="95"/>
        <v>56645</v>
      </c>
      <c r="E378" s="4">
        <f t="shared" si="91"/>
        <v>8.6845830082893372E-8</v>
      </c>
      <c r="F378" s="4">
        <f t="shared" si="92"/>
        <v>0</v>
      </c>
      <c r="G378" s="4">
        <f t="shared" si="93"/>
        <v>0</v>
      </c>
      <c r="H378" s="4">
        <f t="shared" si="94"/>
        <v>0</v>
      </c>
      <c r="I378" s="383"/>
    </row>
    <row r="379" spans="1:9" x14ac:dyDescent="0.3">
      <c r="A379" s="1">
        <v>354</v>
      </c>
      <c r="B379" s="3">
        <f t="shared" si="90"/>
        <v>9</v>
      </c>
      <c r="C379" s="13">
        <f t="shared" si="95"/>
        <v>56673</v>
      </c>
      <c r="E379" s="4">
        <f t="shared" si="91"/>
        <v>8.6845830082893372E-8</v>
      </c>
      <c r="F379" s="4">
        <f t="shared" si="92"/>
        <v>0</v>
      </c>
      <c r="G379" s="4">
        <f t="shared" si="93"/>
        <v>0</v>
      </c>
      <c r="H379" s="4">
        <f t="shared" si="94"/>
        <v>0</v>
      </c>
      <c r="I379" s="383"/>
    </row>
    <row r="380" spans="1:9" x14ac:dyDescent="0.3">
      <c r="A380" s="1">
        <v>355</v>
      </c>
      <c r="B380" s="3">
        <f t="shared" si="90"/>
        <v>14</v>
      </c>
      <c r="C380" s="13">
        <f t="shared" si="95"/>
        <v>56704</v>
      </c>
      <c r="E380" s="4">
        <f t="shared" si="91"/>
        <v>8.6845830082893372E-8</v>
      </c>
      <c r="F380" s="4">
        <f t="shared" si="92"/>
        <v>0</v>
      </c>
      <c r="G380" s="4">
        <f t="shared" si="93"/>
        <v>0</v>
      </c>
      <c r="H380" s="4">
        <f t="shared" si="94"/>
        <v>0</v>
      </c>
      <c r="I380" s="383"/>
    </row>
    <row r="381" spans="1:9" x14ac:dyDescent="0.3">
      <c r="A381" s="1">
        <v>356</v>
      </c>
      <c r="B381" s="3">
        <f t="shared" si="90"/>
        <v>18</v>
      </c>
      <c r="C381" s="13">
        <f t="shared" si="95"/>
        <v>56734</v>
      </c>
      <c r="E381" s="4">
        <f t="shared" si="91"/>
        <v>8.6845830082893372E-8</v>
      </c>
      <c r="F381" s="4">
        <f t="shared" si="92"/>
        <v>0</v>
      </c>
      <c r="G381" s="4">
        <f t="shared" si="93"/>
        <v>0</v>
      </c>
      <c r="H381" s="4">
        <f t="shared" si="94"/>
        <v>0</v>
      </c>
      <c r="I381" s="383"/>
    </row>
    <row r="382" spans="1:9" x14ac:dyDescent="0.3">
      <c r="A382" s="1">
        <v>357</v>
      </c>
      <c r="B382" s="3">
        <f t="shared" si="90"/>
        <v>23</v>
      </c>
      <c r="C382" s="13">
        <f t="shared" si="95"/>
        <v>56765</v>
      </c>
      <c r="E382" s="4">
        <f t="shared" si="91"/>
        <v>8.6845830082893372E-8</v>
      </c>
      <c r="F382" s="4">
        <f t="shared" si="92"/>
        <v>0</v>
      </c>
      <c r="G382" s="4">
        <f t="shared" si="93"/>
        <v>0</v>
      </c>
      <c r="H382" s="4">
        <f t="shared" si="94"/>
        <v>0</v>
      </c>
      <c r="I382" s="383"/>
    </row>
    <row r="383" spans="1:9" x14ac:dyDescent="0.3">
      <c r="A383" s="1">
        <v>358</v>
      </c>
      <c r="B383" s="3">
        <f t="shared" si="90"/>
        <v>27</v>
      </c>
      <c r="C383" s="13">
        <f t="shared" si="95"/>
        <v>56795</v>
      </c>
      <c r="E383" s="4">
        <f t="shared" si="91"/>
        <v>8.6845830082893372E-8</v>
      </c>
      <c r="F383" s="4">
        <f t="shared" si="92"/>
        <v>0</v>
      </c>
      <c r="G383" s="4">
        <f t="shared" si="93"/>
        <v>0</v>
      </c>
      <c r="H383" s="4">
        <f t="shared" si="94"/>
        <v>0</v>
      </c>
      <c r="I383" s="383"/>
    </row>
    <row r="384" spans="1:9" x14ac:dyDescent="0.3">
      <c r="A384" s="1">
        <v>359</v>
      </c>
      <c r="B384" s="3">
        <f t="shared" si="90"/>
        <v>31</v>
      </c>
      <c r="C384" s="13">
        <f t="shared" si="95"/>
        <v>56826</v>
      </c>
      <c r="E384" s="4">
        <f t="shared" si="91"/>
        <v>8.6845830082893372E-8</v>
      </c>
      <c r="F384" s="4">
        <f t="shared" si="92"/>
        <v>0</v>
      </c>
      <c r="G384" s="4">
        <f t="shared" si="93"/>
        <v>0</v>
      </c>
      <c r="H384" s="4">
        <f t="shared" si="94"/>
        <v>0</v>
      </c>
      <c r="I384" s="383"/>
    </row>
    <row r="385" spans="1:9" x14ac:dyDescent="0.3">
      <c r="A385" s="1">
        <v>360</v>
      </c>
      <c r="B385" s="3">
        <f t="shared" si="90"/>
        <v>36</v>
      </c>
      <c r="C385" s="13">
        <f t="shared" si="95"/>
        <v>56857</v>
      </c>
      <c r="E385" s="4">
        <f t="shared" si="91"/>
        <v>8.6845830082893372E-8</v>
      </c>
      <c r="F385" s="4">
        <f t="shared" si="92"/>
        <v>0</v>
      </c>
      <c r="G385" s="4">
        <f t="shared" si="93"/>
        <v>0</v>
      </c>
      <c r="H385" s="4">
        <f t="shared" si="94"/>
        <v>0</v>
      </c>
      <c r="I385" s="383"/>
    </row>
    <row r="386" spans="1:9" x14ac:dyDescent="0.3">
      <c r="A386" s="1">
        <v>361</v>
      </c>
      <c r="B386" s="3">
        <f t="shared" si="90"/>
        <v>40</v>
      </c>
      <c r="C386" s="13">
        <f t="shared" si="95"/>
        <v>56887</v>
      </c>
      <c r="E386" s="4">
        <f t="shared" si="91"/>
        <v>8.6845830082893372E-8</v>
      </c>
      <c r="F386" s="4">
        <f t="shared" si="92"/>
        <v>0</v>
      </c>
      <c r="G386" s="4">
        <f t="shared" si="93"/>
        <v>0</v>
      </c>
      <c r="H386" s="4">
        <f t="shared" si="94"/>
        <v>0</v>
      </c>
      <c r="I386" s="383"/>
    </row>
    <row r="387" spans="1:9" x14ac:dyDescent="0.3">
      <c r="A387" s="1">
        <v>362</v>
      </c>
      <c r="B387" s="3">
        <f t="shared" si="90"/>
        <v>44</v>
      </c>
      <c r="C387" s="13">
        <f t="shared" si="95"/>
        <v>56918</v>
      </c>
      <c r="E387" s="4">
        <f t="shared" si="91"/>
        <v>8.6845830082893372E-8</v>
      </c>
      <c r="F387" s="4">
        <f t="shared" si="92"/>
        <v>0</v>
      </c>
      <c r="G387" s="4">
        <f t="shared" si="93"/>
        <v>0</v>
      </c>
      <c r="H387" s="4">
        <f t="shared" si="94"/>
        <v>0</v>
      </c>
      <c r="I387" s="383"/>
    </row>
    <row r="388" spans="1:9" x14ac:dyDescent="0.3">
      <c r="A388" s="1">
        <v>363</v>
      </c>
      <c r="B388" s="3">
        <f t="shared" si="90"/>
        <v>49</v>
      </c>
      <c r="C388" s="13">
        <f t="shared" si="95"/>
        <v>56948</v>
      </c>
      <c r="E388" s="4">
        <f t="shared" si="91"/>
        <v>8.6845830082893372E-8</v>
      </c>
      <c r="F388" s="4">
        <f t="shared" si="92"/>
        <v>0</v>
      </c>
      <c r="G388" s="4">
        <f t="shared" si="93"/>
        <v>0</v>
      </c>
      <c r="H388" s="4">
        <f t="shared" si="94"/>
        <v>0</v>
      </c>
      <c r="I388" s="383"/>
    </row>
    <row r="389" spans="1:9" x14ac:dyDescent="0.3">
      <c r="A389" s="1">
        <v>364</v>
      </c>
      <c r="B389" s="3">
        <f t="shared" si="90"/>
        <v>53</v>
      </c>
      <c r="C389" s="13">
        <f t="shared" si="95"/>
        <v>56979</v>
      </c>
      <c r="E389" s="4">
        <f t="shared" si="91"/>
        <v>8.6845830082893372E-8</v>
      </c>
      <c r="F389" s="4">
        <f t="shared" si="92"/>
        <v>0</v>
      </c>
      <c r="G389" s="4">
        <f t="shared" si="93"/>
        <v>0</v>
      </c>
      <c r="H389" s="4">
        <f t="shared" si="94"/>
        <v>0</v>
      </c>
      <c r="I389" s="383"/>
    </row>
    <row r="390" spans="1:9" x14ac:dyDescent="0.3">
      <c r="A390" s="1">
        <v>365</v>
      </c>
      <c r="B390" s="3">
        <f t="shared" si="90"/>
        <v>6</v>
      </c>
      <c r="C390" s="13">
        <f t="shared" si="95"/>
        <v>57010</v>
      </c>
      <c r="E390" s="4">
        <f t="shared" si="91"/>
        <v>8.6845830082893372E-8</v>
      </c>
      <c r="F390" s="4">
        <f t="shared" si="92"/>
        <v>0</v>
      </c>
      <c r="G390" s="4">
        <f t="shared" si="93"/>
        <v>0</v>
      </c>
      <c r="H390" s="4">
        <f t="shared" si="94"/>
        <v>0</v>
      </c>
      <c r="I390" s="383"/>
    </row>
  </sheetData>
  <dataValidations count="1">
    <dataValidation type="list" allowBlank="1" showInputMessage="1" showErrorMessage="1" sqref="E3 Q4 N19:N20 Q6:Q7 AG4 AE19:AE20 AG6:AG7 AV4 AT19:AT20 AV6:AV7 BK4 BI19:BI20 BK6:BK7 BZ4 BX19:BX20 BZ6:BZ7 GL6:GL7 CY4 CW19:CW20 CY6:CY7 DH4 DF19:DF20 DH6:DH7 DQ4 DO19:DO20 DQ6:DQ7 DZ4 DX19:DX20 DZ6:DZ7 EG19:EG20 EI4 EI6:EI7 ES4 EQ19:EQ20 ES6:ES7 GJ19:GJ20 EZ19:EZ20 GC4 FB4 FI19:FI20 FB6:FB7 FK4 FR19:FR20 FK6:FK7 FT4 GA19:GA20 FT6:FT7 GC6:GC7 GL4 CP4 CN19:CN20 CP6:CP7" xr:uid="{1BE4EFBA-CFA1-4BB8-973B-36BF8D0B633E}"/>
  </dataValidations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8E34-D363-4E41-B49F-983243EE8110}">
  <dimension ref="A1:GA136"/>
  <sheetViews>
    <sheetView workbookViewId="0">
      <pane xSplit="1" ySplit="2" topLeftCell="N109" activePane="bottomRight" state="frozen"/>
      <selection pane="topRight" activeCell="B1" sqref="B1"/>
      <selection pane="bottomLeft" activeCell="A3" sqref="A3"/>
      <selection pane="bottomRight" activeCell="CP115" sqref="CP115"/>
    </sheetView>
  </sheetViews>
  <sheetFormatPr baseColWidth="10" defaultColWidth="11.5546875" defaultRowHeight="13.8" outlineLevelCol="1" x14ac:dyDescent="0.25"/>
  <cols>
    <col min="1" max="1" width="33.21875" style="228" bestFit="1" customWidth="1"/>
    <col min="2" max="13" width="19.109375" style="215" hidden="1" customWidth="1" outlineLevel="1"/>
    <col min="14" max="14" width="19.109375" style="215" bestFit="1" customWidth="1" collapsed="1"/>
    <col min="15" max="26" width="19.109375" style="215" hidden="1" customWidth="1" outlineLevel="1"/>
    <col min="27" max="27" width="19.109375" style="215" bestFit="1" customWidth="1" collapsed="1"/>
    <col min="28" max="39" width="19.109375" style="215" hidden="1" customWidth="1" outlineLevel="1"/>
    <col min="40" max="40" width="19.109375" style="215" bestFit="1" customWidth="1" collapsed="1"/>
    <col min="41" max="52" width="19.109375" style="215" hidden="1" customWidth="1" outlineLevel="1"/>
    <col min="53" max="53" width="19.109375" style="215" bestFit="1" customWidth="1" collapsed="1"/>
    <col min="54" max="65" width="19.109375" style="215" hidden="1" customWidth="1" outlineLevel="1"/>
    <col min="66" max="66" width="19.109375" style="215" bestFit="1" customWidth="1" collapsed="1"/>
    <col min="67" max="78" width="19.109375" style="215" hidden="1" customWidth="1" outlineLevel="1"/>
    <col min="79" max="79" width="19.109375" style="215" bestFit="1" customWidth="1" collapsed="1"/>
    <col min="80" max="91" width="19.109375" style="215" hidden="1" customWidth="1" outlineLevel="1"/>
    <col min="92" max="92" width="19.109375" style="215" bestFit="1" customWidth="1" collapsed="1"/>
    <col min="93" max="104" width="19.109375" style="215" hidden="1" customWidth="1" outlineLevel="1"/>
    <col min="105" max="105" width="19.109375" style="215" bestFit="1" customWidth="1" collapsed="1"/>
    <col min="106" max="117" width="19.109375" style="215" hidden="1" customWidth="1" outlineLevel="1"/>
    <col min="118" max="118" width="19.109375" style="215" bestFit="1" customWidth="1" collapsed="1"/>
    <col min="119" max="130" width="19.109375" style="215" hidden="1" customWidth="1" outlineLevel="1"/>
    <col min="131" max="131" width="19.109375" style="215" bestFit="1" customWidth="1" collapsed="1"/>
    <col min="132" max="143" width="17.21875" style="215" hidden="1" customWidth="1" outlineLevel="1"/>
    <col min="144" max="144" width="17.21875" style="215" bestFit="1" customWidth="1" collapsed="1"/>
    <col min="145" max="16384" width="11.5546875" style="215"/>
  </cols>
  <sheetData>
    <row r="1" spans="1:183" s="230" customFormat="1" x14ac:dyDescent="0.25">
      <c r="B1" s="285">
        <v>43951</v>
      </c>
      <c r="C1" s="285">
        <v>43982</v>
      </c>
      <c r="D1" s="285">
        <v>44012</v>
      </c>
      <c r="E1" s="285">
        <v>44043</v>
      </c>
      <c r="F1" s="285">
        <v>44074</v>
      </c>
      <c r="G1" s="285">
        <v>44104</v>
      </c>
      <c r="H1" s="285">
        <v>44135</v>
      </c>
      <c r="I1" s="285">
        <v>44165</v>
      </c>
      <c r="J1" s="285">
        <v>44196</v>
      </c>
      <c r="K1" s="285">
        <v>44227</v>
      </c>
      <c r="L1" s="285">
        <v>44255</v>
      </c>
      <c r="M1" s="285">
        <v>44286</v>
      </c>
      <c r="N1" s="226">
        <v>2020</v>
      </c>
      <c r="O1" s="285">
        <f t="shared" ref="O1:Z1" si="0">+EOMONTH(B1,12)</f>
        <v>44316</v>
      </c>
      <c r="P1" s="285">
        <f t="shared" si="0"/>
        <v>44347</v>
      </c>
      <c r="Q1" s="285">
        <f t="shared" si="0"/>
        <v>44377</v>
      </c>
      <c r="R1" s="285">
        <f t="shared" si="0"/>
        <v>44408</v>
      </c>
      <c r="S1" s="285">
        <f t="shared" si="0"/>
        <v>44439</v>
      </c>
      <c r="T1" s="285">
        <f t="shared" si="0"/>
        <v>44469</v>
      </c>
      <c r="U1" s="285">
        <f t="shared" si="0"/>
        <v>44500</v>
      </c>
      <c r="V1" s="285">
        <f t="shared" si="0"/>
        <v>44530</v>
      </c>
      <c r="W1" s="285">
        <f t="shared" si="0"/>
        <v>44561</v>
      </c>
      <c r="X1" s="285">
        <f t="shared" si="0"/>
        <v>44592</v>
      </c>
      <c r="Y1" s="285">
        <f t="shared" si="0"/>
        <v>44620</v>
      </c>
      <c r="Z1" s="285">
        <f t="shared" si="0"/>
        <v>44651</v>
      </c>
      <c r="AA1" s="226">
        <f>+N1+1</f>
        <v>2021</v>
      </c>
      <c r="AB1" s="285">
        <f>+EOMONTH(O1,12)</f>
        <v>44681</v>
      </c>
      <c r="AC1" s="285">
        <f t="shared" ref="AC1:AM1" si="1">+EOMONTH(P1,12)</f>
        <v>44712</v>
      </c>
      <c r="AD1" s="285">
        <f t="shared" si="1"/>
        <v>44742</v>
      </c>
      <c r="AE1" s="285">
        <f t="shared" si="1"/>
        <v>44773</v>
      </c>
      <c r="AF1" s="285">
        <f t="shared" si="1"/>
        <v>44804</v>
      </c>
      <c r="AG1" s="285">
        <f t="shared" si="1"/>
        <v>44834</v>
      </c>
      <c r="AH1" s="285">
        <f t="shared" si="1"/>
        <v>44865</v>
      </c>
      <c r="AI1" s="285">
        <f t="shared" si="1"/>
        <v>44895</v>
      </c>
      <c r="AJ1" s="285">
        <f t="shared" si="1"/>
        <v>44926</v>
      </c>
      <c r="AK1" s="285">
        <f t="shared" si="1"/>
        <v>44957</v>
      </c>
      <c r="AL1" s="285">
        <f t="shared" si="1"/>
        <v>44985</v>
      </c>
      <c r="AM1" s="285">
        <f t="shared" si="1"/>
        <v>45016</v>
      </c>
      <c r="AN1" s="226">
        <f>+AA1+1</f>
        <v>2022</v>
      </c>
      <c r="AO1" s="285">
        <f t="shared" ref="AO1:AZ1" si="2">+EOMONTH(AB1,12)</f>
        <v>45046</v>
      </c>
      <c r="AP1" s="285">
        <f t="shared" si="2"/>
        <v>45077</v>
      </c>
      <c r="AQ1" s="285">
        <f t="shared" si="2"/>
        <v>45107</v>
      </c>
      <c r="AR1" s="285">
        <f t="shared" si="2"/>
        <v>45138</v>
      </c>
      <c r="AS1" s="285">
        <f t="shared" si="2"/>
        <v>45169</v>
      </c>
      <c r="AT1" s="285">
        <f t="shared" si="2"/>
        <v>45199</v>
      </c>
      <c r="AU1" s="285">
        <f t="shared" si="2"/>
        <v>45230</v>
      </c>
      <c r="AV1" s="285">
        <f t="shared" si="2"/>
        <v>45260</v>
      </c>
      <c r="AW1" s="285">
        <f t="shared" si="2"/>
        <v>45291</v>
      </c>
      <c r="AX1" s="285">
        <f t="shared" si="2"/>
        <v>45322</v>
      </c>
      <c r="AY1" s="285">
        <f t="shared" si="2"/>
        <v>45351</v>
      </c>
      <c r="AZ1" s="285">
        <f t="shared" si="2"/>
        <v>45382</v>
      </c>
      <c r="BA1" s="226">
        <f>+AN1+1</f>
        <v>2023</v>
      </c>
      <c r="BB1" s="285">
        <f t="shared" ref="BB1:BM1" si="3">+EOMONTH(AO1,12)</f>
        <v>45412</v>
      </c>
      <c r="BC1" s="285">
        <f t="shared" si="3"/>
        <v>45443</v>
      </c>
      <c r="BD1" s="285">
        <f t="shared" si="3"/>
        <v>45473</v>
      </c>
      <c r="BE1" s="285">
        <f t="shared" si="3"/>
        <v>45504</v>
      </c>
      <c r="BF1" s="285">
        <f t="shared" si="3"/>
        <v>45535</v>
      </c>
      <c r="BG1" s="285">
        <f t="shared" si="3"/>
        <v>45565</v>
      </c>
      <c r="BH1" s="285">
        <f t="shared" si="3"/>
        <v>45596</v>
      </c>
      <c r="BI1" s="285">
        <f t="shared" si="3"/>
        <v>45626</v>
      </c>
      <c r="BJ1" s="285">
        <f t="shared" si="3"/>
        <v>45657</v>
      </c>
      <c r="BK1" s="285">
        <f t="shared" si="3"/>
        <v>45688</v>
      </c>
      <c r="BL1" s="285">
        <f t="shared" si="3"/>
        <v>45716</v>
      </c>
      <c r="BM1" s="285">
        <f t="shared" si="3"/>
        <v>45747</v>
      </c>
      <c r="BN1" s="226">
        <f>+BA1+1</f>
        <v>2024</v>
      </c>
      <c r="BO1" s="285">
        <f t="shared" ref="BO1:BZ1" si="4">+EOMONTH(BB1,12)</f>
        <v>45777</v>
      </c>
      <c r="BP1" s="285">
        <f t="shared" si="4"/>
        <v>45808</v>
      </c>
      <c r="BQ1" s="285">
        <f t="shared" si="4"/>
        <v>45838</v>
      </c>
      <c r="BR1" s="285">
        <f t="shared" si="4"/>
        <v>45869</v>
      </c>
      <c r="BS1" s="285">
        <f t="shared" si="4"/>
        <v>45900</v>
      </c>
      <c r="BT1" s="285">
        <f t="shared" si="4"/>
        <v>45930</v>
      </c>
      <c r="BU1" s="285">
        <f t="shared" si="4"/>
        <v>45961</v>
      </c>
      <c r="BV1" s="285">
        <f t="shared" si="4"/>
        <v>45991</v>
      </c>
      <c r="BW1" s="285">
        <f t="shared" si="4"/>
        <v>46022</v>
      </c>
      <c r="BX1" s="285">
        <f t="shared" si="4"/>
        <v>46053</v>
      </c>
      <c r="BY1" s="285">
        <f t="shared" si="4"/>
        <v>46081</v>
      </c>
      <c r="BZ1" s="285">
        <f t="shared" si="4"/>
        <v>46112</v>
      </c>
      <c r="CA1" s="226">
        <f>+BN1+1</f>
        <v>2025</v>
      </c>
      <c r="CB1" s="285">
        <f t="shared" ref="CB1:CM1" si="5">+EOMONTH(BO1,12)</f>
        <v>46142</v>
      </c>
      <c r="CC1" s="285">
        <f t="shared" si="5"/>
        <v>46173</v>
      </c>
      <c r="CD1" s="285">
        <f t="shared" si="5"/>
        <v>46203</v>
      </c>
      <c r="CE1" s="285">
        <f t="shared" si="5"/>
        <v>46234</v>
      </c>
      <c r="CF1" s="285">
        <f t="shared" si="5"/>
        <v>46265</v>
      </c>
      <c r="CG1" s="285">
        <f t="shared" si="5"/>
        <v>46295</v>
      </c>
      <c r="CH1" s="285">
        <f t="shared" si="5"/>
        <v>46326</v>
      </c>
      <c r="CI1" s="285">
        <f t="shared" si="5"/>
        <v>46356</v>
      </c>
      <c r="CJ1" s="285">
        <f t="shared" si="5"/>
        <v>46387</v>
      </c>
      <c r="CK1" s="285">
        <f t="shared" si="5"/>
        <v>46418</v>
      </c>
      <c r="CL1" s="285">
        <f t="shared" si="5"/>
        <v>46446</v>
      </c>
      <c r="CM1" s="285">
        <f t="shared" si="5"/>
        <v>46477</v>
      </c>
      <c r="CN1" s="226">
        <f>+CA1+1</f>
        <v>2026</v>
      </c>
      <c r="CO1" s="285">
        <f t="shared" ref="CO1:CZ1" si="6">+EOMONTH(CB1,12)</f>
        <v>46507</v>
      </c>
      <c r="CP1" s="285">
        <f t="shared" si="6"/>
        <v>46538</v>
      </c>
      <c r="CQ1" s="285">
        <f t="shared" si="6"/>
        <v>46568</v>
      </c>
      <c r="CR1" s="285">
        <f t="shared" si="6"/>
        <v>46599</v>
      </c>
      <c r="CS1" s="285">
        <f t="shared" si="6"/>
        <v>46630</v>
      </c>
      <c r="CT1" s="285">
        <f t="shared" si="6"/>
        <v>46660</v>
      </c>
      <c r="CU1" s="285">
        <f t="shared" si="6"/>
        <v>46691</v>
      </c>
      <c r="CV1" s="285">
        <f t="shared" si="6"/>
        <v>46721</v>
      </c>
      <c r="CW1" s="285">
        <f t="shared" si="6"/>
        <v>46752</v>
      </c>
      <c r="CX1" s="285">
        <f t="shared" si="6"/>
        <v>46783</v>
      </c>
      <c r="CY1" s="285">
        <f t="shared" si="6"/>
        <v>46812</v>
      </c>
      <c r="CZ1" s="285">
        <f t="shared" si="6"/>
        <v>46843</v>
      </c>
      <c r="DA1" s="226">
        <f>+CN1+1</f>
        <v>2027</v>
      </c>
      <c r="DB1" s="285">
        <f t="shared" ref="DB1:DM1" si="7">+EOMONTH(CO1,12)</f>
        <v>46873</v>
      </c>
      <c r="DC1" s="285">
        <f t="shared" si="7"/>
        <v>46904</v>
      </c>
      <c r="DD1" s="285">
        <f t="shared" si="7"/>
        <v>46934</v>
      </c>
      <c r="DE1" s="285">
        <f t="shared" si="7"/>
        <v>46965</v>
      </c>
      <c r="DF1" s="285">
        <f t="shared" si="7"/>
        <v>46996</v>
      </c>
      <c r="DG1" s="285">
        <f t="shared" si="7"/>
        <v>47026</v>
      </c>
      <c r="DH1" s="285">
        <f t="shared" si="7"/>
        <v>47057</v>
      </c>
      <c r="DI1" s="285">
        <f t="shared" si="7"/>
        <v>47087</v>
      </c>
      <c r="DJ1" s="285">
        <f t="shared" si="7"/>
        <v>47118</v>
      </c>
      <c r="DK1" s="285">
        <f t="shared" si="7"/>
        <v>47149</v>
      </c>
      <c r="DL1" s="285">
        <f t="shared" si="7"/>
        <v>47177</v>
      </c>
      <c r="DM1" s="285">
        <f t="shared" si="7"/>
        <v>47208</v>
      </c>
      <c r="DN1" s="226">
        <f>+DA1+1</f>
        <v>2028</v>
      </c>
      <c r="DO1" s="285">
        <f t="shared" ref="DO1:DZ1" si="8">+EOMONTH(DB1,12)</f>
        <v>47238</v>
      </c>
      <c r="DP1" s="285">
        <f t="shared" si="8"/>
        <v>47269</v>
      </c>
      <c r="DQ1" s="285">
        <f t="shared" si="8"/>
        <v>47299</v>
      </c>
      <c r="DR1" s="285">
        <f t="shared" si="8"/>
        <v>47330</v>
      </c>
      <c r="DS1" s="285">
        <f t="shared" si="8"/>
        <v>47361</v>
      </c>
      <c r="DT1" s="285">
        <f t="shared" si="8"/>
        <v>47391</v>
      </c>
      <c r="DU1" s="285">
        <f t="shared" si="8"/>
        <v>47422</v>
      </c>
      <c r="DV1" s="285">
        <f t="shared" si="8"/>
        <v>47452</v>
      </c>
      <c r="DW1" s="285">
        <f t="shared" si="8"/>
        <v>47483</v>
      </c>
      <c r="DX1" s="285">
        <f t="shared" si="8"/>
        <v>47514</v>
      </c>
      <c r="DY1" s="285">
        <f t="shared" si="8"/>
        <v>47542</v>
      </c>
      <c r="DZ1" s="285">
        <f t="shared" si="8"/>
        <v>47573</v>
      </c>
      <c r="EA1" s="226">
        <f>+DN1+1</f>
        <v>2029</v>
      </c>
      <c r="EB1" s="285">
        <f t="shared" ref="EB1:EM1" si="9">+EOMONTH(DO1,12)</f>
        <v>47603</v>
      </c>
      <c r="EC1" s="285">
        <f t="shared" si="9"/>
        <v>47634</v>
      </c>
      <c r="ED1" s="285">
        <f t="shared" si="9"/>
        <v>47664</v>
      </c>
      <c r="EE1" s="285">
        <f t="shared" si="9"/>
        <v>47695</v>
      </c>
      <c r="EF1" s="285">
        <f t="shared" si="9"/>
        <v>47726</v>
      </c>
      <c r="EG1" s="285">
        <f t="shared" si="9"/>
        <v>47756</v>
      </c>
      <c r="EH1" s="285">
        <f t="shared" si="9"/>
        <v>47787</v>
      </c>
      <c r="EI1" s="285">
        <f t="shared" si="9"/>
        <v>47817</v>
      </c>
      <c r="EJ1" s="285">
        <f t="shared" si="9"/>
        <v>47848</v>
      </c>
      <c r="EK1" s="285">
        <f t="shared" si="9"/>
        <v>47879</v>
      </c>
      <c r="EL1" s="285">
        <f t="shared" si="9"/>
        <v>47907</v>
      </c>
      <c r="EM1" s="285">
        <f t="shared" si="9"/>
        <v>47938</v>
      </c>
      <c r="EN1" s="226">
        <f>+EA1+1</f>
        <v>2030</v>
      </c>
      <c r="EO1" s="285"/>
      <c r="EP1" s="285"/>
      <c r="EQ1" s="285"/>
      <c r="ER1" s="285"/>
      <c r="ES1" s="285"/>
      <c r="ET1" s="285"/>
      <c r="EU1" s="285"/>
      <c r="EV1" s="285"/>
      <c r="EW1" s="285"/>
      <c r="EX1" s="285"/>
      <c r="EY1" s="285"/>
      <c r="EZ1" s="285"/>
      <c r="FA1" s="226"/>
      <c r="FB1" s="285"/>
      <c r="FC1" s="285"/>
      <c r="FD1" s="285"/>
      <c r="FE1" s="285"/>
      <c r="FF1" s="285"/>
      <c r="FG1" s="285"/>
      <c r="FH1" s="285"/>
      <c r="FI1" s="285"/>
      <c r="FJ1" s="285"/>
      <c r="FK1" s="285"/>
      <c r="FL1" s="285"/>
      <c r="FM1" s="285"/>
      <c r="FN1" s="226"/>
      <c r="FO1" s="285"/>
      <c r="FP1" s="285"/>
      <c r="FQ1" s="285"/>
      <c r="FR1" s="285"/>
      <c r="FS1" s="285"/>
      <c r="FT1" s="285"/>
      <c r="FU1" s="285"/>
      <c r="FV1" s="285"/>
      <c r="FW1" s="285"/>
      <c r="FX1" s="285"/>
      <c r="FY1" s="285"/>
      <c r="FZ1" s="285"/>
      <c r="GA1" s="226"/>
    </row>
    <row r="2" spans="1:183" ht="19.8" x14ac:dyDescent="0.3">
      <c r="A2" s="227" t="s">
        <v>34</v>
      </c>
      <c r="B2" s="232">
        <v>2021</v>
      </c>
      <c r="C2" s="232">
        <v>2021</v>
      </c>
      <c r="D2" s="232">
        <v>2021</v>
      </c>
      <c r="E2" s="232">
        <f t="shared" ref="E2:M2" si="10">+YEAR(B1)</f>
        <v>2020</v>
      </c>
      <c r="F2" s="232">
        <f t="shared" si="10"/>
        <v>2020</v>
      </c>
      <c r="G2" s="232">
        <f t="shared" si="10"/>
        <v>2020</v>
      </c>
      <c r="H2" s="232">
        <f t="shared" si="10"/>
        <v>2020</v>
      </c>
      <c r="I2" s="232">
        <f t="shared" si="10"/>
        <v>2020</v>
      </c>
      <c r="J2" s="232">
        <f t="shared" si="10"/>
        <v>2020</v>
      </c>
      <c r="K2" s="232">
        <f t="shared" si="10"/>
        <v>2020</v>
      </c>
      <c r="L2" s="232">
        <f t="shared" si="10"/>
        <v>2020</v>
      </c>
      <c r="M2" s="232">
        <f t="shared" si="10"/>
        <v>2020</v>
      </c>
      <c r="O2" s="232">
        <v>2021</v>
      </c>
      <c r="P2" s="232">
        <v>2021</v>
      </c>
      <c r="Q2" s="232">
        <v>2021</v>
      </c>
      <c r="R2" s="232">
        <f t="shared" ref="R2:Z2" si="11">+YEAR(O1)</f>
        <v>2021</v>
      </c>
      <c r="S2" s="232">
        <f t="shared" si="11"/>
        <v>2021</v>
      </c>
      <c r="T2" s="232">
        <f t="shared" si="11"/>
        <v>2021</v>
      </c>
      <c r="U2" s="232">
        <f t="shared" si="11"/>
        <v>2021</v>
      </c>
      <c r="V2" s="232">
        <f t="shared" si="11"/>
        <v>2021</v>
      </c>
      <c r="W2" s="232">
        <f t="shared" si="11"/>
        <v>2021</v>
      </c>
      <c r="X2" s="232">
        <f t="shared" si="11"/>
        <v>2021</v>
      </c>
      <c r="Y2" s="232">
        <f t="shared" si="11"/>
        <v>2021</v>
      </c>
      <c r="Z2" s="232">
        <f t="shared" si="11"/>
        <v>2021</v>
      </c>
      <c r="AB2" s="232">
        <f>+YEAR(X1)</f>
        <v>2022</v>
      </c>
      <c r="AC2" s="232">
        <f>+YEAR(Y1)</f>
        <v>2022</v>
      </c>
      <c r="AD2" s="232">
        <f>+YEAR(Z1)</f>
        <v>2022</v>
      </c>
      <c r="AE2" s="232">
        <f t="shared" ref="AE2:AM2" si="12">+YEAR(AB1)</f>
        <v>2022</v>
      </c>
      <c r="AF2" s="232">
        <f t="shared" si="12"/>
        <v>2022</v>
      </c>
      <c r="AG2" s="232">
        <f t="shared" si="12"/>
        <v>2022</v>
      </c>
      <c r="AH2" s="232">
        <f t="shared" si="12"/>
        <v>2022</v>
      </c>
      <c r="AI2" s="232">
        <f t="shared" si="12"/>
        <v>2022</v>
      </c>
      <c r="AJ2" s="232">
        <f t="shared" si="12"/>
        <v>2022</v>
      </c>
      <c r="AK2" s="232">
        <f t="shared" si="12"/>
        <v>2022</v>
      </c>
      <c r="AL2" s="232">
        <f t="shared" si="12"/>
        <v>2022</v>
      </c>
      <c r="AM2" s="232">
        <f t="shared" si="12"/>
        <v>2022</v>
      </c>
      <c r="AO2" s="232">
        <f>+YEAR(AK1)</f>
        <v>2023</v>
      </c>
      <c r="AP2" s="232">
        <f>+YEAR(AL1)</f>
        <v>2023</v>
      </c>
      <c r="AQ2" s="232">
        <f>+YEAR(AM1)</f>
        <v>2023</v>
      </c>
      <c r="AR2" s="232">
        <f t="shared" ref="AR2:AZ2" si="13">+YEAR(AO1)</f>
        <v>2023</v>
      </c>
      <c r="AS2" s="232">
        <f t="shared" si="13"/>
        <v>2023</v>
      </c>
      <c r="AT2" s="232">
        <f t="shared" si="13"/>
        <v>2023</v>
      </c>
      <c r="AU2" s="232">
        <f t="shared" si="13"/>
        <v>2023</v>
      </c>
      <c r="AV2" s="232">
        <f t="shared" si="13"/>
        <v>2023</v>
      </c>
      <c r="AW2" s="232">
        <f t="shared" si="13"/>
        <v>2023</v>
      </c>
      <c r="AX2" s="232">
        <f t="shared" si="13"/>
        <v>2023</v>
      </c>
      <c r="AY2" s="232">
        <f t="shared" si="13"/>
        <v>2023</v>
      </c>
      <c r="AZ2" s="232">
        <f t="shared" si="13"/>
        <v>2023</v>
      </c>
      <c r="BB2" s="232">
        <f>+YEAR(AX1)</f>
        <v>2024</v>
      </c>
      <c r="BC2" s="232">
        <f>+YEAR(AY1)</f>
        <v>2024</v>
      </c>
      <c r="BD2" s="232">
        <f>+YEAR(AZ1)</f>
        <v>2024</v>
      </c>
      <c r="BE2" s="232">
        <f t="shared" ref="BE2:BM2" si="14">+YEAR(BB1)</f>
        <v>2024</v>
      </c>
      <c r="BF2" s="232">
        <f t="shared" si="14"/>
        <v>2024</v>
      </c>
      <c r="BG2" s="232">
        <f t="shared" si="14"/>
        <v>2024</v>
      </c>
      <c r="BH2" s="232">
        <f t="shared" si="14"/>
        <v>2024</v>
      </c>
      <c r="BI2" s="232">
        <f t="shared" si="14"/>
        <v>2024</v>
      </c>
      <c r="BJ2" s="232">
        <f t="shared" si="14"/>
        <v>2024</v>
      </c>
      <c r="BK2" s="232">
        <f t="shared" si="14"/>
        <v>2024</v>
      </c>
      <c r="BL2" s="232">
        <f t="shared" si="14"/>
        <v>2024</v>
      </c>
      <c r="BM2" s="232">
        <f t="shared" si="14"/>
        <v>2024</v>
      </c>
      <c r="BO2" s="232">
        <f>+YEAR(BK1)</f>
        <v>2025</v>
      </c>
      <c r="BP2" s="232">
        <f>+YEAR(BL1)</f>
        <v>2025</v>
      </c>
      <c r="BQ2" s="232">
        <f>+YEAR(BM1)</f>
        <v>2025</v>
      </c>
      <c r="BR2" s="232">
        <f>+YEAR(BO1)</f>
        <v>2025</v>
      </c>
      <c r="BS2" s="232">
        <f t="shared" ref="BS2:BZ2" si="15">+YEAR(BP1)</f>
        <v>2025</v>
      </c>
      <c r="BT2" s="232">
        <f t="shared" si="15"/>
        <v>2025</v>
      </c>
      <c r="BU2" s="232">
        <f t="shared" si="15"/>
        <v>2025</v>
      </c>
      <c r="BV2" s="232">
        <f t="shared" si="15"/>
        <v>2025</v>
      </c>
      <c r="BW2" s="232">
        <f t="shared" si="15"/>
        <v>2025</v>
      </c>
      <c r="BX2" s="232">
        <f t="shared" si="15"/>
        <v>2025</v>
      </c>
      <c r="BY2" s="232">
        <f t="shared" si="15"/>
        <v>2025</v>
      </c>
      <c r="BZ2" s="232">
        <f t="shared" si="15"/>
        <v>2025</v>
      </c>
      <c r="CB2" s="232">
        <f>+YEAR(BX1)</f>
        <v>2026</v>
      </c>
      <c r="CC2" s="232">
        <f>+YEAR(BY1)</f>
        <v>2026</v>
      </c>
      <c r="CD2" s="232">
        <f>+YEAR(BZ1)</f>
        <v>2026</v>
      </c>
      <c r="CE2" s="232">
        <f t="shared" ref="CE2:CM2" si="16">+YEAR(CB1)</f>
        <v>2026</v>
      </c>
      <c r="CF2" s="232">
        <f t="shared" si="16"/>
        <v>2026</v>
      </c>
      <c r="CG2" s="232">
        <f t="shared" si="16"/>
        <v>2026</v>
      </c>
      <c r="CH2" s="232">
        <f t="shared" si="16"/>
        <v>2026</v>
      </c>
      <c r="CI2" s="232">
        <f t="shared" si="16"/>
        <v>2026</v>
      </c>
      <c r="CJ2" s="232">
        <f t="shared" si="16"/>
        <v>2026</v>
      </c>
      <c r="CK2" s="232">
        <f t="shared" si="16"/>
        <v>2026</v>
      </c>
      <c r="CL2" s="232">
        <f t="shared" si="16"/>
        <v>2026</v>
      </c>
      <c r="CM2" s="232">
        <f t="shared" si="16"/>
        <v>2026</v>
      </c>
      <c r="CO2" s="232">
        <f>+YEAR(CK1)</f>
        <v>2027</v>
      </c>
      <c r="CP2" s="232">
        <f>+YEAR(CL1)</f>
        <v>2027</v>
      </c>
      <c r="CQ2" s="232">
        <f>+YEAR(CM1)</f>
        <v>2027</v>
      </c>
      <c r="CR2" s="232">
        <f t="shared" ref="CR2:CZ2" si="17">+YEAR(CO1)</f>
        <v>2027</v>
      </c>
      <c r="CS2" s="232">
        <f t="shared" si="17"/>
        <v>2027</v>
      </c>
      <c r="CT2" s="232">
        <f t="shared" si="17"/>
        <v>2027</v>
      </c>
      <c r="CU2" s="232">
        <f t="shared" si="17"/>
        <v>2027</v>
      </c>
      <c r="CV2" s="232">
        <f t="shared" si="17"/>
        <v>2027</v>
      </c>
      <c r="CW2" s="232">
        <f t="shared" si="17"/>
        <v>2027</v>
      </c>
      <c r="CX2" s="232">
        <f t="shared" si="17"/>
        <v>2027</v>
      </c>
      <c r="CY2" s="232">
        <f t="shared" si="17"/>
        <v>2027</v>
      </c>
      <c r="CZ2" s="232">
        <f t="shared" si="17"/>
        <v>2027</v>
      </c>
      <c r="DB2" s="232">
        <f>+YEAR(CX1)</f>
        <v>2028</v>
      </c>
      <c r="DC2" s="232">
        <f>+YEAR(CY1)</f>
        <v>2028</v>
      </c>
      <c r="DD2" s="232">
        <f>+YEAR(CZ1)</f>
        <v>2028</v>
      </c>
      <c r="DE2" s="232">
        <f t="shared" ref="DE2:DM2" si="18">+YEAR(DB1)</f>
        <v>2028</v>
      </c>
      <c r="DF2" s="232">
        <f t="shared" si="18"/>
        <v>2028</v>
      </c>
      <c r="DG2" s="232">
        <f t="shared" si="18"/>
        <v>2028</v>
      </c>
      <c r="DH2" s="232">
        <f t="shared" si="18"/>
        <v>2028</v>
      </c>
      <c r="DI2" s="232">
        <f t="shared" si="18"/>
        <v>2028</v>
      </c>
      <c r="DJ2" s="232">
        <f t="shared" si="18"/>
        <v>2028</v>
      </c>
      <c r="DK2" s="232">
        <f t="shared" si="18"/>
        <v>2028</v>
      </c>
      <c r="DL2" s="232">
        <f t="shared" si="18"/>
        <v>2028</v>
      </c>
      <c r="DM2" s="232">
        <f t="shared" si="18"/>
        <v>2028</v>
      </c>
      <c r="DO2" s="232">
        <f>+YEAR(DK1)</f>
        <v>2029</v>
      </c>
      <c r="DP2" s="232">
        <f>+YEAR(DL1)</f>
        <v>2029</v>
      </c>
      <c r="DQ2" s="232">
        <f>+YEAR(DM1)</f>
        <v>2029</v>
      </c>
      <c r="DR2" s="232">
        <f t="shared" ref="DR2:DZ2" si="19">+YEAR(DO1)</f>
        <v>2029</v>
      </c>
      <c r="DS2" s="232">
        <f t="shared" si="19"/>
        <v>2029</v>
      </c>
      <c r="DT2" s="232">
        <f t="shared" si="19"/>
        <v>2029</v>
      </c>
      <c r="DU2" s="232">
        <f t="shared" si="19"/>
        <v>2029</v>
      </c>
      <c r="DV2" s="232">
        <f t="shared" si="19"/>
        <v>2029</v>
      </c>
      <c r="DW2" s="232">
        <f t="shared" si="19"/>
        <v>2029</v>
      </c>
      <c r="DX2" s="232">
        <f t="shared" si="19"/>
        <v>2029</v>
      </c>
      <c r="DY2" s="232">
        <f t="shared" si="19"/>
        <v>2029</v>
      </c>
      <c r="DZ2" s="232">
        <f t="shared" si="19"/>
        <v>2029</v>
      </c>
      <c r="EB2" s="232">
        <f>+YEAR(DX1)</f>
        <v>2030</v>
      </c>
      <c r="EC2" s="232">
        <f>+YEAR(DY1)</f>
        <v>2030</v>
      </c>
      <c r="ED2" s="232">
        <f>+YEAR(DZ1)</f>
        <v>2030</v>
      </c>
      <c r="EE2" s="232">
        <f t="shared" ref="EE2:EM2" si="20">+YEAR(EB1)</f>
        <v>2030</v>
      </c>
      <c r="EF2" s="232">
        <f t="shared" si="20"/>
        <v>2030</v>
      </c>
      <c r="EG2" s="232">
        <f t="shared" si="20"/>
        <v>2030</v>
      </c>
      <c r="EH2" s="232">
        <f t="shared" si="20"/>
        <v>2030</v>
      </c>
      <c r="EI2" s="232">
        <f t="shared" si="20"/>
        <v>2030</v>
      </c>
      <c r="EJ2" s="232">
        <f t="shared" si="20"/>
        <v>2030</v>
      </c>
      <c r="EK2" s="232">
        <f t="shared" si="20"/>
        <v>2030</v>
      </c>
      <c r="EL2" s="232">
        <f t="shared" si="20"/>
        <v>2030</v>
      </c>
      <c r="EM2" s="232">
        <f t="shared" si="20"/>
        <v>2030</v>
      </c>
    </row>
    <row r="3" spans="1:183" x14ac:dyDescent="0.25">
      <c r="A3" s="228" t="s">
        <v>35</v>
      </c>
    </row>
    <row r="4" spans="1:183" x14ac:dyDescent="0.25">
      <c r="A4" s="233"/>
    </row>
    <row r="5" spans="1:183" s="236" customFormat="1" x14ac:dyDescent="0.25">
      <c r="A5" s="234" t="s">
        <v>3</v>
      </c>
      <c r="B5" s="235">
        <f>+'EEFF base'!BB2</f>
        <v>6664112.6600000011</v>
      </c>
      <c r="C5" s="235">
        <f>+'EEFF base'!BC2</f>
        <v>19921230.020000007</v>
      </c>
      <c r="D5" s="235">
        <f>+'EEFF base'!BD2</f>
        <v>34544288.190000005</v>
      </c>
      <c r="E5" s="235">
        <f>+'EEFF base'!BE2</f>
        <v>27257020.650000006</v>
      </c>
      <c r="F5" s="235">
        <f>+'EEFF base'!BF2</f>
        <v>29492550.900000002</v>
      </c>
      <c r="G5" s="235">
        <f>+'EEFF base'!BG2</f>
        <v>44034351.13000004</v>
      </c>
      <c r="H5" s="235">
        <f>+'EEFF base'!BH2</f>
        <v>47652245.07000003</v>
      </c>
      <c r="I5" s="235">
        <f>+'EEFF base'!BI2</f>
        <v>38790648.829999983</v>
      </c>
      <c r="J5" s="235">
        <f>+'EEFF base'!BJ2</f>
        <v>41803436.919999965</v>
      </c>
      <c r="K5" s="235">
        <f>+'EEFF base'!BK2</f>
        <v>25947391.590000004</v>
      </c>
      <c r="L5" s="235">
        <f>+'EEFF base'!BL2</f>
        <v>30759529.390000012</v>
      </c>
      <c r="M5" s="235">
        <f>+'EEFF base'!BM2</f>
        <v>32568825.170000028</v>
      </c>
      <c r="N5" s="235">
        <f>+SUM(B5:M5)</f>
        <v>379435630.52000004</v>
      </c>
      <c r="O5" s="235">
        <f>+'EEFF base'!BO2</f>
        <v>36715743.199999981</v>
      </c>
      <c r="P5" s="235">
        <f>+'EEFF base'!BP2</f>
        <v>34420132.889999978</v>
      </c>
      <c r="Q5" s="235">
        <f>+'EEFF base'!BQ2</f>
        <v>28810020.780000016</v>
      </c>
      <c r="R5" s="235">
        <f>+'EEFF base'!BR2</f>
        <v>48438428.189999975</v>
      </c>
      <c r="S5" s="235">
        <f>+'EEFF base'!BS2</f>
        <v>21311558.480000004</v>
      </c>
      <c r="T5" s="235">
        <f>+'EEFF base'!BT2</f>
        <v>28156194.670000013</v>
      </c>
      <c r="U5" s="235">
        <f>+'EEFF base'!BU2</f>
        <v>26851933.330000013</v>
      </c>
      <c r="V5" s="235">
        <f>+'EEFF base'!BV2</f>
        <v>28979517.960000008</v>
      </c>
      <c r="W5" s="235">
        <f>+'EEFF base'!BW2</f>
        <v>24590297.589999992</v>
      </c>
      <c r="X5" s="235">
        <f>+'EEFF base'!BX2</f>
        <v>17845191.310000002</v>
      </c>
      <c r="Y5" s="235">
        <f>+'EEFF base'!BY2</f>
        <v>27885454.489999995</v>
      </c>
      <c r="Z5" s="235">
        <f>+'EEFF base'!BZ2</f>
        <v>28146513.449999996</v>
      </c>
      <c r="AA5" s="235">
        <f>+SUM(O5:Z5)</f>
        <v>352150986.33999997</v>
      </c>
      <c r="AB5" s="235">
        <f>+'EEFF base'!CB2</f>
        <v>33296493.399999995</v>
      </c>
      <c r="AC5" s="235">
        <f>+'EEFF base'!CC2</f>
        <v>27143425.57000003</v>
      </c>
      <c r="AD5" s="235">
        <f>+'EEFF base'!CD2</f>
        <v>26801770.579999994</v>
      </c>
      <c r="AE5" s="235">
        <f>+'EEFF base'!CE2</f>
        <v>33130220.829999976</v>
      </c>
      <c r="AF5" s="235">
        <f>+'EEFF base'!CF2</f>
        <v>40633231.509999976</v>
      </c>
      <c r="AG5" s="235">
        <f>+'EEFF base'!CG2</f>
        <v>34862424.859999985</v>
      </c>
      <c r="AH5" s="235">
        <f>+'EEFF base'!CH2</f>
        <v>39213250.199999966</v>
      </c>
      <c r="AI5" s="235">
        <f>+'EEFF base'!CI2</f>
        <v>39040759.199999981</v>
      </c>
      <c r="AJ5" s="235">
        <f>+'EEFF base'!CJ2</f>
        <v>45561564.069999978</v>
      </c>
      <c r="AK5" s="235">
        <f>+'EEFF base'!CK2</f>
        <v>25636546.149999995</v>
      </c>
      <c r="AL5" s="235">
        <f>+'EEFF base'!CL2</f>
        <v>28957889.349999998</v>
      </c>
      <c r="AM5" s="235">
        <f>+'EEFF base'!CM2</f>
        <v>43878384.819999978</v>
      </c>
      <c r="AN5" s="235">
        <f>+SUM(AB5:AM5)</f>
        <v>418155960.5399999</v>
      </c>
      <c r="AO5" s="235">
        <f>+'EEFF historicoss'!R5</f>
        <v>27830430.059999999</v>
      </c>
      <c r="AP5" s="235">
        <f>+'EEFF historicoss'!S5</f>
        <v>29395565.350000001</v>
      </c>
      <c r="AQ5" s="235">
        <f>+'EEFF historicoss'!T5</f>
        <v>32325750.850000001</v>
      </c>
      <c r="AR5" s="235">
        <f>+'EEFF historicoss'!U5</f>
        <v>33791663.299999997</v>
      </c>
      <c r="AS5" s="235">
        <f>+'EEFF historicoss'!V5</f>
        <v>37781578.539999999</v>
      </c>
      <c r="AT5" s="235">
        <f>+'EEFF historicoss'!W5</f>
        <v>33754569.810000002</v>
      </c>
      <c r="AU5" s="235">
        <f>+'EEFF historicoss'!X5</f>
        <v>42512451.609999999</v>
      </c>
      <c r="AV5" s="235">
        <f>+'EEFF historicoss'!Y5</f>
        <v>35905824.469999999</v>
      </c>
      <c r="AW5" s="235">
        <f>+'EEFF historicoss'!Z5</f>
        <v>35422531.700000003</v>
      </c>
      <c r="AX5" s="235">
        <f>+'EEFF historicoss'!AA5</f>
        <v>55428653.460000001</v>
      </c>
      <c r="AY5" s="235">
        <f>+'EEFF historicoss'!AB5</f>
        <v>26525657.09</v>
      </c>
      <c r="AZ5" s="235">
        <f>+'EEFF historicoss'!AC5</f>
        <v>47089941.869999997</v>
      </c>
      <c r="BA5" s="235">
        <f>+SUM(AO5:AZ5)</f>
        <v>437764618.10999995</v>
      </c>
      <c r="BB5" s="235">
        <f>+'EEFF historicoss'!AE5</f>
        <v>51738407.869999997</v>
      </c>
      <c r="BC5" s="235">
        <f>+'EEFF historicoss'!AF5</f>
        <v>31208457.460000001</v>
      </c>
      <c r="BD5" s="235">
        <f>+'EEFF historicoss'!AG5</f>
        <v>28752480.579999998</v>
      </c>
      <c r="BE5" s="235">
        <f>+'EEFF historicoss'!AH5</f>
        <v>27246878.329999998</v>
      </c>
      <c r="BF5" s="235">
        <f>+'EEFF historicoss'!AI5</f>
        <v>32330703.41</v>
      </c>
      <c r="BG5" s="235">
        <f>+'EEFF historicoss'!AJ5</f>
        <v>28854165.98</v>
      </c>
      <c r="BH5" s="235">
        <f>+'EEFF historicoss'!AK5</f>
        <v>27306657.91</v>
      </c>
      <c r="BI5" s="235">
        <f>+'EEFF historicoss'!AL5</f>
        <v>45750390.670000002</v>
      </c>
      <c r="BJ5" s="235">
        <f>+'EEFF historicoss'!AM5</f>
        <v>32770688.190000001</v>
      </c>
      <c r="BK5" s="235">
        <f>+'EEFF historicoss'!AN5</f>
        <v>45612167.270000003</v>
      </c>
      <c r="BL5" s="235">
        <f>+'EEFF historicoss'!AO5</f>
        <v>39629762.890000001</v>
      </c>
      <c r="BM5" s="235">
        <f>+'EEFF historicoss'!AP5</f>
        <v>40921415.979999997</v>
      </c>
      <c r="BN5" s="235">
        <f>+SUM(BB5:BM5)</f>
        <v>432122176.53999996</v>
      </c>
      <c r="BO5" s="235">
        <f>+'EEFF historicoss'!AR5</f>
        <v>36690257.549999997</v>
      </c>
      <c r="BP5" s="235">
        <f>+'EEFF historicoss'!AS5</f>
        <v>44235384.57</v>
      </c>
      <c r="BQ5" s="235">
        <f>+'EEFF historicoss'!AT5</f>
        <v>39029367.32</v>
      </c>
      <c r="BR5" s="235">
        <f>+'EEFF historicoss'!AU5</f>
        <v>54197570.82</v>
      </c>
      <c r="BS5" s="235">
        <f>+'EEFF historicoss'!AV5</f>
        <v>24291089.52</v>
      </c>
      <c r="BT5" s="235">
        <f>+'EEFF historicoss'!AW5</f>
        <v>51938199.030000001</v>
      </c>
      <c r="BU5" s="235">
        <f>+'Presupuesto 25'!I8</f>
        <v>41088119.92394229</v>
      </c>
      <c r="BV5" s="235">
        <f>+'Presupuesto 25'!J8</f>
        <v>46624189.872564062</v>
      </c>
      <c r="BW5" s="235">
        <f>+'Presupuesto 25'!K8</f>
        <v>42765093.587311655</v>
      </c>
      <c r="BX5" s="235">
        <f>+'Presupuesto 25'!L8</f>
        <v>47894714.216834202</v>
      </c>
      <c r="BY5" s="235">
        <f>+'Presupuesto 25'!M8</f>
        <v>38441987.177499451</v>
      </c>
      <c r="BZ5" s="235">
        <f>+'Presupuesto 25'!N8</f>
        <v>39172851.67033793</v>
      </c>
      <c r="CA5" s="235">
        <f>+SUM(BO5:BZ5)</f>
        <v>506368825.25848955</v>
      </c>
      <c r="CB5" s="235">
        <f>+VLOOKUP(CB2,Ventas!$A$2:$C$12,2,FALSE)/12</f>
        <v>55484326.730222218</v>
      </c>
      <c r="CC5" s="235">
        <f>+VLOOKUP(CC2,Ventas!$A$2:$C$12,2,FALSE)/12</f>
        <v>55484326.730222218</v>
      </c>
      <c r="CD5" s="235">
        <f>+VLOOKUP(CD2,Ventas!$A$2:$C$12,2,FALSE)/12</f>
        <v>55484326.730222218</v>
      </c>
      <c r="CE5" s="235">
        <f>+VLOOKUP(CE2,Ventas!$A$2:$C$12,2,FALSE)/12</f>
        <v>55484326.730222218</v>
      </c>
      <c r="CF5" s="235">
        <f>+VLOOKUP(CF2,Ventas!$A$2:$C$12,2,FALSE)/12</f>
        <v>55484326.730222218</v>
      </c>
      <c r="CG5" s="235">
        <f>+VLOOKUP(CG2,Ventas!$A$2:$C$12,2,FALSE)/12</f>
        <v>55484326.730222218</v>
      </c>
      <c r="CH5" s="235">
        <f>+VLOOKUP(CH2,Ventas!$A$2:$C$12,2,FALSE)/12</f>
        <v>55484326.730222218</v>
      </c>
      <c r="CI5" s="235">
        <f>+VLOOKUP(CI2,Ventas!$A$2:$C$12,2,FALSE)/12</f>
        <v>55484326.730222218</v>
      </c>
      <c r="CJ5" s="235">
        <f>+VLOOKUP(CJ2,Ventas!$A$2:$C$12,2,FALSE)/12</f>
        <v>55484326.730222218</v>
      </c>
      <c r="CK5" s="235">
        <f>+VLOOKUP(CK2,Ventas!$A$2:$C$12,2,FALSE)/12</f>
        <v>55484326.730222218</v>
      </c>
      <c r="CL5" s="235">
        <f>+VLOOKUP(CL2,Ventas!$A$2:$C$12,2,FALSE)/12</f>
        <v>55484326.730222218</v>
      </c>
      <c r="CM5" s="235">
        <f>+VLOOKUP(CM2,Ventas!$A$2:$C$12,2,FALSE)/12</f>
        <v>55484326.730222218</v>
      </c>
      <c r="CN5" s="235">
        <f t="shared" ref="CN5:CN11" si="21">+SUM(CB5:CM5)</f>
        <v>665811920.76266658</v>
      </c>
      <c r="CO5" s="235">
        <f>+VLOOKUP(CO2,Ventas!$A$2:$C$12,2,FALSE)/12</f>
        <v>55484326.730222218</v>
      </c>
      <c r="CP5" s="235">
        <f>+VLOOKUP(CP2,Ventas!$A$2:$C$12,2,FALSE)/12</f>
        <v>55484326.730222218</v>
      </c>
      <c r="CQ5" s="235">
        <f>+VLOOKUP(CQ2,Ventas!$A$2:$C$12,2,FALSE)/12</f>
        <v>55484326.730222218</v>
      </c>
      <c r="CR5" s="235">
        <f>+VLOOKUP(CR2,Ventas!$A$2:$C$12,2,FALSE)/12</f>
        <v>55484326.730222218</v>
      </c>
      <c r="CS5" s="235">
        <f>+VLOOKUP(CS2,Ventas!$A$2:$C$12,2,FALSE)/12</f>
        <v>55484326.730222218</v>
      </c>
      <c r="CT5" s="235">
        <f>+VLOOKUP(CT2,Ventas!$A$2:$C$12,2,FALSE)/12</f>
        <v>55484326.730222218</v>
      </c>
      <c r="CU5" s="235">
        <f>+VLOOKUP(CU2,Ventas!$A$2:$C$12,2,FALSE)/12</f>
        <v>55484326.730222218</v>
      </c>
      <c r="CV5" s="235">
        <f>+VLOOKUP(CV2,Ventas!$A$2:$C$12,2,FALSE)/12</f>
        <v>55484326.730222218</v>
      </c>
      <c r="CW5" s="235">
        <f>+VLOOKUP(CW2,Ventas!$A$2:$C$12,2,FALSE)/12</f>
        <v>55484326.730222218</v>
      </c>
      <c r="CX5" s="235">
        <f>+VLOOKUP(CX2,Ventas!$A$2:$C$12,2,FALSE)/12</f>
        <v>55484326.730222218</v>
      </c>
      <c r="CY5" s="235">
        <f>+VLOOKUP(CY2,Ventas!$A$2:$C$12,2,FALSE)/12</f>
        <v>55484326.730222218</v>
      </c>
      <c r="CZ5" s="235">
        <f>+VLOOKUP(CZ2,Ventas!$A$2:$C$12,2,FALSE)/12</f>
        <v>55484326.730222218</v>
      </c>
      <c r="DA5" s="235">
        <f t="shared" ref="DA5:DA11" si="22">+SUM(CO5:CZ5)</f>
        <v>665811920.76266658</v>
      </c>
      <c r="DB5" s="235">
        <f>+VLOOKUP(DB2,Ventas!$A$2:$C$12,2,FALSE)/12</f>
        <v>55484326.730222218</v>
      </c>
      <c r="DC5" s="235">
        <f>+VLOOKUP(DC2,Ventas!$A$2:$C$12,2,FALSE)/12</f>
        <v>55484326.730222218</v>
      </c>
      <c r="DD5" s="235">
        <f>+VLOOKUP(DD2,Ventas!$A$2:$C$12,2,FALSE)/12</f>
        <v>55484326.730222218</v>
      </c>
      <c r="DE5" s="235">
        <f>+VLOOKUP(DE2,Ventas!$A$2:$C$12,2,FALSE)/12</f>
        <v>55484326.730222218</v>
      </c>
      <c r="DF5" s="235">
        <f>+VLOOKUP(DF2,Ventas!$A$2:$C$12,2,FALSE)/12</f>
        <v>55484326.730222218</v>
      </c>
      <c r="DG5" s="235">
        <f>+VLOOKUP(DG2,Ventas!$A$2:$C$12,2,FALSE)/12</f>
        <v>55484326.730222218</v>
      </c>
      <c r="DH5" s="235">
        <f>+VLOOKUP(DH2,Ventas!$A$2:$C$12,2,FALSE)/12</f>
        <v>55484326.730222218</v>
      </c>
      <c r="DI5" s="235">
        <f>+VLOOKUP(DI2,Ventas!$A$2:$C$12,2,FALSE)/12</f>
        <v>55484326.730222218</v>
      </c>
      <c r="DJ5" s="235">
        <f>+VLOOKUP(DJ2,Ventas!$A$2:$C$12,2,FALSE)/12</f>
        <v>55484326.730222218</v>
      </c>
      <c r="DK5" s="235">
        <f>+VLOOKUP(DK2,Ventas!$A$2:$C$12,2,FALSE)/12</f>
        <v>55484326.730222218</v>
      </c>
      <c r="DL5" s="235">
        <f>+VLOOKUP(DL2,Ventas!$A$2:$C$12,2,FALSE)/12</f>
        <v>55484326.730222218</v>
      </c>
      <c r="DM5" s="235">
        <f>+VLOOKUP(DM2,Ventas!$A$2:$C$12,2,FALSE)/12</f>
        <v>55484326.730222218</v>
      </c>
      <c r="DN5" s="235">
        <f t="shared" ref="DN5:DN11" si="23">+SUM(DB5:DM5)</f>
        <v>665811920.76266658</v>
      </c>
      <c r="DO5" s="235">
        <f>+VLOOKUP(DO2,Ventas!$A$2:$C$12,2,FALSE)/12</f>
        <v>55484326.730222218</v>
      </c>
      <c r="DP5" s="235">
        <f>+VLOOKUP(DP2,Ventas!$A$2:$C$12,2,FALSE)/12</f>
        <v>55484326.730222218</v>
      </c>
      <c r="DQ5" s="235">
        <f>+VLOOKUP(DQ2,Ventas!$A$2:$C$12,2,FALSE)/12</f>
        <v>55484326.730222218</v>
      </c>
      <c r="DR5" s="235">
        <f>+VLOOKUP(DR2,Ventas!$A$2:$C$12,2,FALSE)/12</f>
        <v>55484326.730222218</v>
      </c>
      <c r="DS5" s="235">
        <f>+VLOOKUP(DS2,Ventas!$A$2:$C$12,2,FALSE)/12</f>
        <v>55484326.730222218</v>
      </c>
      <c r="DT5" s="235">
        <f>+VLOOKUP(DT2,Ventas!$A$2:$C$12,2,FALSE)/12</f>
        <v>55484326.730222218</v>
      </c>
      <c r="DU5" s="235">
        <f>+VLOOKUP(DU2,Ventas!$A$2:$C$12,2,FALSE)/12</f>
        <v>55484326.730222218</v>
      </c>
      <c r="DV5" s="235">
        <f>+VLOOKUP(DV2,Ventas!$A$2:$C$12,2,FALSE)/12</f>
        <v>55484326.730222218</v>
      </c>
      <c r="DW5" s="235">
        <f>+VLOOKUP(DW2,Ventas!$A$2:$C$12,2,FALSE)/12</f>
        <v>55484326.730222218</v>
      </c>
      <c r="DX5" s="235">
        <f>+VLOOKUP(DX2,Ventas!$A$2:$C$12,2,FALSE)/12</f>
        <v>55484326.730222218</v>
      </c>
      <c r="DY5" s="235">
        <f>+VLOOKUP(DY2,Ventas!$A$2:$C$12,2,FALSE)/12</f>
        <v>55484326.730222218</v>
      </c>
      <c r="DZ5" s="235">
        <f>+VLOOKUP(DZ2,Ventas!$A$2:$C$12,2,FALSE)/12</f>
        <v>55484326.730222218</v>
      </c>
      <c r="EA5" s="235">
        <f t="shared" ref="EA5:EA11" si="24">+SUM(DO5:DZ5)</f>
        <v>665811920.76266658</v>
      </c>
      <c r="EB5" s="235">
        <f>+VLOOKUP(EB2,Ventas!$A$2:$C$12,2,FALSE)/12</f>
        <v>55484326.730222218</v>
      </c>
      <c r="EC5" s="235">
        <f>+VLOOKUP(EC2,Ventas!$A$2:$C$12,2,FALSE)/12</f>
        <v>55484326.730222218</v>
      </c>
      <c r="ED5" s="235">
        <f>+VLOOKUP(ED2,Ventas!$A$2:$C$12,2,FALSE)/12</f>
        <v>55484326.730222218</v>
      </c>
      <c r="EE5" s="235">
        <f>+VLOOKUP(EE2,Ventas!$A$2:$C$12,2,FALSE)/12</f>
        <v>55484326.730222218</v>
      </c>
      <c r="EF5" s="235">
        <f>+VLOOKUP(EF2,Ventas!$A$2:$C$12,2,FALSE)/12</f>
        <v>55484326.730222218</v>
      </c>
      <c r="EG5" s="235">
        <f>+VLOOKUP(EG2,Ventas!$A$2:$C$12,2,FALSE)/12</f>
        <v>55484326.730222218</v>
      </c>
      <c r="EH5" s="235">
        <f>+VLOOKUP(EH2,Ventas!$A$2:$C$12,2,FALSE)/12</f>
        <v>55484326.730222218</v>
      </c>
      <c r="EI5" s="235">
        <f>+VLOOKUP(EI2,Ventas!$A$2:$C$12,2,FALSE)/12</f>
        <v>55484326.730222218</v>
      </c>
      <c r="EJ5" s="235">
        <f>+VLOOKUP(EJ2,Ventas!$A$2:$C$12,2,FALSE)/12</f>
        <v>55484326.730222218</v>
      </c>
      <c r="EK5" s="235">
        <f>+VLOOKUP(EK2,Ventas!$A$2:$C$12,2,FALSE)/12</f>
        <v>55484326.730222218</v>
      </c>
      <c r="EL5" s="235">
        <f>+VLOOKUP(EL2,Ventas!$A$2:$C$12,2,FALSE)/12</f>
        <v>55484326.730222218</v>
      </c>
      <c r="EM5" s="235">
        <f>+VLOOKUP(EM2,Ventas!$A$2:$C$12,2,FALSE)/12</f>
        <v>55484326.730222218</v>
      </c>
      <c r="EN5" s="235">
        <f t="shared" ref="EN5:EN11" si="25">+SUM(EB5:EM5)</f>
        <v>665811920.76266658</v>
      </c>
    </row>
    <row r="6" spans="1:183" s="236" customFormat="1" x14ac:dyDescent="0.25">
      <c r="A6" s="234" t="s">
        <v>7</v>
      </c>
      <c r="B6" s="235">
        <f>+'EEFF base'!BB5</f>
        <v>-3444837.55</v>
      </c>
      <c r="C6" s="235">
        <f>+'EEFF base'!BC5</f>
        <v>-26972886.640000004</v>
      </c>
      <c r="D6" s="235">
        <f>+'EEFF base'!BD5</f>
        <v>-25654074.140000001</v>
      </c>
      <c r="E6" s="235">
        <f>+'EEFF base'!BE5</f>
        <v>-20609235.31000001</v>
      </c>
      <c r="F6" s="235">
        <f>+'EEFF base'!BF5</f>
        <v>-24141780.239999987</v>
      </c>
      <c r="G6" s="235">
        <f>+'EEFF base'!BG5</f>
        <v>-30893015.149999999</v>
      </c>
      <c r="H6" s="235">
        <f>+'EEFF base'!BH5</f>
        <v>-25718305.479999997</v>
      </c>
      <c r="I6" s="235">
        <f>+'EEFF base'!BI5</f>
        <v>-28591610.619999994</v>
      </c>
      <c r="J6" s="235">
        <f>+'EEFF base'!BJ5</f>
        <v>-25504256.69000002</v>
      </c>
      <c r="K6" s="235">
        <f>+'EEFF base'!BK5</f>
        <v>-27564824.509999998</v>
      </c>
      <c r="L6" s="235">
        <f>+'EEFF base'!BL5</f>
        <v>-19826524.749999978</v>
      </c>
      <c r="M6" s="235">
        <f>+'EEFF base'!BM5</f>
        <v>-24025722.479999878</v>
      </c>
      <c r="N6" s="235">
        <f t="shared" ref="N6:N14" si="26">+SUM(B6:M6)</f>
        <v>-282947073.55999988</v>
      </c>
      <c r="O6" s="235">
        <f>+'EEFF base'!BO5</f>
        <v>-24855585.18</v>
      </c>
      <c r="P6" s="235">
        <f>+'EEFF base'!BP5</f>
        <v>-31411664.010000002</v>
      </c>
      <c r="Q6" s="235">
        <f>+'EEFF base'!BQ5</f>
        <v>-24265002.169999998</v>
      </c>
      <c r="R6" s="235">
        <f>+'EEFF base'!BR5</f>
        <v>-18015041.620000005</v>
      </c>
      <c r="S6" s="235">
        <f>+'EEFF base'!BS5</f>
        <v>-20166010.360000011</v>
      </c>
      <c r="T6" s="235">
        <f>+'EEFF base'!BT5</f>
        <v>-17008282.789999969</v>
      </c>
      <c r="U6" s="235">
        <f>+'EEFF base'!BU5</f>
        <v>-19508960.18999999</v>
      </c>
      <c r="V6" s="235">
        <f>+'EEFF base'!BV5</f>
        <v>-17366075.990000013</v>
      </c>
      <c r="W6" s="235">
        <f>+'EEFF base'!BW5</f>
        <v>-18723108.919999987</v>
      </c>
      <c r="X6" s="235">
        <f>+'EEFF base'!BX5</f>
        <v>-17335169.340000007</v>
      </c>
      <c r="Y6" s="235">
        <f>+'EEFF base'!BY5</f>
        <v>-21092757.369999982</v>
      </c>
      <c r="Z6" s="235">
        <f>+'EEFF base'!BZ5</f>
        <v>-20506452.290000044</v>
      </c>
      <c r="AA6" s="235">
        <f t="shared" ref="AA6:AA15" si="27">+SUM(O6:Z6)</f>
        <v>-250254110.23000002</v>
      </c>
      <c r="AB6" s="235">
        <f>+'EEFF base'!CB5</f>
        <v>-21812900.989999998</v>
      </c>
      <c r="AC6" s="235">
        <f>+'EEFF base'!CC5</f>
        <v>-25825361.879999999</v>
      </c>
      <c r="AD6" s="235">
        <f>+'EEFF base'!CD5</f>
        <v>-23122363.149999991</v>
      </c>
      <c r="AE6" s="235">
        <f>+'EEFF base'!CE5</f>
        <v>-22548912.140000008</v>
      </c>
      <c r="AF6" s="235">
        <f>+'EEFF base'!CF5</f>
        <v>-24808191.81000001</v>
      </c>
      <c r="AG6" s="235">
        <f>+'EEFF base'!CG5</f>
        <v>-26346447.489999972</v>
      </c>
      <c r="AH6" s="235">
        <f>+'EEFF base'!CH5</f>
        <v>-25834123.49000001</v>
      </c>
      <c r="AI6" s="235">
        <f>+'EEFF base'!CI5</f>
        <v>-27481272.009999987</v>
      </c>
      <c r="AJ6" s="235">
        <f>+'EEFF base'!CJ5</f>
        <v>-26375762.419999987</v>
      </c>
      <c r="AK6" s="235">
        <f>+'EEFF base'!CK5</f>
        <v>-29198709.159999967</v>
      </c>
      <c r="AL6" s="235">
        <f>+'EEFF base'!CL5</f>
        <v>-33771967.400000028</v>
      </c>
      <c r="AM6" s="235">
        <f>+'EEFF base'!CM5</f>
        <v>-26525773.160000041</v>
      </c>
      <c r="AN6" s="235">
        <f t="shared" ref="AN6:AN15" si="28">+SUM(AB6:AM6)</f>
        <v>-313651785.09999996</v>
      </c>
      <c r="AO6" s="235">
        <f>+'EEFF historicoss'!R8</f>
        <v>-25660843.129999999</v>
      </c>
      <c r="AP6" s="235">
        <f>+'EEFF historicoss'!S8</f>
        <v>-29103751.23</v>
      </c>
      <c r="AQ6" s="235">
        <f>+'EEFF historicoss'!T8</f>
        <v>-26896296.43</v>
      </c>
      <c r="AR6" s="235">
        <f>+'EEFF historicoss'!U8</f>
        <v>-22900457.280000001</v>
      </c>
      <c r="AS6" s="235">
        <f>+'EEFF historicoss'!V8</f>
        <v>-26070343.530000001</v>
      </c>
      <c r="AT6" s="235">
        <f>+'EEFF historicoss'!W8</f>
        <v>-23634219.859999999</v>
      </c>
      <c r="AU6" s="235">
        <f>+'EEFF historicoss'!X8</f>
        <v>-23940070.66</v>
      </c>
      <c r="AV6" s="235">
        <f>+'EEFF historicoss'!Y8</f>
        <v>-34966942.149999999</v>
      </c>
      <c r="AW6" s="235">
        <f>+'EEFF historicoss'!Z8</f>
        <v>-22027243.370000001</v>
      </c>
      <c r="AX6" s="235">
        <f>+'EEFF historicoss'!AA8</f>
        <v>-29163361.449999999</v>
      </c>
      <c r="AY6" s="235">
        <f>+'EEFF historicoss'!AB8</f>
        <v>-27521643.870000001</v>
      </c>
      <c r="AZ6" s="235">
        <f>+'EEFF historicoss'!AC8</f>
        <v>-35136626.670000002</v>
      </c>
      <c r="BA6" s="235">
        <f t="shared" ref="BA6:BA15" si="29">+SUM(AO6:AZ6)</f>
        <v>-327021799.63</v>
      </c>
      <c r="BB6" s="235">
        <f>+'EEFF historicoss'!AE8</f>
        <v>-33832217.420000002</v>
      </c>
      <c r="BC6" s="235">
        <f>+'EEFF historicoss'!AF8</f>
        <v>-31825420.550000001</v>
      </c>
      <c r="BD6" s="235">
        <f>+'EEFF historicoss'!AG8</f>
        <v>-28825967.93</v>
      </c>
      <c r="BE6" s="235">
        <f>+'EEFF historicoss'!AH8</f>
        <v>-30193661.010000002</v>
      </c>
      <c r="BF6" s="235">
        <f>+'EEFF historicoss'!AI8</f>
        <v>-27845660.010000002</v>
      </c>
      <c r="BG6" s="235">
        <f>+'EEFF historicoss'!AJ8</f>
        <v>-16075418.42</v>
      </c>
      <c r="BH6" s="235">
        <f>+'EEFF historicoss'!AK8</f>
        <v>-18501311.039999999</v>
      </c>
      <c r="BI6" s="235">
        <f>+'EEFF historicoss'!AL8</f>
        <v>-27622010.460000001</v>
      </c>
      <c r="BJ6" s="235">
        <f>+'EEFF historicoss'!AM8</f>
        <v>-28637596.780000001</v>
      </c>
      <c r="BK6" s="235">
        <f>+'EEFF historicoss'!AN8</f>
        <v>-27596156.079999998</v>
      </c>
      <c r="BL6" s="235">
        <f>+'EEFF historicoss'!AO8</f>
        <v>-33592476.380000003</v>
      </c>
      <c r="BM6" s="235">
        <f>+'EEFF historicoss'!AP8</f>
        <v>-40794323.18</v>
      </c>
      <c r="BN6" s="235">
        <f t="shared" ref="BN6:BN15" si="30">+SUM(BB6:BM6)</f>
        <v>-345342219.25999999</v>
      </c>
      <c r="BO6" s="235">
        <f>+'EEFF historicoss'!AR8</f>
        <v>-31039969.25</v>
      </c>
      <c r="BP6" s="235">
        <f>+'EEFF historicoss'!AS8</f>
        <v>-29106507.039999999</v>
      </c>
      <c r="BQ6" s="235">
        <f>+'EEFF historicoss'!AT8</f>
        <v>-26748165.920000002</v>
      </c>
      <c r="BR6" s="235">
        <f>+'EEFF historicoss'!AU8</f>
        <v>-28476868.149999999</v>
      </c>
      <c r="BS6" s="235">
        <f>+'EEFF historicoss'!AV8</f>
        <v>-19961082.350000001</v>
      </c>
      <c r="BT6" s="235">
        <f>+'EEFF historicoss'!AW8</f>
        <v>-22927242.530000001</v>
      </c>
      <c r="BU6" s="235">
        <f>+-'Presupuesto 25'!I27</f>
        <v>-33007291.18889787</v>
      </c>
      <c r="BV6" s="235">
        <f>+-'Presupuesto 25'!J27</f>
        <v>-37544303.569318257</v>
      </c>
      <c r="BW6" s="235">
        <f>+-'Presupuesto 25'!K27</f>
        <v>-33567863.882173635</v>
      </c>
      <c r="BX6" s="235">
        <f>+-'Presupuesto 25'!L27</f>
        <v>-39291651.341708571</v>
      </c>
      <c r="BY6" s="235">
        <f>+-'Presupuesto 25'!M27</f>
        <v>-30596436.970831834</v>
      </c>
      <c r="BZ6" s="235">
        <f>+-'Presupuesto 25'!N27</f>
        <v>-31910506.388234545</v>
      </c>
      <c r="CA6" s="235">
        <f t="shared" ref="CA6:CA15" si="31">+SUM(BO6:BZ6)</f>
        <v>-364177888.58116472</v>
      </c>
      <c r="CB6" s="235">
        <f>-+HLOOKUP(CB2,'Control y Supuestos'!$B$1:$M$16,6,FALSE)*'EEFF proyectados'!CB5</f>
        <v>-39904046.122201592</v>
      </c>
      <c r="CC6" s="235">
        <f>-+HLOOKUP(CC2,'Control y Supuestos'!$B$1:$M$16,6,FALSE)*'EEFF proyectados'!CC5</f>
        <v>-39904046.122201592</v>
      </c>
      <c r="CD6" s="235">
        <f>-+HLOOKUP(CD2,'Control y Supuestos'!$B$1:$M$16,6,FALSE)*'EEFF proyectados'!CD5</f>
        <v>-39904046.122201592</v>
      </c>
      <c r="CE6" s="235">
        <f>-+HLOOKUP(CE2,'Control y Supuestos'!$B$1:$M$16,6,FALSE)*'EEFF proyectados'!CE5</f>
        <v>-39904046.122201592</v>
      </c>
      <c r="CF6" s="235">
        <f>-+HLOOKUP(CF2,'Control y Supuestos'!$B$1:$M$16,6,FALSE)*'EEFF proyectados'!CF5</f>
        <v>-39904046.122201592</v>
      </c>
      <c r="CG6" s="235">
        <f>-+HLOOKUP(CG2,'Control y Supuestos'!$B$1:$M$16,6,FALSE)*'EEFF proyectados'!CG5</f>
        <v>-39904046.122201592</v>
      </c>
      <c r="CH6" s="235">
        <f>-+HLOOKUP(CH2,'Control y Supuestos'!$B$1:$M$16,6,FALSE)*'EEFF proyectados'!CH5</f>
        <v>-39904046.122201592</v>
      </c>
      <c r="CI6" s="235">
        <f>-+HLOOKUP(CI2,'Control y Supuestos'!$B$1:$M$16,6,FALSE)*'EEFF proyectados'!CI5</f>
        <v>-39904046.122201592</v>
      </c>
      <c r="CJ6" s="235">
        <f>-+HLOOKUP(CJ2,'Control y Supuestos'!$B$1:$M$16,6,FALSE)*'EEFF proyectados'!CJ5</f>
        <v>-39904046.122201592</v>
      </c>
      <c r="CK6" s="235">
        <f>-+HLOOKUP(CK2,'Control y Supuestos'!$B$1:$M$16,6,FALSE)*'EEFF proyectados'!CK5</f>
        <v>-39904046.122201592</v>
      </c>
      <c r="CL6" s="235">
        <f>-+HLOOKUP(CL2,'Control y Supuestos'!$B$1:$M$16,6,FALSE)*'EEFF proyectados'!CL5</f>
        <v>-39904046.122201592</v>
      </c>
      <c r="CM6" s="235">
        <f>-+HLOOKUP(CM2,'Control y Supuestos'!$B$1:$M$16,6,FALSE)*'EEFF proyectados'!CM5</f>
        <v>-39904046.122201592</v>
      </c>
      <c r="CN6" s="235">
        <f t="shared" si="21"/>
        <v>-478848553.46641898</v>
      </c>
      <c r="CO6" s="235">
        <f>-+HLOOKUP(CO2,'Control y Supuestos'!$B$1:$M$16,6,FALSE)*'EEFF proyectados'!CO5</f>
        <v>-39904046.122201592</v>
      </c>
      <c r="CP6" s="235">
        <f>-+HLOOKUP(CP2,'Control y Supuestos'!$B$1:$M$16,6,FALSE)*'EEFF proyectados'!CP5</f>
        <v>-39904046.122201592</v>
      </c>
      <c r="CQ6" s="235">
        <f>-+HLOOKUP(CQ2,'Control y Supuestos'!$B$1:$M$16,6,FALSE)*'EEFF proyectados'!CQ5</f>
        <v>-39904046.122201592</v>
      </c>
      <c r="CR6" s="235">
        <f>-+HLOOKUP(CR2,'Control y Supuestos'!$B$1:$M$16,6,FALSE)*'EEFF proyectados'!CR5</f>
        <v>-39904046.122201592</v>
      </c>
      <c r="CS6" s="235">
        <f>-+HLOOKUP(CS2,'Control y Supuestos'!$B$1:$M$16,6,FALSE)*'EEFF proyectados'!CS5</f>
        <v>-39904046.122201592</v>
      </c>
      <c r="CT6" s="235">
        <f>-+HLOOKUP(CT2,'Control y Supuestos'!$B$1:$M$16,6,FALSE)*'EEFF proyectados'!CT5</f>
        <v>-39904046.122201592</v>
      </c>
      <c r="CU6" s="235">
        <f>-+HLOOKUP(CU2,'Control y Supuestos'!$B$1:$M$16,6,FALSE)*'EEFF proyectados'!CU5</f>
        <v>-39904046.122201592</v>
      </c>
      <c r="CV6" s="235">
        <f>-+HLOOKUP(CV2,'Control y Supuestos'!$B$1:$M$16,6,FALSE)*'EEFF proyectados'!CV5</f>
        <v>-39904046.122201592</v>
      </c>
      <c r="CW6" s="235">
        <f>-+HLOOKUP(CW2,'Control y Supuestos'!$B$1:$M$16,6,FALSE)*'EEFF proyectados'!CW5</f>
        <v>-39904046.122201592</v>
      </c>
      <c r="CX6" s="235">
        <f>-+HLOOKUP(CX2,'Control y Supuestos'!$B$1:$M$16,6,FALSE)*'EEFF proyectados'!CX5</f>
        <v>-39904046.122201592</v>
      </c>
      <c r="CY6" s="235">
        <f>-+HLOOKUP(CY2,'Control y Supuestos'!$B$1:$M$16,6,FALSE)*'EEFF proyectados'!CY5</f>
        <v>-39904046.122201592</v>
      </c>
      <c r="CZ6" s="235">
        <f>-+HLOOKUP(CZ2,'Control y Supuestos'!$B$1:$M$16,6,FALSE)*'EEFF proyectados'!CZ5</f>
        <v>-39904046.122201592</v>
      </c>
      <c r="DA6" s="235">
        <f t="shared" si="22"/>
        <v>-478848553.46641898</v>
      </c>
      <c r="DB6" s="235">
        <f>-+HLOOKUP(DB2,'Control y Supuestos'!$B$1:$M$16,6,FALSE)*'EEFF proyectados'!DB5</f>
        <v>-39904046.122201592</v>
      </c>
      <c r="DC6" s="235">
        <f>-+HLOOKUP(DC2,'Control y Supuestos'!$B$1:$M$16,6,FALSE)*'EEFF proyectados'!DC5</f>
        <v>-39904046.122201592</v>
      </c>
      <c r="DD6" s="235">
        <f>-+HLOOKUP(DD2,'Control y Supuestos'!$B$1:$M$16,6,FALSE)*'EEFF proyectados'!DD5</f>
        <v>-39904046.122201592</v>
      </c>
      <c r="DE6" s="235">
        <f>-+HLOOKUP(DE2,'Control y Supuestos'!$B$1:$M$16,6,FALSE)*'EEFF proyectados'!DE5</f>
        <v>-39904046.122201592</v>
      </c>
      <c r="DF6" s="235">
        <f>-+HLOOKUP(DF2,'Control y Supuestos'!$B$1:$M$16,6,FALSE)*'EEFF proyectados'!DF5</f>
        <v>-39904046.122201592</v>
      </c>
      <c r="DG6" s="235">
        <f>-+HLOOKUP(DG2,'Control y Supuestos'!$B$1:$M$16,6,FALSE)*'EEFF proyectados'!DG5</f>
        <v>-39904046.122201592</v>
      </c>
      <c r="DH6" s="235">
        <f>-+HLOOKUP(DH2,'Control y Supuestos'!$B$1:$M$16,6,FALSE)*'EEFF proyectados'!DH5</f>
        <v>-39904046.122201592</v>
      </c>
      <c r="DI6" s="235">
        <f>-+HLOOKUP(DI2,'Control y Supuestos'!$B$1:$M$16,6,FALSE)*'EEFF proyectados'!DI5</f>
        <v>-39904046.122201592</v>
      </c>
      <c r="DJ6" s="235">
        <f>-+HLOOKUP(DJ2,'Control y Supuestos'!$B$1:$M$16,6,FALSE)*'EEFF proyectados'!DJ5</f>
        <v>-39904046.122201592</v>
      </c>
      <c r="DK6" s="235">
        <f>-+HLOOKUP(DK2,'Control y Supuestos'!$B$1:$M$16,6,FALSE)*'EEFF proyectados'!DK5</f>
        <v>-39904046.122201592</v>
      </c>
      <c r="DL6" s="235">
        <f>-+HLOOKUP(DL2,'Control y Supuestos'!$B$1:$M$16,6,FALSE)*'EEFF proyectados'!DL5</f>
        <v>-39904046.122201592</v>
      </c>
      <c r="DM6" s="235">
        <f>-+HLOOKUP(DM2,'Control y Supuestos'!$B$1:$M$16,6,FALSE)*'EEFF proyectados'!DM5</f>
        <v>-39904046.122201592</v>
      </c>
      <c r="DN6" s="235">
        <f t="shared" si="23"/>
        <v>-478848553.46641898</v>
      </c>
      <c r="DO6" s="235">
        <f>-+HLOOKUP(DO2,'Control y Supuestos'!$B$1:$M$16,6,FALSE)*'EEFF proyectados'!DO5</f>
        <v>-39904046.122201592</v>
      </c>
      <c r="DP6" s="235">
        <f>-+HLOOKUP(DP2,'Control y Supuestos'!$B$1:$M$16,6,FALSE)*'EEFF proyectados'!DP5</f>
        <v>-39904046.122201592</v>
      </c>
      <c r="DQ6" s="235">
        <f>-+HLOOKUP(DQ2,'Control y Supuestos'!$B$1:$M$16,6,FALSE)*'EEFF proyectados'!DQ5</f>
        <v>-39904046.122201592</v>
      </c>
      <c r="DR6" s="235">
        <f>-+HLOOKUP(DR2,'Control y Supuestos'!$B$1:$M$16,6,FALSE)*'EEFF proyectados'!DR5</f>
        <v>-39904046.122201592</v>
      </c>
      <c r="DS6" s="235">
        <f>-+HLOOKUP(DS2,'Control y Supuestos'!$B$1:$M$16,6,FALSE)*'EEFF proyectados'!DS5</f>
        <v>-39904046.122201592</v>
      </c>
      <c r="DT6" s="235">
        <f>-+HLOOKUP(DT2,'Control y Supuestos'!$B$1:$M$16,6,FALSE)*'EEFF proyectados'!DT5</f>
        <v>-39904046.122201592</v>
      </c>
      <c r="DU6" s="235">
        <f>-+HLOOKUP(DU2,'Control y Supuestos'!$B$1:$M$16,6,FALSE)*'EEFF proyectados'!DU5</f>
        <v>-39904046.122201592</v>
      </c>
      <c r="DV6" s="235">
        <f>-+HLOOKUP(DV2,'Control y Supuestos'!$B$1:$M$16,6,FALSE)*'EEFF proyectados'!DV5</f>
        <v>-39904046.122201592</v>
      </c>
      <c r="DW6" s="235">
        <f>-+HLOOKUP(DW2,'Control y Supuestos'!$B$1:$M$16,6,FALSE)*'EEFF proyectados'!DW5</f>
        <v>-39904046.122201592</v>
      </c>
      <c r="DX6" s="235">
        <f>-+HLOOKUP(DX2,'Control y Supuestos'!$B$1:$M$16,6,FALSE)*'EEFF proyectados'!DX5</f>
        <v>-39904046.122201592</v>
      </c>
      <c r="DY6" s="235">
        <f>-+HLOOKUP(DY2,'Control y Supuestos'!$B$1:$M$16,6,FALSE)*'EEFF proyectados'!DY5</f>
        <v>-39904046.122201592</v>
      </c>
      <c r="DZ6" s="235">
        <f>-+HLOOKUP(DZ2,'Control y Supuestos'!$B$1:$M$16,6,FALSE)*'EEFF proyectados'!DZ5</f>
        <v>-39904046.122201592</v>
      </c>
      <c r="EA6" s="235">
        <f t="shared" si="24"/>
        <v>-478848553.46641898</v>
      </c>
      <c r="EB6" s="235">
        <f>-+HLOOKUP(EB2,'Control y Supuestos'!$B$1:$M$16,6,FALSE)*'EEFF proyectados'!EB5</f>
        <v>-39904046.122201592</v>
      </c>
      <c r="EC6" s="235">
        <f>-+HLOOKUP(EC2,'Control y Supuestos'!$B$1:$M$16,6,FALSE)*'EEFF proyectados'!EC5</f>
        <v>-39904046.122201592</v>
      </c>
      <c r="ED6" s="235">
        <f>-+HLOOKUP(ED2,'Control y Supuestos'!$B$1:$M$16,6,FALSE)*'EEFF proyectados'!ED5</f>
        <v>-39904046.122201592</v>
      </c>
      <c r="EE6" s="235">
        <f>-+HLOOKUP(EE2,'Control y Supuestos'!$B$1:$M$16,6,FALSE)*'EEFF proyectados'!EE5</f>
        <v>-39904046.122201592</v>
      </c>
      <c r="EF6" s="235">
        <f>-+HLOOKUP(EF2,'Control y Supuestos'!$B$1:$M$16,6,FALSE)*'EEFF proyectados'!EF5</f>
        <v>-39904046.122201592</v>
      </c>
      <c r="EG6" s="235">
        <f>-+HLOOKUP(EG2,'Control y Supuestos'!$B$1:$M$16,6,FALSE)*'EEFF proyectados'!EG5</f>
        <v>-39904046.122201592</v>
      </c>
      <c r="EH6" s="235">
        <f>-+HLOOKUP(EH2,'Control y Supuestos'!$B$1:$M$16,6,FALSE)*'EEFF proyectados'!EH5</f>
        <v>-39904046.122201592</v>
      </c>
      <c r="EI6" s="235">
        <f>-+HLOOKUP(EI2,'Control y Supuestos'!$B$1:$M$16,6,FALSE)*'EEFF proyectados'!EI5</f>
        <v>-39904046.122201592</v>
      </c>
      <c r="EJ6" s="235">
        <f>-+HLOOKUP(EJ2,'Control y Supuestos'!$B$1:$M$16,6,FALSE)*'EEFF proyectados'!EJ5</f>
        <v>-39904046.122201592</v>
      </c>
      <c r="EK6" s="235">
        <f>-+HLOOKUP(EK2,'Control y Supuestos'!$B$1:$M$16,6,FALSE)*'EEFF proyectados'!EK5</f>
        <v>-39904046.122201592</v>
      </c>
      <c r="EL6" s="235">
        <f>-+HLOOKUP(EL2,'Control y Supuestos'!$B$1:$M$16,6,FALSE)*'EEFF proyectados'!EL5</f>
        <v>-39904046.122201592</v>
      </c>
      <c r="EM6" s="235">
        <f>-+HLOOKUP(EM2,'Control y Supuestos'!$B$1:$M$16,6,FALSE)*'EEFF proyectados'!EM5</f>
        <v>-39904046.122201592</v>
      </c>
      <c r="EN6" s="235">
        <f t="shared" si="25"/>
        <v>-478848553.46641898</v>
      </c>
    </row>
    <row r="7" spans="1:183" s="236" customFormat="1" x14ac:dyDescent="0.25">
      <c r="A7" s="237" t="s">
        <v>22</v>
      </c>
      <c r="B7" s="238">
        <f>+SUM(B5:B6)</f>
        <v>3219275.1100000013</v>
      </c>
      <c r="C7" s="238">
        <f t="shared" ref="C7:M7" si="32">+SUM(C5:C6)</f>
        <v>-7051656.6199999973</v>
      </c>
      <c r="D7" s="238">
        <f t="shared" si="32"/>
        <v>8890214.0500000045</v>
      </c>
      <c r="E7" s="238">
        <f t="shared" si="32"/>
        <v>6647785.3399999961</v>
      </c>
      <c r="F7" s="238">
        <f t="shared" si="32"/>
        <v>5350770.6600000151</v>
      </c>
      <c r="G7" s="238">
        <f t="shared" si="32"/>
        <v>13141335.980000041</v>
      </c>
      <c r="H7" s="238">
        <f t="shared" si="32"/>
        <v>21933939.590000033</v>
      </c>
      <c r="I7" s="238">
        <f t="shared" si="32"/>
        <v>10199038.20999999</v>
      </c>
      <c r="J7" s="238">
        <f t="shared" si="32"/>
        <v>16299180.229999945</v>
      </c>
      <c r="K7" s="238">
        <f t="shared" si="32"/>
        <v>-1617432.9199999943</v>
      </c>
      <c r="L7" s="238">
        <f t="shared" si="32"/>
        <v>10933004.640000034</v>
      </c>
      <c r="M7" s="238">
        <f t="shared" si="32"/>
        <v>8543102.6900001504</v>
      </c>
      <c r="N7" s="238">
        <f t="shared" si="26"/>
        <v>96488556.960000202</v>
      </c>
      <c r="O7" s="238">
        <f>+SUM(O5:O6)</f>
        <v>11860158.019999981</v>
      </c>
      <c r="P7" s="238">
        <f t="shared" ref="P7:Z7" si="33">+SUM(P5:P6)</f>
        <v>3008468.8799999766</v>
      </c>
      <c r="Q7" s="238">
        <f t="shared" si="33"/>
        <v>4545018.610000018</v>
      </c>
      <c r="R7" s="238">
        <f t="shared" si="33"/>
        <v>30423386.56999997</v>
      </c>
      <c r="S7" s="238">
        <f t="shared" si="33"/>
        <v>1145548.1199999936</v>
      </c>
      <c r="T7" s="238">
        <f t="shared" si="33"/>
        <v>11147911.880000044</v>
      </c>
      <c r="U7" s="238">
        <f t="shared" si="33"/>
        <v>7342973.1400000229</v>
      </c>
      <c r="V7" s="238">
        <f t="shared" si="33"/>
        <v>11613441.969999995</v>
      </c>
      <c r="W7" s="238">
        <f t="shared" si="33"/>
        <v>5867188.6700000055</v>
      </c>
      <c r="X7" s="238">
        <f t="shared" si="33"/>
        <v>510021.96999999508</v>
      </c>
      <c r="Y7" s="238">
        <f t="shared" si="33"/>
        <v>6792697.1200000122</v>
      </c>
      <c r="Z7" s="238">
        <f t="shared" si="33"/>
        <v>7640061.1599999517</v>
      </c>
      <c r="AA7" s="238">
        <f t="shared" si="27"/>
        <v>101896876.10999997</v>
      </c>
      <c r="AB7" s="238">
        <f t="shared" ref="AB7:AM7" si="34">+SUM(AB5:AB6)</f>
        <v>11483592.409999996</v>
      </c>
      <c r="AC7" s="238">
        <f t="shared" si="34"/>
        <v>1318063.6900000311</v>
      </c>
      <c r="AD7" s="238">
        <f t="shared" si="34"/>
        <v>3679407.4300000034</v>
      </c>
      <c r="AE7" s="238">
        <f t="shared" si="34"/>
        <v>10581308.689999968</v>
      </c>
      <c r="AF7" s="238">
        <f t="shared" si="34"/>
        <v>15825039.699999966</v>
      </c>
      <c r="AG7" s="238">
        <f t="shared" si="34"/>
        <v>8515977.3700000122</v>
      </c>
      <c r="AH7" s="238">
        <f t="shared" si="34"/>
        <v>13379126.709999956</v>
      </c>
      <c r="AI7" s="238">
        <f t="shared" si="34"/>
        <v>11559487.189999994</v>
      </c>
      <c r="AJ7" s="238">
        <f t="shared" si="34"/>
        <v>19185801.649999991</v>
      </c>
      <c r="AK7" s="238">
        <f t="shared" si="34"/>
        <v>-3562163.0099999718</v>
      </c>
      <c r="AL7" s="238">
        <f t="shared" si="34"/>
        <v>-4814078.0500000305</v>
      </c>
      <c r="AM7" s="238">
        <f t="shared" si="34"/>
        <v>17352611.659999937</v>
      </c>
      <c r="AN7" s="238">
        <f t="shared" si="28"/>
        <v>104504175.43999985</v>
      </c>
      <c r="AO7" s="238">
        <f t="shared" ref="AO7:AY7" si="35">+SUM(AO5:AO6)</f>
        <v>2169586.9299999997</v>
      </c>
      <c r="AP7" s="238">
        <f t="shared" si="35"/>
        <v>291814.12000000104</v>
      </c>
      <c r="AQ7" s="238">
        <f t="shared" si="35"/>
        <v>5429454.4200000018</v>
      </c>
      <c r="AR7" s="238">
        <f t="shared" si="35"/>
        <v>10891206.019999996</v>
      </c>
      <c r="AS7" s="238">
        <f t="shared" si="35"/>
        <v>11711235.009999998</v>
      </c>
      <c r="AT7" s="238">
        <f t="shared" si="35"/>
        <v>10120349.950000003</v>
      </c>
      <c r="AU7" s="238">
        <f t="shared" si="35"/>
        <v>18572380.949999999</v>
      </c>
      <c r="AV7" s="238">
        <f t="shared" si="35"/>
        <v>938882.3200000003</v>
      </c>
      <c r="AW7" s="238">
        <f t="shared" si="35"/>
        <v>13395288.330000002</v>
      </c>
      <c r="AX7" s="238">
        <f t="shared" si="35"/>
        <v>26265292.010000002</v>
      </c>
      <c r="AY7" s="238">
        <f t="shared" si="35"/>
        <v>-995986.78000000119</v>
      </c>
      <c r="AZ7" s="238">
        <f>+SUM(AZ5:AZ6)</f>
        <v>11953315.199999996</v>
      </c>
      <c r="BA7" s="238">
        <f t="shared" si="29"/>
        <v>110742818.48000002</v>
      </c>
      <c r="BB7" s="238">
        <f t="shared" ref="BB7:BL7" si="36">+SUM(BB5:BB6)</f>
        <v>17906190.449999996</v>
      </c>
      <c r="BC7" s="238">
        <f t="shared" si="36"/>
        <v>-616963.08999999985</v>
      </c>
      <c r="BD7" s="238">
        <f t="shared" si="36"/>
        <v>-73487.35000000149</v>
      </c>
      <c r="BE7" s="238">
        <f t="shared" si="36"/>
        <v>-2946782.6800000034</v>
      </c>
      <c r="BF7" s="238">
        <f t="shared" si="36"/>
        <v>4485043.3999999985</v>
      </c>
      <c r="BG7" s="238">
        <f t="shared" si="36"/>
        <v>12778747.560000001</v>
      </c>
      <c r="BH7" s="238">
        <f t="shared" si="36"/>
        <v>8805346.870000001</v>
      </c>
      <c r="BI7" s="238">
        <f t="shared" si="36"/>
        <v>18128380.210000001</v>
      </c>
      <c r="BJ7" s="238">
        <f t="shared" si="36"/>
        <v>4133091.41</v>
      </c>
      <c r="BK7" s="238">
        <f t="shared" si="36"/>
        <v>18016011.190000005</v>
      </c>
      <c r="BL7" s="238">
        <f t="shared" si="36"/>
        <v>6037286.5099999979</v>
      </c>
      <c r="BM7" s="238">
        <f>+SUM(BM5:BM6)</f>
        <v>127092.79999999702</v>
      </c>
      <c r="BN7" s="238">
        <f t="shared" si="30"/>
        <v>86779957.279999986</v>
      </c>
      <c r="BO7" s="238">
        <f t="shared" ref="BO7:BT7" si="37">+SUM(BO5:BO6)</f>
        <v>5650288.299999997</v>
      </c>
      <c r="BP7" s="238">
        <f t="shared" si="37"/>
        <v>15128877.530000001</v>
      </c>
      <c r="BQ7" s="238">
        <f t="shared" si="37"/>
        <v>12281201.399999999</v>
      </c>
      <c r="BR7" s="238">
        <f t="shared" si="37"/>
        <v>25720702.670000002</v>
      </c>
      <c r="BS7" s="238">
        <f t="shared" si="37"/>
        <v>4330007.1699999981</v>
      </c>
      <c r="BT7" s="238">
        <f t="shared" si="37"/>
        <v>29010956.5</v>
      </c>
      <c r="BU7" s="238">
        <f t="shared" ref="BU7:BZ7" si="38">+SUM(BU5:BU6)</f>
        <v>8080828.7350444198</v>
      </c>
      <c r="BV7" s="238">
        <f t="shared" si="38"/>
        <v>9079886.3032458052</v>
      </c>
      <c r="BW7" s="238">
        <f t="shared" si="38"/>
        <v>9197229.7051380202</v>
      </c>
      <c r="BX7" s="238">
        <f t="shared" si="38"/>
        <v>8603062.8751256317</v>
      </c>
      <c r="BY7" s="238">
        <f t="shared" si="38"/>
        <v>7845550.206667617</v>
      </c>
      <c r="BZ7" s="238">
        <f t="shared" si="38"/>
        <v>7262345.2821033858</v>
      </c>
      <c r="CA7" s="238">
        <f t="shared" si="31"/>
        <v>142190936.67732489</v>
      </c>
      <c r="CB7" s="238">
        <f t="shared" ref="CB7:CM7" si="39">+SUM(CB5:CB6)</f>
        <v>15580280.608020626</v>
      </c>
      <c r="CC7" s="238">
        <f t="shared" si="39"/>
        <v>15580280.608020626</v>
      </c>
      <c r="CD7" s="238">
        <f t="shared" si="39"/>
        <v>15580280.608020626</v>
      </c>
      <c r="CE7" s="238">
        <f t="shared" si="39"/>
        <v>15580280.608020626</v>
      </c>
      <c r="CF7" s="238">
        <f t="shared" si="39"/>
        <v>15580280.608020626</v>
      </c>
      <c r="CG7" s="238">
        <f t="shared" si="39"/>
        <v>15580280.608020626</v>
      </c>
      <c r="CH7" s="238">
        <f t="shared" si="39"/>
        <v>15580280.608020626</v>
      </c>
      <c r="CI7" s="238">
        <f t="shared" si="39"/>
        <v>15580280.608020626</v>
      </c>
      <c r="CJ7" s="238">
        <f t="shared" si="39"/>
        <v>15580280.608020626</v>
      </c>
      <c r="CK7" s="238">
        <f t="shared" si="39"/>
        <v>15580280.608020626</v>
      </c>
      <c r="CL7" s="238">
        <f t="shared" si="39"/>
        <v>15580280.608020626</v>
      </c>
      <c r="CM7" s="238">
        <f t="shared" si="39"/>
        <v>15580280.608020626</v>
      </c>
      <c r="CN7" s="238">
        <f t="shared" si="21"/>
        <v>186963367.29624757</v>
      </c>
      <c r="CO7" s="238">
        <f t="shared" ref="CO7:CZ7" si="40">+SUM(CO5:CO6)</f>
        <v>15580280.608020626</v>
      </c>
      <c r="CP7" s="238">
        <f t="shared" si="40"/>
        <v>15580280.608020626</v>
      </c>
      <c r="CQ7" s="238">
        <f t="shared" si="40"/>
        <v>15580280.608020626</v>
      </c>
      <c r="CR7" s="238">
        <f t="shared" si="40"/>
        <v>15580280.608020626</v>
      </c>
      <c r="CS7" s="238">
        <f t="shared" si="40"/>
        <v>15580280.608020626</v>
      </c>
      <c r="CT7" s="238">
        <f t="shared" si="40"/>
        <v>15580280.608020626</v>
      </c>
      <c r="CU7" s="238">
        <f t="shared" si="40"/>
        <v>15580280.608020626</v>
      </c>
      <c r="CV7" s="238">
        <f t="shared" si="40"/>
        <v>15580280.608020626</v>
      </c>
      <c r="CW7" s="238">
        <f t="shared" si="40"/>
        <v>15580280.608020626</v>
      </c>
      <c r="CX7" s="238">
        <f t="shared" si="40"/>
        <v>15580280.608020626</v>
      </c>
      <c r="CY7" s="238">
        <f t="shared" si="40"/>
        <v>15580280.608020626</v>
      </c>
      <c r="CZ7" s="238">
        <f t="shared" si="40"/>
        <v>15580280.608020626</v>
      </c>
      <c r="DA7" s="238">
        <f t="shared" si="22"/>
        <v>186963367.29624757</v>
      </c>
      <c r="DB7" s="238">
        <f t="shared" ref="DB7:DM7" si="41">+SUM(DB5:DB6)</f>
        <v>15580280.608020626</v>
      </c>
      <c r="DC7" s="238">
        <f t="shared" si="41"/>
        <v>15580280.608020626</v>
      </c>
      <c r="DD7" s="238">
        <f t="shared" si="41"/>
        <v>15580280.608020626</v>
      </c>
      <c r="DE7" s="238">
        <f t="shared" si="41"/>
        <v>15580280.608020626</v>
      </c>
      <c r="DF7" s="238">
        <f t="shared" si="41"/>
        <v>15580280.608020626</v>
      </c>
      <c r="DG7" s="238">
        <f t="shared" si="41"/>
        <v>15580280.608020626</v>
      </c>
      <c r="DH7" s="238">
        <f t="shared" si="41"/>
        <v>15580280.608020626</v>
      </c>
      <c r="DI7" s="238">
        <f t="shared" si="41"/>
        <v>15580280.608020626</v>
      </c>
      <c r="DJ7" s="238">
        <f t="shared" si="41"/>
        <v>15580280.608020626</v>
      </c>
      <c r="DK7" s="238">
        <f t="shared" si="41"/>
        <v>15580280.608020626</v>
      </c>
      <c r="DL7" s="238">
        <f t="shared" si="41"/>
        <v>15580280.608020626</v>
      </c>
      <c r="DM7" s="238">
        <f t="shared" si="41"/>
        <v>15580280.608020626</v>
      </c>
      <c r="DN7" s="238">
        <f t="shared" si="23"/>
        <v>186963367.29624757</v>
      </c>
      <c r="DO7" s="238">
        <f t="shared" ref="DO7:DZ7" si="42">+SUM(DO5:DO6)</f>
        <v>15580280.608020626</v>
      </c>
      <c r="DP7" s="238">
        <f t="shared" si="42"/>
        <v>15580280.608020626</v>
      </c>
      <c r="DQ7" s="238">
        <f t="shared" si="42"/>
        <v>15580280.608020626</v>
      </c>
      <c r="DR7" s="238">
        <f t="shared" si="42"/>
        <v>15580280.608020626</v>
      </c>
      <c r="DS7" s="238">
        <f t="shared" si="42"/>
        <v>15580280.608020626</v>
      </c>
      <c r="DT7" s="238">
        <f t="shared" si="42"/>
        <v>15580280.608020626</v>
      </c>
      <c r="DU7" s="238">
        <f t="shared" si="42"/>
        <v>15580280.608020626</v>
      </c>
      <c r="DV7" s="238">
        <f t="shared" si="42"/>
        <v>15580280.608020626</v>
      </c>
      <c r="DW7" s="238">
        <f t="shared" si="42"/>
        <v>15580280.608020626</v>
      </c>
      <c r="DX7" s="238">
        <f t="shared" si="42"/>
        <v>15580280.608020626</v>
      </c>
      <c r="DY7" s="238">
        <f t="shared" si="42"/>
        <v>15580280.608020626</v>
      </c>
      <c r="DZ7" s="238">
        <f t="shared" si="42"/>
        <v>15580280.608020626</v>
      </c>
      <c r="EA7" s="238">
        <f t="shared" si="24"/>
        <v>186963367.29624757</v>
      </c>
      <c r="EB7" s="238">
        <f t="shared" ref="EB7:EM7" si="43">+SUM(EB5:EB6)</f>
        <v>15580280.608020626</v>
      </c>
      <c r="EC7" s="238">
        <f t="shared" si="43"/>
        <v>15580280.608020626</v>
      </c>
      <c r="ED7" s="238">
        <f t="shared" si="43"/>
        <v>15580280.608020626</v>
      </c>
      <c r="EE7" s="238">
        <f t="shared" si="43"/>
        <v>15580280.608020626</v>
      </c>
      <c r="EF7" s="238">
        <f t="shared" si="43"/>
        <v>15580280.608020626</v>
      </c>
      <c r="EG7" s="238">
        <f t="shared" si="43"/>
        <v>15580280.608020626</v>
      </c>
      <c r="EH7" s="238">
        <f t="shared" si="43"/>
        <v>15580280.608020626</v>
      </c>
      <c r="EI7" s="238">
        <f t="shared" si="43"/>
        <v>15580280.608020626</v>
      </c>
      <c r="EJ7" s="238">
        <f t="shared" si="43"/>
        <v>15580280.608020626</v>
      </c>
      <c r="EK7" s="238">
        <f t="shared" si="43"/>
        <v>15580280.608020626</v>
      </c>
      <c r="EL7" s="238">
        <f t="shared" si="43"/>
        <v>15580280.608020626</v>
      </c>
      <c r="EM7" s="238">
        <f t="shared" si="43"/>
        <v>15580280.608020626</v>
      </c>
      <c r="EN7" s="238">
        <f t="shared" si="25"/>
        <v>186963367.29624757</v>
      </c>
    </row>
    <row r="8" spans="1:183" s="236" customFormat="1" x14ac:dyDescent="0.25">
      <c r="A8" s="234" t="s">
        <v>9</v>
      </c>
      <c r="B8" s="235">
        <f>+'EEFF base'!BB9</f>
        <v>-74493.139999999985</v>
      </c>
      <c r="C8" s="235">
        <f>+'EEFF base'!BC9</f>
        <v>-157643.63</v>
      </c>
      <c r="D8" s="235">
        <f>+'EEFF base'!BD9</f>
        <v>-650067.96</v>
      </c>
      <c r="E8" s="235">
        <f>+'EEFF base'!BE9</f>
        <v>-357899.74000000017</v>
      </c>
      <c r="F8" s="235">
        <f>+'EEFF base'!BF9</f>
        <v>-1749108.2700000009</v>
      </c>
      <c r="G8" s="235">
        <f>+'EEFF base'!BG9</f>
        <v>-923973.57999999903</v>
      </c>
      <c r="H8" s="235">
        <f>+'EEFF base'!BH9</f>
        <v>-1026261.2300000001</v>
      </c>
      <c r="I8" s="235">
        <f>+'EEFF base'!BI9</f>
        <v>-1562606.66</v>
      </c>
      <c r="J8" s="235">
        <f>+'EEFF base'!BJ9</f>
        <v>-1387394.3399999999</v>
      </c>
      <c r="K8" s="235">
        <f>+'EEFF base'!BK9</f>
        <v>-952110.42999999947</v>
      </c>
      <c r="L8" s="235">
        <f>+'EEFF base'!BL9</f>
        <v>-898928.15000000014</v>
      </c>
      <c r="M8" s="235">
        <f>+'EEFF base'!BM9</f>
        <v>-836963.5900000002</v>
      </c>
      <c r="N8" s="235">
        <f t="shared" si="26"/>
        <v>-10577450.720000001</v>
      </c>
      <c r="O8" s="235">
        <f>+'EEFF base'!BO9</f>
        <v>-1010363.1700000003</v>
      </c>
      <c r="P8" s="235">
        <f>+'EEFF base'!BP9</f>
        <v>-820053.04999999935</v>
      </c>
      <c r="Q8" s="235">
        <f>+'EEFF base'!BQ9</f>
        <v>-1593950.2</v>
      </c>
      <c r="R8" s="235">
        <f>+'EEFF base'!BR9</f>
        <v>-997697.50999999978</v>
      </c>
      <c r="S8" s="235">
        <f>+'EEFF base'!BS9</f>
        <v>-881678.41000000061</v>
      </c>
      <c r="T8" s="235">
        <f>+'EEFF base'!BT9</f>
        <v>-1006446.4099999999</v>
      </c>
      <c r="U8" s="235">
        <f>+'EEFF base'!BU9</f>
        <v>-932409.27000000014</v>
      </c>
      <c r="V8" s="235">
        <f>+'EEFF base'!BV9</f>
        <v>-722672.47</v>
      </c>
      <c r="W8" s="235">
        <f>+'EEFF base'!BW9</f>
        <v>-1066462.4699999997</v>
      </c>
      <c r="X8" s="235">
        <f>+'EEFF base'!BX9</f>
        <v>-874068.32000000018</v>
      </c>
      <c r="Y8" s="235">
        <f>+'EEFF base'!BY9</f>
        <v>-1086018.01</v>
      </c>
      <c r="Z8" s="235">
        <f>+'EEFF base'!BZ9</f>
        <v>-1598492.7300000004</v>
      </c>
      <c r="AA8" s="235">
        <f t="shared" si="27"/>
        <v>-12590312.020000001</v>
      </c>
      <c r="AB8" s="235">
        <f>+'EEFF base'!CB9</f>
        <v>-913384.01000000013</v>
      </c>
      <c r="AC8" s="235">
        <f>+'EEFF base'!CC9</f>
        <v>-1232982.29</v>
      </c>
      <c r="AD8" s="235">
        <f>+'EEFF base'!CD9</f>
        <v>-1621716.66</v>
      </c>
      <c r="AE8" s="235">
        <f>+'EEFF base'!CE9</f>
        <v>-825555.24</v>
      </c>
      <c r="AF8" s="235">
        <f>+'EEFF base'!CF9</f>
        <v>-753230.84</v>
      </c>
      <c r="AG8" s="235">
        <f>+'EEFF base'!CG9</f>
        <v>-874034.76000000059</v>
      </c>
      <c r="AH8" s="235">
        <f>+'EEFF base'!CH9</f>
        <v>-863225.07999999984</v>
      </c>
      <c r="AI8" s="235">
        <f>+'EEFF base'!CI9</f>
        <v>-721682.14000000013</v>
      </c>
      <c r="AJ8" s="235">
        <f>+'EEFF base'!CJ9</f>
        <v>-1183761.8699999999</v>
      </c>
      <c r="AK8" s="235">
        <f>+'EEFF base'!CK9</f>
        <v>-766293.41</v>
      </c>
      <c r="AL8" s="235">
        <f>+'EEFF base'!CL9</f>
        <v>-736838.49000000011</v>
      </c>
      <c r="AM8" s="235">
        <f>+'EEFF base'!CM9</f>
        <v>-851507.81000000017</v>
      </c>
      <c r="AN8" s="235">
        <f t="shared" si="28"/>
        <v>-11344212.600000001</v>
      </c>
      <c r="AO8" s="235">
        <f>+'EEFF historicoss'!R10</f>
        <v>-753872.57</v>
      </c>
      <c r="AP8" s="235">
        <f>+'EEFF historicoss'!S10</f>
        <v>-940756.54</v>
      </c>
      <c r="AQ8" s="235">
        <f>+'EEFF historicoss'!T10</f>
        <v>-992983.88</v>
      </c>
      <c r="AR8" s="235">
        <f>+'EEFF historicoss'!U10</f>
        <v>-778109.73</v>
      </c>
      <c r="AS8" s="235">
        <f>+'EEFF historicoss'!V10</f>
        <v>-1110318.0800000001</v>
      </c>
      <c r="AT8" s="235">
        <f>+'EEFF historicoss'!W10</f>
        <v>-1479437.93</v>
      </c>
      <c r="AU8" s="235">
        <f>+'EEFF historicoss'!X10</f>
        <v>-1015844.17</v>
      </c>
      <c r="AV8" s="235">
        <f>+'EEFF historicoss'!Y10</f>
        <v>-865259.05</v>
      </c>
      <c r="AW8" s="235">
        <f>+'EEFF historicoss'!Z10</f>
        <v>-1088031.07</v>
      </c>
      <c r="AX8" s="235">
        <f>+'EEFF historicoss'!AA10</f>
        <v>-705014.41</v>
      </c>
      <c r="AY8" s="235">
        <f>+'EEFF historicoss'!AB10</f>
        <v>-812545.65</v>
      </c>
      <c r="AZ8" s="235">
        <f>+'EEFF historicoss'!AC10</f>
        <v>-1069544.78</v>
      </c>
      <c r="BA8" s="235">
        <f t="shared" si="29"/>
        <v>-11611717.859999999</v>
      </c>
      <c r="BB8" s="235">
        <f>+'EEFF historicoss'!AE10</f>
        <v>-762056.68</v>
      </c>
      <c r="BC8" s="235">
        <f>+'EEFF historicoss'!AF10</f>
        <v>-803591.32</v>
      </c>
      <c r="BD8" s="235">
        <f>+'EEFF historicoss'!AG10</f>
        <v>-1372664.15</v>
      </c>
      <c r="BE8" s="235">
        <f>+'EEFF historicoss'!AH10</f>
        <v>-899199.17</v>
      </c>
      <c r="BF8" s="235">
        <f>+'EEFF historicoss'!AI10</f>
        <v>-744969.87</v>
      </c>
      <c r="BG8" s="235">
        <f>+'EEFF historicoss'!AJ10</f>
        <v>-821586.58</v>
      </c>
      <c r="BH8" s="235">
        <f>+'EEFF historicoss'!AK10</f>
        <v>-782527.88</v>
      </c>
      <c r="BI8" s="235">
        <f>+'EEFF historicoss'!AL10</f>
        <v>-1080400.23</v>
      </c>
      <c r="BJ8" s="235">
        <f>+'EEFF historicoss'!AM10</f>
        <v>-950464.02</v>
      </c>
      <c r="BK8" s="235">
        <f>+'EEFF historicoss'!AN10</f>
        <v>-723857.37</v>
      </c>
      <c r="BL8" s="235">
        <f>+'EEFF historicoss'!AO10</f>
        <v>-722581.34</v>
      </c>
      <c r="BM8" s="235">
        <f>+'EEFF historicoss'!AP10</f>
        <v>-998115.77</v>
      </c>
      <c r="BN8" s="235">
        <f t="shared" si="30"/>
        <v>-10662014.379999997</v>
      </c>
      <c r="BO8" s="235">
        <f>+'EEFF historicoss'!AR10</f>
        <v>-818156.95</v>
      </c>
      <c r="BP8" s="235">
        <f>+'EEFF historicoss'!AS10</f>
        <v>-753385.32</v>
      </c>
      <c r="BQ8" s="235">
        <f>+'EEFF historicoss'!AT10</f>
        <v>-1268038.97</v>
      </c>
      <c r="BR8" s="235">
        <f>+'EEFF historicoss'!AU10</f>
        <v>-883562.16</v>
      </c>
      <c r="BS8" s="235">
        <f>+'EEFF historicoss'!AV10</f>
        <v>-1308160.83</v>
      </c>
      <c r="BT8" s="235">
        <f>+'EEFF historicoss'!AW10</f>
        <v>-1228978.45</v>
      </c>
      <c r="BU8" s="235">
        <f>+-'Presupuesto 25'!I40</f>
        <v>-978326.18665256049</v>
      </c>
      <c r="BV8" s="235">
        <f>+-'Presupuesto 25'!J40</f>
        <v>-978326.18665256049</v>
      </c>
      <c r="BW8" s="235">
        <f>+-'Presupuesto 25'!K40</f>
        <v>-978326.18665256049</v>
      </c>
      <c r="BX8" s="235">
        <f>+-'Presupuesto 25'!L40</f>
        <v>-978326.18665256049</v>
      </c>
      <c r="BY8" s="235">
        <f>+-'Presupuesto 25'!M40</f>
        <v>-978326.18665256049</v>
      </c>
      <c r="BZ8" s="235">
        <f>+-'Presupuesto 25'!N40</f>
        <v>-978326.18665256049</v>
      </c>
      <c r="CA8" s="235">
        <f t="shared" si="31"/>
        <v>-12130239.799915362</v>
      </c>
      <c r="CB8" s="235">
        <f>-+HLOOKUP(CB2,'Control y Supuestos'!$B$1:$M$16,7,FALSE)*'EEFF proyectados'!CB5</f>
        <v>-1387108.1682555554</v>
      </c>
      <c r="CC8" s="235">
        <f>-+HLOOKUP(CC2,'Control y Supuestos'!$B$1:$M$16,7,FALSE)*'EEFF proyectados'!CC5</f>
        <v>-1387108.1682555554</v>
      </c>
      <c r="CD8" s="235">
        <f>-+HLOOKUP(CD2,'Control y Supuestos'!$B$1:$M$16,7,FALSE)*'EEFF proyectados'!CD5</f>
        <v>-1387108.1682555554</v>
      </c>
      <c r="CE8" s="235">
        <f>-+HLOOKUP(CE2,'Control y Supuestos'!$B$1:$M$16,7,FALSE)*'EEFF proyectados'!CE5</f>
        <v>-1387108.1682555554</v>
      </c>
      <c r="CF8" s="235">
        <f>-+HLOOKUP(CF2,'Control y Supuestos'!$B$1:$M$16,7,FALSE)*'EEFF proyectados'!CF5</f>
        <v>-1387108.1682555554</v>
      </c>
      <c r="CG8" s="235">
        <f>-+HLOOKUP(CG2,'Control y Supuestos'!$B$1:$M$16,7,FALSE)*'EEFF proyectados'!CG5</f>
        <v>-1387108.1682555554</v>
      </c>
      <c r="CH8" s="235">
        <f>-+HLOOKUP(CH2,'Control y Supuestos'!$B$1:$M$16,7,FALSE)*'EEFF proyectados'!CH5</f>
        <v>-1387108.1682555554</v>
      </c>
      <c r="CI8" s="235">
        <f>-+HLOOKUP(CI2,'Control y Supuestos'!$B$1:$M$16,7,FALSE)*'EEFF proyectados'!CI5</f>
        <v>-1387108.1682555554</v>
      </c>
      <c r="CJ8" s="235">
        <f>-+HLOOKUP(CJ2,'Control y Supuestos'!$B$1:$M$16,7,FALSE)*'EEFF proyectados'!CJ5</f>
        <v>-1387108.1682555554</v>
      </c>
      <c r="CK8" s="235">
        <f>-+HLOOKUP(CK2,'Control y Supuestos'!$B$1:$M$16,7,FALSE)*'EEFF proyectados'!CK5</f>
        <v>-1387108.1682555554</v>
      </c>
      <c r="CL8" s="235">
        <f>-+HLOOKUP(CL2,'Control y Supuestos'!$B$1:$M$16,7,FALSE)*'EEFF proyectados'!CL5</f>
        <v>-1387108.1682555554</v>
      </c>
      <c r="CM8" s="235">
        <f>-+HLOOKUP(CM2,'Control y Supuestos'!$B$1:$M$16,7,FALSE)*'EEFF proyectados'!CM5</f>
        <v>-1387108.1682555554</v>
      </c>
      <c r="CN8" s="235">
        <f t="shared" si="21"/>
        <v>-16645298.019066669</v>
      </c>
      <c r="CO8" s="235">
        <f>-+HLOOKUP(CO2,'Control y Supuestos'!$B$1:$M$16,7,FALSE)*'EEFF proyectados'!CO5</f>
        <v>-1387108.1682555554</v>
      </c>
      <c r="CP8" s="235">
        <f>-+HLOOKUP(CP2,'Control y Supuestos'!$B$1:$M$16,7,FALSE)*'EEFF proyectados'!CP5</f>
        <v>-1387108.1682555554</v>
      </c>
      <c r="CQ8" s="235">
        <f>-+HLOOKUP(CQ2,'Control y Supuestos'!$B$1:$M$16,7,FALSE)*'EEFF proyectados'!CQ5</f>
        <v>-1387108.1682555554</v>
      </c>
      <c r="CR8" s="235">
        <f>-+HLOOKUP(CR2,'Control y Supuestos'!$B$1:$M$16,7,FALSE)*'EEFF proyectados'!CR5</f>
        <v>-1387108.1682555554</v>
      </c>
      <c r="CS8" s="235">
        <f>-+HLOOKUP(CS2,'Control y Supuestos'!$B$1:$M$16,7,FALSE)*'EEFF proyectados'!CS5</f>
        <v>-1387108.1682555554</v>
      </c>
      <c r="CT8" s="235">
        <f>-+HLOOKUP(CT2,'Control y Supuestos'!$B$1:$M$16,7,FALSE)*'EEFF proyectados'!CT5</f>
        <v>-1387108.1682555554</v>
      </c>
      <c r="CU8" s="235">
        <f>-+HLOOKUP(CU2,'Control y Supuestos'!$B$1:$M$16,7,FALSE)*'EEFF proyectados'!CU5</f>
        <v>-1387108.1682555554</v>
      </c>
      <c r="CV8" s="235">
        <f>-+HLOOKUP(CV2,'Control y Supuestos'!$B$1:$M$16,7,FALSE)*'EEFF proyectados'!CV5</f>
        <v>-1387108.1682555554</v>
      </c>
      <c r="CW8" s="235">
        <f>-+HLOOKUP(CW2,'Control y Supuestos'!$B$1:$M$16,7,FALSE)*'EEFF proyectados'!CW5</f>
        <v>-1387108.1682555554</v>
      </c>
      <c r="CX8" s="235">
        <f>-+HLOOKUP(CX2,'Control y Supuestos'!$B$1:$M$16,7,FALSE)*'EEFF proyectados'!CX5</f>
        <v>-1387108.1682555554</v>
      </c>
      <c r="CY8" s="235">
        <f>-+HLOOKUP(CY2,'Control y Supuestos'!$B$1:$M$16,7,FALSE)*'EEFF proyectados'!CY5</f>
        <v>-1387108.1682555554</v>
      </c>
      <c r="CZ8" s="235">
        <f>-+HLOOKUP(CZ2,'Control y Supuestos'!$B$1:$M$16,7,FALSE)*'EEFF proyectados'!CZ5</f>
        <v>-1387108.1682555554</v>
      </c>
      <c r="DA8" s="235">
        <f t="shared" si="22"/>
        <v>-16645298.019066669</v>
      </c>
      <c r="DB8" s="235">
        <f>-+HLOOKUP(DB2,'Control y Supuestos'!$B$1:$M$16,7,FALSE)*'EEFF proyectados'!DB5</f>
        <v>-1387108.1682555554</v>
      </c>
      <c r="DC8" s="235">
        <f>-+HLOOKUP(DC2,'Control y Supuestos'!$B$1:$M$16,7,FALSE)*'EEFF proyectados'!DC5</f>
        <v>-1387108.1682555554</v>
      </c>
      <c r="DD8" s="235">
        <f>-+HLOOKUP(DD2,'Control y Supuestos'!$B$1:$M$16,7,FALSE)*'EEFF proyectados'!DD5</f>
        <v>-1387108.1682555554</v>
      </c>
      <c r="DE8" s="235">
        <f>-+HLOOKUP(DE2,'Control y Supuestos'!$B$1:$M$16,7,FALSE)*'EEFF proyectados'!DE5</f>
        <v>-1387108.1682555554</v>
      </c>
      <c r="DF8" s="235">
        <f>-+HLOOKUP(DF2,'Control y Supuestos'!$B$1:$M$16,7,FALSE)*'EEFF proyectados'!DF5</f>
        <v>-1387108.1682555554</v>
      </c>
      <c r="DG8" s="235">
        <f>-+HLOOKUP(DG2,'Control y Supuestos'!$B$1:$M$16,7,FALSE)*'EEFF proyectados'!DG5</f>
        <v>-1387108.1682555554</v>
      </c>
      <c r="DH8" s="235">
        <f>-+HLOOKUP(DH2,'Control y Supuestos'!$B$1:$M$16,7,FALSE)*'EEFF proyectados'!DH5</f>
        <v>-1387108.1682555554</v>
      </c>
      <c r="DI8" s="235">
        <f>-+HLOOKUP(DI2,'Control y Supuestos'!$B$1:$M$16,7,FALSE)*'EEFF proyectados'!DI5</f>
        <v>-1387108.1682555554</v>
      </c>
      <c r="DJ8" s="235">
        <f>-+HLOOKUP(DJ2,'Control y Supuestos'!$B$1:$M$16,7,FALSE)*'EEFF proyectados'!DJ5</f>
        <v>-1387108.1682555554</v>
      </c>
      <c r="DK8" s="235">
        <f>-+HLOOKUP(DK2,'Control y Supuestos'!$B$1:$M$16,7,FALSE)*'EEFF proyectados'!DK5</f>
        <v>-1387108.1682555554</v>
      </c>
      <c r="DL8" s="235">
        <f>-+HLOOKUP(DL2,'Control y Supuestos'!$B$1:$M$16,7,FALSE)*'EEFF proyectados'!DL5</f>
        <v>-1387108.1682555554</v>
      </c>
      <c r="DM8" s="235">
        <f>-+HLOOKUP(DM2,'Control y Supuestos'!$B$1:$M$16,7,FALSE)*'EEFF proyectados'!DM5</f>
        <v>-1387108.1682555554</v>
      </c>
      <c r="DN8" s="235">
        <f t="shared" si="23"/>
        <v>-16645298.019066669</v>
      </c>
      <c r="DO8" s="235">
        <f>-+HLOOKUP(DO2,'Control y Supuestos'!$B$1:$M$16,7,FALSE)*'EEFF proyectados'!DO5</f>
        <v>-1387108.1682555554</v>
      </c>
      <c r="DP8" s="235">
        <f>-+HLOOKUP(DP2,'Control y Supuestos'!$B$1:$M$16,7,FALSE)*'EEFF proyectados'!DP5</f>
        <v>-1387108.1682555554</v>
      </c>
      <c r="DQ8" s="235">
        <f>-+HLOOKUP(DQ2,'Control y Supuestos'!$B$1:$M$16,7,FALSE)*'EEFF proyectados'!DQ5</f>
        <v>-1387108.1682555554</v>
      </c>
      <c r="DR8" s="235">
        <f>-+HLOOKUP(DR2,'Control y Supuestos'!$B$1:$M$16,7,FALSE)*'EEFF proyectados'!DR5</f>
        <v>-1387108.1682555554</v>
      </c>
      <c r="DS8" s="235">
        <f>-+HLOOKUP(DS2,'Control y Supuestos'!$B$1:$M$16,7,FALSE)*'EEFF proyectados'!DS5</f>
        <v>-1387108.1682555554</v>
      </c>
      <c r="DT8" s="235">
        <f>-+HLOOKUP(DT2,'Control y Supuestos'!$B$1:$M$16,7,FALSE)*'EEFF proyectados'!DT5</f>
        <v>-1387108.1682555554</v>
      </c>
      <c r="DU8" s="235">
        <f>-+HLOOKUP(DU2,'Control y Supuestos'!$B$1:$M$16,7,FALSE)*'EEFF proyectados'!DU5</f>
        <v>-1387108.1682555554</v>
      </c>
      <c r="DV8" s="235">
        <f>-+HLOOKUP(DV2,'Control y Supuestos'!$B$1:$M$16,7,FALSE)*'EEFF proyectados'!DV5</f>
        <v>-1387108.1682555554</v>
      </c>
      <c r="DW8" s="235">
        <f>-+HLOOKUP(DW2,'Control y Supuestos'!$B$1:$M$16,7,FALSE)*'EEFF proyectados'!DW5</f>
        <v>-1387108.1682555554</v>
      </c>
      <c r="DX8" s="235">
        <f>-+HLOOKUP(DX2,'Control y Supuestos'!$B$1:$M$16,7,FALSE)*'EEFF proyectados'!DX5</f>
        <v>-1387108.1682555554</v>
      </c>
      <c r="DY8" s="235">
        <f>-+HLOOKUP(DY2,'Control y Supuestos'!$B$1:$M$16,7,FALSE)*'EEFF proyectados'!DY5</f>
        <v>-1387108.1682555554</v>
      </c>
      <c r="DZ8" s="235">
        <f>-+HLOOKUP(DZ2,'Control y Supuestos'!$B$1:$M$16,7,FALSE)*'EEFF proyectados'!DZ5</f>
        <v>-1387108.1682555554</v>
      </c>
      <c r="EA8" s="235">
        <f t="shared" si="24"/>
        <v>-16645298.019066669</v>
      </c>
      <c r="EB8" s="235">
        <f>-+HLOOKUP(EB2,'Control y Supuestos'!$B$1:$M$16,7,FALSE)*'EEFF proyectados'!EB5</f>
        <v>-1387108.1682555554</v>
      </c>
      <c r="EC8" s="235">
        <f>-+HLOOKUP(EC2,'Control y Supuestos'!$B$1:$M$16,7,FALSE)*'EEFF proyectados'!EC5</f>
        <v>-1387108.1682555554</v>
      </c>
      <c r="ED8" s="235">
        <f>-+HLOOKUP(ED2,'Control y Supuestos'!$B$1:$M$16,7,FALSE)*'EEFF proyectados'!ED5</f>
        <v>-1387108.1682555554</v>
      </c>
      <c r="EE8" s="235">
        <f>-+HLOOKUP(EE2,'Control y Supuestos'!$B$1:$M$16,7,FALSE)*'EEFF proyectados'!EE5</f>
        <v>-1387108.1682555554</v>
      </c>
      <c r="EF8" s="235">
        <f>-+HLOOKUP(EF2,'Control y Supuestos'!$B$1:$M$16,7,FALSE)*'EEFF proyectados'!EF5</f>
        <v>-1387108.1682555554</v>
      </c>
      <c r="EG8" s="235">
        <f>-+HLOOKUP(EG2,'Control y Supuestos'!$B$1:$M$16,7,FALSE)*'EEFF proyectados'!EG5</f>
        <v>-1387108.1682555554</v>
      </c>
      <c r="EH8" s="235">
        <f>-+HLOOKUP(EH2,'Control y Supuestos'!$B$1:$M$16,7,FALSE)*'EEFF proyectados'!EH5</f>
        <v>-1387108.1682555554</v>
      </c>
      <c r="EI8" s="235">
        <f>-+HLOOKUP(EI2,'Control y Supuestos'!$B$1:$M$16,7,FALSE)*'EEFF proyectados'!EI5</f>
        <v>-1387108.1682555554</v>
      </c>
      <c r="EJ8" s="235">
        <f>-+HLOOKUP(EJ2,'Control y Supuestos'!$B$1:$M$16,7,FALSE)*'EEFF proyectados'!EJ5</f>
        <v>-1387108.1682555554</v>
      </c>
      <c r="EK8" s="235">
        <f>-+HLOOKUP(EK2,'Control y Supuestos'!$B$1:$M$16,7,FALSE)*'EEFF proyectados'!EK5</f>
        <v>-1387108.1682555554</v>
      </c>
      <c r="EL8" s="235">
        <f>-+HLOOKUP(EL2,'Control y Supuestos'!$B$1:$M$16,7,FALSE)*'EEFF proyectados'!EL5</f>
        <v>-1387108.1682555554</v>
      </c>
      <c r="EM8" s="235">
        <f>-+HLOOKUP(EM2,'Control y Supuestos'!$B$1:$M$16,7,FALSE)*'EEFF proyectados'!EM5</f>
        <v>-1387108.1682555554</v>
      </c>
      <c r="EN8" s="235">
        <f t="shared" si="25"/>
        <v>-16645298.019066669</v>
      </c>
    </row>
    <row r="9" spans="1:183" s="236" customFormat="1" x14ac:dyDescent="0.25">
      <c r="A9" s="234" t="s">
        <v>11</v>
      </c>
      <c r="B9" s="235">
        <f>+'EEFF base'!BB10</f>
        <v>-516721.68000000046</v>
      </c>
      <c r="C9" s="235">
        <f>+'EEFF base'!BC10</f>
        <v>-1234976.8399999994</v>
      </c>
      <c r="D9" s="235">
        <f>+'EEFF base'!BD10</f>
        <v>-3287363.7899999986</v>
      </c>
      <c r="E9" s="235">
        <f>+'EEFF base'!BE10</f>
        <v>-3265096.1300000013</v>
      </c>
      <c r="F9" s="235">
        <f>+'EEFF base'!BF10</f>
        <v>-4979347.299999998</v>
      </c>
      <c r="G9" s="235">
        <f>+'EEFF base'!BG10</f>
        <v>-4886068.6299999924</v>
      </c>
      <c r="H9" s="235">
        <f>+'EEFF base'!BH10</f>
        <v>-5035840.6799999932</v>
      </c>
      <c r="I9" s="235">
        <f>+'EEFF base'!BI10</f>
        <v>-5158539.160000002</v>
      </c>
      <c r="J9" s="235">
        <f>+'EEFF base'!BJ10</f>
        <v>-5819740.330000001</v>
      </c>
      <c r="K9" s="235">
        <f>+'EEFF base'!BK10</f>
        <v>-4113132.9800000014</v>
      </c>
      <c r="L9" s="235">
        <f>+'EEFF base'!BL10</f>
        <v>-4067196.48</v>
      </c>
      <c r="M9" s="235">
        <f>+'EEFF base'!BM10</f>
        <v>-4312116.1100000031</v>
      </c>
      <c r="N9" s="235">
        <f t="shared" si="26"/>
        <v>-46676140.109999985</v>
      </c>
      <c r="O9" s="235">
        <f>+'EEFF base'!BO10</f>
        <v>-4542206.0299999937</v>
      </c>
      <c r="P9" s="235">
        <f>+'EEFF base'!BP10</f>
        <v>-4217404.8399999961</v>
      </c>
      <c r="Q9" s="235">
        <f>+'EEFF base'!BQ10</f>
        <v>-3889402.4900000053</v>
      </c>
      <c r="R9" s="235">
        <f>+'EEFF base'!BR10</f>
        <v>-3683709.5100000044</v>
      </c>
      <c r="S9" s="235">
        <f>+'EEFF base'!BS10</f>
        <v>-3083063.7900000005</v>
      </c>
      <c r="T9" s="235">
        <f>+'EEFF base'!BT10</f>
        <v>-3901941.8499999992</v>
      </c>
      <c r="U9" s="235">
        <f>+'EEFF base'!BU10</f>
        <v>-4988220.9199999971</v>
      </c>
      <c r="V9" s="235">
        <f>+'EEFF base'!BV10</f>
        <v>-4403776.5200000014</v>
      </c>
      <c r="W9" s="235">
        <f>+'EEFF base'!BW10</f>
        <v>-3876037.0899999957</v>
      </c>
      <c r="X9" s="235">
        <f>+'EEFF base'!BX10</f>
        <v>-3296998.4000000004</v>
      </c>
      <c r="Y9" s="235">
        <f>+'EEFF base'!BY10</f>
        <v>-3779455.5099999974</v>
      </c>
      <c r="Z9" s="235">
        <f>+'EEFF base'!BZ10</f>
        <v>-5038152.6199999973</v>
      </c>
      <c r="AA9" s="235">
        <f t="shared" si="27"/>
        <v>-48700369.569999985</v>
      </c>
      <c r="AB9" s="235">
        <f>+'EEFF base'!CB10</f>
        <v>-4213270.66</v>
      </c>
      <c r="AC9" s="235">
        <f>+'EEFF base'!CC10</f>
        <v>-4324148.3899999941</v>
      </c>
      <c r="AD9" s="235">
        <f>+'EEFF base'!CD10</f>
        <v>-4537455.9400000013</v>
      </c>
      <c r="AE9" s="235">
        <f>+'EEFF base'!CE10</f>
        <v>-4342952.6800000025</v>
      </c>
      <c r="AF9" s="235">
        <f>+'EEFF base'!CF10</f>
        <v>-4892960.3200000059</v>
      </c>
      <c r="AG9" s="235">
        <f>+'EEFF base'!CG10</f>
        <v>-5209167.1600000011</v>
      </c>
      <c r="AH9" s="235">
        <f>+'EEFF base'!CH10</f>
        <v>-5623047.6700000009</v>
      </c>
      <c r="AI9" s="235">
        <f>+'EEFF base'!CI10</f>
        <v>-4823771.5600000098</v>
      </c>
      <c r="AJ9" s="235">
        <f>+'EEFF base'!CJ10</f>
        <v>-5546281.0600000145</v>
      </c>
      <c r="AK9" s="235">
        <f>+'EEFF base'!CK10</f>
        <v>-4260102.5799999973</v>
      </c>
      <c r="AL9" s="235">
        <f>+'EEFF base'!CL10</f>
        <v>-4010633.9199999985</v>
      </c>
      <c r="AM9" s="235">
        <f>+'EEFF base'!CM10</f>
        <v>-4638387.0699999966</v>
      </c>
      <c r="AN9" s="235">
        <f t="shared" si="28"/>
        <v>-56422179.01000002</v>
      </c>
      <c r="AO9" s="235">
        <f>+'EEFF historicoss'!R11</f>
        <v>-4349703.57</v>
      </c>
      <c r="AP9" s="235">
        <f>+'EEFF historicoss'!S11</f>
        <v>-5670219.0899999999</v>
      </c>
      <c r="AQ9" s="235">
        <f>+'EEFF historicoss'!T11</f>
        <v>-5062639.82</v>
      </c>
      <c r="AR9" s="235">
        <f>+'EEFF historicoss'!U11</f>
        <v>-5039066.82</v>
      </c>
      <c r="AS9" s="235">
        <f>+'EEFF historicoss'!V11</f>
        <v>-5355148.21</v>
      </c>
      <c r="AT9" s="235">
        <f>+'EEFF historicoss'!W11</f>
        <v>-5162504.74</v>
      </c>
      <c r="AU9" s="235">
        <f>+'EEFF historicoss'!X11</f>
        <v>-6580880.2000000002</v>
      </c>
      <c r="AV9" s="235">
        <f>+'EEFF historicoss'!Y11</f>
        <v>-5431534.9000000004</v>
      </c>
      <c r="AW9" s="235">
        <f>+'EEFF historicoss'!Z11</f>
        <v>-5458995.5700000003</v>
      </c>
      <c r="AX9" s="235">
        <f>+'EEFF historicoss'!AA11</f>
        <v>-5118902.97</v>
      </c>
      <c r="AY9" s="235">
        <f>+'EEFF historicoss'!AB11</f>
        <v>-5156803.29</v>
      </c>
      <c r="AZ9" s="235">
        <f>+'EEFF historicoss'!AC11</f>
        <v>-7871570.8200000003</v>
      </c>
      <c r="BA9" s="235">
        <f t="shared" si="29"/>
        <v>-66257970</v>
      </c>
      <c r="BB9" s="235">
        <f>+'EEFF historicoss'!AE11</f>
        <v>-5624672.1600000001</v>
      </c>
      <c r="BC9" s="235">
        <f>+'EEFF historicoss'!AF11</f>
        <v>-6318041.1500000004</v>
      </c>
      <c r="BD9" s="235">
        <f>+'EEFF historicoss'!AG11</f>
        <v>-5292556.83</v>
      </c>
      <c r="BE9" s="235">
        <f>+'EEFF historicoss'!AH11</f>
        <v>-5662959.6200000001</v>
      </c>
      <c r="BF9" s="235">
        <f>+'EEFF historicoss'!AI11</f>
        <v>-4586425.58</v>
      </c>
      <c r="BG9" s="235">
        <f>+'EEFF historicoss'!AJ11</f>
        <v>-4122134.53</v>
      </c>
      <c r="BH9" s="235">
        <f>+'EEFF historicoss'!AK11</f>
        <v>-3533010.88</v>
      </c>
      <c r="BI9" s="235">
        <f>+'EEFF historicoss'!AL11</f>
        <v>-3000055.49</v>
      </c>
      <c r="BJ9" s="235">
        <f>+'EEFF historicoss'!AM11</f>
        <v>-3143658.66</v>
      </c>
      <c r="BK9" s="235">
        <f>+'EEFF historicoss'!AN11</f>
        <v>-2706383.8</v>
      </c>
      <c r="BL9" s="235">
        <f>+'EEFF historicoss'!AO11</f>
        <v>-2425202.79</v>
      </c>
      <c r="BM9" s="235">
        <f>+'EEFF historicoss'!AP11</f>
        <v>-2728198.04</v>
      </c>
      <c r="BN9" s="235">
        <f t="shared" si="30"/>
        <v>-49143299.530000001</v>
      </c>
      <c r="BO9" s="235">
        <f>+'EEFF historicoss'!AR11</f>
        <v>-2036367.94</v>
      </c>
      <c r="BP9" s="235">
        <f>+'EEFF historicoss'!AS11</f>
        <v>-2150087.54</v>
      </c>
      <c r="BQ9" s="235">
        <f>+'EEFF historicoss'!AT11</f>
        <v>-2151965.6</v>
      </c>
      <c r="BR9" s="235">
        <f>+'EEFF historicoss'!AU11</f>
        <v>-2082448.3</v>
      </c>
      <c r="BS9" s="235">
        <f>+'EEFF historicoss'!AV11</f>
        <v>-1909851.08</v>
      </c>
      <c r="BT9" s="235">
        <f>+'EEFF historicoss'!AW11</f>
        <v>-2215088.13</v>
      </c>
      <c r="BU9" s="235">
        <f>+-'Presupuesto 25'!I55</f>
        <v>-3706864.3318145052</v>
      </c>
      <c r="BV9" s="235">
        <f>+-'Presupuesto 25'!J55</f>
        <v>-3706864.3318145052</v>
      </c>
      <c r="BW9" s="235">
        <f>+-'Presupuesto 25'!K55</f>
        <v>-3706864.3318145052</v>
      </c>
      <c r="BX9" s="235">
        <f>+-'Presupuesto 25'!L55</f>
        <v>-3706864.3318145052</v>
      </c>
      <c r="BY9" s="235">
        <f>+-'Presupuesto 25'!M55</f>
        <v>-3706864.3318145052</v>
      </c>
      <c r="BZ9" s="235">
        <f>+-'Presupuesto 25'!N55</f>
        <v>-3706864.3318145052</v>
      </c>
      <c r="CA9" s="235">
        <f t="shared" si="31"/>
        <v>-34786994.580887035</v>
      </c>
      <c r="CB9" s="235">
        <f>+-HLOOKUP(CB2,'Control y Supuestos'!$B$1:$M$16,8,FALSE)*'EEFF proyectados'!CB5</f>
        <v>-3811713.6699778419</v>
      </c>
      <c r="CC9" s="235">
        <f>+-HLOOKUP(CC2,'Control y Supuestos'!$B$1:$M$16,8,FALSE)*'EEFF proyectados'!CC5</f>
        <v>-3811713.6699778419</v>
      </c>
      <c r="CD9" s="235">
        <f>+-HLOOKUP(CD2,'Control y Supuestos'!$B$1:$M$16,8,FALSE)*'EEFF proyectados'!CD5</f>
        <v>-3811713.6699778419</v>
      </c>
      <c r="CE9" s="235">
        <f>+-HLOOKUP(CE2,'Control y Supuestos'!$B$1:$M$16,8,FALSE)*'EEFF proyectados'!CE5</f>
        <v>-3811713.6699778419</v>
      </c>
      <c r="CF9" s="235">
        <f>+-HLOOKUP(CF2,'Control y Supuestos'!$B$1:$M$16,8,FALSE)*'EEFF proyectados'!CF5</f>
        <v>-3811713.6699778419</v>
      </c>
      <c r="CG9" s="235">
        <f>+-HLOOKUP(CG2,'Control y Supuestos'!$B$1:$M$16,8,FALSE)*'EEFF proyectados'!CG5</f>
        <v>-3811713.6699778419</v>
      </c>
      <c r="CH9" s="235">
        <f>+-HLOOKUP(CH2,'Control y Supuestos'!$B$1:$M$16,8,FALSE)*'EEFF proyectados'!CH5</f>
        <v>-3811713.6699778419</v>
      </c>
      <c r="CI9" s="235">
        <f>+-HLOOKUP(CI2,'Control y Supuestos'!$B$1:$M$16,8,FALSE)*'EEFF proyectados'!CI5</f>
        <v>-3811713.6699778419</v>
      </c>
      <c r="CJ9" s="235">
        <f>+-HLOOKUP(CJ2,'Control y Supuestos'!$B$1:$M$16,8,FALSE)*'EEFF proyectados'!CJ5</f>
        <v>-3811713.6699778419</v>
      </c>
      <c r="CK9" s="235">
        <f>+-HLOOKUP(CK2,'Control y Supuestos'!$B$1:$M$16,8,FALSE)*'EEFF proyectados'!CK5</f>
        <v>-3811713.6699778419</v>
      </c>
      <c r="CL9" s="235">
        <f>+-HLOOKUP(CL2,'Control y Supuestos'!$B$1:$M$16,8,FALSE)*'EEFF proyectados'!CL5</f>
        <v>-3811713.6699778419</v>
      </c>
      <c r="CM9" s="235">
        <f>+-HLOOKUP(CM2,'Control y Supuestos'!$B$1:$M$16,8,FALSE)*'EEFF proyectados'!CM5</f>
        <v>-3811713.6699778419</v>
      </c>
      <c r="CN9" s="235">
        <f t="shared" si="21"/>
        <v>-45740564.039734118</v>
      </c>
      <c r="CO9" s="235">
        <f>+-HLOOKUP(CO2,'Control y Supuestos'!$B$1:$M$16,8,FALSE)*'EEFF proyectados'!CO5</f>
        <v>-3811713.6699778419</v>
      </c>
      <c r="CP9" s="235">
        <f>+-HLOOKUP(CP2,'Control y Supuestos'!$B$1:$M$16,8,FALSE)*'EEFF proyectados'!CP5</f>
        <v>-3811713.6699778419</v>
      </c>
      <c r="CQ9" s="235">
        <f>+-HLOOKUP(CQ2,'Control y Supuestos'!$B$1:$M$16,8,FALSE)*'EEFF proyectados'!CQ5</f>
        <v>-3811713.6699778419</v>
      </c>
      <c r="CR9" s="235">
        <f>+-HLOOKUP(CR2,'Control y Supuestos'!$B$1:$M$16,8,FALSE)*'EEFF proyectados'!CR5</f>
        <v>-3811713.6699778419</v>
      </c>
      <c r="CS9" s="235">
        <f>+-HLOOKUP(CS2,'Control y Supuestos'!$B$1:$M$16,8,FALSE)*'EEFF proyectados'!CS5</f>
        <v>-3811713.6699778419</v>
      </c>
      <c r="CT9" s="235">
        <f>+-HLOOKUP(CT2,'Control y Supuestos'!$B$1:$M$16,8,FALSE)*'EEFF proyectados'!CT5</f>
        <v>-3811713.6699778419</v>
      </c>
      <c r="CU9" s="235">
        <f>+-HLOOKUP(CU2,'Control y Supuestos'!$B$1:$M$16,8,FALSE)*'EEFF proyectados'!CU5</f>
        <v>-3811713.6699778419</v>
      </c>
      <c r="CV9" s="235">
        <f>+-HLOOKUP(CV2,'Control y Supuestos'!$B$1:$M$16,8,FALSE)*'EEFF proyectados'!CV5</f>
        <v>-3811713.6699778419</v>
      </c>
      <c r="CW9" s="235">
        <f>+-HLOOKUP(CW2,'Control y Supuestos'!$B$1:$M$16,8,FALSE)*'EEFF proyectados'!CW5</f>
        <v>-3811713.6699778419</v>
      </c>
      <c r="CX9" s="235">
        <f>+-HLOOKUP(CX2,'Control y Supuestos'!$B$1:$M$16,8,FALSE)*'EEFF proyectados'!CX5</f>
        <v>-3811713.6699778419</v>
      </c>
      <c r="CY9" s="235">
        <f>+-HLOOKUP(CY2,'Control y Supuestos'!$B$1:$M$16,8,FALSE)*'EEFF proyectados'!CY5</f>
        <v>-3811713.6699778419</v>
      </c>
      <c r="CZ9" s="235">
        <f>+-HLOOKUP(CZ2,'Control y Supuestos'!$B$1:$M$16,8,FALSE)*'EEFF proyectados'!CZ5</f>
        <v>-3811713.6699778419</v>
      </c>
      <c r="DA9" s="235">
        <f t="shared" si="22"/>
        <v>-45740564.039734118</v>
      </c>
      <c r="DB9" s="235">
        <f>+-HLOOKUP(DB2,'Control y Supuestos'!$B$1:$M$16,8,FALSE)*'EEFF proyectados'!DB5</f>
        <v>-3811713.6699778419</v>
      </c>
      <c r="DC9" s="235">
        <f>+-HLOOKUP(DC2,'Control y Supuestos'!$B$1:$M$16,8,FALSE)*'EEFF proyectados'!DC5</f>
        <v>-3811713.6699778419</v>
      </c>
      <c r="DD9" s="235">
        <f>+-HLOOKUP(DD2,'Control y Supuestos'!$B$1:$M$16,8,FALSE)*'EEFF proyectados'!DD5</f>
        <v>-3811713.6699778419</v>
      </c>
      <c r="DE9" s="235">
        <f>+-HLOOKUP(DE2,'Control y Supuestos'!$B$1:$M$16,8,FALSE)*'EEFF proyectados'!DE5</f>
        <v>-3811713.6699778419</v>
      </c>
      <c r="DF9" s="235">
        <f>+-HLOOKUP(DF2,'Control y Supuestos'!$B$1:$M$16,8,FALSE)*'EEFF proyectados'!DF5</f>
        <v>-3811713.6699778419</v>
      </c>
      <c r="DG9" s="235">
        <f>+-HLOOKUP(DG2,'Control y Supuestos'!$B$1:$M$16,8,FALSE)*'EEFF proyectados'!DG5</f>
        <v>-3811713.6699778419</v>
      </c>
      <c r="DH9" s="235">
        <f>+-HLOOKUP(DH2,'Control y Supuestos'!$B$1:$M$16,8,FALSE)*'EEFF proyectados'!DH5</f>
        <v>-3811713.6699778419</v>
      </c>
      <c r="DI9" s="235">
        <f>+-HLOOKUP(DI2,'Control y Supuestos'!$B$1:$M$16,8,FALSE)*'EEFF proyectados'!DI5</f>
        <v>-3811713.6699778419</v>
      </c>
      <c r="DJ9" s="235">
        <f>+-HLOOKUP(DJ2,'Control y Supuestos'!$B$1:$M$16,8,FALSE)*'EEFF proyectados'!DJ5</f>
        <v>-3811713.6699778419</v>
      </c>
      <c r="DK9" s="235">
        <f>+-HLOOKUP(DK2,'Control y Supuestos'!$B$1:$M$16,8,FALSE)*'EEFF proyectados'!DK5</f>
        <v>-3811713.6699778419</v>
      </c>
      <c r="DL9" s="235">
        <f>+-HLOOKUP(DL2,'Control y Supuestos'!$B$1:$M$16,8,FALSE)*'EEFF proyectados'!DL5</f>
        <v>-3811713.6699778419</v>
      </c>
      <c r="DM9" s="235">
        <f>+-HLOOKUP(DM2,'Control y Supuestos'!$B$1:$M$16,8,FALSE)*'EEFF proyectados'!DM5</f>
        <v>-3811713.6699778419</v>
      </c>
      <c r="DN9" s="235">
        <f t="shared" si="23"/>
        <v>-45740564.039734118</v>
      </c>
      <c r="DO9" s="235">
        <f>+-HLOOKUP(DO2,'Control y Supuestos'!$B$1:$M$16,8,FALSE)*'EEFF proyectados'!DO5</f>
        <v>-3811713.6699778419</v>
      </c>
      <c r="DP9" s="235">
        <f>+-HLOOKUP(DP2,'Control y Supuestos'!$B$1:$M$16,8,FALSE)*'EEFF proyectados'!DP5</f>
        <v>-3811713.6699778419</v>
      </c>
      <c r="DQ9" s="235">
        <f>+-HLOOKUP(DQ2,'Control y Supuestos'!$B$1:$M$16,8,FALSE)*'EEFF proyectados'!DQ5</f>
        <v>-3811713.6699778419</v>
      </c>
      <c r="DR9" s="235">
        <f>+-HLOOKUP(DR2,'Control y Supuestos'!$B$1:$M$16,8,FALSE)*'EEFF proyectados'!DR5</f>
        <v>-3811713.6699778419</v>
      </c>
      <c r="DS9" s="235">
        <f>+-HLOOKUP(DS2,'Control y Supuestos'!$B$1:$M$16,8,FALSE)*'EEFF proyectados'!DS5</f>
        <v>-3811713.6699778419</v>
      </c>
      <c r="DT9" s="235">
        <f>+-HLOOKUP(DT2,'Control y Supuestos'!$B$1:$M$16,8,FALSE)*'EEFF proyectados'!DT5</f>
        <v>-3811713.6699778419</v>
      </c>
      <c r="DU9" s="235">
        <f>+-HLOOKUP(DU2,'Control y Supuestos'!$B$1:$M$16,8,FALSE)*'EEFF proyectados'!DU5</f>
        <v>-3811713.6699778419</v>
      </c>
      <c r="DV9" s="235">
        <f>+-HLOOKUP(DV2,'Control y Supuestos'!$B$1:$M$16,8,FALSE)*'EEFF proyectados'!DV5</f>
        <v>-3811713.6699778419</v>
      </c>
      <c r="DW9" s="235">
        <f>+-HLOOKUP(DW2,'Control y Supuestos'!$B$1:$M$16,8,FALSE)*'EEFF proyectados'!DW5</f>
        <v>-3811713.6699778419</v>
      </c>
      <c r="DX9" s="235">
        <f>+-HLOOKUP(DX2,'Control y Supuestos'!$B$1:$M$16,8,FALSE)*'EEFF proyectados'!DX5</f>
        <v>-3811713.6699778419</v>
      </c>
      <c r="DY9" s="235">
        <f>+-HLOOKUP(DY2,'Control y Supuestos'!$B$1:$M$16,8,FALSE)*'EEFF proyectados'!DY5</f>
        <v>-3811713.6699778419</v>
      </c>
      <c r="DZ9" s="235">
        <f>+-HLOOKUP(DZ2,'Control y Supuestos'!$B$1:$M$16,8,FALSE)*'EEFF proyectados'!DZ5</f>
        <v>-3811713.6699778419</v>
      </c>
      <c r="EA9" s="235">
        <f t="shared" si="24"/>
        <v>-45740564.039734118</v>
      </c>
      <c r="EB9" s="235">
        <f>+-HLOOKUP(EB2,'Control y Supuestos'!$B$1:$M$16,8,FALSE)*'EEFF proyectados'!EB5</f>
        <v>-3811713.6699778419</v>
      </c>
      <c r="EC9" s="235">
        <f>+-HLOOKUP(EC2,'Control y Supuestos'!$B$1:$M$16,8,FALSE)*'EEFF proyectados'!EC5</f>
        <v>-3811713.6699778419</v>
      </c>
      <c r="ED9" s="235">
        <f>+-HLOOKUP(ED2,'Control y Supuestos'!$B$1:$M$16,8,FALSE)*'EEFF proyectados'!ED5</f>
        <v>-3811713.6699778419</v>
      </c>
      <c r="EE9" s="235">
        <f>+-HLOOKUP(EE2,'Control y Supuestos'!$B$1:$M$16,8,FALSE)*'EEFF proyectados'!EE5</f>
        <v>-3811713.6699778419</v>
      </c>
      <c r="EF9" s="235">
        <f>+-HLOOKUP(EF2,'Control y Supuestos'!$B$1:$M$16,8,FALSE)*'EEFF proyectados'!EF5</f>
        <v>-3811713.6699778419</v>
      </c>
      <c r="EG9" s="235">
        <f>+-HLOOKUP(EG2,'Control y Supuestos'!$B$1:$M$16,8,FALSE)*'EEFF proyectados'!EG5</f>
        <v>-3811713.6699778419</v>
      </c>
      <c r="EH9" s="235">
        <f>+-HLOOKUP(EH2,'Control y Supuestos'!$B$1:$M$16,8,FALSE)*'EEFF proyectados'!EH5</f>
        <v>-3811713.6699778419</v>
      </c>
      <c r="EI9" s="235">
        <f>+-HLOOKUP(EI2,'Control y Supuestos'!$B$1:$M$16,8,FALSE)*'EEFF proyectados'!EI5</f>
        <v>-3811713.6699778419</v>
      </c>
      <c r="EJ9" s="235">
        <f>+-HLOOKUP(EJ2,'Control y Supuestos'!$B$1:$M$16,8,FALSE)*'EEFF proyectados'!EJ5</f>
        <v>-3811713.6699778419</v>
      </c>
      <c r="EK9" s="235">
        <f>+-HLOOKUP(EK2,'Control y Supuestos'!$B$1:$M$16,8,FALSE)*'EEFF proyectados'!EK5</f>
        <v>-3811713.6699778419</v>
      </c>
      <c r="EL9" s="235">
        <f>+-HLOOKUP(EL2,'Control y Supuestos'!$B$1:$M$16,8,FALSE)*'EEFF proyectados'!EL5</f>
        <v>-3811713.6699778419</v>
      </c>
      <c r="EM9" s="235">
        <f>+-HLOOKUP(EM2,'Control y Supuestos'!$B$1:$M$16,8,FALSE)*'EEFF proyectados'!EM5</f>
        <v>-3811713.6699778419</v>
      </c>
      <c r="EN9" s="235">
        <f t="shared" si="25"/>
        <v>-45740564.039734118</v>
      </c>
    </row>
    <row r="10" spans="1:183" s="236" customFormat="1" x14ac:dyDescent="0.25">
      <c r="A10" s="234" t="s">
        <v>252</v>
      </c>
      <c r="B10" s="235">
        <f>+SUM('EEFF base'!BB14:BB15,'EEFF base'!BB17:BB19)</f>
        <v>-8850243.1799999978</v>
      </c>
      <c r="C10" s="235">
        <f>+SUM('EEFF base'!BC14:BC15,'EEFF base'!BC17:BC19)</f>
        <v>1434140.8399999999</v>
      </c>
      <c r="D10" s="235">
        <f>+SUM('EEFF base'!BD14:BD15,'EEFF base'!BD17:BD19)</f>
        <v>319948.7699999999</v>
      </c>
      <c r="E10" s="235">
        <f>+SUM('EEFF base'!BE14:BE15,'EEFF base'!BE17:BE19)</f>
        <v>253789.0400000001</v>
      </c>
      <c r="F10" s="235">
        <f>+SUM('EEFF base'!BF14:BF15,'EEFF base'!BF17:BF19)</f>
        <v>17421.039999999979</v>
      </c>
      <c r="G10" s="235">
        <f>+SUM('EEFF base'!BG14:BG15,'EEFF base'!BG17:BG19)</f>
        <v>495258.07999999996</v>
      </c>
      <c r="H10" s="235">
        <f>+SUM('EEFF base'!BH14:BH15,'EEFF base'!BH17:BH19)</f>
        <v>120511.19999999998</v>
      </c>
      <c r="I10" s="235">
        <f>+SUM('EEFF base'!BI14:BI15,'EEFF base'!BI17:BI19)</f>
        <v>-833757.17999999935</v>
      </c>
      <c r="J10" s="235">
        <f>+SUM('EEFF base'!BJ14:BJ15,'EEFF base'!BJ17:BJ19)</f>
        <v>-6624693.3000000007</v>
      </c>
      <c r="K10" s="235">
        <f>+SUM('EEFF base'!BK14:BK15,'EEFF base'!BK17:BK19)</f>
        <v>-530600.77</v>
      </c>
      <c r="L10" s="235">
        <f>+SUM('EEFF base'!BL14:BL15,'EEFF base'!BL17:BL19)</f>
        <v>-286240.37000000005</v>
      </c>
      <c r="M10" s="235">
        <f>+SUM('EEFF base'!BM14:BM15,'EEFF base'!BM17:BM19)</f>
        <v>-691127.02</v>
      </c>
      <c r="N10" s="235">
        <f t="shared" si="26"/>
        <v>-15175592.849999996</v>
      </c>
      <c r="O10" s="235">
        <f>+SUM('EEFF base'!BO14:BO15,'EEFF base'!BO17:BO19)</f>
        <v>-1834322.7799999993</v>
      </c>
      <c r="P10" s="235">
        <f>+SUM('EEFF base'!BP14:BP15,'EEFF base'!BP17:BP19)</f>
        <v>-1714230.77</v>
      </c>
      <c r="Q10" s="235">
        <f>+SUM('EEFF base'!BQ14:BQ15,'EEFF base'!BQ17:BQ19)</f>
        <v>405132.28</v>
      </c>
      <c r="R10" s="235">
        <f>+SUM('EEFF base'!BR14:BR15,'EEFF base'!BR17:BR19)</f>
        <v>-738105.85000000009</v>
      </c>
      <c r="S10" s="235">
        <f>+SUM('EEFF base'!BS14:BS15,'EEFF base'!BS17:BS19)</f>
        <v>-1474028.9400000002</v>
      </c>
      <c r="T10" s="235">
        <f>+SUM('EEFF base'!BT14:BT15,'EEFF base'!BT17:BT19)</f>
        <v>-1156908.6500000001</v>
      </c>
      <c r="U10" s="235">
        <f>+SUM('EEFF base'!BU14:BU15,'EEFF base'!BU17:BU19)</f>
        <v>-183216.07999999996</v>
      </c>
      <c r="V10" s="235">
        <f>+SUM('EEFF base'!BV14:BV15,'EEFF base'!BV17:BV19)</f>
        <v>-1718022.2100000004</v>
      </c>
      <c r="W10" s="235">
        <f>+SUM('EEFF base'!BW14:BW15,'EEFF base'!BW17:BW19)</f>
        <v>4583759.2600000007</v>
      </c>
      <c r="X10" s="235">
        <f>+SUM('EEFF base'!BX14:BX15,'EEFF base'!BX17:BX19)</f>
        <v>-118731.84000000003</v>
      </c>
      <c r="Y10" s="235">
        <f>+SUM('EEFF base'!BY14:BY15,'EEFF base'!BY17:BY19)</f>
        <v>-63070.310000000041</v>
      </c>
      <c r="Z10" s="235">
        <f>+SUM('EEFF base'!BZ14:BZ15,'EEFF base'!BZ17:BZ19)</f>
        <v>517948.83999999991</v>
      </c>
      <c r="AA10" s="235">
        <f t="shared" si="27"/>
        <v>-3493797.0499999993</v>
      </c>
      <c r="AB10" s="235">
        <f>+SUM('EEFF base'!CB14:CB15,'EEFF base'!CB17:CB19)</f>
        <v>-2078906.8299999989</v>
      </c>
      <c r="AC10" s="235">
        <f>+SUM('EEFF base'!CC14:CC15,'EEFF base'!CC17:CC19)</f>
        <v>-2043995.2499999991</v>
      </c>
      <c r="AD10" s="235">
        <f>+SUM('EEFF base'!CD14:CD15,'EEFF base'!CD17:CD19)</f>
        <v>99458.729999999952</v>
      </c>
      <c r="AE10" s="235">
        <f>+SUM('EEFF base'!CE14:CE15,'EEFF base'!CE17:CE19)</f>
        <v>181281.32000000004</v>
      </c>
      <c r="AF10" s="235">
        <f>+SUM('EEFF base'!CF14:CF15,'EEFF base'!CF17:CF19)</f>
        <v>53170.720000000059</v>
      </c>
      <c r="AG10" s="235">
        <f>+SUM('EEFF base'!CG14:CG15,'EEFF base'!CG17:CG19)</f>
        <v>-237288.13</v>
      </c>
      <c r="AH10" s="235">
        <f>+SUM('EEFF base'!CH14:CH15,'EEFF base'!CH17:CH19)</f>
        <v>-1001360.09</v>
      </c>
      <c r="AI10" s="235">
        <f>+SUM('EEFF base'!CI14:CI15,'EEFF base'!CI17:CI19)</f>
        <v>-643235.96</v>
      </c>
      <c r="AJ10" s="235">
        <f>+SUM('EEFF base'!CJ14:CJ15,'EEFF base'!CJ17:CJ19)</f>
        <v>1626854.2700000047</v>
      </c>
      <c r="AK10" s="235">
        <f>+SUM('EEFF base'!CK14:CK15,'EEFF base'!CK17:CK19)</f>
        <v>-310417.2199999998</v>
      </c>
      <c r="AL10" s="235">
        <f>+SUM('EEFF base'!CL14:CL15,'EEFF base'!CL17:CL19)</f>
        <v>308002.82999999984</v>
      </c>
      <c r="AM10" s="235">
        <f>+SUM('EEFF base'!CM14:CM15,'EEFF base'!CM17:CM19)</f>
        <v>238610.99000000025</v>
      </c>
      <c r="AN10" s="235">
        <f t="shared" si="28"/>
        <v>-3807824.6199999936</v>
      </c>
      <c r="AO10" s="235">
        <f>+SUM('EEFF historicoss'!R13:R17)</f>
        <v>-1276296.0699999998</v>
      </c>
      <c r="AP10" s="235">
        <f>+SUM('EEFF historicoss'!S13:S17)</f>
        <v>-1148716.3800000001</v>
      </c>
      <c r="AQ10" s="235">
        <f>+SUM('EEFF historicoss'!T13:T17)</f>
        <v>-857631.23</v>
      </c>
      <c r="AR10" s="235">
        <f>+SUM('EEFF historicoss'!U13:U17)</f>
        <v>-1774094.5899999996</v>
      </c>
      <c r="AS10" s="235">
        <f>+SUM('EEFF historicoss'!V13:V17)</f>
        <v>377374.22000000003</v>
      </c>
      <c r="AT10" s="235">
        <f>+SUM('EEFF historicoss'!W13:W17)</f>
        <v>2545627.63</v>
      </c>
      <c r="AU10" s="235">
        <f>+SUM('EEFF historicoss'!X13:X17)</f>
        <v>-774381.3</v>
      </c>
      <c r="AV10" s="235">
        <f>+SUM('EEFF historicoss'!Y13:Y17)</f>
        <v>7023819.9500000011</v>
      </c>
      <c r="AW10" s="235">
        <f>+SUM('EEFF historicoss'!Z13:Z17)</f>
        <v>12253.020000000048</v>
      </c>
      <c r="AX10" s="235">
        <f>+SUM('EEFF historicoss'!AA13:AA17)</f>
        <v>319601.79000000004</v>
      </c>
      <c r="AY10" s="235">
        <f>+SUM('EEFF historicoss'!AB13:AB17)</f>
        <v>988616.76</v>
      </c>
      <c r="AZ10" s="235">
        <f>+SUM('EEFF historicoss'!AC13:AC17)</f>
        <v>338697.85</v>
      </c>
      <c r="BA10" s="235">
        <f t="shared" si="29"/>
        <v>5774871.6500000004</v>
      </c>
      <c r="BB10" s="235">
        <f>+SUM('EEFF historicoss'!AE13:AE17)</f>
        <v>840567.0399999998</v>
      </c>
      <c r="BC10" s="235">
        <f>+SUM('EEFF historicoss'!AF13:AF17)</f>
        <v>301008.05000000005</v>
      </c>
      <c r="BD10" s="235">
        <f>+SUM('EEFF historicoss'!AG13:AG17)</f>
        <v>750598.9</v>
      </c>
      <c r="BE10" s="235">
        <f>+SUM('EEFF historicoss'!AH13:AH17)</f>
        <v>-7291701.9500000002</v>
      </c>
      <c r="BF10" s="235">
        <f>+SUM('EEFF historicoss'!AI13:AI17)</f>
        <v>-181389.30000000005</v>
      </c>
      <c r="BG10" s="235">
        <f>+SUM('EEFF historicoss'!AJ13:AJ17)</f>
        <v>-3577247.68</v>
      </c>
      <c r="BH10" s="235">
        <f>+SUM('EEFF historicoss'!AK13:AK17)</f>
        <v>1501687.71</v>
      </c>
      <c r="BI10" s="235">
        <f>+SUM('EEFF historicoss'!AL13:AL17)</f>
        <v>-663115.1</v>
      </c>
      <c r="BJ10" s="235">
        <f>+SUM('EEFF historicoss'!AM13:AM17)</f>
        <v>1132985.1599999999</v>
      </c>
      <c r="BK10" s="235">
        <f>+SUM('EEFF historicoss'!AN13:AN17)</f>
        <v>1206971.6399999999</v>
      </c>
      <c r="BL10" s="235">
        <f>+SUM('EEFF historicoss'!AO13:AO17)</f>
        <v>-759820.28</v>
      </c>
      <c r="BM10" s="235">
        <f>+SUM('EEFF historicoss'!AP13:AP17)</f>
        <v>4129074.16</v>
      </c>
      <c r="BN10" s="235">
        <f t="shared" si="30"/>
        <v>-2610381.6500000013</v>
      </c>
      <c r="BO10" s="235">
        <f>+SUM('EEFF historicoss'!AR13:AR17)</f>
        <v>-2002187.7000000002</v>
      </c>
      <c r="BP10" s="235">
        <f>+SUM('EEFF historicoss'!AS13:AS17)</f>
        <v>-41543.619999999995</v>
      </c>
      <c r="BQ10" s="235">
        <f>+SUM('EEFF historicoss'!AT13:AT17)</f>
        <v>501698.7</v>
      </c>
      <c r="BR10" s="235">
        <f>+SUM('EEFF historicoss'!AU13:AU17)</f>
        <v>-2293853.1100000003</v>
      </c>
      <c r="BS10" s="235">
        <f>+SUM('EEFF historicoss'!AV13:AV17)</f>
        <v>555075.16</v>
      </c>
      <c r="BT10" s="235">
        <f>+SUM('EEFF historicoss'!AW13:AW17)</f>
        <v>-9457708.9299999997</v>
      </c>
      <c r="BU10" s="235">
        <f>+-'Presupuesto 25'!I78-'Presupuesto 25'!I82+'Presupuesto 25'!I17+'Presupuesto 25'!I23</f>
        <v>0</v>
      </c>
      <c r="BV10" s="235">
        <f>+-'Presupuesto 25'!J78-'Presupuesto 25'!J82+'Presupuesto 25'!J17+'Presupuesto 25'!J23</f>
        <v>0</v>
      </c>
      <c r="BW10" s="235">
        <f>+-'Presupuesto 25'!K78-'Presupuesto 25'!K82+'Presupuesto 25'!K17+'Presupuesto 25'!K23</f>
        <v>0</v>
      </c>
      <c r="BX10" s="235">
        <f>+-'Presupuesto 25'!L78-'Presupuesto 25'!L82+'Presupuesto 25'!L17+'Presupuesto 25'!L23</f>
        <v>0</v>
      </c>
      <c r="BY10" s="235">
        <f>+-'Presupuesto 25'!M78-'Presupuesto 25'!M82+'Presupuesto 25'!M17+'Presupuesto 25'!M23</f>
        <v>0</v>
      </c>
      <c r="BZ10" s="235">
        <f>+-'Presupuesto 25'!N78-'Presupuesto 25'!N82+'Presupuesto 25'!N17+'Presupuesto 25'!N23</f>
        <v>0</v>
      </c>
      <c r="CA10" s="235">
        <f t="shared" si="31"/>
        <v>-12738519.5</v>
      </c>
      <c r="CB10" s="235">
        <f>+-HLOOKUP(CB2,'Control y Supuestos'!$B$1:$M$16,13,FALSE)*'EEFF proyectados'!CB5</f>
        <v>-1109686.5346044444</v>
      </c>
      <c r="CC10" s="235">
        <f>+-HLOOKUP(CC2,'Control y Supuestos'!$B$1:$M$16,13,FALSE)*'EEFF proyectados'!CC5</f>
        <v>-1109686.5346044444</v>
      </c>
      <c r="CD10" s="235">
        <f>+-HLOOKUP(CD2,'Control y Supuestos'!$B$1:$M$16,13,FALSE)*'EEFF proyectados'!CD5</f>
        <v>-1109686.5346044444</v>
      </c>
      <c r="CE10" s="235">
        <f>+-HLOOKUP(CE2,'Control y Supuestos'!$B$1:$M$16,13,FALSE)*'EEFF proyectados'!CE5</f>
        <v>-1109686.5346044444</v>
      </c>
      <c r="CF10" s="235">
        <f>+-HLOOKUP(CF2,'Control y Supuestos'!$B$1:$M$16,13,FALSE)*'EEFF proyectados'!CF5</f>
        <v>-1109686.5346044444</v>
      </c>
      <c r="CG10" s="235">
        <f>+-HLOOKUP(CG2,'Control y Supuestos'!$B$1:$M$16,13,FALSE)*'EEFF proyectados'!CG5</f>
        <v>-1109686.5346044444</v>
      </c>
      <c r="CH10" s="235">
        <f>+-HLOOKUP(CH2,'Control y Supuestos'!$B$1:$M$16,13,FALSE)*'EEFF proyectados'!CH5</f>
        <v>-1109686.5346044444</v>
      </c>
      <c r="CI10" s="235">
        <f>+-HLOOKUP(CI2,'Control y Supuestos'!$B$1:$M$16,13,FALSE)*'EEFF proyectados'!CI5</f>
        <v>-1109686.5346044444</v>
      </c>
      <c r="CJ10" s="235">
        <f>+-HLOOKUP(CJ2,'Control y Supuestos'!$B$1:$M$16,13,FALSE)*'EEFF proyectados'!CJ5</f>
        <v>-1109686.5346044444</v>
      </c>
      <c r="CK10" s="235">
        <f>+-HLOOKUP(CK2,'Control y Supuestos'!$B$1:$M$16,13,FALSE)*'EEFF proyectados'!CK5</f>
        <v>-1109686.5346044444</v>
      </c>
      <c r="CL10" s="235">
        <f>+-HLOOKUP(CL2,'Control y Supuestos'!$B$1:$M$16,13,FALSE)*'EEFF proyectados'!CL5</f>
        <v>-1109686.5346044444</v>
      </c>
      <c r="CM10" s="235">
        <f>+-HLOOKUP(CM2,'Control y Supuestos'!$B$1:$M$16,13,FALSE)*'EEFF proyectados'!CM5</f>
        <v>-1109686.5346044444</v>
      </c>
      <c r="CN10" s="235">
        <f t="shared" si="21"/>
        <v>-13316238.415253336</v>
      </c>
      <c r="CO10" s="235">
        <f>+-HLOOKUP(CO2,'Control y Supuestos'!$B$1:$M$16,13,FALSE)*'EEFF proyectados'!CO5</f>
        <v>-1109686.5346044444</v>
      </c>
      <c r="CP10" s="235">
        <f>+-HLOOKUP(CP2,'Control y Supuestos'!$B$1:$M$16,13,FALSE)*'EEFF proyectados'!CP5</f>
        <v>-1109686.5346044444</v>
      </c>
      <c r="CQ10" s="235">
        <f>+-HLOOKUP(CQ2,'Control y Supuestos'!$B$1:$M$16,13,FALSE)*'EEFF proyectados'!CQ5</f>
        <v>-1109686.5346044444</v>
      </c>
      <c r="CR10" s="235">
        <f>+-HLOOKUP(CR2,'Control y Supuestos'!$B$1:$M$16,13,FALSE)*'EEFF proyectados'!CR5</f>
        <v>-1109686.5346044444</v>
      </c>
      <c r="CS10" s="235">
        <f>+-HLOOKUP(CS2,'Control y Supuestos'!$B$1:$M$16,13,FALSE)*'EEFF proyectados'!CS5</f>
        <v>-1109686.5346044444</v>
      </c>
      <c r="CT10" s="235">
        <f>+-HLOOKUP(CT2,'Control y Supuestos'!$B$1:$M$16,13,FALSE)*'EEFF proyectados'!CT5</f>
        <v>-1109686.5346044444</v>
      </c>
      <c r="CU10" s="235">
        <f>+-HLOOKUP(CU2,'Control y Supuestos'!$B$1:$M$16,13,FALSE)*'EEFF proyectados'!CU5</f>
        <v>-1109686.5346044444</v>
      </c>
      <c r="CV10" s="235">
        <f>+-HLOOKUP(CV2,'Control y Supuestos'!$B$1:$M$16,13,FALSE)*'EEFF proyectados'!CV5</f>
        <v>-1109686.5346044444</v>
      </c>
      <c r="CW10" s="235">
        <f>+-HLOOKUP(CW2,'Control y Supuestos'!$B$1:$M$16,13,FALSE)*'EEFF proyectados'!CW5</f>
        <v>-1109686.5346044444</v>
      </c>
      <c r="CX10" s="235">
        <f>+-HLOOKUP(CX2,'Control y Supuestos'!$B$1:$M$16,13,FALSE)*'EEFF proyectados'!CX5</f>
        <v>-1109686.5346044444</v>
      </c>
      <c r="CY10" s="235">
        <f>+-HLOOKUP(CY2,'Control y Supuestos'!$B$1:$M$16,13,FALSE)*'EEFF proyectados'!CY5</f>
        <v>-1109686.5346044444</v>
      </c>
      <c r="CZ10" s="235">
        <f>+-HLOOKUP(CZ2,'Control y Supuestos'!$B$1:$M$16,13,FALSE)*'EEFF proyectados'!CZ5</f>
        <v>-1109686.5346044444</v>
      </c>
      <c r="DA10" s="235">
        <f t="shared" si="22"/>
        <v>-13316238.415253336</v>
      </c>
      <c r="DB10" s="235">
        <f>+-HLOOKUP(DB2,'Control y Supuestos'!$B$1:$M$16,13,FALSE)*'EEFF proyectados'!DB5</f>
        <v>-1109686.5346044444</v>
      </c>
      <c r="DC10" s="235">
        <f>+-HLOOKUP(DC2,'Control y Supuestos'!$B$1:$M$16,13,FALSE)*'EEFF proyectados'!DC5</f>
        <v>-1109686.5346044444</v>
      </c>
      <c r="DD10" s="235">
        <f>+-HLOOKUP(DD2,'Control y Supuestos'!$B$1:$M$16,13,FALSE)*'EEFF proyectados'!DD5</f>
        <v>-1109686.5346044444</v>
      </c>
      <c r="DE10" s="235">
        <f>+-HLOOKUP(DE2,'Control y Supuestos'!$B$1:$M$16,13,FALSE)*'EEFF proyectados'!DE5</f>
        <v>-1109686.5346044444</v>
      </c>
      <c r="DF10" s="235">
        <f>+-HLOOKUP(DF2,'Control y Supuestos'!$B$1:$M$16,13,FALSE)*'EEFF proyectados'!DF5</f>
        <v>-1109686.5346044444</v>
      </c>
      <c r="DG10" s="235">
        <f>+-HLOOKUP(DG2,'Control y Supuestos'!$B$1:$M$16,13,FALSE)*'EEFF proyectados'!DG5</f>
        <v>-1109686.5346044444</v>
      </c>
      <c r="DH10" s="235">
        <f>+-HLOOKUP(DH2,'Control y Supuestos'!$B$1:$M$16,13,FALSE)*'EEFF proyectados'!DH5</f>
        <v>-1109686.5346044444</v>
      </c>
      <c r="DI10" s="235">
        <f>+-HLOOKUP(DI2,'Control y Supuestos'!$B$1:$M$16,13,FALSE)*'EEFF proyectados'!DI5</f>
        <v>-1109686.5346044444</v>
      </c>
      <c r="DJ10" s="235">
        <f>+-HLOOKUP(DJ2,'Control y Supuestos'!$B$1:$M$16,13,FALSE)*'EEFF proyectados'!DJ5</f>
        <v>-1109686.5346044444</v>
      </c>
      <c r="DK10" s="235">
        <f>+-HLOOKUP(DK2,'Control y Supuestos'!$B$1:$M$16,13,FALSE)*'EEFF proyectados'!DK5</f>
        <v>-1109686.5346044444</v>
      </c>
      <c r="DL10" s="235">
        <f>+-HLOOKUP(DL2,'Control y Supuestos'!$B$1:$M$16,13,FALSE)*'EEFF proyectados'!DL5</f>
        <v>-1109686.5346044444</v>
      </c>
      <c r="DM10" s="235">
        <f>+-HLOOKUP(DM2,'Control y Supuestos'!$B$1:$M$16,13,FALSE)*'EEFF proyectados'!DM5</f>
        <v>-1109686.5346044444</v>
      </c>
      <c r="DN10" s="235">
        <f t="shared" si="23"/>
        <v>-13316238.415253336</v>
      </c>
      <c r="DO10" s="235">
        <f>+-HLOOKUP(DO2,'Control y Supuestos'!$B$1:$M$16,13,FALSE)*'EEFF proyectados'!DO5</f>
        <v>-1109686.5346044444</v>
      </c>
      <c r="DP10" s="235">
        <f>+-HLOOKUP(DP2,'Control y Supuestos'!$B$1:$M$16,13,FALSE)*'EEFF proyectados'!DP5</f>
        <v>-1109686.5346044444</v>
      </c>
      <c r="DQ10" s="235">
        <f>+-HLOOKUP(DQ2,'Control y Supuestos'!$B$1:$M$16,13,FALSE)*'EEFF proyectados'!DQ5</f>
        <v>-1109686.5346044444</v>
      </c>
      <c r="DR10" s="235">
        <f>+-HLOOKUP(DR2,'Control y Supuestos'!$B$1:$M$16,13,FALSE)*'EEFF proyectados'!DR5</f>
        <v>-1109686.5346044444</v>
      </c>
      <c r="DS10" s="235">
        <f>+-HLOOKUP(DS2,'Control y Supuestos'!$B$1:$M$16,13,FALSE)*'EEFF proyectados'!DS5</f>
        <v>-1109686.5346044444</v>
      </c>
      <c r="DT10" s="235">
        <f>+-HLOOKUP(DT2,'Control y Supuestos'!$B$1:$M$16,13,FALSE)*'EEFF proyectados'!DT5</f>
        <v>-1109686.5346044444</v>
      </c>
      <c r="DU10" s="235">
        <f>+-HLOOKUP(DU2,'Control y Supuestos'!$B$1:$M$16,13,FALSE)*'EEFF proyectados'!DU5</f>
        <v>-1109686.5346044444</v>
      </c>
      <c r="DV10" s="235">
        <f>+-HLOOKUP(DV2,'Control y Supuestos'!$B$1:$M$16,13,FALSE)*'EEFF proyectados'!DV5</f>
        <v>-1109686.5346044444</v>
      </c>
      <c r="DW10" s="235">
        <f>+-HLOOKUP(DW2,'Control y Supuestos'!$B$1:$M$16,13,FALSE)*'EEFF proyectados'!DW5</f>
        <v>-1109686.5346044444</v>
      </c>
      <c r="DX10" s="235">
        <f>+-HLOOKUP(DX2,'Control y Supuestos'!$B$1:$M$16,13,FALSE)*'EEFF proyectados'!DX5</f>
        <v>-1109686.5346044444</v>
      </c>
      <c r="DY10" s="235">
        <f>+-HLOOKUP(DY2,'Control y Supuestos'!$B$1:$M$16,13,FALSE)*'EEFF proyectados'!DY5</f>
        <v>-1109686.5346044444</v>
      </c>
      <c r="DZ10" s="235">
        <f>+-HLOOKUP(DZ2,'Control y Supuestos'!$B$1:$M$16,13,FALSE)*'EEFF proyectados'!DZ5</f>
        <v>-1109686.5346044444</v>
      </c>
      <c r="EA10" s="235">
        <f t="shared" si="24"/>
        <v>-13316238.415253336</v>
      </c>
      <c r="EB10" s="235">
        <f>+-HLOOKUP(EB2,'Control y Supuestos'!$B$1:$M$16,13,FALSE)*'EEFF proyectados'!EB5</f>
        <v>-1109686.5346044444</v>
      </c>
      <c r="EC10" s="235">
        <f>+-HLOOKUP(EC2,'Control y Supuestos'!$B$1:$M$16,13,FALSE)*'EEFF proyectados'!EC5</f>
        <v>-1109686.5346044444</v>
      </c>
      <c r="ED10" s="235">
        <f>+-HLOOKUP(ED2,'Control y Supuestos'!$B$1:$M$16,13,FALSE)*'EEFF proyectados'!ED5</f>
        <v>-1109686.5346044444</v>
      </c>
      <c r="EE10" s="235">
        <f>+-HLOOKUP(EE2,'Control y Supuestos'!$B$1:$M$16,13,FALSE)*'EEFF proyectados'!EE5</f>
        <v>-1109686.5346044444</v>
      </c>
      <c r="EF10" s="235">
        <f>+-HLOOKUP(EF2,'Control y Supuestos'!$B$1:$M$16,13,FALSE)*'EEFF proyectados'!EF5</f>
        <v>-1109686.5346044444</v>
      </c>
      <c r="EG10" s="235">
        <f>+-HLOOKUP(EG2,'Control y Supuestos'!$B$1:$M$16,13,FALSE)*'EEFF proyectados'!EG5</f>
        <v>-1109686.5346044444</v>
      </c>
      <c r="EH10" s="235">
        <f>+-HLOOKUP(EH2,'Control y Supuestos'!$B$1:$M$16,13,FALSE)*'EEFF proyectados'!EH5</f>
        <v>-1109686.5346044444</v>
      </c>
      <c r="EI10" s="235">
        <f>+-HLOOKUP(EI2,'Control y Supuestos'!$B$1:$M$16,13,FALSE)*'EEFF proyectados'!EI5</f>
        <v>-1109686.5346044444</v>
      </c>
      <c r="EJ10" s="235">
        <f>+-HLOOKUP(EJ2,'Control y Supuestos'!$B$1:$M$16,13,FALSE)*'EEFF proyectados'!EJ5</f>
        <v>-1109686.5346044444</v>
      </c>
      <c r="EK10" s="235">
        <f>+-HLOOKUP(EK2,'Control y Supuestos'!$B$1:$M$16,13,FALSE)*'EEFF proyectados'!EK5</f>
        <v>-1109686.5346044444</v>
      </c>
      <c r="EL10" s="235">
        <f>+-HLOOKUP(EL2,'Control y Supuestos'!$B$1:$M$16,13,FALSE)*'EEFF proyectados'!EL5</f>
        <v>-1109686.5346044444</v>
      </c>
      <c r="EM10" s="235">
        <f>+-HLOOKUP(EM2,'Control y Supuestos'!$B$1:$M$16,13,FALSE)*'EEFF proyectados'!EM5</f>
        <v>-1109686.5346044444</v>
      </c>
      <c r="EN10" s="235">
        <f t="shared" si="25"/>
        <v>-13316238.415253336</v>
      </c>
    </row>
    <row r="11" spans="1:183" s="236" customFormat="1" x14ac:dyDescent="0.25">
      <c r="A11" s="237" t="s">
        <v>29</v>
      </c>
      <c r="B11" s="238">
        <f>+SUM(B7:B10)</f>
        <v>-6222182.8899999969</v>
      </c>
      <c r="C11" s="238">
        <f t="shared" ref="C11:M11" si="44">+SUM(C7:C10)</f>
        <v>-7010136.2499999963</v>
      </c>
      <c r="D11" s="238">
        <f t="shared" si="44"/>
        <v>5272731.0700000059</v>
      </c>
      <c r="E11" s="238">
        <f t="shared" si="44"/>
        <v>3278578.5099999947</v>
      </c>
      <c r="F11" s="238">
        <f t="shared" si="44"/>
        <v>-1360263.8699999838</v>
      </c>
      <c r="G11" s="238">
        <f t="shared" si="44"/>
        <v>7826551.8500000509</v>
      </c>
      <c r="H11" s="238">
        <f t="shared" si="44"/>
        <v>15992348.88000004</v>
      </c>
      <c r="I11" s="238">
        <f t="shared" si="44"/>
        <v>2644135.2099999883</v>
      </c>
      <c r="J11" s="238">
        <f t="shared" si="44"/>
        <v>2467352.259999942</v>
      </c>
      <c r="K11" s="238">
        <f t="shared" si="44"/>
        <v>-7213277.0999999959</v>
      </c>
      <c r="L11" s="238">
        <f t="shared" si="44"/>
        <v>5680639.6400000332</v>
      </c>
      <c r="M11" s="238">
        <f t="shared" si="44"/>
        <v>2702895.9700001474</v>
      </c>
      <c r="N11" s="238">
        <f t="shared" si="26"/>
        <v>24059373.280000228</v>
      </c>
      <c r="O11" s="238">
        <f>+SUM(O7:O10)</f>
        <v>4473266.0399999879</v>
      </c>
      <c r="P11" s="238">
        <f t="shared" ref="P11:Z11" si="45">+SUM(P7:P10)</f>
        <v>-3743219.7800000189</v>
      </c>
      <c r="Q11" s="238">
        <f t="shared" si="45"/>
        <v>-533201.79999998747</v>
      </c>
      <c r="R11" s="238">
        <f t="shared" si="45"/>
        <v>25003873.699999966</v>
      </c>
      <c r="S11" s="238">
        <f t="shared" si="45"/>
        <v>-4293223.0200000079</v>
      </c>
      <c r="T11" s="238">
        <f t="shared" si="45"/>
        <v>5082614.9700000435</v>
      </c>
      <c r="U11" s="238">
        <f t="shared" si="45"/>
        <v>1239126.8700000253</v>
      </c>
      <c r="V11" s="238">
        <f t="shared" si="45"/>
        <v>4768970.7699999921</v>
      </c>
      <c r="W11" s="238">
        <f t="shared" si="45"/>
        <v>5508448.3700000104</v>
      </c>
      <c r="X11" s="238">
        <f t="shared" si="45"/>
        <v>-3779776.5900000054</v>
      </c>
      <c r="Y11" s="238">
        <f t="shared" si="45"/>
        <v>1864153.2900000149</v>
      </c>
      <c r="Z11" s="238">
        <f t="shared" si="45"/>
        <v>1521364.6499999538</v>
      </c>
      <c r="AA11" s="238">
        <f t="shared" si="27"/>
        <v>37112397.469999976</v>
      </c>
      <c r="AB11" s="238">
        <f t="shared" ref="AB11:AM11" si="46">+SUM(AB7:AB10)</f>
        <v>4278030.9099999974</v>
      </c>
      <c r="AC11" s="238">
        <f t="shared" si="46"/>
        <v>-6283062.239999962</v>
      </c>
      <c r="AD11" s="238">
        <f t="shared" si="46"/>
        <v>-2380306.4399999981</v>
      </c>
      <c r="AE11" s="238">
        <f t="shared" si="46"/>
        <v>5594082.0899999654</v>
      </c>
      <c r="AF11" s="238">
        <f t="shared" si="46"/>
        <v>10232019.259999961</v>
      </c>
      <c r="AG11" s="238">
        <f t="shared" si="46"/>
        <v>2195487.3200000105</v>
      </c>
      <c r="AH11" s="238">
        <f t="shared" si="46"/>
        <v>5891493.8699999554</v>
      </c>
      <c r="AI11" s="238">
        <f t="shared" si="46"/>
        <v>5370797.5299999835</v>
      </c>
      <c r="AJ11" s="238">
        <f t="shared" si="46"/>
        <v>14082612.989999982</v>
      </c>
      <c r="AK11" s="238">
        <f t="shared" si="46"/>
        <v>-8898976.2199999709</v>
      </c>
      <c r="AL11" s="238">
        <f t="shared" si="46"/>
        <v>-9253547.6300000288</v>
      </c>
      <c r="AM11" s="238">
        <f t="shared" si="46"/>
        <v>12101327.76999994</v>
      </c>
      <c r="AN11" s="238">
        <f t="shared" si="28"/>
        <v>32929959.209999837</v>
      </c>
      <c r="AO11" s="238">
        <f t="shared" ref="AO11:AY11" si="47">+SUM(AO7:AO10)</f>
        <v>-4210285.28</v>
      </c>
      <c r="AP11" s="238">
        <f t="shared" si="47"/>
        <v>-7467877.8899999987</v>
      </c>
      <c r="AQ11" s="238">
        <f t="shared" si="47"/>
        <v>-1483800.5099999984</v>
      </c>
      <c r="AR11" s="238">
        <f t="shared" si="47"/>
        <v>3299934.8799999952</v>
      </c>
      <c r="AS11" s="238">
        <f t="shared" si="47"/>
        <v>5623142.9399999976</v>
      </c>
      <c r="AT11" s="238">
        <f t="shared" si="47"/>
        <v>6024034.9100000029</v>
      </c>
      <c r="AU11" s="238">
        <f t="shared" si="47"/>
        <v>10201275.279999997</v>
      </c>
      <c r="AV11" s="238">
        <f t="shared" si="47"/>
        <v>1665908.3200000012</v>
      </c>
      <c r="AW11" s="238">
        <f t="shared" si="47"/>
        <v>6860514.7100000018</v>
      </c>
      <c r="AX11" s="238">
        <f t="shared" si="47"/>
        <v>20760976.420000002</v>
      </c>
      <c r="AY11" s="238">
        <f t="shared" si="47"/>
        <v>-5976718.9600000009</v>
      </c>
      <c r="AZ11" s="238">
        <f>+SUM(AZ7:AZ10)</f>
        <v>3350897.449999996</v>
      </c>
      <c r="BA11" s="238">
        <f t="shared" si="29"/>
        <v>38648002.269999996</v>
      </c>
      <c r="BB11" s="238">
        <f t="shared" ref="BB11:BL11" si="48">+SUM(BB7:BB10)</f>
        <v>12360028.649999995</v>
      </c>
      <c r="BC11" s="238">
        <f t="shared" si="48"/>
        <v>-7437587.5100000007</v>
      </c>
      <c r="BD11" s="238">
        <f t="shared" si="48"/>
        <v>-5988109.4300000016</v>
      </c>
      <c r="BE11" s="238">
        <f t="shared" si="48"/>
        <v>-16800643.420000002</v>
      </c>
      <c r="BF11" s="238">
        <f t="shared" si="48"/>
        <v>-1027741.3500000017</v>
      </c>
      <c r="BG11" s="238">
        <f t="shared" si="48"/>
        <v>4257778.7700000014</v>
      </c>
      <c r="BH11" s="238">
        <f t="shared" si="48"/>
        <v>5991495.8200000012</v>
      </c>
      <c r="BI11" s="238">
        <f t="shared" si="48"/>
        <v>13384809.390000001</v>
      </c>
      <c r="BJ11" s="238">
        <f t="shared" si="48"/>
        <v>1171953.8899999999</v>
      </c>
      <c r="BK11" s="238">
        <f t="shared" si="48"/>
        <v>15792741.660000004</v>
      </c>
      <c r="BL11" s="238">
        <f t="shared" si="48"/>
        <v>2129682.0999999978</v>
      </c>
      <c r="BM11" s="238">
        <f>+SUM(BM7:BM10)</f>
        <v>529853.14999999711</v>
      </c>
      <c r="BN11" s="238">
        <f t="shared" si="30"/>
        <v>24364261.719999995</v>
      </c>
      <c r="BO11" s="238">
        <f t="shared" ref="BO11:BT11" si="49">+SUM(BO7:BO10)</f>
        <v>793575.7099999967</v>
      </c>
      <c r="BP11" s="238">
        <f t="shared" si="49"/>
        <v>12183861.050000003</v>
      </c>
      <c r="BQ11" s="238">
        <f t="shared" si="49"/>
        <v>9362895.5299999975</v>
      </c>
      <c r="BR11" s="238">
        <f t="shared" si="49"/>
        <v>20460839.100000001</v>
      </c>
      <c r="BS11" s="238">
        <f t="shared" si="49"/>
        <v>1667070.4199999981</v>
      </c>
      <c r="BT11" s="238">
        <f t="shared" si="49"/>
        <v>16109180.990000002</v>
      </c>
      <c r="BU11" s="238">
        <f t="shared" ref="BU11:BZ11" si="50">+SUM(BU7:BU10)</f>
        <v>3395638.2165773539</v>
      </c>
      <c r="BV11" s="238">
        <f t="shared" si="50"/>
        <v>4394695.7847787393</v>
      </c>
      <c r="BW11" s="238">
        <f t="shared" si="50"/>
        <v>4512039.1866709543</v>
      </c>
      <c r="BX11" s="238">
        <f t="shared" si="50"/>
        <v>3917872.3566585658</v>
      </c>
      <c r="BY11" s="238">
        <f t="shared" si="50"/>
        <v>3160359.6882005511</v>
      </c>
      <c r="BZ11" s="238">
        <f t="shared" si="50"/>
        <v>2577154.7636363199</v>
      </c>
      <c r="CA11" s="238">
        <f t="shared" si="31"/>
        <v>82535182.796522483</v>
      </c>
      <c r="CB11" s="238">
        <f t="shared" ref="CB11:CM11" si="51">+SUM(CB7:CB10)</f>
        <v>9271772.2351827826</v>
      </c>
      <c r="CC11" s="238">
        <f t="shared" si="51"/>
        <v>9271772.2351827826</v>
      </c>
      <c r="CD11" s="238">
        <f t="shared" si="51"/>
        <v>9271772.2351827826</v>
      </c>
      <c r="CE11" s="238">
        <f t="shared" si="51"/>
        <v>9271772.2351827826</v>
      </c>
      <c r="CF11" s="238">
        <f t="shared" si="51"/>
        <v>9271772.2351827826</v>
      </c>
      <c r="CG11" s="238">
        <f t="shared" si="51"/>
        <v>9271772.2351827826</v>
      </c>
      <c r="CH11" s="238">
        <f t="shared" si="51"/>
        <v>9271772.2351827826</v>
      </c>
      <c r="CI11" s="238">
        <f t="shared" si="51"/>
        <v>9271772.2351827826</v>
      </c>
      <c r="CJ11" s="238">
        <f t="shared" si="51"/>
        <v>9271772.2351827826</v>
      </c>
      <c r="CK11" s="238">
        <f t="shared" si="51"/>
        <v>9271772.2351827826</v>
      </c>
      <c r="CL11" s="238">
        <f t="shared" si="51"/>
        <v>9271772.2351827826</v>
      </c>
      <c r="CM11" s="238">
        <f t="shared" si="51"/>
        <v>9271772.2351827826</v>
      </c>
      <c r="CN11" s="238">
        <f t="shared" si="21"/>
        <v>111261266.82219337</v>
      </c>
      <c r="CO11" s="238">
        <f t="shared" ref="CO11" si="52">+SUM(CO7:CO10)</f>
        <v>9271772.2351827826</v>
      </c>
      <c r="CP11" s="238">
        <f t="shared" ref="CP11:CZ11" si="53">+SUM(CP7:CP10)</f>
        <v>9271772.2351827826</v>
      </c>
      <c r="CQ11" s="238">
        <f t="shared" si="53"/>
        <v>9271772.2351827826</v>
      </c>
      <c r="CR11" s="238">
        <f t="shared" si="53"/>
        <v>9271772.2351827826</v>
      </c>
      <c r="CS11" s="238">
        <f t="shared" si="53"/>
        <v>9271772.2351827826</v>
      </c>
      <c r="CT11" s="238">
        <f t="shared" si="53"/>
        <v>9271772.2351827826</v>
      </c>
      <c r="CU11" s="238">
        <f t="shared" si="53"/>
        <v>9271772.2351827826</v>
      </c>
      <c r="CV11" s="238">
        <f t="shared" si="53"/>
        <v>9271772.2351827826</v>
      </c>
      <c r="CW11" s="238">
        <f t="shared" si="53"/>
        <v>9271772.2351827826</v>
      </c>
      <c r="CX11" s="238">
        <f t="shared" si="53"/>
        <v>9271772.2351827826</v>
      </c>
      <c r="CY11" s="238">
        <f t="shared" si="53"/>
        <v>9271772.2351827826</v>
      </c>
      <c r="CZ11" s="238">
        <f t="shared" si="53"/>
        <v>9271772.2351827826</v>
      </c>
      <c r="DA11" s="238">
        <f t="shared" si="22"/>
        <v>111261266.82219337</v>
      </c>
      <c r="DB11" s="238">
        <f t="shared" ref="DB11:DM11" si="54">+SUM(DB7:DB10)</f>
        <v>9271772.2351827826</v>
      </c>
      <c r="DC11" s="238">
        <f t="shared" si="54"/>
        <v>9271772.2351827826</v>
      </c>
      <c r="DD11" s="238">
        <f t="shared" si="54"/>
        <v>9271772.2351827826</v>
      </c>
      <c r="DE11" s="238">
        <f t="shared" si="54"/>
        <v>9271772.2351827826</v>
      </c>
      <c r="DF11" s="238">
        <f t="shared" si="54"/>
        <v>9271772.2351827826</v>
      </c>
      <c r="DG11" s="238">
        <f t="shared" si="54"/>
        <v>9271772.2351827826</v>
      </c>
      <c r="DH11" s="238">
        <f t="shared" si="54"/>
        <v>9271772.2351827826</v>
      </c>
      <c r="DI11" s="238">
        <f t="shared" si="54"/>
        <v>9271772.2351827826</v>
      </c>
      <c r="DJ11" s="238">
        <f t="shared" si="54"/>
        <v>9271772.2351827826</v>
      </c>
      <c r="DK11" s="238">
        <f t="shared" si="54"/>
        <v>9271772.2351827826</v>
      </c>
      <c r="DL11" s="238">
        <f t="shared" si="54"/>
        <v>9271772.2351827826</v>
      </c>
      <c r="DM11" s="238">
        <f t="shared" si="54"/>
        <v>9271772.2351827826</v>
      </c>
      <c r="DN11" s="238">
        <f t="shared" si="23"/>
        <v>111261266.82219337</v>
      </c>
      <c r="DO11" s="238">
        <f t="shared" ref="DO11:DZ11" si="55">+SUM(DO7:DO10)</f>
        <v>9271772.2351827826</v>
      </c>
      <c r="DP11" s="238">
        <f t="shared" si="55"/>
        <v>9271772.2351827826</v>
      </c>
      <c r="DQ11" s="238">
        <f t="shared" si="55"/>
        <v>9271772.2351827826</v>
      </c>
      <c r="DR11" s="238">
        <f t="shared" si="55"/>
        <v>9271772.2351827826</v>
      </c>
      <c r="DS11" s="238">
        <f t="shared" si="55"/>
        <v>9271772.2351827826</v>
      </c>
      <c r="DT11" s="238">
        <f t="shared" si="55"/>
        <v>9271772.2351827826</v>
      </c>
      <c r="DU11" s="238">
        <f t="shared" si="55"/>
        <v>9271772.2351827826</v>
      </c>
      <c r="DV11" s="238">
        <f t="shared" si="55"/>
        <v>9271772.2351827826</v>
      </c>
      <c r="DW11" s="238">
        <f t="shared" si="55"/>
        <v>9271772.2351827826</v>
      </c>
      <c r="DX11" s="238">
        <f t="shared" si="55"/>
        <v>9271772.2351827826</v>
      </c>
      <c r="DY11" s="238">
        <f t="shared" si="55"/>
        <v>9271772.2351827826</v>
      </c>
      <c r="DZ11" s="238">
        <f t="shared" si="55"/>
        <v>9271772.2351827826</v>
      </c>
      <c r="EA11" s="238">
        <f t="shared" si="24"/>
        <v>111261266.82219337</v>
      </c>
      <c r="EB11" s="238">
        <f t="shared" ref="EB11:EM11" si="56">+SUM(EB7:EB10)</f>
        <v>9271772.2351827826</v>
      </c>
      <c r="EC11" s="238">
        <f t="shared" si="56"/>
        <v>9271772.2351827826</v>
      </c>
      <c r="ED11" s="238">
        <f t="shared" si="56"/>
        <v>9271772.2351827826</v>
      </c>
      <c r="EE11" s="238">
        <f t="shared" si="56"/>
        <v>9271772.2351827826</v>
      </c>
      <c r="EF11" s="238">
        <f t="shared" si="56"/>
        <v>9271772.2351827826</v>
      </c>
      <c r="EG11" s="238">
        <f t="shared" si="56"/>
        <v>9271772.2351827826</v>
      </c>
      <c r="EH11" s="238">
        <f t="shared" si="56"/>
        <v>9271772.2351827826</v>
      </c>
      <c r="EI11" s="238">
        <f t="shared" si="56"/>
        <v>9271772.2351827826</v>
      </c>
      <c r="EJ11" s="238">
        <f t="shared" si="56"/>
        <v>9271772.2351827826</v>
      </c>
      <c r="EK11" s="238">
        <f t="shared" si="56"/>
        <v>9271772.2351827826</v>
      </c>
      <c r="EL11" s="238">
        <f t="shared" si="56"/>
        <v>9271772.2351827826</v>
      </c>
      <c r="EM11" s="238">
        <f t="shared" si="56"/>
        <v>9271772.2351827826</v>
      </c>
      <c r="EN11" s="238">
        <f t="shared" si="25"/>
        <v>111261266.82219337</v>
      </c>
    </row>
    <row r="12" spans="1:183" s="236" customFormat="1" x14ac:dyDescent="0.25">
      <c r="A12" s="234" t="s">
        <v>13</v>
      </c>
      <c r="B12" s="235">
        <f>+'EEFF base'!BB11+'EEFF base'!BB16</f>
        <v>-1408386.6800000002</v>
      </c>
      <c r="C12" s="235">
        <f>+'EEFF base'!BC11+'EEFF base'!BC16</f>
        <v>-1451912.43</v>
      </c>
      <c r="D12" s="235">
        <f>+'EEFF base'!BD11+'EEFF base'!BD16</f>
        <v>-1475919.9199999997</v>
      </c>
      <c r="E12" s="235">
        <f>+'EEFF base'!BE11+'EEFF base'!BE16</f>
        <v>-1457324.68</v>
      </c>
      <c r="F12" s="235">
        <f>+'EEFF base'!BF11+'EEFF base'!BF16</f>
        <v>-1489910.0100000002</v>
      </c>
      <c r="G12" s="235">
        <f>+'EEFF base'!BG11+'EEFF base'!BG16</f>
        <v>-1457887.9699999997</v>
      </c>
      <c r="H12" s="235">
        <f>+'EEFF base'!BH11+'EEFF base'!BH16</f>
        <v>-1560561.6099999996</v>
      </c>
      <c r="I12" s="235">
        <f>+'EEFF base'!BI11+'EEFF base'!BI16</f>
        <v>-1756350.1999999997</v>
      </c>
      <c r="J12" s="235">
        <f>+'EEFF base'!BJ11+'EEFF base'!BJ16</f>
        <v>-1298692.1499999994</v>
      </c>
      <c r="K12" s="235">
        <f>+'EEFF base'!BK11+'EEFF base'!BK16</f>
        <v>-1312431.97</v>
      </c>
      <c r="L12" s="235">
        <f>+'EEFF base'!BL11+'EEFF base'!BL16</f>
        <v>-1574335.2599999998</v>
      </c>
      <c r="M12" s="235">
        <f>+'EEFF base'!BM11+'EEFF base'!BM16</f>
        <v>-888575.34000000195</v>
      </c>
      <c r="N12" s="235">
        <f t="shared" si="26"/>
        <v>-17132288.220000003</v>
      </c>
      <c r="O12" s="235">
        <f>+'EEFF base'!BO11+'EEFF base'!BO16</f>
        <v>-669568.18999999983</v>
      </c>
      <c r="P12" s="235">
        <f>+'EEFF base'!BP11+'EEFF base'!BP16</f>
        <v>-1292726.2899999996</v>
      </c>
      <c r="Q12" s="235">
        <f>+'EEFF base'!BQ11+'EEFF base'!BQ16</f>
        <v>-1633036.1999999997</v>
      </c>
      <c r="R12" s="235">
        <f>+'EEFF base'!BR11+'EEFF base'!BR16</f>
        <v>-1371028.33</v>
      </c>
      <c r="S12" s="235">
        <f>+'EEFF base'!BS11+'EEFF base'!BS16</f>
        <v>-940949.41999999946</v>
      </c>
      <c r="T12" s="235">
        <f>+'EEFF base'!BT11+'EEFF base'!BT16</f>
        <v>-1441283.8199999996</v>
      </c>
      <c r="U12" s="235">
        <f>+'EEFF base'!BU11+'EEFF base'!BU16</f>
        <v>-1429872.6599999997</v>
      </c>
      <c r="V12" s="235">
        <f>+'EEFF base'!BV11+'EEFF base'!BV16</f>
        <v>-1487990.1099999989</v>
      </c>
      <c r="W12" s="235">
        <f>+'EEFF base'!BW11+'EEFF base'!BW16</f>
        <v>-1114199.3499999996</v>
      </c>
      <c r="X12" s="235">
        <f>+'EEFF base'!BX11+'EEFF base'!BX16</f>
        <v>-2235575.6499999985</v>
      </c>
      <c r="Y12" s="235">
        <f>+'EEFF base'!BY11+'EEFF base'!BY16</f>
        <v>-1329944.96</v>
      </c>
      <c r="Z12" s="235">
        <f>+'EEFF base'!BZ11+'EEFF base'!BZ16</f>
        <v>-3004782.0499999993</v>
      </c>
      <c r="AA12" s="235">
        <f t="shared" si="27"/>
        <v>-17950957.029999997</v>
      </c>
      <c r="AB12" s="235">
        <f>+'EEFF base'!CB11+'EEFF base'!CB16</f>
        <v>-1418932.7599999998</v>
      </c>
      <c r="AC12" s="235">
        <f>+'EEFF base'!CC11+'EEFF base'!CC16</f>
        <v>-1469377.7499999998</v>
      </c>
      <c r="AD12" s="235">
        <f>+'EEFF base'!CD11+'EEFF base'!CD16</f>
        <v>-1142671.3199999996</v>
      </c>
      <c r="AE12" s="235">
        <f>+'EEFF base'!CE11+'EEFF base'!CE16</f>
        <v>-1493808.41</v>
      </c>
      <c r="AF12" s="235">
        <f>+'EEFF base'!CF11+'EEFF base'!CF16</f>
        <v>-1618544.2599999998</v>
      </c>
      <c r="AG12" s="235">
        <f>+'EEFF base'!CG11+'EEFF base'!CG16</f>
        <v>-1428467.5399999996</v>
      </c>
      <c r="AH12" s="235">
        <f>+'EEFF base'!CH11+'EEFF base'!CH16</f>
        <v>-1445640.8399999999</v>
      </c>
      <c r="AI12" s="235">
        <f>+'EEFF base'!CI11+'EEFF base'!CI16</f>
        <v>-1397630.4200000002</v>
      </c>
      <c r="AJ12" s="235">
        <f>+'EEFF base'!CJ11+'EEFF base'!CJ16</f>
        <v>-1450597.73</v>
      </c>
      <c r="AK12" s="235">
        <f>+'EEFF base'!CK11+'EEFF base'!CK16</f>
        <v>-1466376.1200000015</v>
      </c>
      <c r="AL12" s="235">
        <f>+'EEFF base'!CL11+'EEFF base'!CL16</f>
        <v>-1304373.3199999998</v>
      </c>
      <c r="AM12" s="235">
        <f>+'EEFF base'!CM11+'EEFF base'!CM16</f>
        <v>-1434984.24</v>
      </c>
      <c r="AN12" s="235">
        <f t="shared" si="28"/>
        <v>-17071404.710000001</v>
      </c>
      <c r="AO12" s="235">
        <f>+'EEFF historicoss'!R19+'EEFF historicoss'!R20</f>
        <v>-1427810.92</v>
      </c>
      <c r="AP12" s="235">
        <f>+'EEFF historicoss'!S19+'EEFF historicoss'!S20</f>
        <v>-1550155.5499999998</v>
      </c>
      <c r="AQ12" s="235">
        <f>+'EEFF historicoss'!T19+'EEFF historicoss'!T20</f>
        <v>-1527982.05</v>
      </c>
      <c r="AR12" s="235">
        <f>+'EEFF historicoss'!U19+'EEFF historicoss'!U20</f>
        <v>-1366811.6099999999</v>
      </c>
      <c r="AS12" s="235">
        <f>+'EEFF historicoss'!V19+'EEFF historicoss'!V20</f>
        <v>-1498656.73</v>
      </c>
      <c r="AT12" s="235">
        <f>+'EEFF historicoss'!W19+'EEFF historicoss'!W20</f>
        <v>-1766023.21</v>
      </c>
      <c r="AU12" s="235">
        <f>+'EEFF historicoss'!X19+'EEFF historicoss'!X20</f>
        <v>-1392649.5</v>
      </c>
      <c r="AV12" s="235">
        <f>+'EEFF historicoss'!Y19+'EEFF historicoss'!Y20</f>
        <v>-1701909.3699999999</v>
      </c>
      <c r="AW12" s="235">
        <f>+'EEFF historicoss'!Z19+'EEFF historicoss'!Z20</f>
        <v>-1121162.8900000001</v>
      </c>
      <c r="AX12" s="235">
        <f>+'EEFF historicoss'!AA19+'EEFF historicoss'!AA20</f>
        <v>-1580029.7899999998</v>
      </c>
      <c r="AY12" s="235">
        <f>+'EEFF historicoss'!AB19+'EEFF historicoss'!AB20</f>
        <v>-1303272.56</v>
      </c>
      <c r="AZ12" s="235">
        <f>+'EEFF historicoss'!AC19+'EEFF historicoss'!AC20</f>
        <v>-1890503.79</v>
      </c>
      <c r="BA12" s="235">
        <f t="shared" si="29"/>
        <v>-18126967.969999999</v>
      </c>
      <c r="BB12" s="235">
        <f>+'EEFF historicoss'!AE19+'EEFF historicoss'!AE20</f>
        <v>-1397698.41</v>
      </c>
      <c r="BC12" s="235">
        <f>+'EEFF historicoss'!AF19+'EEFF historicoss'!AF20</f>
        <v>-1557213.9</v>
      </c>
      <c r="BD12" s="235">
        <f>+'EEFF historicoss'!AG19+'EEFF historicoss'!AG20</f>
        <v>-1446625.4700000002</v>
      </c>
      <c r="BE12" s="235">
        <f>+'EEFF historicoss'!AH19+'EEFF historicoss'!AH20</f>
        <v>-1037246.02</v>
      </c>
      <c r="BF12" s="235">
        <f>+'EEFF historicoss'!AI19+'EEFF historicoss'!AI20</f>
        <v>-2574987.29</v>
      </c>
      <c r="BG12" s="235">
        <f>+'EEFF historicoss'!AJ19+'EEFF historicoss'!AJ20</f>
        <v>-1759860.97</v>
      </c>
      <c r="BH12" s="235">
        <f>+'EEFF historicoss'!AK19+'EEFF historicoss'!AK20</f>
        <v>-2225091.13</v>
      </c>
      <c r="BI12" s="235">
        <f>+'EEFF historicoss'!AL19+'EEFF historicoss'!AL20</f>
        <v>-1486442.11</v>
      </c>
      <c r="BJ12" s="235">
        <f>+'EEFF historicoss'!AM19+'EEFF historicoss'!AM20</f>
        <v>-1262975.3999999999</v>
      </c>
      <c r="BK12" s="235">
        <f>+'EEFF historicoss'!AN19+'EEFF historicoss'!AN20</f>
        <v>-1308932.51</v>
      </c>
      <c r="BL12" s="235">
        <f>+'EEFF historicoss'!AO19+'EEFF historicoss'!AO20</f>
        <v>-1203301.8800000001</v>
      </c>
      <c r="BM12" s="235">
        <f>+'EEFF historicoss'!AP19+'EEFF historicoss'!AP20</f>
        <v>-1235477.8500000001</v>
      </c>
      <c r="BN12" s="235">
        <f t="shared" si="30"/>
        <v>-18495852.939999998</v>
      </c>
      <c r="BO12" s="235">
        <f>+'EEFF historicoss'!AR19+'EEFF historicoss'!AR20</f>
        <v>-1181079.0900000001</v>
      </c>
      <c r="BP12" s="235">
        <f>+'EEFF historicoss'!AS19+'EEFF historicoss'!AS20</f>
        <v>-1168771.3800000001</v>
      </c>
      <c r="BQ12" s="235">
        <f>+'EEFF historicoss'!AT19+'EEFF historicoss'!AT20</f>
        <v>-1087488.3700000001</v>
      </c>
      <c r="BR12" s="235">
        <f>+'EEFF historicoss'!AU19+'EEFF historicoss'!AU20</f>
        <v>-1193301.0699999998</v>
      </c>
      <c r="BS12" s="235">
        <f>+'EEFF historicoss'!AV19+'EEFF historicoss'!AV20</f>
        <v>-1165279.8699999999</v>
      </c>
      <c r="BT12" s="235">
        <f>+'EEFF historicoss'!AW19+'EEFF historicoss'!AW20</f>
        <v>-1112472.3400000001</v>
      </c>
      <c r="BU12" s="235">
        <f>-VLOOKUP(BU1,'Obligaciones financieras'!$C$22:$G$387,5,FALSE)</f>
        <v>-161719.76812531415</v>
      </c>
      <c r="BV12" s="235">
        <f>-VLOOKUP(BV1,'Obligaciones financieras'!$C$22:$G$387,5,FALSE)</f>
        <v>-2890243.2401469867</v>
      </c>
      <c r="BW12" s="235">
        <f>-VLOOKUP(BW1,'Obligaciones financieras'!$C$22:$G$387,5,FALSE)</f>
        <v>-1111916.7593573492</v>
      </c>
      <c r="BX12" s="235">
        <f>-VLOOKUP(BX1,'Obligaciones financieras'!$C$22:$G$387,5,FALSE)</f>
        <v>-158387.65546656543</v>
      </c>
      <c r="BY12" s="235">
        <f>-VLOOKUP(BY1,'Obligaciones financieras'!$C$22:$G$387,5,FALSE)</f>
        <v>-2418439.3344880976</v>
      </c>
      <c r="BZ12" s="235">
        <f>-VLOOKUP(BZ1,'Obligaciones financieras'!$C$22:$G$387,5,FALSE)</f>
        <v>-1081668.455201081</v>
      </c>
      <c r="CA12" s="235">
        <f t="shared" si="31"/>
        <v>-14730767.332785394</v>
      </c>
      <c r="CB12" s="235">
        <f>-VLOOKUP(CB1,'Obligaciones financieras'!$C$22:$G$387,5,FALSE)</f>
        <v>-151784.76133443517</v>
      </c>
      <c r="CC12" s="235">
        <f>-VLOOKUP(CC1,'Obligaciones financieras'!$C$22:$G$387,5,FALSE)</f>
        <v>-2288640.9624655424</v>
      </c>
      <c r="CD12" s="235">
        <f>-VLOOKUP(CD1,'Obligaciones financieras'!$C$22:$G$387,5,FALSE)</f>
        <v>-1102397.4941471494</v>
      </c>
      <c r="CE12" s="235">
        <f>-VLOOKUP(CE1,'Obligaciones financieras'!$C$22:$G$387,5,FALSE)</f>
        <v>-141929.77855008849</v>
      </c>
      <c r="CF12" s="235">
        <f>-VLOOKUP(CF1,'Obligaciones financieras'!$C$22:$G$387,5,FALSE)</f>
        <v>-2279068.3893673145</v>
      </c>
      <c r="CG12" s="235">
        <f>-VLOOKUP(CG1,'Obligaciones financieras'!$C$22:$G$387,5,FALSE)</f>
        <v>-1074572.9457821497</v>
      </c>
      <c r="CH12" s="235">
        <f>-VLOOKUP(CH1,'Obligaciones financieras'!$C$22:$G$387,5,FALSE)</f>
        <v>-117405.80426795485</v>
      </c>
      <c r="CI12" s="235">
        <f>-VLOOKUP(CI1,'Obligaciones financieras'!$C$22:$G$387,5,FALSE)</f>
        <v>-2182023.4014023631</v>
      </c>
      <c r="CJ12" s="235">
        <f>-VLOOKUP(CJ1,'Obligaciones financieras'!$C$22:$G$387,5,FALSE)</f>
        <v>-949235.28272184893</v>
      </c>
      <c r="CK12" s="235">
        <f>-VLOOKUP(CK1,'Obligaciones financieras'!$C$22:$G$387,5,FALSE)</f>
        <v>-94468.819403547503</v>
      </c>
      <c r="CL12" s="235">
        <f>-VLOOKUP(CL1,'Obligaciones financieras'!$C$22:$G$387,5,FALSE)</f>
        <v>-2084951.4934374127</v>
      </c>
      <c r="CM12" s="235">
        <f>-VLOOKUP(CM1,'Obligaciones financieras'!$C$22:$G$387,5,FALSE)</f>
        <v>-895468.2560710815</v>
      </c>
      <c r="CN12" s="235">
        <f>+SUM(CB12:CM12)</f>
        <v>-13361947.388950888</v>
      </c>
      <c r="CO12" s="235">
        <f>-VLOOKUP(CO1,'Obligaciones financieras'!$C$22:$G$387,5,FALSE)</f>
        <v>-67886.758587931981</v>
      </c>
      <c r="CP12" s="235">
        <f>-VLOOKUP(CP1,'Obligaciones financieras'!$C$22:$G$387,5,FALSE)</f>
        <v>-1975778.0152656594</v>
      </c>
      <c r="CQ12" s="235">
        <f>-VLOOKUP(CQ1,'Obligaciones financieras'!$C$22:$G$387,5,FALSE)</f>
        <v>-790854.54501414951</v>
      </c>
      <c r="CR12" s="235">
        <f>-VLOOKUP(CR1,'Obligaciones financieras'!$C$22:$G$387,5,FALSE)</f>
        <v>-41637.267980194629</v>
      </c>
      <c r="CS12" s="235">
        <f>-VLOOKUP(CS1,'Obligaciones financieras'!$C$22:$G$387,5,FALSE)</f>
        <v>-1916412.9975075109</v>
      </c>
      <c r="CT12" s="235">
        <f>-VLOOKUP(CT1,'Obligaciones financieras'!$C$22:$G$387,5,FALSE)</f>
        <v>-619755.81440266676</v>
      </c>
      <c r="CU12" s="235">
        <f>-VLOOKUP(CU1,'Obligaciones financieras'!$C$22:$G$387,5,FALSE)</f>
        <v>-24593.652272988089</v>
      </c>
      <c r="CV12" s="235">
        <f>-VLOOKUP(CV1,'Obligaciones financieras'!$C$22:$G$387,5,FALSE)</f>
        <v>-1846300.7924470766</v>
      </c>
      <c r="CW12" s="235">
        <f>-VLOOKUP(CW1,'Obligaciones financieras'!$C$22:$G$387,5,FALSE)</f>
        <v>-527434.73665583343</v>
      </c>
      <c r="CX12" s="235">
        <f>-VLOOKUP(CX1,'Obligaciones financieras'!$C$22:$G$387,5,FALSE)</f>
        <v>-23120.947694629187</v>
      </c>
      <c r="CY12" s="235">
        <f>-VLOOKUP(CY1,'Obligaciones financieras'!$C$22:$G$387,5,FALSE)</f>
        <v>-1741118.7193721258</v>
      </c>
      <c r="CZ12" s="235">
        <f>-VLOOKUP(CZ1,'Obligaciones financieras'!$C$22:$G$387,5,FALSE)</f>
        <v>-440583.01450033346</v>
      </c>
      <c r="DA12" s="235">
        <f>+SUM(CO12:CZ12)</f>
        <v>-10015477.2617011</v>
      </c>
      <c r="DB12" s="235">
        <f>-VLOOKUP(DB1,'Obligaciones financieras'!$C$22:$G$387,5,FALSE)</f>
        <v>-21430.793076483671</v>
      </c>
      <c r="DC12" s="235">
        <f>-VLOOKUP(DC1,'Obligaciones financieras'!$C$22:$G$387,5,FALSE)</f>
        <v>-1643835.9202070928</v>
      </c>
      <c r="DD12" s="235">
        <f>-VLOOKUP(DD1,'Obligaciones financieras'!$C$22:$G$387,5,FALSE)</f>
        <v>-356474.67830466677</v>
      </c>
      <c r="DE12" s="235">
        <f>-VLOOKUP(DE1,'Obligaciones financieras'!$C$22:$G$387,5,FALSE)</f>
        <v>-19974.096156585194</v>
      </c>
      <c r="DF12" s="235">
        <f>-VLOOKUP(DF1,'Obligaciones financieras'!$C$22:$G$387,5,FALSE)</f>
        <v>-1598654.693222224</v>
      </c>
      <c r="DG12" s="235">
        <f>-VLOOKUP(DG1,'Obligaciones financieras'!$C$22:$G$387,5,FALSE)</f>
        <v>-268714.29293866677</v>
      </c>
      <c r="DH12" s="235">
        <f>-VLOOKUP(DH1,'Obligaciones financieras'!$C$22:$G$387,5,FALSE)</f>
        <v>-18702.833959552481</v>
      </c>
      <c r="DI12" s="235">
        <f>-VLOOKUP(DI1,'Obligaciones financieras'!$C$22:$G$387,5,FALSE)</f>
        <v>-1527422.680147273</v>
      </c>
      <c r="DJ12" s="235">
        <f>-VLOOKUP(DJ1,'Obligaciones financieras'!$C$22:$G$387,5,FALSE)</f>
        <v>-180027.86803383339</v>
      </c>
      <c r="DK12" s="235">
        <f>-VLOOKUP(DK1,'Obligaciones financieras'!$C$22:$G$387,5,FALSE)</f>
        <v>-17230.129381193579</v>
      </c>
      <c r="DL12" s="235">
        <f>-VLOOKUP(DL1,'Obligaciones financieras'!$C$22:$G$387,5,FALSE)</f>
        <v>-1456190.667072322</v>
      </c>
      <c r="DM12" s="235">
        <f>-VLOOKUP(DM1,'Obligaciones financieras'!$C$22:$G$387,5,FALSE)</f>
        <v>-93158.769549999997</v>
      </c>
      <c r="DN12" s="235">
        <f>+SUM(DB12:DM12)</f>
        <v>-7201817.4220498949</v>
      </c>
      <c r="DO12" s="235">
        <f>-VLOOKUP(DO1,'Obligaciones financieras'!$C$22:$G$387,5,FALSE)</f>
        <v>-15450.585990944834</v>
      </c>
      <c r="DP12" s="235">
        <f>-VLOOKUP(DP1,'Obligaciones financieras'!$C$22:$G$387,5,FALSE)</f>
        <v>-1355173.6070024583</v>
      </c>
      <c r="DQ12" s="235">
        <f>-VLOOKUP(DQ1,'Obligaciones financieras'!$C$22:$G$387,5,FALSE)</f>
        <v>-144375.33000000002</v>
      </c>
      <c r="DR12" s="235">
        <f>-VLOOKUP(DR1,'Obligaciones financieras'!$C$22:$G$387,5,FALSE)</f>
        <v>-14147.308476991277</v>
      </c>
      <c r="DS12" s="235">
        <f>-VLOOKUP(DS1,'Obligaciones financieras'!$C$22:$G$387,5,FALSE)</f>
        <v>-1313726.6409224202</v>
      </c>
      <c r="DT12" s="235">
        <f>-VLOOKUP(DT1,'Obligaciones financieras'!$C$22:$G$387,5,FALSE)</f>
        <v>-136145.49</v>
      </c>
      <c r="DU12" s="235">
        <f>-VLOOKUP(DU1,'Obligaciones financieras'!$C$22:$G$387,5,FALSE)</f>
        <v>-12561.824302900217</v>
      </c>
      <c r="DV12" s="235">
        <f>-VLOOKUP(DV1,'Obligaciones financieras'!$C$22:$G$387,5,FALSE)</f>
        <v>-770944.08169408934</v>
      </c>
      <c r="DW12" s="235">
        <f>-VLOOKUP(DW1,'Obligaciones financieras'!$C$22:$G$387,5,FALSE)</f>
        <v>-79103.91</v>
      </c>
      <c r="DX12" s="235">
        <f>-VLOOKUP(DX1,'Obligaciones financieras'!$C$22:$G$387,5,FALSE)</f>
        <v>-9002.726637627331</v>
      </c>
      <c r="DY12" s="235">
        <f>-VLOOKUP(DY1,'Obligaciones financieras'!$C$22:$G$387,5,FALSE)</f>
        <v>-699712.06861913844</v>
      </c>
      <c r="DZ12" s="235">
        <f>-VLOOKUP(DZ1,'Obligaciones financieras'!$C$22:$G$387,5,FALSE)</f>
        <v>-74940.55</v>
      </c>
      <c r="EA12" s="235">
        <f>+SUM(DO12:DZ12)</f>
        <v>-4625284.1236465694</v>
      </c>
      <c r="EB12" s="235">
        <f>-VLOOKUP(EB1,'Obligaciones financieras'!$C$22:$G$387,5,FALSE)</f>
        <v>-7866.2121282213293</v>
      </c>
      <c r="EC12" s="235">
        <f>-VLOOKUP(EC1,'Obligaciones financieras'!$C$22:$G$387,5,FALSE)</f>
        <v>-607986.14068948547</v>
      </c>
      <c r="ED12" s="235">
        <f>-VLOOKUP(ED1,'Obligaciones financieras'!$C$22:$G$387,5,FALSE)</f>
        <v>-72332.72</v>
      </c>
      <c r="EE12" s="235">
        <f>-VLOOKUP(EE1,'Obligaciones financieras'!$C$22:$G$387,5,FALSE)</f>
        <v>-7553.3513268243287</v>
      </c>
      <c r="EF12" s="235">
        <f>-VLOOKUP(EF1,'Obligaciones financieras'!$C$22:$G$387,5,FALSE)</f>
        <v>-557248.0424692363</v>
      </c>
      <c r="EG12" s="235">
        <f>-VLOOKUP(EG1,'Obligaciones financieras'!$C$22:$G$387,5,FALSE)</f>
        <v>-65149.78</v>
      </c>
      <c r="EH12" s="235">
        <f>-VLOOKUP(EH1,'Obligaciones financieras'!$C$22:$G$387,5,FALSE)</f>
        <v>-7202.1810447273283</v>
      </c>
      <c r="EI12" s="235">
        <f>-VLOOKUP(EI1,'Obligaciones financieras'!$C$22:$G$387,5,FALSE)</f>
        <v>-486016.02939428529</v>
      </c>
      <c r="EJ12" s="235">
        <f>-VLOOKUP(EJ1,'Obligaciones financieras'!$C$22:$G$387,5,FALSE)</f>
        <v>-62450.45</v>
      </c>
      <c r="EK12" s="235">
        <f>-VLOOKUP(EK1,'Obligaciones financieras'!$C$22:$G$387,5,FALSE)</f>
        <v>-6391.2970789243282</v>
      </c>
      <c r="EL12" s="235">
        <f>-VLOOKUP(EL1,'Obligaciones financieras'!$C$22:$G$387,5,FALSE)</f>
        <v>-414784.01631933427</v>
      </c>
      <c r="EM12" s="235">
        <f>-VLOOKUP(EM1,'Obligaciones financieras'!$C$22:$G$387,5,FALSE)</f>
        <v>-58287.09</v>
      </c>
      <c r="EN12" s="235">
        <f>+SUM(EB12:EM12)</f>
        <v>-2353267.3104510382</v>
      </c>
    </row>
    <row r="13" spans="1:183" s="236" customFormat="1" x14ac:dyDescent="0.25">
      <c r="A13" s="237" t="s">
        <v>30</v>
      </c>
      <c r="B13" s="238">
        <f>+SUM(B11:B12)</f>
        <v>-7630569.5699999966</v>
      </c>
      <c r="C13" s="238">
        <f t="shared" ref="C13:M13" si="57">+SUM(C11:C12)</f>
        <v>-8462048.679999996</v>
      </c>
      <c r="D13" s="238">
        <f t="shared" si="57"/>
        <v>3796811.150000006</v>
      </c>
      <c r="E13" s="238">
        <f t="shared" si="57"/>
        <v>1821253.8299999947</v>
      </c>
      <c r="F13" s="238">
        <f t="shared" si="57"/>
        <v>-2850173.8799999841</v>
      </c>
      <c r="G13" s="238">
        <f t="shared" si="57"/>
        <v>6368663.8800000511</v>
      </c>
      <c r="H13" s="238">
        <f t="shared" si="57"/>
        <v>14431787.270000041</v>
      </c>
      <c r="I13" s="238">
        <f t="shared" si="57"/>
        <v>887785.0099999886</v>
      </c>
      <c r="J13" s="238">
        <f t="shared" si="57"/>
        <v>1168660.1099999426</v>
      </c>
      <c r="K13" s="238">
        <f t="shared" si="57"/>
        <v>-8525709.0699999966</v>
      </c>
      <c r="L13" s="238">
        <f t="shared" si="57"/>
        <v>4106304.3800000334</v>
      </c>
      <c r="M13" s="238">
        <f t="shared" si="57"/>
        <v>1814320.6300001454</v>
      </c>
      <c r="N13" s="238">
        <f t="shared" si="26"/>
        <v>6927085.0600002278</v>
      </c>
      <c r="O13" s="238">
        <f>+SUM(O11:O12)</f>
        <v>3803697.849999988</v>
      </c>
      <c r="P13" s="238">
        <f t="shared" ref="P13:Z13" si="58">+SUM(P11:P12)</f>
        <v>-5035946.0700000189</v>
      </c>
      <c r="Q13" s="238">
        <f t="shared" si="58"/>
        <v>-2166237.999999987</v>
      </c>
      <c r="R13" s="238">
        <f t="shared" si="58"/>
        <v>23632845.369999968</v>
      </c>
      <c r="S13" s="238">
        <f t="shared" si="58"/>
        <v>-5234172.4400000069</v>
      </c>
      <c r="T13" s="238">
        <f t="shared" si="58"/>
        <v>3641331.1500000441</v>
      </c>
      <c r="U13" s="238">
        <f t="shared" si="58"/>
        <v>-190745.78999997443</v>
      </c>
      <c r="V13" s="238">
        <f t="shared" si="58"/>
        <v>3280980.6599999932</v>
      </c>
      <c r="W13" s="238">
        <f t="shared" si="58"/>
        <v>4394249.0200000107</v>
      </c>
      <c r="X13" s="238">
        <f t="shared" si="58"/>
        <v>-6015352.2400000039</v>
      </c>
      <c r="Y13" s="238">
        <f t="shared" si="58"/>
        <v>534208.33000001498</v>
      </c>
      <c r="Z13" s="238">
        <f t="shared" si="58"/>
        <v>-1483417.4000000455</v>
      </c>
      <c r="AA13" s="238">
        <f t="shared" si="27"/>
        <v>19161440.439999979</v>
      </c>
      <c r="AB13" s="238">
        <f t="shared" ref="AB13:AM13" si="59">+SUM(AB11:AB12)</f>
        <v>2859098.1499999976</v>
      </c>
      <c r="AC13" s="238">
        <f t="shared" si="59"/>
        <v>-7752439.989999962</v>
      </c>
      <c r="AD13" s="238">
        <f t="shared" si="59"/>
        <v>-3522977.7599999979</v>
      </c>
      <c r="AE13" s="238">
        <f t="shared" si="59"/>
        <v>4100273.6799999652</v>
      </c>
      <c r="AF13" s="238">
        <f t="shared" si="59"/>
        <v>8613474.9999999609</v>
      </c>
      <c r="AG13" s="238">
        <f t="shared" si="59"/>
        <v>767019.78000001097</v>
      </c>
      <c r="AH13" s="238">
        <f t="shared" si="59"/>
        <v>4445853.0299999556</v>
      </c>
      <c r="AI13" s="238">
        <f t="shared" si="59"/>
        <v>3973167.1099999836</v>
      </c>
      <c r="AJ13" s="238">
        <f t="shared" si="59"/>
        <v>12632015.259999981</v>
      </c>
      <c r="AK13" s="238">
        <f t="shared" si="59"/>
        <v>-10365352.339999972</v>
      </c>
      <c r="AL13" s="238">
        <f t="shared" si="59"/>
        <v>-10557920.950000029</v>
      </c>
      <c r="AM13" s="238">
        <f t="shared" si="59"/>
        <v>10666343.52999994</v>
      </c>
      <c r="AN13" s="238">
        <f t="shared" si="28"/>
        <v>15858554.499999832</v>
      </c>
      <c r="AO13" s="238">
        <f t="shared" ref="AO13:AY13" si="60">+SUM(AO11:AO12)</f>
        <v>-5638096.2000000002</v>
      </c>
      <c r="AP13" s="238">
        <f t="shared" si="60"/>
        <v>-9018033.4399999976</v>
      </c>
      <c r="AQ13" s="238">
        <f t="shared" si="60"/>
        <v>-3011782.5599999987</v>
      </c>
      <c r="AR13" s="238">
        <f t="shared" si="60"/>
        <v>1933123.2699999954</v>
      </c>
      <c r="AS13" s="238">
        <f t="shared" si="60"/>
        <v>4124486.2099999976</v>
      </c>
      <c r="AT13" s="238">
        <f t="shared" si="60"/>
        <v>4258011.700000003</v>
      </c>
      <c r="AU13" s="238">
        <f t="shared" si="60"/>
        <v>8808625.7799999975</v>
      </c>
      <c r="AV13" s="238">
        <f t="shared" si="60"/>
        <v>-36001.04999999865</v>
      </c>
      <c r="AW13" s="238">
        <f t="shared" si="60"/>
        <v>5739351.8200000022</v>
      </c>
      <c r="AX13" s="238">
        <f t="shared" si="60"/>
        <v>19180946.630000003</v>
      </c>
      <c r="AY13" s="238">
        <f t="shared" si="60"/>
        <v>-7279991.5200000014</v>
      </c>
      <c r="AZ13" s="238">
        <f>+SUM(AZ11:AZ12)</f>
        <v>1460393.659999996</v>
      </c>
      <c r="BA13" s="238">
        <f t="shared" si="29"/>
        <v>20521034.299999997</v>
      </c>
      <c r="BB13" s="238">
        <f t="shared" ref="BB13:BL13" si="61">+SUM(BB11:BB12)</f>
        <v>10962330.239999995</v>
      </c>
      <c r="BC13" s="238">
        <f t="shared" si="61"/>
        <v>-8994801.4100000001</v>
      </c>
      <c r="BD13" s="238">
        <f t="shared" si="61"/>
        <v>-7434734.9000000022</v>
      </c>
      <c r="BE13" s="238">
        <f t="shared" si="61"/>
        <v>-17837889.440000001</v>
      </c>
      <c r="BF13" s="238">
        <f t="shared" si="61"/>
        <v>-3602728.6400000015</v>
      </c>
      <c r="BG13" s="238">
        <f t="shared" si="61"/>
        <v>2497917.8000000017</v>
      </c>
      <c r="BH13" s="238">
        <f t="shared" si="61"/>
        <v>3766404.6900000013</v>
      </c>
      <c r="BI13" s="238">
        <f t="shared" si="61"/>
        <v>11898367.280000001</v>
      </c>
      <c r="BJ13" s="238">
        <f t="shared" si="61"/>
        <v>-91021.510000000009</v>
      </c>
      <c r="BK13" s="238">
        <f t="shared" si="61"/>
        <v>14483809.150000004</v>
      </c>
      <c r="BL13" s="238">
        <f t="shared" si="61"/>
        <v>926380.21999999764</v>
      </c>
      <c r="BM13" s="238">
        <f>+SUM(BM11:BM12)</f>
        <v>-705624.70000000298</v>
      </c>
      <c r="BN13" s="238">
        <f t="shared" si="30"/>
        <v>5868408.7799999928</v>
      </c>
      <c r="BO13" s="238">
        <f t="shared" ref="BO13:BT13" si="62">+SUM(BO11:BO12)</f>
        <v>-387503.38000000338</v>
      </c>
      <c r="BP13" s="238">
        <f t="shared" si="62"/>
        <v>11015089.670000002</v>
      </c>
      <c r="BQ13" s="238">
        <f t="shared" si="62"/>
        <v>8275407.1599999974</v>
      </c>
      <c r="BR13" s="238">
        <f t="shared" si="62"/>
        <v>19267538.030000001</v>
      </c>
      <c r="BS13" s="238">
        <f t="shared" si="62"/>
        <v>501790.54999999818</v>
      </c>
      <c r="BT13" s="238">
        <f t="shared" si="62"/>
        <v>14996708.650000002</v>
      </c>
      <c r="BU13" s="238">
        <f t="shared" ref="BU13:BZ13" si="63">+SUM(BU11:BU12)</f>
        <v>3233918.4484520396</v>
      </c>
      <c r="BV13" s="238">
        <f t="shared" si="63"/>
        <v>1504452.5446317527</v>
      </c>
      <c r="BW13" s="238">
        <f t="shared" si="63"/>
        <v>3400122.4273136053</v>
      </c>
      <c r="BX13" s="238">
        <f t="shared" si="63"/>
        <v>3759484.7011920004</v>
      </c>
      <c r="BY13" s="238">
        <f t="shared" si="63"/>
        <v>741920.35371245351</v>
      </c>
      <c r="BZ13" s="238">
        <f t="shared" si="63"/>
        <v>1495486.3084352389</v>
      </c>
      <c r="CA13" s="238">
        <f t="shared" si="31"/>
        <v>67804415.463737071</v>
      </c>
      <c r="CB13" s="238">
        <f t="shared" ref="CB13:CM13" si="64">+SUM(CB11:CB12)</f>
        <v>9119987.4738483466</v>
      </c>
      <c r="CC13" s="238">
        <f t="shared" si="64"/>
        <v>6983131.2727172403</v>
      </c>
      <c r="CD13" s="238">
        <f t="shared" si="64"/>
        <v>8169374.7410356328</v>
      </c>
      <c r="CE13" s="238">
        <f t="shared" si="64"/>
        <v>9129842.4566326942</v>
      </c>
      <c r="CF13" s="238">
        <f t="shared" si="64"/>
        <v>6992703.8458154686</v>
      </c>
      <c r="CG13" s="238">
        <f t="shared" si="64"/>
        <v>8197199.2894006334</v>
      </c>
      <c r="CH13" s="238">
        <f t="shared" si="64"/>
        <v>9154366.4309148286</v>
      </c>
      <c r="CI13" s="238">
        <f t="shared" si="64"/>
        <v>7089748.8337804191</v>
      </c>
      <c r="CJ13" s="238">
        <f t="shared" si="64"/>
        <v>8322536.9524609335</v>
      </c>
      <c r="CK13" s="238">
        <f t="shared" si="64"/>
        <v>9177303.4157792348</v>
      </c>
      <c r="CL13" s="238">
        <f t="shared" si="64"/>
        <v>7186820.7417453695</v>
      </c>
      <c r="CM13" s="238">
        <f t="shared" si="64"/>
        <v>8376303.9791117013</v>
      </c>
      <c r="CN13" s="238">
        <f>+SUM(CB13:CM13)</f>
        <v>97899319.4332425</v>
      </c>
      <c r="CO13" s="238">
        <f t="shared" ref="CO13" si="65">+SUM(CO11:CO12)</f>
        <v>9203885.4765948504</v>
      </c>
      <c r="CP13" s="238">
        <f t="shared" ref="CP13:CZ13" si="66">+SUM(CP11:CP12)</f>
        <v>7295994.2199171232</v>
      </c>
      <c r="CQ13" s="238">
        <f t="shared" si="66"/>
        <v>8480917.6901686341</v>
      </c>
      <c r="CR13" s="238">
        <f t="shared" si="66"/>
        <v>9230134.9672025889</v>
      </c>
      <c r="CS13" s="238">
        <f t="shared" si="66"/>
        <v>7355359.2376752719</v>
      </c>
      <c r="CT13" s="238">
        <f t="shared" si="66"/>
        <v>8652016.4207801167</v>
      </c>
      <c r="CU13" s="238">
        <f t="shared" si="66"/>
        <v>9247178.5829097945</v>
      </c>
      <c r="CV13" s="238">
        <f t="shared" si="66"/>
        <v>7425471.4427357055</v>
      </c>
      <c r="CW13" s="238">
        <f t="shared" si="66"/>
        <v>8744337.4985269494</v>
      </c>
      <c r="CX13" s="238">
        <f t="shared" si="66"/>
        <v>9248651.2874881532</v>
      </c>
      <c r="CY13" s="238">
        <f t="shared" si="66"/>
        <v>7530653.5158106573</v>
      </c>
      <c r="CZ13" s="238">
        <f t="shared" si="66"/>
        <v>8831189.2206824496</v>
      </c>
      <c r="DA13" s="238">
        <f>+SUM(CO13:CZ13)</f>
        <v>101245789.56049228</v>
      </c>
      <c r="DB13" s="238">
        <f t="shared" ref="DB13:DM13" si="67">+SUM(DB11:DB12)</f>
        <v>9250341.4421062991</v>
      </c>
      <c r="DC13" s="238">
        <f t="shared" si="67"/>
        <v>7627936.3149756901</v>
      </c>
      <c r="DD13" s="238">
        <f t="shared" si="67"/>
        <v>8915297.556878116</v>
      </c>
      <c r="DE13" s="238">
        <f t="shared" si="67"/>
        <v>9251798.1390261967</v>
      </c>
      <c r="DF13" s="238">
        <f t="shared" si="67"/>
        <v>7673117.5419605589</v>
      </c>
      <c r="DG13" s="238">
        <f t="shared" si="67"/>
        <v>9003057.9422441162</v>
      </c>
      <c r="DH13" s="238">
        <f t="shared" si="67"/>
        <v>9253069.4012232292</v>
      </c>
      <c r="DI13" s="238">
        <f t="shared" si="67"/>
        <v>7744349.5550355092</v>
      </c>
      <c r="DJ13" s="238">
        <f t="shared" si="67"/>
        <v>9091744.3671489488</v>
      </c>
      <c r="DK13" s="238">
        <f t="shared" si="67"/>
        <v>9254542.1058015898</v>
      </c>
      <c r="DL13" s="238">
        <f t="shared" si="67"/>
        <v>7815581.5681104604</v>
      </c>
      <c r="DM13" s="238">
        <f t="shared" si="67"/>
        <v>9178613.4656327832</v>
      </c>
      <c r="DN13" s="238">
        <f>+SUM(DB13:DM13)</f>
        <v>104059449.40014352</v>
      </c>
      <c r="DO13" s="238">
        <f t="shared" ref="DO13:DZ13" si="68">+SUM(DO11:DO12)</f>
        <v>9256321.6491918378</v>
      </c>
      <c r="DP13" s="238">
        <f t="shared" si="68"/>
        <v>7916598.6281803241</v>
      </c>
      <c r="DQ13" s="238">
        <f t="shared" si="68"/>
        <v>9127396.9051827826</v>
      </c>
      <c r="DR13" s="238">
        <f t="shared" si="68"/>
        <v>9257624.9267057907</v>
      </c>
      <c r="DS13" s="238">
        <f t="shared" si="68"/>
        <v>7958045.5942603629</v>
      </c>
      <c r="DT13" s="238">
        <f t="shared" si="68"/>
        <v>9135626.7451827824</v>
      </c>
      <c r="DU13" s="238">
        <f t="shared" si="68"/>
        <v>9259210.4108798821</v>
      </c>
      <c r="DV13" s="238">
        <f t="shared" si="68"/>
        <v>8500828.1534886938</v>
      </c>
      <c r="DW13" s="238">
        <f t="shared" si="68"/>
        <v>9192668.3251827825</v>
      </c>
      <c r="DX13" s="238">
        <f t="shared" si="68"/>
        <v>9262769.5085451547</v>
      </c>
      <c r="DY13" s="238">
        <f t="shared" si="68"/>
        <v>8572060.166563645</v>
      </c>
      <c r="DZ13" s="238">
        <f t="shared" si="68"/>
        <v>9196831.6851827819</v>
      </c>
      <c r="EA13" s="238">
        <f>+SUM(DO13:DZ13)</f>
        <v>106635982.69854683</v>
      </c>
      <c r="EB13" s="238">
        <f t="shared" ref="EB13:EM13" si="69">+SUM(EB11:EB12)</f>
        <v>9263906.0230545606</v>
      </c>
      <c r="EC13" s="238">
        <f t="shared" si="69"/>
        <v>8663786.0944932979</v>
      </c>
      <c r="ED13" s="238">
        <f t="shared" si="69"/>
        <v>9199439.515182782</v>
      </c>
      <c r="EE13" s="238">
        <f t="shared" si="69"/>
        <v>9264218.8838559575</v>
      </c>
      <c r="EF13" s="238">
        <f t="shared" si="69"/>
        <v>8714524.1927135456</v>
      </c>
      <c r="EG13" s="238">
        <f t="shared" si="69"/>
        <v>9206622.4551827833</v>
      </c>
      <c r="EH13" s="238">
        <f t="shared" si="69"/>
        <v>9264570.0541380551</v>
      </c>
      <c r="EI13" s="238">
        <f t="shared" si="69"/>
        <v>8785756.2057884969</v>
      </c>
      <c r="EJ13" s="238">
        <f t="shared" si="69"/>
        <v>9209321.7851827834</v>
      </c>
      <c r="EK13" s="238">
        <f t="shared" si="69"/>
        <v>9265380.9381038584</v>
      </c>
      <c r="EL13" s="238">
        <f t="shared" si="69"/>
        <v>8856988.2188634481</v>
      </c>
      <c r="EM13" s="238">
        <f t="shared" si="69"/>
        <v>9213485.1451827828</v>
      </c>
      <c r="EN13" s="238">
        <f>+SUM(EB13:EM13)</f>
        <v>108907999.51174235</v>
      </c>
    </row>
    <row r="14" spans="1:183" s="236" customFormat="1" x14ac:dyDescent="0.25">
      <c r="A14" s="234" t="s">
        <v>15</v>
      </c>
      <c r="B14" s="235">
        <f>+'EEFF base'!BB12</f>
        <v>-207031</v>
      </c>
      <c r="C14" s="235">
        <f>+'EEFF base'!BC12</f>
        <v>-624231.34</v>
      </c>
      <c r="D14" s="235">
        <f>+'EEFF base'!BD12</f>
        <v>-1568732.5799999998</v>
      </c>
      <c r="E14" s="235">
        <f>+'EEFF base'!BE12</f>
        <v>-955367.73</v>
      </c>
      <c r="F14" s="235">
        <f>+'EEFF base'!BF12</f>
        <v>-947133.42999999993</v>
      </c>
      <c r="G14" s="235">
        <f>+'EEFF base'!BG12</f>
        <v>-1453193.9500000002</v>
      </c>
      <c r="H14" s="235">
        <f>+'EEFF base'!BH12</f>
        <v>-2210380.08</v>
      </c>
      <c r="I14" s="235">
        <f>+'EEFF base'!BI12</f>
        <v>-1727330.3499999996</v>
      </c>
      <c r="J14" s="235">
        <f>+'EEFF base'!BJ12</f>
        <v>-1962639.98</v>
      </c>
      <c r="K14" s="235">
        <f>+'EEFF base'!BK12</f>
        <v>-1170217.6399999999</v>
      </c>
      <c r="L14" s="235">
        <f>+'EEFF base'!BL12</f>
        <v>-1082999.1199999996</v>
      </c>
      <c r="M14" s="235">
        <f>+'EEFF base'!BM12</f>
        <v>-1273625.17</v>
      </c>
      <c r="N14" s="235">
        <f t="shared" si="26"/>
        <v>-15182882.370000001</v>
      </c>
      <c r="O14" s="235">
        <f>+'EEFF base'!BO12</f>
        <v>-1669968.82</v>
      </c>
      <c r="P14" s="235">
        <f>+'EEFF base'!BP12</f>
        <v>-1198664.7500000002</v>
      </c>
      <c r="Q14" s="235">
        <f>+'EEFF base'!BQ12</f>
        <v>-1098324.04</v>
      </c>
      <c r="R14" s="235">
        <f>+'EEFF base'!BR12</f>
        <v>-2370662.4199999995</v>
      </c>
      <c r="S14" s="235">
        <f>+'EEFF base'!BS12</f>
        <v>-986214.6</v>
      </c>
      <c r="T14" s="235">
        <f>+'EEFF base'!BT12</f>
        <v>-1480099.5300000003</v>
      </c>
      <c r="U14" s="235">
        <f>+'EEFF base'!BU12</f>
        <v>-1597686.6500000001</v>
      </c>
      <c r="V14" s="235">
        <f>+'EEFF base'!BV12</f>
        <v>-1620671.6200000003</v>
      </c>
      <c r="W14" s="235">
        <f>+'EEFF base'!BW12</f>
        <v>-1046683.02</v>
      </c>
      <c r="X14" s="235">
        <f>+'EEFF base'!BX12</f>
        <v>-650654.26000000013</v>
      </c>
      <c r="Y14" s="235">
        <f>+'EEFF base'!BY12</f>
        <v>-1014102.9800000002</v>
      </c>
      <c r="Z14" s="235">
        <f>+'EEFF base'!BZ12</f>
        <v>-1093909.9700000004</v>
      </c>
      <c r="AA14" s="235">
        <f t="shared" si="27"/>
        <v>-15827642.660000002</v>
      </c>
      <c r="AB14" s="235">
        <f>+'EEFF base'!CB12</f>
        <v>-1194803.4300000002</v>
      </c>
      <c r="AC14" s="235">
        <f>+'EEFF base'!CC12</f>
        <v>-986983.62999999989</v>
      </c>
      <c r="AD14" s="235">
        <f>+'EEFF base'!CD12</f>
        <v>-1023626.3999999999</v>
      </c>
      <c r="AE14" s="235">
        <f>+'EEFF base'!CE12</f>
        <v>-1530247.1300000001</v>
      </c>
      <c r="AF14" s="235">
        <f>+'EEFF base'!CF12</f>
        <v>-1850078.78</v>
      </c>
      <c r="AG14" s="235">
        <f>+'EEFF base'!CG12</f>
        <v>-1825250.7099999997</v>
      </c>
      <c r="AH14" s="235">
        <f>+'EEFF base'!CH12</f>
        <v>-2441202.9100000006</v>
      </c>
      <c r="AI14" s="235">
        <f>+'EEFF base'!CI12</f>
        <v>-1816652.1199999996</v>
      </c>
      <c r="AJ14" s="235">
        <f>+'EEFF base'!CJ12</f>
        <v>-2174496.5799999996</v>
      </c>
      <c r="AK14" s="235">
        <f>+'EEFF base'!CK12</f>
        <v>-1151196.9800000004</v>
      </c>
      <c r="AL14" s="235">
        <f>+'EEFF base'!CL12</f>
        <v>-1150123.9400000002</v>
      </c>
      <c r="AM14" s="235">
        <f>+'EEFF base'!CM12</f>
        <v>-1816464.95</v>
      </c>
      <c r="AN14" s="235">
        <f t="shared" si="28"/>
        <v>-18961127.559999999</v>
      </c>
      <c r="AO14" s="235">
        <f>+'EEFF historicoss'!R22</f>
        <v>-984960.49</v>
      </c>
      <c r="AP14" s="235">
        <f>+'EEFF historicoss'!S22</f>
        <v>-1029388.33</v>
      </c>
      <c r="AQ14" s="235">
        <f>+'EEFF historicoss'!T22</f>
        <v>-1386067.02</v>
      </c>
      <c r="AR14" s="235">
        <f>+'EEFF historicoss'!U22</f>
        <v>-1659345.75</v>
      </c>
      <c r="AS14" s="235">
        <f>+'EEFF historicoss'!V22</f>
        <v>-1821794.29</v>
      </c>
      <c r="AT14" s="235">
        <f>+'EEFF historicoss'!W22</f>
        <v>-2086413.84</v>
      </c>
      <c r="AU14" s="235">
        <f>+'EEFF historicoss'!X22</f>
        <v>-1967310.83</v>
      </c>
      <c r="AV14" s="235">
        <f>+'EEFF historicoss'!Y22</f>
        <v>-2086132.3</v>
      </c>
      <c r="AW14" s="235">
        <f>+'EEFF historicoss'!Z22</f>
        <v>-1713209.02</v>
      </c>
      <c r="AX14" s="235">
        <f>+'EEFF historicoss'!AA22</f>
        <v>-1926358</v>
      </c>
      <c r="AY14" s="235">
        <f>+'EEFF historicoss'!AB22</f>
        <v>-1022615.69</v>
      </c>
      <c r="AZ14" s="235">
        <f>+'EEFF historicoss'!AC22</f>
        <v>-1887531.99</v>
      </c>
      <c r="BA14" s="235">
        <f t="shared" si="29"/>
        <v>-19571127.550000001</v>
      </c>
      <c r="BB14" s="235">
        <f>+'EEFF historicoss'!AE22</f>
        <v>-1794189.6</v>
      </c>
      <c r="BC14" s="235">
        <f>+'EEFF historicoss'!AF22</f>
        <v>-1099608.99</v>
      </c>
      <c r="BD14" s="235">
        <f>+'EEFF historicoss'!AG22</f>
        <v>-1466793.75</v>
      </c>
      <c r="BE14" s="235">
        <f>+'EEFF historicoss'!AH22</f>
        <v>-1221670.54</v>
      </c>
      <c r="BF14" s="235">
        <f>+'EEFF historicoss'!AI22</f>
        <v>-1274221</v>
      </c>
      <c r="BG14" s="235">
        <f>+'EEFF historicoss'!AJ22</f>
        <v>-1503925.92</v>
      </c>
      <c r="BH14" s="235">
        <f>+'EEFF historicoss'!AK22</f>
        <v>-1327577.01</v>
      </c>
      <c r="BI14" s="235">
        <f>+'EEFF historicoss'!AL22</f>
        <v>-1826703.19</v>
      </c>
      <c r="BJ14" s="235">
        <f>+'EEFF historicoss'!AM22</f>
        <v>-1861510.74</v>
      </c>
      <c r="BK14" s="235">
        <f>+'EEFF historicoss'!AN22</f>
        <v>-1710650.3</v>
      </c>
      <c r="BL14" s="235">
        <f>+'EEFF historicoss'!AO22</f>
        <v>-1778091.3</v>
      </c>
      <c r="BM14" s="235">
        <f>+'EEFF historicoss'!AP22</f>
        <v>-2005693.5</v>
      </c>
      <c r="BN14" s="235">
        <f t="shared" si="30"/>
        <v>-18870635.84</v>
      </c>
      <c r="BO14" s="235">
        <f>+'EEFF historicoss'!AR22</f>
        <v>-1657161</v>
      </c>
      <c r="BP14" s="235">
        <f>+'EEFF historicoss'!AS22</f>
        <v>-1669831</v>
      </c>
      <c r="BQ14" s="235">
        <f>+'EEFF historicoss'!AT22</f>
        <v>-1573809.6</v>
      </c>
      <c r="BR14" s="235">
        <f>+'EEFF historicoss'!AU22</f>
        <v>-2668229.71</v>
      </c>
      <c r="BS14" s="235">
        <f>+'EEFF historicoss'!AV22</f>
        <v>-1232903.27</v>
      </c>
      <c r="BT14" s="235">
        <f>+'EEFF historicoss'!AW22</f>
        <v>-2132452.96</v>
      </c>
      <c r="BU14" s="235">
        <f>+-'Presupuesto 25'!I74</f>
        <v>-1458230.5469758189</v>
      </c>
      <c r="BV14" s="235">
        <f>+-'Presupuesto 25'!J74</f>
        <v>-1649129.5107213967</v>
      </c>
      <c r="BW14" s="235">
        <f>+-'Presupuesto 25'!K74</f>
        <v>-1516057.225023038</v>
      </c>
      <c r="BX14" s="235">
        <f>+-'Presupuesto 25'!L74</f>
        <v>-1692940.6950065743</v>
      </c>
      <c r="BY14" s="235">
        <f>+-'Presupuesto 25'!M74</f>
        <v>-1366984.5902019278</v>
      </c>
      <c r="BZ14" s="235">
        <f>+-'Presupuesto 25'!N74</f>
        <v>-1392186.8140929097</v>
      </c>
      <c r="CA14" s="235">
        <f t="shared" si="31"/>
        <v>-20009916.922021665</v>
      </c>
      <c r="CB14" s="235">
        <f>+-HLOOKUP(CB2,'Control y Supuestos'!$B$1:$M$16,9,FALSE)*'EEFF proyectados'!CB5</f>
        <v>-2192545.6563786333</v>
      </c>
      <c r="CC14" s="235">
        <f>+-HLOOKUP(CC2,'Control y Supuestos'!$B$1:$M$16,9,FALSE)*'EEFF proyectados'!CC5</f>
        <v>-2192545.6563786333</v>
      </c>
      <c r="CD14" s="235">
        <f>+-HLOOKUP(CD2,'Control y Supuestos'!$B$1:$M$16,9,FALSE)*'EEFF proyectados'!CD5</f>
        <v>-2192545.6563786333</v>
      </c>
      <c r="CE14" s="235">
        <f>+-HLOOKUP(CE2,'Control y Supuestos'!$B$1:$M$16,9,FALSE)*'EEFF proyectados'!CE5</f>
        <v>-2192545.6563786333</v>
      </c>
      <c r="CF14" s="235">
        <f>+-HLOOKUP(CF2,'Control y Supuestos'!$B$1:$M$16,9,FALSE)*'EEFF proyectados'!CF5</f>
        <v>-2192545.6563786333</v>
      </c>
      <c r="CG14" s="235">
        <f>+-HLOOKUP(CG2,'Control y Supuestos'!$B$1:$M$16,9,FALSE)*'EEFF proyectados'!CG5</f>
        <v>-2192545.6563786333</v>
      </c>
      <c r="CH14" s="235">
        <f>+-HLOOKUP(CH2,'Control y Supuestos'!$B$1:$M$16,9,FALSE)*'EEFF proyectados'!CH5</f>
        <v>-2192545.6563786333</v>
      </c>
      <c r="CI14" s="235">
        <f>+-HLOOKUP(CI2,'Control y Supuestos'!$B$1:$M$16,9,FALSE)*'EEFF proyectados'!CI5</f>
        <v>-2192545.6563786333</v>
      </c>
      <c r="CJ14" s="235">
        <f>+-HLOOKUP(CJ2,'Control y Supuestos'!$B$1:$M$16,9,FALSE)*'EEFF proyectados'!CJ5</f>
        <v>-2192545.6563786333</v>
      </c>
      <c r="CK14" s="235">
        <f>+-HLOOKUP(CK2,'Control y Supuestos'!$B$1:$M$16,9,FALSE)*'EEFF proyectados'!CK5</f>
        <v>-2192545.6563786333</v>
      </c>
      <c r="CL14" s="235">
        <f>+-HLOOKUP(CL2,'Control y Supuestos'!$B$1:$M$16,9,FALSE)*'EEFF proyectados'!CL5</f>
        <v>-2192545.6563786333</v>
      </c>
      <c r="CM14" s="235">
        <f>+-HLOOKUP(CM2,'Control y Supuestos'!$B$1:$M$16,9,FALSE)*'EEFF proyectados'!CM5</f>
        <v>-2192545.6563786333</v>
      </c>
      <c r="CN14" s="235">
        <f>+SUM(CB14:CM14)</f>
        <v>-26310547.876543608</v>
      </c>
      <c r="CO14" s="235">
        <f>+-HLOOKUP(CO2,'Control y Supuestos'!$B$1:$M$16,9,FALSE)*'EEFF proyectados'!CO5</f>
        <v>-2192545.6563786333</v>
      </c>
      <c r="CP14" s="235">
        <f>+-HLOOKUP(CP2,'Control y Supuestos'!$B$1:$M$16,9,FALSE)*'EEFF proyectados'!CP5</f>
        <v>-2192545.6563786333</v>
      </c>
      <c r="CQ14" s="235">
        <f>+-HLOOKUP(CQ2,'Control y Supuestos'!$B$1:$M$16,9,FALSE)*'EEFF proyectados'!CQ5</f>
        <v>-2192545.6563786333</v>
      </c>
      <c r="CR14" s="235">
        <f>+-HLOOKUP(CR2,'Control y Supuestos'!$B$1:$M$16,9,FALSE)*'EEFF proyectados'!CR5</f>
        <v>-2192545.6563786333</v>
      </c>
      <c r="CS14" s="235">
        <f>+-HLOOKUP(CS2,'Control y Supuestos'!$B$1:$M$16,9,FALSE)*'EEFF proyectados'!CS5</f>
        <v>-2192545.6563786333</v>
      </c>
      <c r="CT14" s="235">
        <f>+-HLOOKUP(CT2,'Control y Supuestos'!$B$1:$M$16,9,FALSE)*'EEFF proyectados'!CT5</f>
        <v>-2192545.6563786333</v>
      </c>
      <c r="CU14" s="235">
        <f>+-HLOOKUP(CU2,'Control y Supuestos'!$B$1:$M$16,9,FALSE)*'EEFF proyectados'!CU5</f>
        <v>-2192545.6563786333</v>
      </c>
      <c r="CV14" s="235">
        <f>+-HLOOKUP(CV2,'Control y Supuestos'!$B$1:$M$16,9,FALSE)*'EEFF proyectados'!CV5</f>
        <v>-2192545.6563786333</v>
      </c>
      <c r="CW14" s="235">
        <f>+-HLOOKUP(CW2,'Control y Supuestos'!$B$1:$M$16,9,FALSE)*'EEFF proyectados'!CW5</f>
        <v>-2192545.6563786333</v>
      </c>
      <c r="CX14" s="235">
        <f>+-HLOOKUP(CX2,'Control y Supuestos'!$B$1:$M$16,9,FALSE)*'EEFF proyectados'!CX5</f>
        <v>-2192545.6563786333</v>
      </c>
      <c r="CY14" s="235">
        <f>+-HLOOKUP(CY2,'Control y Supuestos'!$B$1:$M$16,9,FALSE)*'EEFF proyectados'!CY5</f>
        <v>-2192545.6563786333</v>
      </c>
      <c r="CZ14" s="235">
        <f>+-HLOOKUP(CZ2,'Control y Supuestos'!$B$1:$M$16,9,FALSE)*'EEFF proyectados'!CZ5</f>
        <v>-2192545.6563786333</v>
      </c>
      <c r="DA14" s="235">
        <f>+SUM(CO14:CZ14)</f>
        <v>-26310547.876543608</v>
      </c>
      <c r="DB14" s="235">
        <f>+-HLOOKUP(DB2,'Control y Supuestos'!$B$1:$M$16,9,FALSE)*'EEFF proyectados'!DB5</f>
        <v>-2192545.6563786333</v>
      </c>
      <c r="DC14" s="235">
        <f>+-HLOOKUP(DC2,'Control y Supuestos'!$B$1:$M$16,9,FALSE)*'EEFF proyectados'!DC5</f>
        <v>-2192545.6563786333</v>
      </c>
      <c r="DD14" s="235">
        <f>+-HLOOKUP(DD2,'Control y Supuestos'!$B$1:$M$16,9,FALSE)*'EEFF proyectados'!DD5</f>
        <v>-2192545.6563786333</v>
      </c>
      <c r="DE14" s="235">
        <f>+-HLOOKUP(DE2,'Control y Supuestos'!$B$1:$M$16,9,FALSE)*'EEFF proyectados'!DE5</f>
        <v>-2192545.6563786333</v>
      </c>
      <c r="DF14" s="235">
        <f>+-HLOOKUP(DF2,'Control y Supuestos'!$B$1:$M$16,9,FALSE)*'EEFF proyectados'!DF5</f>
        <v>-2192545.6563786333</v>
      </c>
      <c r="DG14" s="235">
        <f>+-HLOOKUP(DG2,'Control y Supuestos'!$B$1:$M$16,9,FALSE)*'EEFF proyectados'!DG5</f>
        <v>-2192545.6563786333</v>
      </c>
      <c r="DH14" s="235">
        <f>+-HLOOKUP(DH2,'Control y Supuestos'!$B$1:$M$16,9,FALSE)*'EEFF proyectados'!DH5</f>
        <v>-2192545.6563786333</v>
      </c>
      <c r="DI14" s="235">
        <f>+-HLOOKUP(DI2,'Control y Supuestos'!$B$1:$M$16,9,FALSE)*'EEFF proyectados'!DI5</f>
        <v>-2192545.6563786333</v>
      </c>
      <c r="DJ14" s="235">
        <f>+-HLOOKUP(DJ2,'Control y Supuestos'!$B$1:$M$16,9,FALSE)*'EEFF proyectados'!DJ5</f>
        <v>-2192545.6563786333</v>
      </c>
      <c r="DK14" s="235">
        <f>+-HLOOKUP(DK2,'Control y Supuestos'!$B$1:$M$16,9,FALSE)*'EEFF proyectados'!DK5</f>
        <v>-2192545.6563786333</v>
      </c>
      <c r="DL14" s="235">
        <f>+-HLOOKUP(DL2,'Control y Supuestos'!$B$1:$M$16,9,FALSE)*'EEFF proyectados'!DL5</f>
        <v>-2192545.6563786333</v>
      </c>
      <c r="DM14" s="235">
        <f>+-HLOOKUP(DM2,'Control y Supuestos'!$B$1:$M$16,9,FALSE)*'EEFF proyectados'!DM5</f>
        <v>-2192545.6563786333</v>
      </c>
      <c r="DN14" s="235">
        <f>+SUM(DB14:DM14)</f>
        <v>-26310547.876543608</v>
      </c>
      <c r="DO14" s="235">
        <f>+-HLOOKUP(DO2,'Control y Supuestos'!$B$1:$M$16,9,FALSE)*'EEFF proyectados'!DO5</f>
        <v>-2192545.6563786333</v>
      </c>
      <c r="DP14" s="235">
        <f>+-HLOOKUP(DP2,'Control y Supuestos'!$B$1:$M$16,9,FALSE)*'EEFF proyectados'!DP5</f>
        <v>-2192545.6563786333</v>
      </c>
      <c r="DQ14" s="235">
        <f>+-HLOOKUP(DQ2,'Control y Supuestos'!$B$1:$M$16,9,FALSE)*'EEFF proyectados'!DQ5</f>
        <v>-2192545.6563786333</v>
      </c>
      <c r="DR14" s="235">
        <f>+-HLOOKUP(DR2,'Control y Supuestos'!$B$1:$M$16,9,FALSE)*'EEFF proyectados'!DR5</f>
        <v>-2192545.6563786333</v>
      </c>
      <c r="DS14" s="235">
        <f>+-HLOOKUP(DS2,'Control y Supuestos'!$B$1:$M$16,9,FALSE)*'EEFF proyectados'!DS5</f>
        <v>-2192545.6563786333</v>
      </c>
      <c r="DT14" s="235">
        <f>+-HLOOKUP(DT2,'Control y Supuestos'!$B$1:$M$16,9,FALSE)*'EEFF proyectados'!DT5</f>
        <v>-2192545.6563786333</v>
      </c>
      <c r="DU14" s="235">
        <f>+-HLOOKUP(DU2,'Control y Supuestos'!$B$1:$M$16,9,FALSE)*'EEFF proyectados'!DU5</f>
        <v>-2192545.6563786333</v>
      </c>
      <c r="DV14" s="235">
        <f>+-HLOOKUP(DV2,'Control y Supuestos'!$B$1:$M$16,9,FALSE)*'EEFF proyectados'!DV5</f>
        <v>-2192545.6563786333</v>
      </c>
      <c r="DW14" s="235">
        <f>+-HLOOKUP(DW2,'Control y Supuestos'!$B$1:$M$16,9,FALSE)*'EEFF proyectados'!DW5</f>
        <v>-2192545.6563786333</v>
      </c>
      <c r="DX14" s="235">
        <f>+-HLOOKUP(DX2,'Control y Supuestos'!$B$1:$M$16,9,FALSE)*'EEFF proyectados'!DX5</f>
        <v>-2192545.6563786333</v>
      </c>
      <c r="DY14" s="235">
        <f>+-HLOOKUP(DY2,'Control y Supuestos'!$B$1:$M$16,9,FALSE)*'EEFF proyectados'!DY5</f>
        <v>-2192545.6563786333</v>
      </c>
      <c r="DZ14" s="235">
        <f>+-HLOOKUP(DZ2,'Control y Supuestos'!$B$1:$M$16,9,FALSE)*'EEFF proyectados'!DZ5</f>
        <v>-2192545.6563786333</v>
      </c>
      <c r="EA14" s="235">
        <f>+SUM(DO14:DZ14)</f>
        <v>-26310547.876543608</v>
      </c>
      <c r="EB14" s="235">
        <f>+-HLOOKUP(EB2,'Control y Supuestos'!$B$1:$M$16,9,FALSE)*'EEFF proyectados'!EB5</f>
        <v>-2192545.6563786333</v>
      </c>
      <c r="EC14" s="235">
        <f>+-HLOOKUP(EC2,'Control y Supuestos'!$B$1:$M$16,9,FALSE)*'EEFF proyectados'!EC5</f>
        <v>-2192545.6563786333</v>
      </c>
      <c r="ED14" s="235">
        <f>+-HLOOKUP(ED2,'Control y Supuestos'!$B$1:$M$16,9,FALSE)*'EEFF proyectados'!ED5</f>
        <v>-2192545.6563786333</v>
      </c>
      <c r="EE14" s="235">
        <f>+-HLOOKUP(EE2,'Control y Supuestos'!$B$1:$M$16,9,FALSE)*'EEFF proyectados'!EE5</f>
        <v>-2192545.6563786333</v>
      </c>
      <c r="EF14" s="235">
        <f>+-HLOOKUP(EF2,'Control y Supuestos'!$B$1:$M$16,9,FALSE)*'EEFF proyectados'!EF5</f>
        <v>-2192545.6563786333</v>
      </c>
      <c r="EG14" s="235">
        <f>+-HLOOKUP(EG2,'Control y Supuestos'!$B$1:$M$16,9,FALSE)*'EEFF proyectados'!EG5</f>
        <v>-2192545.6563786333</v>
      </c>
      <c r="EH14" s="235">
        <f>+-HLOOKUP(EH2,'Control y Supuestos'!$B$1:$M$16,9,FALSE)*'EEFF proyectados'!EH5</f>
        <v>-2192545.6563786333</v>
      </c>
      <c r="EI14" s="235">
        <f>+-HLOOKUP(EI2,'Control y Supuestos'!$B$1:$M$16,9,FALSE)*'EEFF proyectados'!EI5</f>
        <v>-2192545.6563786333</v>
      </c>
      <c r="EJ14" s="235">
        <f>+-HLOOKUP(EJ2,'Control y Supuestos'!$B$1:$M$16,9,FALSE)*'EEFF proyectados'!EJ5</f>
        <v>-2192545.6563786333</v>
      </c>
      <c r="EK14" s="235">
        <f>+-HLOOKUP(EK2,'Control y Supuestos'!$B$1:$M$16,9,FALSE)*'EEFF proyectados'!EK5</f>
        <v>-2192545.6563786333</v>
      </c>
      <c r="EL14" s="235">
        <f>+-HLOOKUP(EL2,'Control y Supuestos'!$B$1:$M$16,9,FALSE)*'EEFF proyectados'!EL5</f>
        <v>-2192545.6563786333</v>
      </c>
      <c r="EM14" s="235">
        <f>+-HLOOKUP(EM2,'Control y Supuestos'!$B$1:$M$16,9,FALSE)*'EEFF proyectados'!EM5</f>
        <v>-2192545.6563786333</v>
      </c>
      <c r="EN14" s="235">
        <f>+SUM(EB14:EM14)</f>
        <v>-26310547.876543608</v>
      </c>
    </row>
    <row r="15" spans="1:183" s="236" customFormat="1" x14ac:dyDescent="0.25">
      <c r="A15" s="237" t="s">
        <v>31</v>
      </c>
      <c r="B15" s="238">
        <f>+SUM(B13:B14)</f>
        <v>-7837600.5699999966</v>
      </c>
      <c r="C15" s="238">
        <f t="shared" ref="C15:M15" si="70">+SUM(C13:C14)</f>
        <v>-9086280.0199999958</v>
      </c>
      <c r="D15" s="238">
        <f t="shared" si="70"/>
        <v>2228078.5700000059</v>
      </c>
      <c r="E15" s="238">
        <f t="shared" si="70"/>
        <v>865886.09999999474</v>
      </c>
      <c r="F15" s="238">
        <f t="shared" si="70"/>
        <v>-3797307.3099999838</v>
      </c>
      <c r="G15" s="238">
        <f t="shared" si="70"/>
        <v>4915469.9300000509</v>
      </c>
      <c r="H15" s="238">
        <f t="shared" si="70"/>
        <v>12221407.19000004</v>
      </c>
      <c r="I15" s="238">
        <f t="shared" si="70"/>
        <v>-839545.34000001103</v>
      </c>
      <c r="J15" s="238">
        <f t="shared" si="70"/>
        <v>-793979.87000005739</v>
      </c>
      <c r="K15" s="238">
        <f t="shared" si="70"/>
        <v>-9695926.7099999972</v>
      </c>
      <c r="L15" s="238">
        <f t="shared" si="70"/>
        <v>3023305.2600000338</v>
      </c>
      <c r="M15" s="238">
        <f t="shared" si="70"/>
        <v>540695.46000014548</v>
      </c>
      <c r="N15" s="238">
        <v>1</v>
      </c>
      <c r="O15" s="238">
        <f>+SUM(O13:O14)</f>
        <v>2133729.0299999882</v>
      </c>
      <c r="P15" s="238">
        <f t="shared" ref="P15:Z15" si="71">+SUM(P13:P14)</f>
        <v>-6234610.8200000189</v>
      </c>
      <c r="Q15" s="238">
        <f t="shared" si="71"/>
        <v>-3264562.039999987</v>
      </c>
      <c r="R15" s="238">
        <f t="shared" si="71"/>
        <v>21262182.949999969</v>
      </c>
      <c r="S15" s="238">
        <f t="shared" si="71"/>
        <v>-6220387.0400000066</v>
      </c>
      <c r="T15" s="238">
        <f t="shared" si="71"/>
        <v>2161231.6200000439</v>
      </c>
      <c r="U15" s="238">
        <f t="shared" si="71"/>
        <v>-1788432.4399999746</v>
      </c>
      <c r="V15" s="238">
        <f t="shared" si="71"/>
        <v>1660309.0399999928</v>
      </c>
      <c r="W15" s="238">
        <f t="shared" si="71"/>
        <v>3347566.0000000107</v>
      </c>
      <c r="X15" s="238">
        <f t="shared" si="71"/>
        <v>-6666006.5000000037</v>
      </c>
      <c r="Y15" s="238">
        <f t="shared" si="71"/>
        <v>-479894.64999998524</v>
      </c>
      <c r="Z15" s="238">
        <f t="shared" si="71"/>
        <v>-2577327.3700000457</v>
      </c>
      <c r="AA15" s="238">
        <f t="shared" si="27"/>
        <v>3333797.7799999844</v>
      </c>
      <c r="AB15" s="238">
        <f t="shared" ref="AB15:AM15" si="72">+SUM(AB13:AB14)</f>
        <v>1664294.7199999974</v>
      </c>
      <c r="AC15" s="238">
        <f t="shared" si="72"/>
        <v>-8739423.6199999619</v>
      </c>
      <c r="AD15" s="238">
        <f t="shared" si="72"/>
        <v>-4546604.1599999983</v>
      </c>
      <c r="AE15" s="238">
        <f t="shared" si="72"/>
        <v>2570026.5499999654</v>
      </c>
      <c r="AF15" s="238">
        <f t="shared" si="72"/>
        <v>6763396.2199999606</v>
      </c>
      <c r="AG15" s="238">
        <f t="shared" si="72"/>
        <v>-1058230.9299999888</v>
      </c>
      <c r="AH15" s="238">
        <f t="shared" si="72"/>
        <v>2004650.1199999549</v>
      </c>
      <c r="AI15" s="238">
        <f t="shared" si="72"/>
        <v>2156514.9899999839</v>
      </c>
      <c r="AJ15" s="238">
        <f t="shared" si="72"/>
        <v>10457518.679999981</v>
      </c>
      <c r="AK15" s="238">
        <f t="shared" si="72"/>
        <v>-11516549.319999972</v>
      </c>
      <c r="AL15" s="238">
        <f t="shared" si="72"/>
        <v>-11708044.890000029</v>
      </c>
      <c r="AM15" s="238">
        <f t="shared" si="72"/>
        <v>8849878.5799999405</v>
      </c>
      <c r="AN15" s="238">
        <f t="shared" si="28"/>
        <v>-3102573.0600001663</v>
      </c>
      <c r="AO15" s="238">
        <f t="shared" ref="AO15:AY15" si="73">+SUM(AO13:AO14)</f>
        <v>-6623056.6900000004</v>
      </c>
      <c r="AP15" s="238">
        <f t="shared" si="73"/>
        <v>-10047421.769999998</v>
      </c>
      <c r="AQ15" s="238">
        <f t="shared" si="73"/>
        <v>-4397849.5799999982</v>
      </c>
      <c r="AR15" s="238">
        <f t="shared" si="73"/>
        <v>273777.51999999536</v>
      </c>
      <c r="AS15" s="238">
        <f t="shared" si="73"/>
        <v>2302691.9199999976</v>
      </c>
      <c r="AT15" s="238">
        <f t="shared" si="73"/>
        <v>2171597.8600000031</v>
      </c>
      <c r="AU15" s="238">
        <f t="shared" si="73"/>
        <v>6841314.9499999974</v>
      </c>
      <c r="AV15" s="238">
        <f t="shared" si="73"/>
        <v>-2122133.3499999987</v>
      </c>
      <c r="AW15" s="238">
        <f t="shared" si="73"/>
        <v>4026142.8000000021</v>
      </c>
      <c r="AX15" s="238">
        <f t="shared" si="73"/>
        <v>17254588.630000003</v>
      </c>
      <c r="AY15" s="238">
        <f t="shared" si="73"/>
        <v>-8302607.2100000009</v>
      </c>
      <c r="AZ15" s="238">
        <f>+SUM(AZ13:AZ14)</f>
        <v>-427138.33000000403</v>
      </c>
      <c r="BA15" s="238">
        <f t="shared" si="29"/>
        <v>949906.74999999977</v>
      </c>
      <c r="BB15" s="238">
        <f t="shared" ref="BB15:BL15" si="74">+SUM(BB13:BB14)</f>
        <v>9168140.639999995</v>
      </c>
      <c r="BC15" s="238">
        <f t="shared" si="74"/>
        <v>-10094410.4</v>
      </c>
      <c r="BD15" s="238">
        <f t="shared" si="74"/>
        <v>-8901528.6500000022</v>
      </c>
      <c r="BE15" s="238">
        <f t="shared" si="74"/>
        <v>-19059559.98</v>
      </c>
      <c r="BF15" s="238">
        <f t="shared" si="74"/>
        <v>-4876949.6400000015</v>
      </c>
      <c r="BG15" s="238">
        <f t="shared" si="74"/>
        <v>993991.88000000175</v>
      </c>
      <c r="BH15" s="238">
        <f t="shared" si="74"/>
        <v>2438827.6800000016</v>
      </c>
      <c r="BI15" s="238">
        <f t="shared" si="74"/>
        <v>10071664.090000002</v>
      </c>
      <c r="BJ15" s="238">
        <f t="shared" si="74"/>
        <v>-1952532.25</v>
      </c>
      <c r="BK15" s="238">
        <f t="shared" si="74"/>
        <v>12773158.850000003</v>
      </c>
      <c r="BL15" s="238">
        <f t="shared" si="74"/>
        <v>-851711.0800000024</v>
      </c>
      <c r="BM15" s="238">
        <f>+SUM(BM13:BM14)</f>
        <v>-2711318.200000003</v>
      </c>
      <c r="BN15" s="238">
        <f t="shared" si="30"/>
        <v>-13002227.060000004</v>
      </c>
      <c r="BO15" s="238">
        <f t="shared" ref="BO15:BT15" si="75">+SUM(BO13:BO14)</f>
        <v>-2044664.3800000034</v>
      </c>
      <c r="BP15" s="238">
        <f t="shared" si="75"/>
        <v>9345258.6700000018</v>
      </c>
      <c r="BQ15" s="238">
        <f t="shared" si="75"/>
        <v>6701597.5599999968</v>
      </c>
      <c r="BR15" s="238">
        <f t="shared" si="75"/>
        <v>16599308.32</v>
      </c>
      <c r="BS15" s="238">
        <f t="shared" si="75"/>
        <v>-731112.72000000183</v>
      </c>
      <c r="BT15" s="238">
        <f t="shared" si="75"/>
        <v>12864255.690000001</v>
      </c>
      <c r="BU15" s="238">
        <f t="shared" ref="BU15:BZ15" si="76">+SUM(BU13:BU14)</f>
        <v>1775687.9014762207</v>
      </c>
      <c r="BV15" s="238">
        <f t="shared" si="76"/>
        <v>-144676.966089644</v>
      </c>
      <c r="BW15" s="238">
        <f t="shared" si="76"/>
        <v>1884065.2022905673</v>
      </c>
      <c r="BX15" s="238">
        <f t="shared" si="76"/>
        <v>2066544.0061854261</v>
      </c>
      <c r="BY15" s="238">
        <f t="shared" si="76"/>
        <v>-625064.23648947431</v>
      </c>
      <c r="BZ15" s="238">
        <f t="shared" si="76"/>
        <v>103299.49434232921</v>
      </c>
      <c r="CA15" s="238">
        <f t="shared" si="31"/>
        <v>47794498.541715413</v>
      </c>
      <c r="CB15" s="238">
        <f t="shared" ref="CB15:CM15" si="77">+SUM(CB13:CB14)</f>
        <v>6927441.8174697133</v>
      </c>
      <c r="CC15" s="238">
        <f t="shared" si="77"/>
        <v>4790585.6163386069</v>
      </c>
      <c r="CD15" s="238">
        <f t="shared" si="77"/>
        <v>5976829.0846569994</v>
      </c>
      <c r="CE15" s="238">
        <f t="shared" si="77"/>
        <v>6937296.8002540609</v>
      </c>
      <c r="CF15" s="238">
        <f t="shared" si="77"/>
        <v>4800158.1894368352</v>
      </c>
      <c r="CG15" s="238">
        <f t="shared" si="77"/>
        <v>6004653.6330220001</v>
      </c>
      <c r="CH15" s="238">
        <f t="shared" si="77"/>
        <v>6961820.7745361952</v>
      </c>
      <c r="CI15" s="238">
        <f t="shared" si="77"/>
        <v>4897203.1774017857</v>
      </c>
      <c r="CJ15" s="238">
        <f t="shared" si="77"/>
        <v>6129991.2960823001</v>
      </c>
      <c r="CK15" s="238">
        <f t="shared" si="77"/>
        <v>6984757.7594006015</v>
      </c>
      <c r="CL15" s="238">
        <f t="shared" si="77"/>
        <v>4994275.0853667362</v>
      </c>
      <c r="CM15" s="238">
        <f t="shared" si="77"/>
        <v>6183758.3227330679</v>
      </c>
      <c r="CN15" s="238">
        <f>+SUM(CB15:CM15)</f>
        <v>71588771.556698903</v>
      </c>
      <c r="CO15" s="238">
        <f t="shared" ref="CO15" si="78">+SUM(CO13:CO14)</f>
        <v>7011339.8202162171</v>
      </c>
      <c r="CP15" s="238">
        <f t="shared" ref="CP15:CZ15" si="79">+SUM(CP13:CP14)</f>
        <v>5103448.5635384899</v>
      </c>
      <c r="CQ15" s="238">
        <f t="shared" si="79"/>
        <v>6288372.0337900007</v>
      </c>
      <c r="CR15" s="238">
        <f t="shared" si="79"/>
        <v>7037589.3108239556</v>
      </c>
      <c r="CS15" s="238">
        <f t="shared" si="79"/>
        <v>5162813.5812966386</v>
      </c>
      <c r="CT15" s="238">
        <f t="shared" si="79"/>
        <v>6459470.7644014833</v>
      </c>
      <c r="CU15" s="238">
        <f t="shared" si="79"/>
        <v>7054632.9265311612</v>
      </c>
      <c r="CV15" s="238">
        <f t="shared" si="79"/>
        <v>5232925.7863570722</v>
      </c>
      <c r="CW15" s="238">
        <f t="shared" si="79"/>
        <v>6551791.8421483161</v>
      </c>
      <c r="CX15" s="238">
        <f t="shared" si="79"/>
        <v>7056105.6311095199</v>
      </c>
      <c r="CY15" s="238">
        <f t="shared" si="79"/>
        <v>5338107.8594320239</v>
      </c>
      <c r="CZ15" s="238">
        <f t="shared" si="79"/>
        <v>6638643.5643038163</v>
      </c>
      <c r="DA15" s="238">
        <f>+SUM(CO15:CZ15)</f>
        <v>74935241.683948696</v>
      </c>
      <c r="DB15" s="238">
        <f t="shared" ref="DB15:DM15" si="80">+SUM(DB13:DB14)</f>
        <v>7057795.7857276658</v>
      </c>
      <c r="DC15" s="238">
        <f t="shared" si="80"/>
        <v>5435390.6585970568</v>
      </c>
      <c r="DD15" s="238">
        <f t="shared" si="80"/>
        <v>6722751.9004994826</v>
      </c>
      <c r="DE15" s="238">
        <f t="shared" si="80"/>
        <v>7059252.4826475633</v>
      </c>
      <c r="DF15" s="238">
        <f t="shared" si="80"/>
        <v>5480571.8855819255</v>
      </c>
      <c r="DG15" s="238">
        <f t="shared" si="80"/>
        <v>6810512.2858654829</v>
      </c>
      <c r="DH15" s="238">
        <f t="shared" si="80"/>
        <v>7060523.7448445959</v>
      </c>
      <c r="DI15" s="238">
        <f t="shared" si="80"/>
        <v>5551803.8986568758</v>
      </c>
      <c r="DJ15" s="238">
        <f t="shared" si="80"/>
        <v>6899198.7107703155</v>
      </c>
      <c r="DK15" s="238">
        <f t="shared" si="80"/>
        <v>7061996.4494229564</v>
      </c>
      <c r="DL15" s="238">
        <f t="shared" si="80"/>
        <v>5623035.9117318271</v>
      </c>
      <c r="DM15" s="238">
        <f t="shared" si="80"/>
        <v>6986067.8092541499</v>
      </c>
      <c r="DN15" s="238">
        <f>+SUM(DB15:DM15)</f>
        <v>77748901.523599908</v>
      </c>
      <c r="DO15" s="238">
        <f t="shared" ref="DO15:DZ15" si="81">+SUM(DO13:DO14)</f>
        <v>7063775.9928132044</v>
      </c>
      <c r="DP15" s="238">
        <f t="shared" si="81"/>
        <v>5724052.9718016908</v>
      </c>
      <c r="DQ15" s="238">
        <f t="shared" si="81"/>
        <v>6934851.2488041492</v>
      </c>
      <c r="DR15" s="238">
        <f t="shared" si="81"/>
        <v>7065079.2703271573</v>
      </c>
      <c r="DS15" s="238">
        <f t="shared" si="81"/>
        <v>5765499.9378817296</v>
      </c>
      <c r="DT15" s="238">
        <f t="shared" si="81"/>
        <v>6943081.0888041491</v>
      </c>
      <c r="DU15" s="238">
        <f t="shared" si="81"/>
        <v>7066664.7545012487</v>
      </c>
      <c r="DV15" s="238">
        <f t="shared" si="81"/>
        <v>6308282.4971100604</v>
      </c>
      <c r="DW15" s="238">
        <f t="shared" si="81"/>
        <v>7000122.6688041491</v>
      </c>
      <c r="DX15" s="238">
        <f t="shared" si="81"/>
        <v>7070223.8521665214</v>
      </c>
      <c r="DY15" s="238">
        <f t="shared" si="81"/>
        <v>6379514.5101850117</v>
      </c>
      <c r="DZ15" s="238">
        <f t="shared" si="81"/>
        <v>7004286.0288041485</v>
      </c>
      <c r="EA15" s="238">
        <f>+SUM(DO15:DZ15)</f>
        <v>80325434.822003216</v>
      </c>
      <c r="EB15" s="238">
        <f t="shared" ref="EB15:EM15" si="82">+SUM(EB13:EB14)</f>
        <v>7071360.3666759273</v>
      </c>
      <c r="EC15" s="238">
        <f t="shared" si="82"/>
        <v>6471240.4381146645</v>
      </c>
      <c r="ED15" s="238">
        <f t="shared" si="82"/>
        <v>7006893.8588041486</v>
      </c>
      <c r="EE15" s="238">
        <f t="shared" si="82"/>
        <v>7071673.2274773242</v>
      </c>
      <c r="EF15" s="238">
        <f t="shared" si="82"/>
        <v>6521978.5363349123</v>
      </c>
      <c r="EG15" s="238">
        <f t="shared" si="82"/>
        <v>7014076.79880415</v>
      </c>
      <c r="EH15" s="238">
        <f t="shared" si="82"/>
        <v>7072024.3977594217</v>
      </c>
      <c r="EI15" s="238">
        <f t="shared" si="82"/>
        <v>6593210.5494098635</v>
      </c>
      <c r="EJ15" s="238">
        <f t="shared" si="82"/>
        <v>7016776.12880415</v>
      </c>
      <c r="EK15" s="238">
        <f t="shared" si="82"/>
        <v>7072835.281725225</v>
      </c>
      <c r="EL15" s="238">
        <f t="shared" si="82"/>
        <v>6664442.5624848148</v>
      </c>
      <c r="EM15" s="238">
        <f t="shared" si="82"/>
        <v>7020939.4888041494</v>
      </c>
      <c r="EN15" s="238">
        <f>+SUM(EB15:EM15)</f>
        <v>82597451.635198742</v>
      </c>
    </row>
    <row r="16" spans="1:183" x14ac:dyDescent="0.25">
      <c r="A16" s="233"/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  <c r="BM16" s="239"/>
      <c r="BN16" s="239"/>
      <c r="BO16" s="239"/>
      <c r="BP16" s="239"/>
      <c r="BQ16" s="239"/>
      <c r="BR16" s="239"/>
      <c r="BS16" s="239"/>
      <c r="BT16" s="239"/>
      <c r="BU16" s="239"/>
      <c r="BV16" s="239"/>
      <c r="BW16" s="239"/>
      <c r="BX16" s="239"/>
      <c r="BY16" s="239"/>
      <c r="BZ16" s="239"/>
      <c r="CA16" s="239"/>
      <c r="CB16" s="239"/>
      <c r="CC16" s="239"/>
      <c r="CD16" s="239"/>
      <c r="CE16" s="239"/>
      <c r="CF16" s="239"/>
      <c r="CG16" s="239"/>
      <c r="CH16" s="239"/>
      <c r="CI16" s="239"/>
      <c r="CJ16" s="239"/>
      <c r="CK16" s="239"/>
      <c r="CL16" s="239"/>
      <c r="CM16" s="239"/>
      <c r="CN16" s="239"/>
      <c r="CO16" s="239"/>
      <c r="CP16" s="239"/>
      <c r="CQ16" s="239"/>
      <c r="CR16" s="239"/>
      <c r="CS16" s="239"/>
      <c r="CT16" s="239"/>
      <c r="CU16" s="239"/>
      <c r="CV16" s="239"/>
      <c r="CW16" s="239"/>
      <c r="CX16" s="239"/>
      <c r="CY16" s="239"/>
      <c r="CZ16" s="239"/>
      <c r="DA16" s="239"/>
      <c r="DB16" s="239"/>
      <c r="DC16" s="239"/>
      <c r="DD16" s="239"/>
      <c r="DE16" s="239"/>
      <c r="DF16" s="239"/>
      <c r="DG16" s="239"/>
      <c r="DH16" s="239"/>
      <c r="DI16" s="239"/>
      <c r="DJ16" s="239"/>
      <c r="DK16" s="239"/>
      <c r="DL16" s="239"/>
      <c r="DM16" s="239"/>
      <c r="DN16" s="239"/>
      <c r="DO16" s="239"/>
      <c r="DP16" s="239"/>
      <c r="DQ16" s="239"/>
      <c r="DR16" s="239"/>
      <c r="DS16" s="239"/>
      <c r="DT16" s="239"/>
      <c r="DU16" s="239"/>
      <c r="DV16" s="239"/>
      <c r="DW16" s="239"/>
      <c r="DX16" s="239"/>
      <c r="DY16" s="239"/>
      <c r="DZ16" s="239"/>
      <c r="EA16" s="239"/>
      <c r="EB16" s="239"/>
      <c r="EC16" s="239"/>
      <c r="ED16" s="239"/>
      <c r="EE16" s="239"/>
      <c r="EF16" s="239"/>
      <c r="EG16" s="239"/>
      <c r="EH16" s="239"/>
      <c r="EI16" s="239"/>
      <c r="EJ16" s="239"/>
      <c r="EK16" s="239"/>
      <c r="EL16" s="239"/>
      <c r="EM16" s="239"/>
      <c r="EN16" s="239"/>
    </row>
    <row r="17" spans="1:183" x14ac:dyDescent="0.25">
      <c r="A17" s="233"/>
      <c r="B17" s="239"/>
      <c r="C17" s="239"/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6">
        <f t="shared" ref="BD17:BN17" si="83">+BD6</f>
        <v>-28825967.93</v>
      </c>
      <c r="BE17" s="236">
        <f t="shared" si="83"/>
        <v>-30193661.010000002</v>
      </c>
      <c r="BF17" s="236">
        <f t="shared" si="83"/>
        <v>-27845660.010000002</v>
      </c>
      <c r="BG17" s="236">
        <f t="shared" si="83"/>
        <v>-16075418.42</v>
      </c>
      <c r="BH17" s="236">
        <f t="shared" si="83"/>
        <v>-18501311.039999999</v>
      </c>
      <c r="BI17" s="236">
        <f t="shared" si="83"/>
        <v>-27622010.460000001</v>
      </c>
      <c r="BJ17" s="236">
        <f t="shared" si="83"/>
        <v>-28637596.780000001</v>
      </c>
      <c r="BK17" s="236">
        <f t="shared" si="83"/>
        <v>-27596156.079999998</v>
      </c>
      <c r="BL17" s="236">
        <f t="shared" si="83"/>
        <v>-33592476.380000003</v>
      </c>
      <c r="BM17" s="236">
        <f t="shared" si="83"/>
        <v>-40794323.18</v>
      </c>
      <c r="BN17" s="236">
        <f t="shared" si="83"/>
        <v>-345342219.25999999</v>
      </c>
      <c r="BO17" s="236">
        <f t="shared" ref="BO17:BT17" si="84">+BO6</f>
        <v>-31039969.25</v>
      </c>
      <c r="BP17" s="236">
        <f t="shared" si="84"/>
        <v>-29106507.039999999</v>
      </c>
      <c r="BQ17" s="236">
        <f t="shared" si="84"/>
        <v>-26748165.920000002</v>
      </c>
      <c r="BR17" s="236">
        <f t="shared" si="84"/>
        <v>-28476868.149999999</v>
      </c>
      <c r="BS17" s="236">
        <f t="shared" si="84"/>
        <v>-19961082.350000001</v>
      </c>
      <c r="BT17" s="236">
        <f t="shared" si="84"/>
        <v>-22927242.530000001</v>
      </c>
      <c r="BU17" s="239"/>
      <c r="BV17" s="239"/>
      <c r="BW17" s="239"/>
      <c r="BX17" s="239"/>
      <c r="BY17" s="235"/>
      <c r="CE17" s="239"/>
      <c r="CF17" s="239"/>
      <c r="CG17" s="239"/>
      <c r="CH17" s="239"/>
      <c r="CI17" s="239"/>
      <c r="CJ17" s="239"/>
      <c r="CK17" s="239"/>
      <c r="CL17" s="239"/>
      <c r="CM17" s="239"/>
      <c r="CN17" s="239"/>
      <c r="CO17" s="239"/>
      <c r="CP17" s="239"/>
      <c r="CQ17" s="239"/>
      <c r="CR17" s="239"/>
      <c r="CS17" s="239"/>
      <c r="CT17" s="239"/>
      <c r="CU17" s="239"/>
      <c r="CV17" s="239"/>
      <c r="CW17" s="239"/>
      <c r="CX17" s="239"/>
      <c r="CY17" s="239"/>
      <c r="CZ17" s="239"/>
      <c r="DA17" s="239"/>
      <c r="DB17" s="239"/>
      <c r="DC17" s="239"/>
      <c r="DD17" s="239"/>
      <c r="DE17" s="239"/>
      <c r="DF17" s="239"/>
      <c r="DG17" s="239"/>
      <c r="DH17" s="239"/>
      <c r="DI17" s="239"/>
      <c r="DJ17" s="239"/>
      <c r="DK17" s="239"/>
      <c r="DL17" s="239"/>
      <c r="DM17" s="239"/>
      <c r="DN17" s="239"/>
      <c r="DO17" s="239"/>
      <c r="DP17" s="239"/>
      <c r="DQ17" s="239"/>
      <c r="DR17" s="239"/>
      <c r="DS17" s="239"/>
      <c r="DT17" s="239"/>
      <c r="DU17" s="239"/>
      <c r="DV17" s="239"/>
      <c r="DW17" s="239"/>
      <c r="DX17" s="239"/>
      <c r="DY17" s="239"/>
      <c r="DZ17" s="239"/>
      <c r="EA17" s="239"/>
      <c r="EB17" s="239"/>
      <c r="EC17" s="239"/>
      <c r="ED17" s="239"/>
      <c r="EE17" s="239"/>
      <c r="EF17" s="239"/>
      <c r="EG17" s="239"/>
      <c r="EH17" s="239"/>
      <c r="EI17" s="239"/>
      <c r="EJ17" s="239"/>
      <c r="EK17" s="239"/>
      <c r="EL17" s="239"/>
      <c r="EM17" s="239"/>
      <c r="EN17" s="239"/>
    </row>
    <row r="18" spans="1:183" x14ac:dyDescent="0.25">
      <c r="A18" s="233"/>
      <c r="B18" s="239"/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6">
        <f t="shared" ref="BD18:BN18" si="85">+SUM(BD8:BD10,BD12,BD14)</f>
        <v>-8828041.3000000007</v>
      </c>
      <c r="BE18" s="236">
        <f t="shared" si="85"/>
        <v>-16112777.300000001</v>
      </c>
      <c r="BF18" s="236">
        <f t="shared" si="85"/>
        <v>-9361993.0399999991</v>
      </c>
      <c r="BG18" s="236">
        <f t="shared" si="85"/>
        <v>-11784755.68</v>
      </c>
      <c r="BH18" s="236">
        <f t="shared" si="85"/>
        <v>-6366519.1899999995</v>
      </c>
      <c r="BI18" s="236">
        <f t="shared" si="85"/>
        <v>-8056716.120000001</v>
      </c>
      <c r="BJ18" s="236">
        <f t="shared" si="85"/>
        <v>-6085623.6600000001</v>
      </c>
      <c r="BK18" s="236">
        <f t="shared" si="85"/>
        <v>-5242852.34</v>
      </c>
      <c r="BL18" s="236">
        <f t="shared" si="85"/>
        <v>-6888997.5899999999</v>
      </c>
      <c r="BM18" s="236">
        <f t="shared" si="85"/>
        <v>-2838411</v>
      </c>
      <c r="BN18" s="236">
        <f t="shared" si="85"/>
        <v>-99782184.340000004</v>
      </c>
      <c r="BO18" s="236">
        <f t="shared" ref="BO18:BT18" si="86">+SUM(BO8:BO10,BO12,BO14)</f>
        <v>-7694952.6799999997</v>
      </c>
      <c r="BP18" s="236">
        <f t="shared" si="86"/>
        <v>-5783618.8600000003</v>
      </c>
      <c r="BQ18" s="236">
        <f t="shared" si="86"/>
        <v>-5579603.8399999999</v>
      </c>
      <c r="BR18" s="236">
        <f t="shared" si="86"/>
        <v>-9121394.3500000015</v>
      </c>
      <c r="BS18" s="236">
        <f t="shared" si="86"/>
        <v>-5061119.8900000006</v>
      </c>
      <c r="BT18" s="236">
        <f t="shared" si="86"/>
        <v>-16146700.809999999</v>
      </c>
      <c r="BU18" s="239"/>
      <c r="BV18" s="239"/>
      <c r="BW18" s="239"/>
      <c r="BX18" s="239"/>
      <c r="BY18" s="239"/>
      <c r="CE18" s="239"/>
      <c r="CF18" s="239"/>
      <c r="CG18" s="239"/>
      <c r="CH18" s="239"/>
      <c r="CI18" s="239"/>
      <c r="CJ18" s="239"/>
      <c r="CK18" s="239"/>
      <c r="CL18" s="239"/>
      <c r="CM18" s="239"/>
      <c r="CN18" s="239"/>
      <c r="CO18" s="239"/>
      <c r="CP18" s="239"/>
      <c r="CQ18" s="239"/>
      <c r="CR18" s="239"/>
      <c r="CS18" s="239"/>
      <c r="CT18" s="239"/>
      <c r="CU18" s="239"/>
      <c r="CV18" s="239"/>
      <c r="CW18" s="239"/>
      <c r="CX18" s="239"/>
      <c r="CY18" s="239"/>
      <c r="CZ18" s="239"/>
      <c r="DA18" s="239"/>
      <c r="DB18" s="239"/>
      <c r="DC18" s="239"/>
      <c r="DD18" s="239"/>
      <c r="DE18" s="239"/>
      <c r="DF18" s="239"/>
      <c r="DG18" s="239"/>
      <c r="DH18" s="239"/>
      <c r="DI18" s="239"/>
      <c r="DJ18" s="239"/>
      <c r="DK18" s="239"/>
      <c r="DL18" s="239"/>
      <c r="DM18" s="239"/>
      <c r="DN18" s="239"/>
      <c r="DO18" s="239"/>
      <c r="DP18" s="239"/>
      <c r="DQ18" s="239"/>
      <c r="DR18" s="239"/>
      <c r="DS18" s="239"/>
      <c r="DT18" s="239"/>
      <c r="DU18" s="239"/>
      <c r="DV18" s="239"/>
      <c r="DW18" s="239"/>
      <c r="DX18" s="239"/>
      <c r="DY18" s="239"/>
      <c r="DZ18" s="239"/>
      <c r="EA18" s="239"/>
      <c r="EB18" s="239"/>
      <c r="EC18" s="239"/>
      <c r="ED18" s="239"/>
      <c r="EE18" s="239"/>
      <c r="EF18" s="239"/>
      <c r="EG18" s="239"/>
      <c r="EH18" s="239"/>
      <c r="EI18" s="239"/>
      <c r="EJ18" s="239"/>
      <c r="EK18" s="239"/>
      <c r="EL18" s="239"/>
      <c r="EM18" s="239"/>
      <c r="EN18" s="239"/>
    </row>
    <row r="19" spans="1:183" x14ac:dyDescent="0.25">
      <c r="A19" s="233"/>
      <c r="B19" s="239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421">
        <f t="shared" ref="BC19:BM19" si="87">-BC18/BC5</f>
        <v>0</v>
      </c>
      <c r="BD19" s="421">
        <f t="shared" si="87"/>
        <v>0.30703581471647762</v>
      </c>
      <c r="BE19" s="421">
        <f t="shared" si="87"/>
        <v>0.5913623243312659</v>
      </c>
      <c r="BF19" s="421">
        <f t="shared" si="87"/>
        <v>0.28956972946973686</v>
      </c>
      <c r="BG19" s="421">
        <f t="shared" si="87"/>
        <v>0.40842475530807215</v>
      </c>
      <c r="BH19" s="421">
        <f t="shared" si="87"/>
        <v>0.23314897088407549</v>
      </c>
      <c r="BI19" s="421">
        <f t="shared" si="87"/>
        <v>0.17610158081738628</v>
      </c>
      <c r="BJ19" s="421">
        <f t="shared" si="87"/>
        <v>0.18570326093600417</v>
      </c>
      <c r="BK19" s="421">
        <f t="shared" si="87"/>
        <v>0.11494416191550548</v>
      </c>
      <c r="BL19" s="421">
        <f t="shared" si="87"/>
        <v>0.1738339340843833</v>
      </c>
      <c r="BM19" s="421">
        <f t="shared" si="87"/>
        <v>6.9362482505181386E-2</v>
      </c>
      <c r="BN19" s="421"/>
      <c r="BO19" s="421">
        <f t="shared" ref="BO19:BT19" si="88">-BO18/BO5</f>
        <v>0.20972740977665882</v>
      </c>
      <c r="BP19" s="421">
        <f t="shared" si="88"/>
        <v>0.13074643560174659</v>
      </c>
      <c r="BQ19" s="421">
        <f t="shared" si="88"/>
        <v>0.14295911574105424</v>
      </c>
      <c r="BR19" s="421">
        <f t="shared" si="88"/>
        <v>0.1682989516318695</v>
      </c>
      <c r="BS19" s="421">
        <f t="shared" si="88"/>
        <v>0.20835293887632919</v>
      </c>
      <c r="BT19" s="421">
        <f t="shared" si="88"/>
        <v>0.31088295534994409</v>
      </c>
      <c r="BU19" s="239"/>
      <c r="BV19" s="239"/>
      <c r="BW19" s="239"/>
      <c r="BX19" s="239"/>
      <c r="BY19" s="239"/>
      <c r="BZ19" s="239"/>
      <c r="CA19" s="239"/>
      <c r="CB19" s="239"/>
      <c r="CC19" s="239"/>
      <c r="CD19" s="239"/>
      <c r="CE19" s="239"/>
      <c r="CF19" s="239"/>
      <c r="CG19" s="239"/>
      <c r="CH19" s="239"/>
      <c r="CI19" s="239"/>
      <c r="CJ19" s="239"/>
      <c r="CK19" s="239"/>
      <c r="CL19" s="239"/>
      <c r="CM19" s="239"/>
      <c r="CN19" s="239"/>
      <c r="CO19" s="239"/>
      <c r="CP19" s="239"/>
      <c r="CQ19" s="239"/>
      <c r="CR19" s="239"/>
      <c r="CS19" s="239"/>
      <c r="CT19" s="239"/>
      <c r="CU19" s="239"/>
      <c r="CV19" s="239"/>
      <c r="CW19" s="239"/>
      <c r="CX19" s="239"/>
      <c r="CY19" s="239"/>
      <c r="CZ19" s="239"/>
      <c r="DA19" s="239"/>
      <c r="DB19" s="239"/>
      <c r="DC19" s="239"/>
      <c r="DD19" s="239"/>
      <c r="DE19" s="239"/>
      <c r="DF19" s="239"/>
      <c r="DG19" s="239"/>
      <c r="DH19" s="239"/>
      <c r="DI19" s="239"/>
      <c r="DJ19" s="239"/>
      <c r="DK19" s="239"/>
      <c r="DL19" s="239"/>
      <c r="DM19" s="239"/>
      <c r="DN19" s="239"/>
      <c r="DO19" s="239"/>
      <c r="DP19" s="239"/>
      <c r="DQ19" s="239"/>
      <c r="DR19" s="239"/>
      <c r="DS19" s="239"/>
      <c r="DT19" s="239"/>
      <c r="DU19" s="239"/>
      <c r="DV19" s="239"/>
      <c r="DW19" s="239"/>
      <c r="DX19" s="239"/>
      <c r="DY19" s="239"/>
      <c r="DZ19" s="239"/>
      <c r="EA19" s="239"/>
      <c r="EB19" s="239"/>
      <c r="EC19" s="239"/>
      <c r="ED19" s="239"/>
      <c r="EE19" s="239"/>
      <c r="EF19" s="239"/>
      <c r="EG19" s="239"/>
      <c r="EH19" s="239"/>
      <c r="EI19" s="239"/>
      <c r="EJ19" s="239"/>
      <c r="EK19" s="239"/>
      <c r="EL19" s="239"/>
      <c r="EM19" s="239"/>
      <c r="EN19" s="239"/>
    </row>
    <row r="20" spans="1:183" x14ac:dyDescent="0.25">
      <c r="A20" s="233"/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L20" s="239"/>
      <c r="BM20" s="239"/>
      <c r="BN20" s="239"/>
      <c r="BO20" s="239"/>
      <c r="BP20" s="239"/>
      <c r="BQ20" s="239"/>
      <c r="BR20" s="239"/>
      <c r="BS20" s="239"/>
      <c r="BT20" s="239"/>
      <c r="BU20" s="239"/>
      <c r="BV20" s="239"/>
      <c r="BW20" s="239"/>
      <c r="BX20" s="239"/>
      <c r="BY20" s="239"/>
      <c r="BZ20" s="239"/>
      <c r="CA20" s="239"/>
      <c r="CB20" s="239"/>
      <c r="CC20" s="239"/>
      <c r="CD20" s="239"/>
      <c r="CE20" s="239"/>
      <c r="CF20" s="239"/>
      <c r="CG20" s="239"/>
      <c r="CH20" s="239"/>
      <c r="CI20" s="239"/>
      <c r="CJ20" s="239"/>
      <c r="CK20" s="239"/>
      <c r="CL20" s="239"/>
      <c r="CM20" s="239"/>
      <c r="CN20" s="239"/>
      <c r="CO20" s="239"/>
      <c r="CP20" s="239"/>
      <c r="CQ20" s="239"/>
      <c r="CR20" s="239"/>
      <c r="CS20" s="239"/>
      <c r="CT20" s="239"/>
      <c r="CU20" s="239"/>
      <c r="CV20" s="239"/>
      <c r="CW20" s="239"/>
      <c r="CX20" s="239"/>
      <c r="CY20" s="239"/>
      <c r="CZ20" s="239"/>
      <c r="DA20" s="239"/>
      <c r="DB20" s="239"/>
      <c r="DC20" s="239"/>
      <c r="DD20" s="239"/>
      <c r="DE20" s="239"/>
      <c r="DF20" s="239"/>
      <c r="DG20" s="239"/>
      <c r="DH20" s="239"/>
      <c r="DI20" s="239"/>
      <c r="DJ20" s="239"/>
      <c r="DK20" s="239"/>
      <c r="DL20" s="239"/>
      <c r="DM20" s="239"/>
      <c r="DN20" s="239"/>
      <c r="DO20" s="239"/>
      <c r="DP20" s="239"/>
      <c r="DQ20" s="239"/>
      <c r="DR20" s="239"/>
      <c r="DS20" s="239"/>
      <c r="DT20" s="239"/>
      <c r="DU20" s="239"/>
      <c r="DV20" s="239"/>
      <c r="DW20" s="239"/>
      <c r="DX20" s="239"/>
      <c r="DY20" s="239"/>
      <c r="DZ20" s="239"/>
      <c r="EA20" s="239"/>
      <c r="EB20" s="239"/>
      <c r="EC20" s="239"/>
      <c r="ED20" s="239"/>
      <c r="EE20" s="239"/>
      <c r="EF20" s="239"/>
      <c r="EG20" s="239"/>
      <c r="EH20" s="239"/>
      <c r="EI20" s="239"/>
      <c r="EJ20" s="239"/>
      <c r="EK20" s="239"/>
      <c r="EL20" s="239"/>
      <c r="EM20" s="239"/>
      <c r="EN20" s="239"/>
    </row>
    <row r="23" spans="1:183" s="230" customFormat="1" x14ac:dyDescent="0.25">
      <c r="B23" s="285">
        <f>+B1</f>
        <v>43951</v>
      </c>
      <c r="C23" s="285">
        <f t="shared" ref="C23:N23" si="89">+C1</f>
        <v>43982</v>
      </c>
      <c r="D23" s="285">
        <f t="shared" si="89"/>
        <v>44012</v>
      </c>
      <c r="E23" s="285">
        <f t="shared" si="89"/>
        <v>44043</v>
      </c>
      <c r="F23" s="285">
        <f t="shared" si="89"/>
        <v>44074</v>
      </c>
      <c r="G23" s="285">
        <f t="shared" si="89"/>
        <v>44104</v>
      </c>
      <c r="H23" s="285">
        <f t="shared" si="89"/>
        <v>44135</v>
      </c>
      <c r="I23" s="285">
        <f t="shared" si="89"/>
        <v>44165</v>
      </c>
      <c r="J23" s="285">
        <f t="shared" si="89"/>
        <v>44196</v>
      </c>
      <c r="K23" s="285">
        <f t="shared" si="89"/>
        <v>44227</v>
      </c>
      <c r="L23" s="285">
        <f t="shared" si="89"/>
        <v>44255</v>
      </c>
      <c r="M23" s="285">
        <f t="shared" si="89"/>
        <v>44286</v>
      </c>
      <c r="N23" s="226">
        <f t="shared" si="89"/>
        <v>2020</v>
      </c>
      <c r="O23" s="285">
        <f>+O1</f>
        <v>44316</v>
      </c>
      <c r="P23" s="285">
        <f t="shared" ref="P23:CA23" si="90">+P1</f>
        <v>44347</v>
      </c>
      <c r="Q23" s="285">
        <f t="shared" si="90"/>
        <v>44377</v>
      </c>
      <c r="R23" s="285">
        <f t="shared" si="90"/>
        <v>44408</v>
      </c>
      <c r="S23" s="285">
        <f t="shared" si="90"/>
        <v>44439</v>
      </c>
      <c r="T23" s="285">
        <f t="shared" si="90"/>
        <v>44469</v>
      </c>
      <c r="U23" s="285">
        <f t="shared" si="90"/>
        <v>44500</v>
      </c>
      <c r="V23" s="285">
        <f t="shared" si="90"/>
        <v>44530</v>
      </c>
      <c r="W23" s="285">
        <f t="shared" si="90"/>
        <v>44561</v>
      </c>
      <c r="X23" s="285">
        <f t="shared" si="90"/>
        <v>44592</v>
      </c>
      <c r="Y23" s="285">
        <f t="shared" si="90"/>
        <v>44620</v>
      </c>
      <c r="Z23" s="285">
        <f t="shared" si="90"/>
        <v>44651</v>
      </c>
      <c r="AA23" s="226">
        <f t="shared" si="90"/>
        <v>2021</v>
      </c>
      <c r="AB23" s="285">
        <f t="shared" si="90"/>
        <v>44681</v>
      </c>
      <c r="AC23" s="285">
        <f t="shared" si="90"/>
        <v>44712</v>
      </c>
      <c r="AD23" s="285">
        <f t="shared" si="90"/>
        <v>44742</v>
      </c>
      <c r="AE23" s="285">
        <f t="shared" si="90"/>
        <v>44773</v>
      </c>
      <c r="AF23" s="285">
        <f t="shared" si="90"/>
        <v>44804</v>
      </c>
      <c r="AG23" s="285">
        <f t="shared" si="90"/>
        <v>44834</v>
      </c>
      <c r="AH23" s="285">
        <f t="shared" si="90"/>
        <v>44865</v>
      </c>
      <c r="AI23" s="285">
        <f t="shared" si="90"/>
        <v>44895</v>
      </c>
      <c r="AJ23" s="285">
        <f t="shared" si="90"/>
        <v>44926</v>
      </c>
      <c r="AK23" s="285">
        <f t="shared" si="90"/>
        <v>44957</v>
      </c>
      <c r="AL23" s="285">
        <f t="shared" si="90"/>
        <v>44985</v>
      </c>
      <c r="AM23" s="285">
        <f t="shared" si="90"/>
        <v>45016</v>
      </c>
      <c r="AN23" s="226">
        <f t="shared" si="90"/>
        <v>2022</v>
      </c>
      <c r="AO23" s="285">
        <f t="shared" ref="AO23:AZ23" si="91">+AO1</f>
        <v>45046</v>
      </c>
      <c r="AP23" s="285">
        <f t="shared" si="91"/>
        <v>45077</v>
      </c>
      <c r="AQ23" s="285">
        <f t="shared" si="91"/>
        <v>45107</v>
      </c>
      <c r="AR23" s="285">
        <f t="shared" si="91"/>
        <v>45138</v>
      </c>
      <c r="AS23" s="285">
        <f t="shared" si="91"/>
        <v>45169</v>
      </c>
      <c r="AT23" s="285">
        <f t="shared" si="91"/>
        <v>45199</v>
      </c>
      <c r="AU23" s="285">
        <f t="shared" si="91"/>
        <v>45230</v>
      </c>
      <c r="AV23" s="285">
        <f t="shared" si="91"/>
        <v>45260</v>
      </c>
      <c r="AW23" s="285">
        <f t="shared" si="91"/>
        <v>45291</v>
      </c>
      <c r="AX23" s="285">
        <f t="shared" si="91"/>
        <v>45322</v>
      </c>
      <c r="AY23" s="285">
        <f t="shared" si="91"/>
        <v>45351</v>
      </c>
      <c r="AZ23" s="285">
        <f t="shared" si="91"/>
        <v>45382</v>
      </c>
      <c r="BA23" s="226">
        <v>2023</v>
      </c>
      <c r="BB23" s="285">
        <f t="shared" si="90"/>
        <v>45412</v>
      </c>
      <c r="BC23" s="285">
        <f t="shared" si="90"/>
        <v>45443</v>
      </c>
      <c r="BD23" s="285">
        <f t="shared" si="90"/>
        <v>45473</v>
      </c>
      <c r="BE23" s="285">
        <f t="shared" si="90"/>
        <v>45504</v>
      </c>
      <c r="BF23" s="285">
        <f t="shared" si="90"/>
        <v>45535</v>
      </c>
      <c r="BG23" s="285">
        <f t="shared" si="90"/>
        <v>45565</v>
      </c>
      <c r="BH23" s="285">
        <f t="shared" si="90"/>
        <v>45596</v>
      </c>
      <c r="BI23" s="285">
        <f t="shared" si="90"/>
        <v>45626</v>
      </c>
      <c r="BJ23" s="285">
        <f t="shared" si="90"/>
        <v>45657</v>
      </c>
      <c r="BK23" s="285">
        <f t="shared" si="90"/>
        <v>45688</v>
      </c>
      <c r="BL23" s="285">
        <f t="shared" si="90"/>
        <v>45716</v>
      </c>
      <c r="BM23" s="285">
        <f t="shared" si="90"/>
        <v>45747</v>
      </c>
      <c r="BN23" s="226">
        <f t="shared" si="90"/>
        <v>2024</v>
      </c>
      <c r="BO23" s="285">
        <f>+BO1</f>
        <v>45777</v>
      </c>
      <c r="BP23" s="285">
        <f>+BP1</f>
        <v>45808</v>
      </c>
      <c r="BQ23" s="285">
        <f>+BQ1</f>
        <v>45838</v>
      </c>
      <c r="BR23" s="285">
        <f t="shared" si="90"/>
        <v>45869</v>
      </c>
      <c r="BS23" s="285">
        <f t="shared" si="90"/>
        <v>45900</v>
      </c>
      <c r="BT23" s="285">
        <f t="shared" si="90"/>
        <v>45930</v>
      </c>
      <c r="BU23" s="285">
        <f t="shared" si="90"/>
        <v>45961</v>
      </c>
      <c r="BV23" s="285">
        <f t="shared" si="90"/>
        <v>45991</v>
      </c>
      <c r="BW23" s="285">
        <f t="shared" si="90"/>
        <v>46022</v>
      </c>
      <c r="BX23" s="285">
        <f t="shared" si="90"/>
        <v>46053</v>
      </c>
      <c r="BY23" s="285">
        <f t="shared" si="90"/>
        <v>46081</v>
      </c>
      <c r="BZ23" s="285">
        <f t="shared" si="90"/>
        <v>46112</v>
      </c>
      <c r="CA23" s="226">
        <f t="shared" si="90"/>
        <v>2025</v>
      </c>
      <c r="CB23" s="285">
        <f t="shared" ref="CB23:EM23" si="92">+CB1</f>
        <v>46142</v>
      </c>
      <c r="CC23" s="285">
        <f t="shared" si="92"/>
        <v>46173</v>
      </c>
      <c r="CD23" s="285">
        <f t="shared" si="92"/>
        <v>46203</v>
      </c>
      <c r="CE23" s="285">
        <f t="shared" si="92"/>
        <v>46234</v>
      </c>
      <c r="CF23" s="285">
        <f t="shared" si="92"/>
        <v>46265</v>
      </c>
      <c r="CG23" s="285">
        <f t="shared" si="92"/>
        <v>46295</v>
      </c>
      <c r="CH23" s="285">
        <f t="shared" si="92"/>
        <v>46326</v>
      </c>
      <c r="CI23" s="285">
        <f t="shared" si="92"/>
        <v>46356</v>
      </c>
      <c r="CJ23" s="285">
        <f t="shared" si="92"/>
        <v>46387</v>
      </c>
      <c r="CK23" s="285">
        <f t="shared" si="92"/>
        <v>46418</v>
      </c>
      <c r="CL23" s="285">
        <f t="shared" si="92"/>
        <v>46446</v>
      </c>
      <c r="CM23" s="285">
        <f t="shared" si="92"/>
        <v>46477</v>
      </c>
      <c r="CN23" s="226">
        <f t="shared" si="92"/>
        <v>2026</v>
      </c>
      <c r="CO23" s="285">
        <f t="shared" si="92"/>
        <v>46507</v>
      </c>
      <c r="CP23" s="285">
        <f t="shared" si="92"/>
        <v>46538</v>
      </c>
      <c r="CQ23" s="285">
        <f t="shared" si="92"/>
        <v>46568</v>
      </c>
      <c r="CR23" s="285">
        <f t="shared" si="92"/>
        <v>46599</v>
      </c>
      <c r="CS23" s="285">
        <f t="shared" si="92"/>
        <v>46630</v>
      </c>
      <c r="CT23" s="285">
        <f t="shared" si="92"/>
        <v>46660</v>
      </c>
      <c r="CU23" s="285">
        <f t="shared" si="92"/>
        <v>46691</v>
      </c>
      <c r="CV23" s="285">
        <f t="shared" si="92"/>
        <v>46721</v>
      </c>
      <c r="CW23" s="285">
        <f t="shared" si="92"/>
        <v>46752</v>
      </c>
      <c r="CX23" s="285">
        <f t="shared" si="92"/>
        <v>46783</v>
      </c>
      <c r="CY23" s="285">
        <f t="shared" si="92"/>
        <v>46812</v>
      </c>
      <c r="CZ23" s="285">
        <f t="shared" si="92"/>
        <v>46843</v>
      </c>
      <c r="DA23" s="226">
        <f t="shared" si="92"/>
        <v>2027</v>
      </c>
      <c r="DB23" s="285">
        <f t="shared" si="92"/>
        <v>46873</v>
      </c>
      <c r="DC23" s="285">
        <f t="shared" si="92"/>
        <v>46904</v>
      </c>
      <c r="DD23" s="285">
        <f t="shared" si="92"/>
        <v>46934</v>
      </c>
      <c r="DE23" s="285">
        <f t="shared" si="92"/>
        <v>46965</v>
      </c>
      <c r="DF23" s="285">
        <f t="shared" si="92"/>
        <v>46996</v>
      </c>
      <c r="DG23" s="285">
        <f t="shared" si="92"/>
        <v>47026</v>
      </c>
      <c r="DH23" s="285">
        <f t="shared" si="92"/>
        <v>47057</v>
      </c>
      <c r="DI23" s="285">
        <f t="shared" si="92"/>
        <v>47087</v>
      </c>
      <c r="DJ23" s="285">
        <f t="shared" si="92"/>
        <v>47118</v>
      </c>
      <c r="DK23" s="285">
        <f t="shared" si="92"/>
        <v>47149</v>
      </c>
      <c r="DL23" s="285">
        <f t="shared" si="92"/>
        <v>47177</v>
      </c>
      <c r="DM23" s="285">
        <f t="shared" si="92"/>
        <v>47208</v>
      </c>
      <c r="DN23" s="226">
        <f t="shared" si="92"/>
        <v>2028</v>
      </c>
      <c r="DO23" s="285">
        <f t="shared" si="92"/>
        <v>47238</v>
      </c>
      <c r="DP23" s="285">
        <f t="shared" si="92"/>
        <v>47269</v>
      </c>
      <c r="DQ23" s="285">
        <f t="shared" si="92"/>
        <v>47299</v>
      </c>
      <c r="DR23" s="285">
        <f t="shared" si="92"/>
        <v>47330</v>
      </c>
      <c r="DS23" s="285">
        <f t="shared" si="92"/>
        <v>47361</v>
      </c>
      <c r="DT23" s="285">
        <f t="shared" si="92"/>
        <v>47391</v>
      </c>
      <c r="DU23" s="285">
        <f t="shared" si="92"/>
        <v>47422</v>
      </c>
      <c r="DV23" s="285">
        <f t="shared" si="92"/>
        <v>47452</v>
      </c>
      <c r="DW23" s="285">
        <f t="shared" si="92"/>
        <v>47483</v>
      </c>
      <c r="DX23" s="285">
        <f t="shared" si="92"/>
        <v>47514</v>
      </c>
      <c r="DY23" s="285">
        <f t="shared" si="92"/>
        <v>47542</v>
      </c>
      <c r="DZ23" s="285">
        <f t="shared" si="92"/>
        <v>47573</v>
      </c>
      <c r="EA23" s="226">
        <f t="shared" si="92"/>
        <v>2029</v>
      </c>
      <c r="EB23" s="285">
        <f t="shared" si="92"/>
        <v>47603</v>
      </c>
      <c r="EC23" s="285">
        <f t="shared" si="92"/>
        <v>47634</v>
      </c>
      <c r="ED23" s="285">
        <f t="shared" si="92"/>
        <v>47664</v>
      </c>
      <c r="EE23" s="285">
        <f t="shared" si="92"/>
        <v>47695</v>
      </c>
      <c r="EF23" s="285">
        <f t="shared" si="92"/>
        <v>47726</v>
      </c>
      <c r="EG23" s="285">
        <f t="shared" si="92"/>
        <v>47756</v>
      </c>
      <c r="EH23" s="285">
        <f t="shared" si="92"/>
        <v>47787</v>
      </c>
      <c r="EI23" s="285">
        <f t="shared" si="92"/>
        <v>47817</v>
      </c>
      <c r="EJ23" s="285">
        <f t="shared" si="92"/>
        <v>47848</v>
      </c>
      <c r="EK23" s="285">
        <f t="shared" si="92"/>
        <v>47879</v>
      </c>
      <c r="EL23" s="285">
        <f t="shared" si="92"/>
        <v>47907</v>
      </c>
      <c r="EM23" s="285">
        <f t="shared" si="92"/>
        <v>47938</v>
      </c>
      <c r="EN23" s="226">
        <f>+EN1</f>
        <v>2030</v>
      </c>
      <c r="EO23" s="285"/>
      <c r="EP23" s="285"/>
      <c r="EQ23" s="285"/>
      <c r="ER23" s="285"/>
      <c r="ES23" s="285"/>
      <c r="ET23" s="285"/>
      <c r="EU23" s="285"/>
      <c r="EV23" s="285"/>
      <c r="EW23" s="285"/>
      <c r="EX23" s="285"/>
      <c r="EY23" s="285"/>
      <c r="EZ23" s="285"/>
      <c r="FA23" s="226"/>
      <c r="FB23" s="285"/>
      <c r="FC23" s="285"/>
      <c r="FD23" s="285"/>
      <c r="FE23" s="285"/>
      <c r="FF23" s="285"/>
      <c r="FG23" s="285"/>
      <c r="FH23" s="285"/>
      <c r="FI23" s="285"/>
      <c r="FJ23" s="285"/>
      <c r="FK23" s="285"/>
      <c r="FL23" s="285"/>
      <c r="FM23" s="285"/>
      <c r="FN23" s="226"/>
      <c r="FO23" s="285"/>
      <c r="FP23" s="285"/>
      <c r="FQ23" s="285"/>
      <c r="FR23" s="285"/>
      <c r="FS23" s="285"/>
      <c r="FT23" s="285"/>
      <c r="FU23" s="285"/>
      <c r="FV23" s="285"/>
      <c r="FW23" s="285"/>
      <c r="FX23" s="285"/>
      <c r="FY23" s="285"/>
      <c r="FZ23" s="285"/>
      <c r="GA23" s="226"/>
    </row>
    <row r="24" spans="1:183" ht="19.8" x14ac:dyDescent="0.3">
      <c r="A24" s="227" t="s">
        <v>86</v>
      </c>
    </row>
    <row r="25" spans="1:183" x14ac:dyDescent="0.25">
      <c r="A25" s="228" t="s">
        <v>35</v>
      </c>
    </row>
    <row r="27" spans="1:183" s="236" customFormat="1" x14ac:dyDescent="0.25">
      <c r="A27" s="240" t="s">
        <v>37</v>
      </c>
    </row>
    <row r="28" spans="1:183" s="241" customFormat="1" x14ac:dyDescent="0.25">
      <c r="A28" s="240" t="s">
        <v>254</v>
      </c>
    </row>
    <row r="29" spans="1:183" s="236" customFormat="1" x14ac:dyDescent="0.25">
      <c r="A29" s="234" t="s">
        <v>255</v>
      </c>
      <c r="B29" s="236">
        <f>+'EEFF base'!BB26</f>
        <v>12363364.309999982</v>
      </c>
      <c r="C29" s="236">
        <f>+'EEFF base'!BC26+B29</f>
        <v>14929424.909999916</v>
      </c>
      <c r="D29" s="236">
        <f>+'EEFF base'!BD26+C29</f>
        <v>27824540.250000007</v>
      </c>
      <c r="E29" s="236">
        <f>+'EEFF base'!BE26+D29</f>
        <v>22011173.219999917</v>
      </c>
      <c r="F29" s="236">
        <f>+'EEFF base'!BF26+E29</f>
        <v>26488981.689999796</v>
      </c>
      <c r="G29" s="236">
        <f>+'EEFF base'!BG26+F29</f>
        <v>16637839.219999524</v>
      </c>
      <c r="H29" s="236">
        <f>+'EEFF base'!BH26+G29</f>
        <v>29403802.369999349</v>
      </c>
      <c r="I29" s="236">
        <f>+'EEFF base'!BI26+H29</f>
        <v>27014281.439999301</v>
      </c>
      <c r="J29" s="236">
        <f>+'EEFF base'!BJ26+I29</f>
        <v>14230772.879999381</v>
      </c>
      <c r="K29" s="236">
        <f>+'EEFF base'!BK26+J29</f>
        <v>13054183.039999232</v>
      </c>
      <c r="L29" s="236">
        <f>+'EEFF base'!BL26+K29</f>
        <v>11285835.579999151</v>
      </c>
      <c r="M29" s="236">
        <f>+'EEFF base'!BM26+L29</f>
        <v>17644289.539999142</v>
      </c>
      <c r="N29" s="236">
        <f>+M29</f>
        <v>17644289.539999142</v>
      </c>
      <c r="O29" s="236">
        <f>+'EEFF base'!BO26</f>
        <v>11137434.499999868</v>
      </c>
      <c r="P29" s="236">
        <f>+'EEFF base'!BP26+O29</f>
        <v>8806493.2899998091</v>
      </c>
      <c r="Q29" s="236">
        <f>+'EEFF base'!BQ26+P29</f>
        <v>12689592.139999785</v>
      </c>
      <c r="R29" s="236">
        <f>+'EEFF base'!BR26+Q29</f>
        <v>13131204.769999707</v>
      </c>
      <c r="S29" s="236">
        <f>+'EEFF base'!BS26+R29</f>
        <v>8072354.9899997395</v>
      </c>
      <c r="T29" s="236">
        <f>+'EEFF base'!BT26+S29</f>
        <v>10387444.499999795</v>
      </c>
      <c r="U29" s="236">
        <f>+'EEFF base'!BU26+T29</f>
        <v>7751633.0899997987</v>
      </c>
      <c r="V29" s="236">
        <f>+'EEFF base'!BV26+U29</f>
        <v>11855700.569999769</v>
      </c>
      <c r="W29" s="236">
        <f>+'EEFF base'!BW26+V29</f>
        <v>15621653.249999702</v>
      </c>
      <c r="X29" s="236">
        <f>+'EEFF base'!BX26+W29</f>
        <v>13447879.919999732</v>
      </c>
      <c r="Y29" s="236">
        <f>+'EEFF base'!BY26+X29</f>
        <v>12107169.169999715</v>
      </c>
      <c r="Z29" s="236">
        <f>+'EEFF base'!BZ26+Y29</f>
        <v>12427860.049999764</v>
      </c>
      <c r="AA29" s="236">
        <f>+Z29</f>
        <v>12427860.049999764</v>
      </c>
      <c r="AB29" s="236">
        <f>+'EEFF base'!CB26</f>
        <v>5174107.6499999538</v>
      </c>
      <c r="AC29" s="236">
        <f>+'EEFF base'!CC26+AB29</f>
        <v>20029886.82000006</v>
      </c>
      <c r="AD29" s="236">
        <f>+'EEFF base'!CD26+AC29</f>
        <v>7337619.1900000032</v>
      </c>
      <c r="AE29" s="236">
        <f>+'EEFF base'!CE26+AD29</f>
        <v>7954036.3600000171</v>
      </c>
      <c r="AF29" s="236">
        <f>+'EEFF base'!CF26+AE29</f>
        <v>5723235.9199999012</v>
      </c>
      <c r="AG29" s="236">
        <f>+'EEFF base'!CG26+AF29</f>
        <v>7317249.1899998877</v>
      </c>
      <c r="AH29" s="236">
        <f>+'EEFF base'!CH26+AG29</f>
        <v>6323706.9099998586</v>
      </c>
      <c r="AI29" s="236">
        <f>+'EEFF base'!CI26+AH29</f>
        <v>11944405.559999809</v>
      </c>
      <c r="AJ29" s="236">
        <f>+'EEFF base'!CJ26+AI29</f>
        <v>13163444.369999656</v>
      </c>
      <c r="AK29" s="236">
        <f>+'EEFF base'!CK26+AJ29</f>
        <v>8803088.3799995463</v>
      </c>
      <c r="AL29" s="236">
        <f>+'EEFF base'!CL26+AK29</f>
        <v>6595858.1899995683</v>
      </c>
      <c r="AM29" s="236">
        <f>+'EEFF base'!CM26+AL29</f>
        <v>12166376.869999437</v>
      </c>
      <c r="AN29" s="236">
        <f>+AM29</f>
        <v>12166376.869999437</v>
      </c>
      <c r="AO29" s="236">
        <f>+'EEFF historicoss'!R33</f>
        <v>10399824.860000012</v>
      </c>
      <c r="AP29" s="236">
        <f>+'EEFF historicoss'!S33</f>
        <v>8321351.7300000358</v>
      </c>
      <c r="AQ29" s="236">
        <f>+'EEFF historicoss'!T33</f>
        <v>6024972.9300000351</v>
      </c>
      <c r="AR29" s="236">
        <f>+'EEFF historicoss'!U33</f>
        <v>7514422.849999981</v>
      </c>
      <c r="AS29" s="236">
        <f>+'EEFF historicoss'!V33</f>
        <v>9050403.4299999289</v>
      </c>
      <c r="AT29" s="236">
        <f>+'EEFF historicoss'!W33</f>
        <v>9009832.6999999434</v>
      </c>
      <c r="AU29" s="236">
        <f>+'EEFF historicoss'!X33</f>
        <v>18051730.739999987</v>
      </c>
      <c r="AV29" s="236">
        <f>+'EEFF historicoss'!Y33</f>
        <v>13429721.380000023</v>
      </c>
      <c r="AW29" s="236">
        <f>+'EEFF historicoss'!Z33</f>
        <v>10428538.070000038</v>
      </c>
      <c r="AX29" s="236">
        <f>+'EEFF historicoss'!AA33</f>
        <v>14088710.930000057</v>
      </c>
      <c r="AY29" s="236">
        <f>+'EEFF historicoss'!AB33</f>
        <v>12732382.220000058</v>
      </c>
      <c r="AZ29" s="236">
        <f>+'EEFF historicoss'!AC33</f>
        <v>5632242.2300000209</v>
      </c>
      <c r="BA29" s="236">
        <f>+AZ29</f>
        <v>5632242.2300000209</v>
      </c>
      <c r="BB29" s="236">
        <f>+'EEFF historicoss'!AE33</f>
        <v>8274482.5</v>
      </c>
      <c r="BC29" s="236">
        <f>+'EEFF historicoss'!AF33</f>
        <v>10847381.98</v>
      </c>
      <c r="BD29" s="236">
        <f>+'EEFF historicoss'!AG33</f>
        <v>6469042.5499999998</v>
      </c>
      <c r="BE29" s="236">
        <f>+'EEFF historicoss'!AH33</f>
        <v>5096890.55</v>
      </c>
      <c r="BF29" s="236">
        <f>+'EEFF historicoss'!AI33</f>
        <v>9562091.4900000002</v>
      </c>
      <c r="BG29" s="236">
        <f>+'EEFF historicoss'!AJ33</f>
        <v>10439955.130000001</v>
      </c>
      <c r="BH29" s="236">
        <f>+'EEFF historicoss'!AK33</f>
        <v>8680537.5399999991</v>
      </c>
      <c r="BI29" s="236">
        <f>+'EEFF historicoss'!AL33</f>
        <v>12962870.710000001</v>
      </c>
      <c r="BJ29" s="236">
        <f>+'EEFF historicoss'!AM33</f>
        <v>7911061.54</v>
      </c>
      <c r="BK29" s="236">
        <f>+'EEFF historicoss'!AN33</f>
        <v>10209517.119999999</v>
      </c>
      <c r="BL29" s="236">
        <f>+'EEFF historicoss'!AO33</f>
        <v>4369183.42</v>
      </c>
      <c r="BM29" s="236">
        <f>+'EEFF historicoss'!AP33</f>
        <v>11931058.91</v>
      </c>
      <c r="BN29" s="236">
        <f>+BM29</f>
        <v>11931058.91</v>
      </c>
      <c r="BO29" s="236">
        <f>+'EEFF historicoss'!AR33</f>
        <v>12086234.789999999</v>
      </c>
      <c r="BP29" s="236">
        <f>+'EEFF historicoss'!AS33</f>
        <v>8375310.6600000001</v>
      </c>
      <c r="BQ29" s="236">
        <f>+'EEFF historicoss'!AT33</f>
        <v>19513742.5</v>
      </c>
      <c r="BR29" s="236">
        <f>+'EEFF historicoss'!AU33</f>
        <v>18370738.02</v>
      </c>
      <c r="BS29" s="236">
        <f>+'EEFF historicoss'!AV33</f>
        <v>11752391.220000001</v>
      </c>
      <c r="BT29" s="236">
        <f>+'EEFF historicoss'!AW33</f>
        <v>40497311.859999999</v>
      </c>
      <c r="BU29" s="236">
        <f t="shared" ref="BU29:BZ29" si="93">+BT29+BU92</f>
        <v>112301681.23611361</v>
      </c>
      <c r="BV29" s="236">
        <f t="shared" si="93"/>
        <v>67664913.704920381</v>
      </c>
      <c r="BW29" s="236">
        <f t="shared" si="93"/>
        <v>93504016.232271373</v>
      </c>
      <c r="BX29" s="236">
        <f t="shared" si="93"/>
        <v>80871097.872337714</v>
      </c>
      <c r="BY29" s="236">
        <f t="shared" si="93"/>
        <v>122753050.08286975</v>
      </c>
      <c r="BZ29" s="236">
        <f t="shared" si="93"/>
        <v>126423589.66445006</v>
      </c>
      <c r="CA29" s="236">
        <f>+BZ29</f>
        <v>126423589.66445006</v>
      </c>
      <c r="CB29" s="236">
        <f t="shared" ref="CB29:CM29" si="94">+CA29+CB92</f>
        <v>80253707.382945284</v>
      </c>
      <c r="CC29" s="236">
        <f t="shared" si="94"/>
        <v>78423307.329193577</v>
      </c>
      <c r="CD29" s="236">
        <f t="shared" si="94"/>
        <v>38652608.864999592</v>
      </c>
      <c r="CE29" s="236">
        <f t="shared" si="94"/>
        <v>44481234.457870319</v>
      </c>
      <c r="CF29" s="236">
        <f t="shared" si="94"/>
        <v>44509380.672517359</v>
      </c>
      <c r="CG29" s="236">
        <f t="shared" si="94"/>
        <v>44726934.413688473</v>
      </c>
      <c r="CH29" s="236">
        <f t="shared" si="94"/>
        <v>51741776.540841125</v>
      </c>
      <c r="CI29" s="236">
        <f t="shared" si="94"/>
        <v>52055933.943453074</v>
      </c>
      <c r="CJ29" s="236">
        <f t="shared" si="94"/>
        <v>52395339.90768449</v>
      </c>
      <c r="CK29" s="236">
        <f t="shared" si="94"/>
        <v>59433119.019701675</v>
      </c>
      <c r="CL29" s="236">
        <f t="shared" si="94"/>
        <v>59842515.95027858</v>
      </c>
      <c r="CM29" s="236">
        <f t="shared" si="94"/>
        <v>60284446.341160648</v>
      </c>
      <c r="CN29" s="236">
        <f>+CM29</f>
        <v>60284446.341160648</v>
      </c>
      <c r="CO29" s="236">
        <f t="shared" ref="CO29:CZ29" si="95">+CN29+CO92</f>
        <v>62456144.525344431</v>
      </c>
      <c r="CP29" s="236">
        <f t="shared" si="95"/>
        <v>58420981.295444161</v>
      </c>
      <c r="CQ29" s="236">
        <f t="shared" si="95"/>
        <v>55257207.108734049</v>
      </c>
      <c r="CR29" s="236">
        <f t="shared" si="95"/>
        <v>60447576.083525762</v>
      </c>
      <c r="CS29" s="236">
        <f t="shared" si="95"/>
        <v>60162462.021383569</v>
      </c>
      <c r="CT29" s="236">
        <f t="shared" si="95"/>
        <v>61881486.885285139</v>
      </c>
      <c r="CU29" s="236">
        <f t="shared" si="95"/>
        <v>69871791.07578373</v>
      </c>
      <c r="CV29" s="236">
        <f t="shared" si="95"/>
        <v>71409361.198702052</v>
      </c>
      <c r="CW29" s="236">
        <f t="shared" si="95"/>
        <v>73220707.140350342</v>
      </c>
      <c r="CX29" s="236">
        <f t="shared" si="95"/>
        <v>81212484.035427406</v>
      </c>
      <c r="CY29" s="236">
        <f t="shared" si="95"/>
        <v>82936429.231420562</v>
      </c>
      <c r="CZ29" s="236">
        <f t="shared" si="95"/>
        <v>84834626.895224348</v>
      </c>
      <c r="DA29" s="236">
        <f>+CZ29</f>
        <v>84834626.895224348</v>
      </c>
      <c r="DB29" s="236">
        <f t="shared" ref="DB29:DM29" si="96">+DA29+DB92</f>
        <v>109577537.99991962</v>
      </c>
      <c r="DC29" s="236">
        <f t="shared" si="96"/>
        <v>128456036.84007785</v>
      </c>
      <c r="DD29" s="236">
        <f t="shared" si="96"/>
        <v>148416315.75507727</v>
      </c>
      <c r="DE29" s="236">
        <f t="shared" si="96"/>
        <v>176153104.85669264</v>
      </c>
      <c r="DF29" s="236">
        <f t="shared" si="96"/>
        <v>198769872.11383578</v>
      </c>
      <c r="DG29" s="236">
        <f t="shared" si="96"/>
        <v>221781057.07420129</v>
      </c>
      <c r="DH29" s="236">
        <f t="shared" si="96"/>
        <v>250718370.65801346</v>
      </c>
      <c r="DI29" s="236">
        <f t="shared" si="96"/>
        <v>273597130.4682315</v>
      </c>
      <c r="DJ29" s="236">
        <f t="shared" si="96"/>
        <v>296697001.85350186</v>
      </c>
      <c r="DK29" s="236">
        <f t="shared" si="96"/>
        <v>325635788.14189243</v>
      </c>
      <c r="DL29" s="236">
        <f t="shared" si="96"/>
        <v>348585779.96518546</v>
      </c>
      <c r="DM29" s="236">
        <f t="shared" si="96"/>
        <v>377120181.7419396</v>
      </c>
      <c r="DN29" s="236">
        <f>+DM29</f>
        <v>377120181.7419396</v>
      </c>
      <c r="DO29" s="236">
        <f t="shared" ref="DO29:DZ29" si="97">+DN29+DO92</f>
        <v>380927954.47872037</v>
      </c>
      <c r="DP29" s="236">
        <f t="shared" si="97"/>
        <v>379153997.05708319</v>
      </c>
      <c r="DQ29" s="236">
        <f t="shared" si="97"/>
        <v>383732918.15838736</v>
      </c>
      <c r="DR29" s="236">
        <f t="shared" si="97"/>
        <v>390534415.4726823</v>
      </c>
      <c r="DS29" s="236">
        <f t="shared" si="97"/>
        <v>392494992.20712519</v>
      </c>
      <c r="DT29" s="236">
        <f t="shared" si="97"/>
        <v>400045288.80842918</v>
      </c>
      <c r="DU29" s="236">
        <f t="shared" si="97"/>
        <v>407978602.66021025</v>
      </c>
      <c r="DV29" s="236">
        <f t="shared" si="97"/>
        <v>410672722.49388146</v>
      </c>
      <c r="DW29" s="236">
        <f t="shared" si="97"/>
        <v>418384378.52518559</v>
      </c>
      <c r="DX29" s="236">
        <f t="shared" si="97"/>
        <v>426450831.53985208</v>
      </c>
      <c r="DY29" s="236">
        <f t="shared" si="97"/>
        <v>429216183.38659823</v>
      </c>
      <c r="DZ29" s="236">
        <f t="shared" si="97"/>
        <v>436932002.77790225</v>
      </c>
      <c r="EA29" s="236">
        <f>+DZ29</f>
        <v>436932002.77790225</v>
      </c>
      <c r="EB29" s="236">
        <f t="shared" ref="EB29:EM29" si="98">+EA29+EB92</f>
        <v>440807917.78707814</v>
      </c>
      <c r="EC29" s="236">
        <f t="shared" si="98"/>
        <v>439781147.83175391</v>
      </c>
      <c r="ED29" s="236">
        <f t="shared" si="98"/>
        <v>444536429.39305794</v>
      </c>
      <c r="EE29" s="236">
        <f t="shared" si="98"/>
        <v>451405078.56303543</v>
      </c>
      <c r="EF29" s="236">
        <f t="shared" si="98"/>
        <v>454122133.8959316</v>
      </c>
      <c r="EG29" s="236">
        <f t="shared" si="98"/>
        <v>461847744.05723572</v>
      </c>
      <c r="EH29" s="236">
        <f t="shared" si="98"/>
        <v>469915997.61749512</v>
      </c>
      <c r="EI29" s="236">
        <f t="shared" si="98"/>
        <v>472895045.50346613</v>
      </c>
      <c r="EJ29" s="236">
        <f t="shared" si="98"/>
        <v>480623354.99477011</v>
      </c>
      <c r="EK29" s="236">
        <f t="shared" si="98"/>
        <v>488692419.43899542</v>
      </c>
      <c r="EL29" s="236">
        <f t="shared" si="98"/>
        <v>491742699.33804137</v>
      </c>
      <c r="EM29" s="236">
        <f t="shared" si="98"/>
        <v>499475172.18934548</v>
      </c>
      <c r="EN29" s="236">
        <f>+EM29</f>
        <v>499475172.18934548</v>
      </c>
    </row>
    <row r="30" spans="1:183" s="236" customFormat="1" x14ac:dyDescent="0.25">
      <c r="A30" s="234" t="s">
        <v>256</v>
      </c>
      <c r="B30" s="236">
        <f>+'EEFF base'!BB27</f>
        <v>43885040.790000021</v>
      </c>
      <c r="C30" s="236">
        <f>+'EEFF base'!BC27+B30</f>
        <v>42798236.360000022</v>
      </c>
      <c r="D30" s="236">
        <f>+'EEFF base'!BD27+C30</f>
        <v>43639313.14000003</v>
      </c>
      <c r="E30" s="236">
        <f>+'EEFF base'!BE27+D30</f>
        <v>45988941.030000016</v>
      </c>
      <c r="F30" s="236">
        <f>+'EEFF base'!BF27+E30</f>
        <v>44010051.13000001</v>
      </c>
      <c r="G30" s="236">
        <f>+'EEFF base'!BG27+F30</f>
        <v>41587394.980000027</v>
      </c>
      <c r="H30" s="236">
        <f>+'EEFF base'!BH27+G30</f>
        <v>41565698.869999997</v>
      </c>
      <c r="I30" s="236">
        <f>+'EEFF base'!BI27+H30</f>
        <v>47594403.049999982</v>
      </c>
      <c r="J30" s="236">
        <f>+'EEFF base'!BJ27+I30</f>
        <v>47863659.100000001</v>
      </c>
      <c r="K30" s="236">
        <f>+'EEFF base'!BK27+J30</f>
        <v>46714198.529999994</v>
      </c>
      <c r="L30" s="236">
        <f>+'EEFF base'!BL27+K30</f>
        <v>49172470.650000006</v>
      </c>
      <c r="M30" s="236">
        <f>+'EEFF base'!BM27+L30</f>
        <v>47962486.249999985</v>
      </c>
      <c r="N30" s="236">
        <f>+M30</f>
        <v>47962486.249999985</v>
      </c>
      <c r="O30" s="236">
        <f>+'EEFF base'!BO27</f>
        <v>50527352.649999999</v>
      </c>
      <c r="P30" s="236">
        <f>+'EEFF base'!BP27+O30</f>
        <v>52543472.350000009</v>
      </c>
      <c r="Q30" s="236">
        <f>+'EEFF base'!BQ27+P30</f>
        <v>50334677.020000003</v>
      </c>
      <c r="R30" s="236">
        <f>+'EEFF base'!BR27+Q30</f>
        <v>65118284.749999925</v>
      </c>
      <c r="S30" s="236">
        <f>+'EEFF base'!BS27+R30</f>
        <v>63281001.649999924</v>
      </c>
      <c r="T30" s="236">
        <f>+'EEFF base'!BT27+S30</f>
        <v>62408658.919999927</v>
      </c>
      <c r="U30" s="236">
        <f>+'EEFF base'!BU27+T30</f>
        <v>50798939.489999928</v>
      </c>
      <c r="V30" s="236">
        <f>+'EEFF base'!BV27+U30</f>
        <v>47094615.059999935</v>
      </c>
      <c r="W30" s="236">
        <f>+'EEFF base'!BW27+V30</f>
        <v>36707444.529999934</v>
      </c>
      <c r="X30" s="236">
        <f>+'EEFF base'!BX27+W30</f>
        <v>31319581.649999935</v>
      </c>
      <c r="Y30" s="236">
        <f>+'EEFF base'!BY27+X30</f>
        <v>38221561.979999952</v>
      </c>
      <c r="Z30" s="236">
        <f>+'EEFF base'!BZ27+Y30</f>
        <v>36384710.129999951</v>
      </c>
      <c r="AA30" s="236">
        <f t="shared" ref="AA30:AA63" si="99">+Z30</f>
        <v>36384710.129999951</v>
      </c>
      <c r="AB30" s="236">
        <f>+'EEFF base'!CB27</f>
        <v>44172532.630000055</v>
      </c>
      <c r="AC30" s="236">
        <f>+'EEFF base'!CC27+AB30</f>
        <v>41516350.080000043</v>
      </c>
      <c r="AD30" s="236">
        <f>+'EEFF base'!CD27+AC30</f>
        <v>42801925.240000054</v>
      </c>
      <c r="AE30" s="236">
        <f>+'EEFF base'!CE27+AD30</f>
        <v>47977644.430000044</v>
      </c>
      <c r="AF30" s="236">
        <f>+'EEFF base'!CF27+AE30</f>
        <v>53867169.63000007</v>
      </c>
      <c r="AG30" s="236">
        <f>+'EEFF base'!CG27+AF30</f>
        <v>54010526.330000088</v>
      </c>
      <c r="AH30" s="236">
        <f>+'EEFF base'!CH27+AG30</f>
        <v>61294136.670000136</v>
      </c>
      <c r="AI30" s="236">
        <f>+'EEFF base'!CI27+AH30</f>
        <v>63321232.690000124</v>
      </c>
      <c r="AJ30" s="236">
        <f>+'EEFF base'!CJ27+AI30</f>
        <v>78963093.970000118</v>
      </c>
      <c r="AK30" s="236">
        <f>+'EEFF base'!CK27+AJ30</f>
        <v>70470169.010000125</v>
      </c>
      <c r="AL30" s="236">
        <f>+'EEFF base'!CL27+AK30</f>
        <v>73371893.180000126</v>
      </c>
      <c r="AM30" s="236">
        <f>+'EEFF base'!CM27+AL30</f>
        <v>80430477.650000125</v>
      </c>
      <c r="AN30" s="236">
        <f t="shared" ref="AN30:AN61" si="100">+AM30</f>
        <v>80430477.650000125</v>
      </c>
      <c r="AO30" s="236">
        <f>+'EEFF historicoss'!R34</f>
        <v>163159462.23000008</v>
      </c>
      <c r="AP30" s="236">
        <f>+'EEFF historicoss'!S34</f>
        <v>159612699.12000006</v>
      </c>
      <c r="AQ30" s="236">
        <f>+'EEFF historicoss'!T34</f>
        <v>157034175.36000004</v>
      </c>
      <c r="AR30" s="236">
        <f>+'EEFF historicoss'!U34</f>
        <v>157300372.85000005</v>
      </c>
      <c r="AS30" s="236">
        <f>+'EEFF historicoss'!V34</f>
        <v>161878149.35000002</v>
      </c>
      <c r="AT30" s="236">
        <f>+'EEFF historicoss'!W34</f>
        <v>166784802.54000002</v>
      </c>
      <c r="AU30" s="236">
        <f>+'EEFF historicoss'!X34</f>
        <v>159760223.77000001</v>
      </c>
      <c r="AV30" s="236">
        <f>+'EEFF historicoss'!Y34</f>
        <v>155430028.77999997</v>
      </c>
      <c r="AW30" s="236">
        <f>+'EEFF historicoss'!Z34</f>
        <v>162279442.94999999</v>
      </c>
      <c r="AX30" s="236">
        <f>+'EEFF historicoss'!AA34</f>
        <v>183678855.51999998</v>
      </c>
      <c r="AY30" s="236">
        <f>+'EEFF historicoss'!AB34</f>
        <v>188125725.38</v>
      </c>
      <c r="AZ30" s="236">
        <f>+'EEFF historicoss'!AC34</f>
        <v>209315786.50999999</v>
      </c>
      <c r="BA30" s="236">
        <f>+AZ30</f>
        <v>209315786.50999999</v>
      </c>
      <c r="BB30" s="236">
        <f>+'EEFF historicoss'!AE34</f>
        <v>216486403.37</v>
      </c>
      <c r="BC30" s="236">
        <f>+'EEFF historicoss'!AF34</f>
        <v>201446278.08000001</v>
      </c>
      <c r="BD30" s="236">
        <f>+'EEFF historicoss'!AG34</f>
        <v>203437186.94999999</v>
      </c>
      <c r="BE30" s="236">
        <f>+'EEFF historicoss'!AH34</f>
        <v>211365020.41999999</v>
      </c>
      <c r="BF30" s="236">
        <f>+'EEFF historicoss'!AI34</f>
        <v>209873215.41999999</v>
      </c>
      <c r="BG30" s="236">
        <f>+'EEFF historicoss'!AJ34</f>
        <v>207112289.69</v>
      </c>
      <c r="BH30" s="236">
        <f>+'EEFF historicoss'!AK34</f>
        <v>154382124.25999999</v>
      </c>
      <c r="BI30" s="236">
        <f>+'EEFF historicoss'!AL34</f>
        <v>148933035.16999999</v>
      </c>
      <c r="BJ30" s="236">
        <f>+'EEFF historicoss'!AM34</f>
        <v>148242277.19999999</v>
      </c>
      <c r="BK30" s="236">
        <f>+'EEFF historicoss'!AN34</f>
        <v>163576910.56</v>
      </c>
      <c r="BL30" s="236">
        <f>+'EEFF historicoss'!AO34</f>
        <v>158302317.44999999</v>
      </c>
      <c r="BM30" s="236">
        <f>+'EEFF historicoss'!AP34</f>
        <v>151740053.16999999</v>
      </c>
      <c r="BN30" s="236">
        <f>+BM30</f>
        <v>151740053.16999999</v>
      </c>
      <c r="BO30" s="236">
        <f>+'EEFF historicoss'!AR34</f>
        <v>149561205.00999999</v>
      </c>
      <c r="BP30" s="236">
        <f>+'EEFF historicoss'!AS34</f>
        <v>154045142.69</v>
      </c>
      <c r="BQ30" s="236">
        <f>+'EEFF historicoss'!AT34</f>
        <v>153094520.88999999</v>
      </c>
      <c r="BR30" s="236">
        <f>+'EEFF historicoss'!AU34</f>
        <v>155139438.56</v>
      </c>
      <c r="BS30" s="236">
        <f>+'EEFF historicoss'!AV34</f>
        <v>152419182.38999999</v>
      </c>
      <c r="BT30" s="236">
        <f>+'EEFF historicoss'!AW34</f>
        <v>150538351.36000001</v>
      </c>
      <c r="BU30" s="236">
        <f t="shared" ref="BU30:BZ30" si="101">+BU106</f>
        <v>145178023.73126274</v>
      </c>
      <c r="BV30" s="236">
        <f t="shared" si="101"/>
        <v>164738804.21639302</v>
      </c>
      <c r="BW30" s="236">
        <f t="shared" si="101"/>
        <v>151103330.67516786</v>
      </c>
      <c r="BX30" s="236">
        <f t="shared" si="101"/>
        <v>169227990.23281419</v>
      </c>
      <c r="BY30" s="236">
        <f t="shared" si="101"/>
        <v>135828354.69383138</v>
      </c>
      <c r="BZ30" s="236">
        <f t="shared" si="101"/>
        <v>138410742.56852734</v>
      </c>
      <c r="CA30" s="236">
        <f>+BZ30</f>
        <v>138410742.56852734</v>
      </c>
      <c r="CB30" s="236">
        <f t="shared" ref="CB30:CM30" si="102">+CB106</f>
        <v>196044621.11345184</v>
      </c>
      <c r="CC30" s="236">
        <f t="shared" si="102"/>
        <v>196044621.11345184</v>
      </c>
      <c r="CD30" s="236">
        <f t="shared" si="102"/>
        <v>196044621.11345184</v>
      </c>
      <c r="CE30" s="236">
        <f t="shared" si="102"/>
        <v>196044621.11345184</v>
      </c>
      <c r="CF30" s="236">
        <f t="shared" si="102"/>
        <v>196044621.11345184</v>
      </c>
      <c r="CG30" s="236">
        <f t="shared" si="102"/>
        <v>196044621.11345184</v>
      </c>
      <c r="CH30" s="236">
        <f t="shared" si="102"/>
        <v>196044621.11345184</v>
      </c>
      <c r="CI30" s="236">
        <f t="shared" si="102"/>
        <v>196044621.11345184</v>
      </c>
      <c r="CJ30" s="236">
        <f t="shared" si="102"/>
        <v>196044621.11345184</v>
      </c>
      <c r="CK30" s="236">
        <f t="shared" si="102"/>
        <v>196044621.11345184</v>
      </c>
      <c r="CL30" s="236">
        <f t="shared" si="102"/>
        <v>196044621.11345184</v>
      </c>
      <c r="CM30" s="236">
        <f t="shared" si="102"/>
        <v>196044621.11345184</v>
      </c>
      <c r="CN30" s="236">
        <f>+CM30</f>
        <v>196044621.11345184</v>
      </c>
      <c r="CO30" s="236">
        <f t="shared" ref="CO30" si="103">+CO106</f>
        <v>196044621.11345184</v>
      </c>
      <c r="CP30" s="236">
        <f t="shared" ref="CP30:CZ30" si="104">+CP106</f>
        <v>196044621.11345184</v>
      </c>
      <c r="CQ30" s="236">
        <f t="shared" si="104"/>
        <v>196044621.11345184</v>
      </c>
      <c r="CR30" s="236">
        <f t="shared" si="104"/>
        <v>196044621.11345184</v>
      </c>
      <c r="CS30" s="236">
        <f t="shared" si="104"/>
        <v>196044621.11345184</v>
      </c>
      <c r="CT30" s="236">
        <f t="shared" si="104"/>
        <v>196044621.11345184</v>
      </c>
      <c r="CU30" s="236">
        <f t="shared" si="104"/>
        <v>196044621.11345184</v>
      </c>
      <c r="CV30" s="236">
        <f t="shared" si="104"/>
        <v>196044621.11345184</v>
      </c>
      <c r="CW30" s="236">
        <f t="shared" si="104"/>
        <v>196044621.11345184</v>
      </c>
      <c r="CX30" s="236">
        <f t="shared" si="104"/>
        <v>196044621.11345184</v>
      </c>
      <c r="CY30" s="236">
        <f t="shared" si="104"/>
        <v>196044621.11345184</v>
      </c>
      <c r="CZ30" s="236">
        <f t="shared" si="104"/>
        <v>196044621.11345184</v>
      </c>
      <c r="DA30" s="236">
        <f>+CZ30</f>
        <v>196044621.11345184</v>
      </c>
      <c r="DB30" s="236">
        <f t="shared" ref="DB30:DM30" si="105">+DB106</f>
        <v>196044621.11345184</v>
      </c>
      <c r="DC30" s="236">
        <f t="shared" si="105"/>
        <v>196044621.11345184</v>
      </c>
      <c r="DD30" s="236">
        <f t="shared" si="105"/>
        <v>196044621.11345184</v>
      </c>
      <c r="DE30" s="236">
        <f t="shared" si="105"/>
        <v>196044621.11345184</v>
      </c>
      <c r="DF30" s="236">
        <f t="shared" si="105"/>
        <v>196044621.11345184</v>
      </c>
      <c r="DG30" s="236">
        <f t="shared" si="105"/>
        <v>196044621.11345184</v>
      </c>
      <c r="DH30" s="236">
        <f t="shared" si="105"/>
        <v>196044621.11345184</v>
      </c>
      <c r="DI30" s="236">
        <f t="shared" si="105"/>
        <v>196044621.11345184</v>
      </c>
      <c r="DJ30" s="236">
        <f t="shared" si="105"/>
        <v>196044621.11345184</v>
      </c>
      <c r="DK30" s="236">
        <f t="shared" si="105"/>
        <v>196044621.11345184</v>
      </c>
      <c r="DL30" s="236">
        <f t="shared" si="105"/>
        <v>196044621.11345184</v>
      </c>
      <c r="DM30" s="236">
        <f t="shared" si="105"/>
        <v>196044621.11345184</v>
      </c>
      <c r="DN30" s="236">
        <f>+DM30</f>
        <v>196044621.11345184</v>
      </c>
      <c r="DO30" s="236">
        <f t="shared" ref="DO30:DZ30" si="106">+DO106</f>
        <v>196044621.11345184</v>
      </c>
      <c r="DP30" s="236">
        <f t="shared" si="106"/>
        <v>196044621.11345184</v>
      </c>
      <c r="DQ30" s="236">
        <f t="shared" si="106"/>
        <v>196044621.11345184</v>
      </c>
      <c r="DR30" s="236">
        <f t="shared" si="106"/>
        <v>196044621.11345184</v>
      </c>
      <c r="DS30" s="236">
        <f t="shared" si="106"/>
        <v>196044621.11345184</v>
      </c>
      <c r="DT30" s="236">
        <f t="shared" si="106"/>
        <v>196044621.11345184</v>
      </c>
      <c r="DU30" s="236">
        <f t="shared" si="106"/>
        <v>196044621.11345184</v>
      </c>
      <c r="DV30" s="236">
        <f t="shared" si="106"/>
        <v>196044621.11345184</v>
      </c>
      <c r="DW30" s="236">
        <f t="shared" si="106"/>
        <v>196044621.11345184</v>
      </c>
      <c r="DX30" s="236">
        <f t="shared" si="106"/>
        <v>196044621.11345184</v>
      </c>
      <c r="DY30" s="236">
        <f t="shared" si="106"/>
        <v>196044621.11345184</v>
      </c>
      <c r="DZ30" s="236">
        <f t="shared" si="106"/>
        <v>196044621.11345184</v>
      </c>
      <c r="EA30" s="236">
        <f>+DZ30</f>
        <v>196044621.11345184</v>
      </c>
      <c r="EB30" s="236">
        <f t="shared" ref="EB30:EM30" si="107">+EB106</f>
        <v>196044621.11345184</v>
      </c>
      <c r="EC30" s="236">
        <f t="shared" si="107"/>
        <v>196044621.11345184</v>
      </c>
      <c r="ED30" s="236">
        <f t="shared" si="107"/>
        <v>196044621.11345184</v>
      </c>
      <c r="EE30" s="236">
        <f t="shared" si="107"/>
        <v>196044621.11345184</v>
      </c>
      <c r="EF30" s="236">
        <f t="shared" si="107"/>
        <v>196044621.11345184</v>
      </c>
      <c r="EG30" s="236">
        <f t="shared" si="107"/>
        <v>196044621.11345184</v>
      </c>
      <c r="EH30" s="236">
        <f t="shared" si="107"/>
        <v>196044621.11345184</v>
      </c>
      <c r="EI30" s="236">
        <f t="shared" si="107"/>
        <v>196044621.11345184</v>
      </c>
      <c r="EJ30" s="236">
        <f t="shared" si="107"/>
        <v>196044621.11345184</v>
      </c>
      <c r="EK30" s="236">
        <f t="shared" si="107"/>
        <v>196044621.11345184</v>
      </c>
      <c r="EL30" s="236">
        <f t="shared" si="107"/>
        <v>196044621.11345184</v>
      </c>
      <c r="EM30" s="236">
        <f t="shared" si="107"/>
        <v>196044621.11345184</v>
      </c>
      <c r="EN30" s="236">
        <f>+EM30</f>
        <v>196044621.11345184</v>
      </c>
    </row>
    <row r="31" spans="1:183" s="236" customFormat="1" x14ac:dyDescent="0.25">
      <c r="A31" s="234" t="s">
        <v>257</v>
      </c>
      <c r="B31" s="236">
        <f>+'EEFF base'!BB28</f>
        <v>65455532.039999984</v>
      </c>
      <c r="C31" s="236">
        <f>+'EEFF base'!BC28+B31</f>
        <v>66229651.069999985</v>
      </c>
      <c r="D31" s="236">
        <f>+'EEFF base'!BD28+C31</f>
        <v>67452183.37999998</v>
      </c>
      <c r="E31" s="236">
        <f>+'EEFF base'!BE28+D31</f>
        <v>69387741.039999992</v>
      </c>
      <c r="F31" s="236">
        <f>+'EEFF base'!BF28+E31</f>
        <v>71117187.729999989</v>
      </c>
      <c r="G31" s="236">
        <f>+'EEFF base'!BG28+F31</f>
        <v>72041615.959999979</v>
      </c>
      <c r="H31" s="236">
        <f>+'EEFF base'!BH28+G31</f>
        <v>70267781.839999974</v>
      </c>
      <c r="I31" s="236">
        <f>+'EEFF base'!BI28+H31</f>
        <v>70687466.469999969</v>
      </c>
      <c r="J31" s="236">
        <f>+'EEFF base'!BJ28+I31</f>
        <v>74940546.949999973</v>
      </c>
      <c r="K31" s="236">
        <f>+'EEFF base'!BK28+J31</f>
        <v>74677730.219999969</v>
      </c>
      <c r="L31" s="236">
        <f>+'EEFF base'!BL28+K31</f>
        <v>73179854.659999967</v>
      </c>
      <c r="M31" s="236">
        <f>+'EEFF base'!BM28+L31</f>
        <v>72487575.699999958</v>
      </c>
      <c r="N31" s="236">
        <f>+M31</f>
        <v>72487575.699999958</v>
      </c>
      <c r="O31" s="236">
        <f>+'EEFF base'!BO28</f>
        <v>73184186.759999961</v>
      </c>
      <c r="P31" s="236">
        <f>+'EEFF base'!BP28+O31</f>
        <v>71374779.279999956</v>
      </c>
      <c r="Q31" s="236">
        <f>+'EEFF base'!BQ28+P31</f>
        <v>71172804.329999954</v>
      </c>
      <c r="R31" s="236">
        <f>+'EEFF base'!BR28+Q31</f>
        <v>70985985.669999957</v>
      </c>
      <c r="S31" s="236">
        <f>+'EEFF base'!BS28+R31</f>
        <v>70909020.539999947</v>
      </c>
      <c r="T31" s="236">
        <f>+'EEFF base'!BT28+S31</f>
        <v>70476280.949999943</v>
      </c>
      <c r="U31" s="236">
        <f>+'EEFF base'!BU28+T31</f>
        <v>72571640.139999941</v>
      </c>
      <c r="V31" s="236">
        <f>+'EEFF base'!BV28+U31</f>
        <v>75689906.86999993</v>
      </c>
      <c r="W31" s="236">
        <f>+'EEFF base'!BW28+V31</f>
        <v>77772393.439999938</v>
      </c>
      <c r="X31" s="236">
        <f>+'EEFF base'!BX28+W31</f>
        <v>79982444.149999946</v>
      </c>
      <c r="Y31" s="236">
        <f>+'EEFF base'!BY28+X31</f>
        <v>80954617.939999953</v>
      </c>
      <c r="Z31" s="236">
        <f>+'EEFF base'!BZ28+Y31</f>
        <v>84668392.529999956</v>
      </c>
      <c r="AA31" s="236">
        <f t="shared" si="99"/>
        <v>84668392.529999956</v>
      </c>
      <c r="AB31" s="236">
        <f>+'EEFF base'!CB28</f>
        <v>83006712.550000072</v>
      </c>
      <c r="AC31" s="236">
        <f>+'EEFF base'!CC28+AB31</f>
        <v>83171305.26000008</v>
      </c>
      <c r="AD31" s="236">
        <f>+'EEFF base'!CD28+AC31</f>
        <v>78051205.640000075</v>
      </c>
      <c r="AE31" s="236">
        <f>+'EEFF base'!CE28+AD31</f>
        <v>76809179.01000008</v>
      </c>
      <c r="AF31" s="236">
        <f>+'EEFF base'!CF28+AE31</f>
        <v>80228872.26000008</v>
      </c>
      <c r="AG31" s="236">
        <f>+'EEFF base'!CG28+AF31</f>
        <v>80897635.51000008</v>
      </c>
      <c r="AH31" s="236">
        <f>+'EEFF base'!CH28+AG31</f>
        <v>77742028.960000083</v>
      </c>
      <c r="AI31" s="236">
        <f>+'EEFF base'!CI28+AH31</f>
        <v>77162126.100000083</v>
      </c>
      <c r="AJ31" s="236">
        <f>+'EEFF base'!CJ28+AI31</f>
        <v>78011201.520000085</v>
      </c>
      <c r="AK31" s="236">
        <f>+'EEFF base'!CK28+AJ31</f>
        <v>78967582.220000088</v>
      </c>
      <c r="AL31" s="236">
        <f>+'EEFF base'!CL28+AK31</f>
        <v>79620872.520000085</v>
      </c>
      <c r="AM31" s="236">
        <f>+'EEFF base'!CM28+AL31</f>
        <v>79274099.560000092</v>
      </c>
      <c r="AN31" s="236">
        <f t="shared" si="100"/>
        <v>79274099.560000092</v>
      </c>
      <c r="BN31" s="236">
        <f>+BM31</f>
        <v>0</v>
      </c>
      <c r="BU31" s="236">
        <f t="shared" ref="BU31:BZ31" si="108">+BU107</f>
        <v>0</v>
      </c>
      <c r="BV31" s="236">
        <f t="shared" si="108"/>
        <v>0</v>
      </c>
      <c r="BW31" s="236">
        <f t="shared" si="108"/>
        <v>0</v>
      </c>
      <c r="BX31" s="236">
        <f t="shared" si="108"/>
        <v>0</v>
      </c>
      <c r="BY31" s="236">
        <f t="shared" si="108"/>
        <v>0</v>
      </c>
      <c r="BZ31" s="236">
        <f t="shared" si="108"/>
        <v>0</v>
      </c>
      <c r="CA31" s="236">
        <f>+BZ31</f>
        <v>0</v>
      </c>
      <c r="CB31" s="236">
        <f t="shared" ref="CB31:CM31" si="109">+CB107</f>
        <v>0</v>
      </c>
      <c r="CC31" s="236">
        <f t="shared" si="109"/>
        <v>0</v>
      </c>
      <c r="CD31" s="236">
        <f t="shared" si="109"/>
        <v>0</v>
      </c>
      <c r="CE31" s="236">
        <f t="shared" si="109"/>
        <v>0</v>
      </c>
      <c r="CF31" s="236">
        <f t="shared" si="109"/>
        <v>0</v>
      </c>
      <c r="CG31" s="236">
        <f t="shared" si="109"/>
        <v>0</v>
      </c>
      <c r="CH31" s="236">
        <f t="shared" si="109"/>
        <v>0</v>
      </c>
      <c r="CI31" s="236">
        <f t="shared" si="109"/>
        <v>0</v>
      </c>
      <c r="CJ31" s="236">
        <f t="shared" si="109"/>
        <v>0</v>
      </c>
      <c r="CK31" s="236">
        <f t="shared" si="109"/>
        <v>0</v>
      </c>
      <c r="CL31" s="236">
        <f t="shared" si="109"/>
        <v>0</v>
      </c>
      <c r="CM31" s="236">
        <f t="shared" si="109"/>
        <v>0</v>
      </c>
      <c r="CN31" s="236">
        <f>+CM31</f>
        <v>0</v>
      </c>
      <c r="CO31" s="236">
        <f t="shared" ref="CO31" si="110">+CO107</f>
        <v>0</v>
      </c>
      <c r="CP31" s="236">
        <f t="shared" ref="CP31:CZ31" si="111">+CP107</f>
        <v>0</v>
      </c>
      <c r="CQ31" s="236">
        <f t="shared" si="111"/>
        <v>0</v>
      </c>
      <c r="CR31" s="236">
        <f t="shared" si="111"/>
        <v>0</v>
      </c>
      <c r="CS31" s="236">
        <f t="shared" si="111"/>
        <v>0</v>
      </c>
      <c r="CT31" s="236">
        <f t="shared" si="111"/>
        <v>0</v>
      </c>
      <c r="CU31" s="236">
        <f t="shared" si="111"/>
        <v>0</v>
      </c>
      <c r="CV31" s="236">
        <f t="shared" si="111"/>
        <v>0</v>
      </c>
      <c r="CW31" s="236">
        <f t="shared" si="111"/>
        <v>0</v>
      </c>
      <c r="CX31" s="236">
        <f t="shared" si="111"/>
        <v>0</v>
      </c>
      <c r="CY31" s="236">
        <f t="shared" si="111"/>
        <v>0</v>
      </c>
      <c r="CZ31" s="236">
        <f t="shared" si="111"/>
        <v>0</v>
      </c>
      <c r="DA31" s="236">
        <f>+CZ31</f>
        <v>0</v>
      </c>
      <c r="DB31" s="236">
        <f t="shared" ref="DB31:DM31" si="112">+DB107</f>
        <v>0</v>
      </c>
      <c r="DC31" s="236">
        <f t="shared" si="112"/>
        <v>0</v>
      </c>
      <c r="DD31" s="236">
        <f t="shared" si="112"/>
        <v>0</v>
      </c>
      <c r="DE31" s="236">
        <f t="shared" si="112"/>
        <v>0</v>
      </c>
      <c r="DF31" s="236">
        <f t="shared" si="112"/>
        <v>0</v>
      </c>
      <c r="DG31" s="236">
        <f t="shared" si="112"/>
        <v>0</v>
      </c>
      <c r="DH31" s="236">
        <f t="shared" si="112"/>
        <v>0</v>
      </c>
      <c r="DI31" s="236">
        <f t="shared" si="112"/>
        <v>0</v>
      </c>
      <c r="DJ31" s="236">
        <f t="shared" si="112"/>
        <v>0</v>
      </c>
      <c r="DK31" s="236">
        <f t="shared" si="112"/>
        <v>0</v>
      </c>
      <c r="DL31" s="236">
        <f t="shared" si="112"/>
        <v>0</v>
      </c>
      <c r="DM31" s="236">
        <f t="shared" si="112"/>
        <v>0</v>
      </c>
      <c r="DN31" s="236">
        <f>+DM31</f>
        <v>0</v>
      </c>
      <c r="DO31" s="236">
        <f t="shared" ref="DO31:DZ31" si="113">+DO107</f>
        <v>0</v>
      </c>
      <c r="DP31" s="236">
        <f t="shared" si="113"/>
        <v>0</v>
      </c>
      <c r="DQ31" s="236">
        <f t="shared" si="113"/>
        <v>0</v>
      </c>
      <c r="DR31" s="236">
        <f t="shared" si="113"/>
        <v>0</v>
      </c>
      <c r="DS31" s="236">
        <f t="shared" si="113"/>
        <v>0</v>
      </c>
      <c r="DT31" s="236">
        <f t="shared" si="113"/>
        <v>0</v>
      </c>
      <c r="DU31" s="236">
        <f t="shared" si="113"/>
        <v>0</v>
      </c>
      <c r="DV31" s="236">
        <f t="shared" si="113"/>
        <v>0</v>
      </c>
      <c r="DW31" s="236">
        <f t="shared" si="113"/>
        <v>0</v>
      </c>
      <c r="DX31" s="236">
        <f t="shared" si="113"/>
        <v>0</v>
      </c>
      <c r="DY31" s="236">
        <f t="shared" si="113"/>
        <v>0</v>
      </c>
      <c r="DZ31" s="236">
        <f t="shared" si="113"/>
        <v>0</v>
      </c>
      <c r="EA31" s="236">
        <f>+DZ31</f>
        <v>0</v>
      </c>
      <c r="EB31" s="236">
        <f t="shared" ref="EB31:EM31" si="114">+EB107</f>
        <v>0</v>
      </c>
      <c r="EC31" s="236">
        <f t="shared" si="114"/>
        <v>0</v>
      </c>
      <c r="ED31" s="236">
        <f t="shared" si="114"/>
        <v>0</v>
      </c>
      <c r="EE31" s="236">
        <f t="shared" si="114"/>
        <v>0</v>
      </c>
      <c r="EF31" s="236">
        <f t="shared" si="114"/>
        <v>0</v>
      </c>
      <c r="EG31" s="236">
        <f t="shared" si="114"/>
        <v>0</v>
      </c>
      <c r="EH31" s="236">
        <f t="shared" si="114"/>
        <v>0</v>
      </c>
      <c r="EI31" s="236">
        <f t="shared" si="114"/>
        <v>0</v>
      </c>
      <c r="EJ31" s="236">
        <f t="shared" si="114"/>
        <v>0</v>
      </c>
      <c r="EK31" s="236">
        <f t="shared" si="114"/>
        <v>0</v>
      </c>
      <c r="EL31" s="236">
        <f t="shared" si="114"/>
        <v>0</v>
      </c>
      <c r="EM31" s="236">
        <f t="shared" si="114"/>
        <v>0</v>
      </c>
      <c r="EN31" s="236">
        <f>+EM31</f>
        <v>0</v>
      </c>
    </row>
    <row r="32" spans="1:183" s="236" customFormat="1" x14ac:dyDescent="0.25">
      <c r="A32" s="234" t="s">
        <v>258</v>
      </c>
      <c r="B32" s="236">
        <f>+'EEFF base'!BB29</f>
        <v>225339666.71000004</v>
      </c>
      <c r="C32" s="236">
        <f>+'EEFF base'!BC29+B32</f>
        <v>206092453.35000011</v>
      </c>
      <c r="D32" s="236">
        <f>+'EEFF base'!BD29+C32</f>
        <v>187055103.94000012</v>
      </c>
      <c r="E32" s="236">
        <f>+'EEFF base'!BE29+D32</f>
        <v>177262007.6699999</v>
      </c>
      <c r="F32" s="236">
        <f>+'EEFF base'!BF29+E32</f>
        <v>173337927.68999985</v>
      </c>
      <c r="G32" s="236">
        <f>+'EEFF base'!BG29+F32</f>
        <v>160713002.27000013</v>
      </c>
      <c r="H32" s="236">
        <f>+'EEFF base'!BH29+G32</f>
        <v>163571416.84000024</v>
      </c>
      <c r="I32" s="236">
        <f>+'EEFF base'!BI29+H32</f>
        <v>172396819.69000047</v>
      </c>
      <c r="J32" s="236">
        <f>+'EEFF base'!BJ29+I32</f>
        <v>173731145.28000033</v>
      </c>
      <c r="K32" s="236">
        <f>+'EEFF base'!BK29+J32</f>
        <v>170442441.50000018</v>
      </c>
      <c r="L32" s="236">
        <f>+'EEFF base'!BL29+K32</f>
        <v>173940048.2899999</v>
      </c>
      <c r="M32" s="236">
        <f>+'EEFF base'!BM29+L32</f>
        <v>170660640.29999986</v>
      </c>
      <c r="N32" s="236">
        <f>+M32</f>
        <v>170660640.29999986</v>
      </c>
      <c r="O32" s="236">
        <f>+'EEFF base'!BO29</f>
        <v>171684794.09999993</v>
      </c>
      <c r="P32" s="236">
        <f>+'EEFF base'!BP29+O32</f>
        <v>165183983.45999992</v>
      </c>
      <c r="Q32" s="236">
        <f>+'EEFF base'!BQ29+P32</f>
        <v>162089596.44999984</v>
      </c>
      <c r="R32" s="236">
        <f>+'EEFF base'!BR29+Q32</f>
        <v>169830948.39999956</v>
      </c>
      <c r="S32" s="236">
        <f>+'EEFF base'!BS29+R32</f>
        <v>173939540.03999966</v>
      </c>
      <c r="T32" s="236">
        <f>+'EEFF base'!BT29+S32</f>
        <v>180713900.78999978</v>
      </c>
      <c r="U32" s="236">
        <f>+'EEFF base'!BU29+T32</f>
        <v>193545711.77999958</v>
      </c>
      <c r="V32" s="236">
        <f>+'EEFF base'!BV29+U32</f>
        <v>203283661.34999946</v>
      </c>
      <c r="W32" s="236">
        <f>+'EEFF base'!BW29+V32</f>
        <v>205256995.45999947</v>
      </c>
      <c r="X32" s="236">
        <f>+'EEFF base'!BX29+W32</f>
        <v>203846392.20999932</v>
      </c>
      <c r="Y32" s="236">
        <f>+'EEFF base'!BY29+X32</f>
        <v>201642551.64999953</v>
      </c>
      <c r="Z32" s="236">
        <f>+'EEFF base'!BZ29+Y32</f>
        <v>201624164.8299996</v>
      </c>
      <c r="AA32" s="236">
        <f t="shared" si="99"/>
        <v>201624164.8299996</v>
      </c>
      <c r="AB32" s="236">
        <f>+'EEFF base'!CB29</f>
        <v>199758208.15000013</v>
      </c>
      <c r="AC32" s="236">
        <f>+'EEFF base'!CC29+AB32</f>
        <v>187916167.16000035</v>
      </c>
      <c r="AD32" s="236">
        <f>+'EEFF base'!CD29+AC32</f>
        <v>181640180.78000027</v>
      </c>
      <c r="AE32" s="236">
        <f>+'EEFF base'!CE29+AD32</f>
        <v>188753927.93000025</v>
      </c>
      <c r="AF32" s="236">
        <f>+'EEFF base'!CF29+AE32</f>
        <v>193136440.4000001</v>
      </c>
      <c r="AG32" s="236">
        <f>+'EEFF base'!CG29+AF32</f>
        <v>198594795.24000004</v>
      </c>
      <c r="AH32" s="236">
        <f>+'EEFF base'!CH29+AG32</f>
        <v>212281150.67000002</v>
      </c>
      <c r="AI32" s="236">
        <f>+'EEFF base'!CI29+AH32</f>
        <v>209387536.97000006</v>
      </c>
      <c r="AJ32" s="236">
        <f>+'EEFF base'!CJ29+AI32</f>
        <v>201071230.41</v>
      </c>
      <c r="AK32" s="236">
        <f>+'EEFF base'!CK29+AJ32</f>
        <v>194412037.88999999</v>
      </c>
      <c r="AL32" s="236">
        <f>+'EEFF base'!CL29+AK32</f>
        <v>180128349.49000004</v>
      </c>
      <c r="AM32" s="236">
        <f>+'EEFF base'!CM29+AL32</f>
        <v>169286478.97000015</v>
      </c>
      <c r="AN32" s="236">
        <f t="shared" si="100"/>
        <v>169286478.97000015</v>
      </c>
      <c r="AO32" s="236">
        <f>+'EEFF historicoss'!R35</f>
        <v>168891365.4499999</v>
      </c>
      <c r="AP32" s="236">
        <f>+'EEFF historicoss'!S35</f>
        <v>169399786.38000014</v>
      </c>
      <c r="AQ32" s="236">
        <f>+'EEFF historicoss'!T35</f>
        <v>169028200.6700004</v>
      </c>
      <c r="AR32" s="236">
        <f>+'EEFF historicoss'!U35</f>
        <v>177147750.64000055</v>
      </c>
      <c r="AS32" s="236">
        <f>+'EEFF historicoss'!V35</f>
        <v>182875031.84000072</v>
      </c>
      <c r="AT32" s="236">
        <f>+'EEFF historicoss'!W35</f>
        <v>187921582.45000076</v>
      </c>
      <c r="AU32" s="236">
        <f>+'EEFF historicoss'!X35</f>
        <v>195460182.29000089</v>
      </c>
      <c r="AV32" s="236">
        <f>+'EEFF historicoss'!Y35</f>
        <v>201748297.07000086</v>
      </c>
      <c r="AW32" s="236">
        <f>+'EEFF historicoss'!Z35</f>
        <v>205097164.79000089</v>
      </c>
      <c r="AX32" s="236">
        <f>+'EEFF historicoss'!AA35</f>
        <v>196609659.02000076</v>
      </c>
      <c r="AY32" s="236">
        <f>+'EEFF historicoss'!AB35</f>
        <v>191617059.44000089</v>
      </c>
      <c r="AZ32" s="236">
        <f>+'EEFF historicoss'!AC35</f>
        <v>179943056.40000093</v>
      </c>
      <c r="BA32" s="236">
        <f>+AZ32</f>
        <v>179943056.40000093</v>
      </c>
      <c r="BB32" s="236">
        <f>+'EEFF historicoss'!AE35</f>
        <v>171447265.41</v>
      </c>
      <c r="BC32" s="236">
        <f>+'EEFF historicoss'!AF35</f>
        <v>165789386.69</v>
      </c>
      <c r="BD32" s="236">
        <f>+'EEFF historicoss'!AG35</f>
        <v>166206265.47999999</v>
      </c>
      <c r="BE32" s="236">
        <f>+'EEFF historicoss'!AH35</f>
        <v>157971732.13999999</v>
      </c>
      <c r="BF32" s="236">
        <f>+'EEFF historicoss'!AI35</f>
        <v>151185463.80000001</v>
      </c>
      <c r="BG32" s="236">
        <f>+'EEFF historicoss'!AJ35</f>
        <v>162050947.49000001</v>
      </c>
      <c r="BH32" s="236">
        <f>+'EEFF historicoss'!AK35</f>
        <v>165671183</v>
      </c>
      <c r="BI32" s="236">
        <f>+'EEFF historicoss'!AL35</f>
        <v>154198147.21000001</v>
      </c>
      <c r="BJ32" s="236">
        <f>+'EEFF historicoss'!AM35</f>
        <v>153242317.33000001</v>
      </c>
      <c r="BK32" s="236">
        <f>+'EEFF historicoss'!AN35</f>
        <v>151276438.16</v>
      </c>
      <c r="BL32" s="236">
        <f>+'EEFF historicoss'!AO35</f>
        <v>144722074.22999999</v>
      </c>
      <c r="BM32" s="236">
        <f>+'EEFF historicoss'!AP35</f>
        <v>128296714.95999999</v>
      </c>
      <c r="BN32" s="236">
        <f>+BM32</f>
        <v>128296714.95999999</v>
      </c>
      <c r="BO32" s="236">
        <f>+'EEFF historicoss'!AR35</f>
        <v>120789646.39</v>
      </c>
      <c r="BP32" s="236">
        <f>+'EEFF historicoss'!AS35</f>
        <v>118683757.78</v>
      </c>
      <c r="BQ32" s="236">
        <f>+'EEFF historicoss'!AT35</f>
        <v>116301633.25</v>
      </c>
      <c r="BR32" s="236">
        <f>+'EEFF historicoss'!AU35</f>
        <v>117642967.83</v>
      </c>
      <c r="BS32" s="236">
        <f>+'EEFF historicoss'!AV35</f>
        <v>126852400.09</v>
      </c>
      <c r="BT32" s="236">
        <f>+'EEFF historicoss'!AW35</f>
        <v>139249075.27000001</v>
      </c>
      <c r="BU32" s="236">
        <f t="shared" ref="BU32:BZ32" si="115">+BU108</f>
        <v>134229650.83485135</v>
      </c>
      <c r="BV32" s="236">
        <f t="shared" si="115"/>
        <v>152680167.8485609</v>
      </c>
      <c r="BW32" s="236">
        <f t="shared" si="115"/>
        <v>136509313.12083945</v>
      </c>
      <c r="BX32" s="236">
        <f t="shared" si="115"/>
        <v>159786048.78961486</v>
      </c>
      <c r="BY32" s="236">
        <f t="shared" si="115"/>
        <v>124425510.34804945</v>
      </c>
      <c r="BZ32" s="236">
        <f t="shared" si="115"/>
        <v>129769392.64548714</v>
      </c>
      <c r="CA32" s="236">
        <f>+BZ32</f>
        <v>129769392.64548714</v>
      </c>
      <c r="CB32" s="236">
        <f t="shared" ref="CB32:CM32" si="116">+CB108</f>
        <v>162276454.23028648</v>
      </c>
      <c r="CC32" s="236">
        <f t="shared" si="116"/>
        <v>162276454.23028648</v>
      </c>
      <c r="CD32" s="236">
        <f t="shared" si="116"/>
        <v>162276454.23028648</v>
      </c>
      <c r="CE32" s="236">
        <f t="shared" si="116"/>
        <v>162276454.23028648</v>
      </c>
      <c r="CF32" s="236">
        <f t="shared" si="116"/>
        <v>162276454.23028648</v>
      </c>
      <c r="CG32" s="236">
        <f t="shared" si="116"/>
        <v>162276454.23028648</v>
      </c>
      <c r="CH32" s="236">
        <f t="shared" si="116"/>
        <v>162276454.23028648</v>
      </c>
      <c r="CI32" s="236">
        <f t="shared" si="116"/>
        <v>162276454.23028648</v>
      </c>
      <c r="CJ32" s="236">
        <f t="shared" si="116"/>
        <v>162276454.23028648</v>
      </c>
      <c r="CK32" s="236">
        <f t="shared" si="116"/>
        <v>162276454.23028648</v>
      </c>
      <c r="CL32" s="236">
        <f t="shared" si="116"/>
        <v>162276454.23028648</v>
      </c>
      <c r="CM32" s="236">
        <f t="shared" si="116"/>
        <v>162276454.23028648</v>
      </c>
      <c r="CN32" s="236">
        <f>+CM32</f>
        <v>162276454.23028648</v>
      </c>
      <c r="CO32" s="236">
        <f t="shared" ref="CO32" si="117">+CO108</f>
        <v>162276454.23028648</v>
      </c>
      <c r="CP32" s="236">
        <f t="shared" ref="CP32:CZ32" si="118">+CP108</f>
        <v>162276454.23028648</v>
      </c>
      <c r="CQ32" s="236">
        <f t="shared" si="118"/>
        <v>162276454.23028648</v>
      </c>
      <c r="CR32" s="236">
        <f t="shared" si="118"/>
        <v>162276454.23028648</v>
      </c>
      <c r="CS32" s="236">
        <f t="shared" si="118"/>
        <v>162276454.23028648</v>
      </c>
      <c r="CT32" s="236">
        <f t="shared" si="118"/>
        <v>162276454.23028648</v>
      </c>
      <c r="CU32" s="236">
        <f t="shared" si="118"/>
        <v>162276454.23028648</v>
      </c>
      <c r="CV32" s="236">
        <f t="shared" si="118"/>
        <v>162276454.23028648</v>
      </c>
      <c r="CW32" s="236">
        <f t="shared" si="118"/>
        <v>162276454.23028648</v>
      </c>
      <c r="CX32" s="236">
        <f t="shared" si="118"/>
        <v>162276454.23028648</v>
      </c>
      <c r="CY32" s="236">
        <f t="shared" si="118"/>
        <v>162276454.23028648</v>
      </c>
      <c r="CZ32" s="236">
        <f t="shared" si="118"/>
        <v>162276454.23028648</v>
      </c>
      <c r="DA32" s="236">
        <f>+CZ32</f>
        <v>162276454.23028648</v>
      </c>
      <c r="DB32" s="236">
        <f t="shared" ref="DB32:DM32" si="119">+DB108</f>
        <v>162276454.23028648</v>
      </c>
      <c r="DC32" s="236">
        <f t="shared" si="119"/>
        <v>162276454.23028648</v>
      </c>
      <c r="DD32" s="236">
        <f t="shared" si="119"/>
        <v>162276454.23028648</v>
      </c>
      <c r="DE32" s="236">
        <f t="shared" si="119"/>
        <v>162276454.23028648</v>
      </c>
      <c r="DF32" s="236">
        <f t="shared" si="119"/>
        <v>162276454.23028648</v>
      </c>
      <c r="DG32" s="236">
        <f t="shared" si="119"/>
        <v>162276454.23028648</v>
      </c>
      <c r="DH32" s="236">
        <f t="shared" si="119"/>
        <v>162276454.23028648</v>
      </c>
      <c r="DI32" s="236">
        <f t="shared" si="119"/>
        <v>162276454.23028648</v>
      </c>
      <c r="DJ32" s="236">
        <f t="shared" si="119"/>
        <v>162276454.23028648</v>
      </c>
      <c r="DK32" s="236">
        <f t="shared" si="119"/>
        <v>162276454.23028648</v>
      </c>
      <c r="DL32" s="236">
        <f t="shared" si="119"/>
        <v>162276454.23028648</v>
      </c>
      <c r="DM32" s="236">
        <f t="shared" si="119"/>
        <v>162276454.23028648</v>
      </c>
      <c r="DN32" s="236">
        <f>+DM32</f>
        <v>162276454.23028648</v>
      </c>
      <c r="DO32" s="236">
        <f t="shared" ref="DO32:DZ32" si="120">+DO108</f>
        <v>162276454.23028648</v>
      </c>
      <c r="DP32" s="236">
        <f t="shared" si="120"/>
        <v>162276454.23028648</v>
      </c>
      <c r="DQ32" s="236">
        <f t="shared" si="120"/>
        <v>162276454.23028648</v>
      </c>
      <c r="DR32" s="236">
        <f t="shared" si="120"/>
        <v>162276454.23028648</v>
      </c>
      <c r="DS32" s="236">
        <f t="shared" si="120"/>
        <v>162276454.23028648</v>
      </c>
      <c r="DT32" s="236">
        <f t="shared" si="120"/>
        <v>162276454.23028648</v>
      </c>
      <c r="DU32" s="236">
        <f t="shared" si="120"/>
        <v>162276454.23028648</v>
      </c>
      <c r="DV32" s="236">
        <f t="shared" si="120"/>
        <v>162276454.23028648</v>
      </c>
      <c r="DW32" s="236">
        <f t="shared" si="120"/>
        <v>162276454.23028648</v>
      </c>
      <c r="DX32" s="236">
        <f t="shared" si="120"/>
        <v>162276454.23028648</v>
      </c>
      <c r="DY32" s="236">
        <f t="shared" si="120"/>
        <v>162276454.23028648</v>
      </c>
      <c r="DZ32" s="236">
        <f t="shared" si="120"/>
        <v>162276454.23028648</v>
      </c>
      <c r="EA32" s="236">
        <f>+DZ32</f>
        <v>162276454.23028648</v>
      </c>
      <c r="EB32" s="236">
        <f t="shared" ref="EB32:EM32" si="121">+EB108</f>
        <v>162276454.23028648</v>
      </c>
      <c r="EC32" s="236">
        <f t="shared" si="121"/>
        <v>162276454.23028648</v>
      </c>
      <c r="ED32" s="236">
        <f t="shared" si="121"/>
        <v>162276454.23028648</v>
      </c>
      <c r="EE32" s="236">
        <f t="shared" si="121"/>
        <v>162276454.23028648</v>
      </c>
      <c r="EF32" s="236">
        <f t="shared" si="121"/>
        <v>162276454.23028648</v>
      </c>
      <c r="EG32" s="236">
        <f t="shared" si="121"/>
        <v>162276454.23028648</v>
      </c>
      <c r="EH32" s="236">
        <f t="shared" si="121"/>
        <v>162276454.23028648</v>
      </c>
      <c r="EI32" s="236">
        <f t="shared" si="121"/>
        <v>162276454.23028648</v>
      </c>
      <c r="EJ32" s="236">
        <f t="shared" si="121"/>
        <v>162276454.23028648</v>
      </c>
      <c r="EK32" s="236">
        <f t="shared" si="121"/>
        <v>162276454.23028648</v>
      </c>
      <c r="EL32" s="236">
        <f t="shared" si="121"/>
        <v>162276454.23028648</v>
      </c>
      <c r="EM32" s="236">
        <f t="shared" si="121"/>
        <v>162276454.23028648</v>
      </c>
      <c r="EN32" s="236">
        <f>+EM32</f>
        <v>162276454.23028648</v>
      </c>
    </row>
    <row r="33" spans="1:144" s="236" customFormat="1" x14ac:dyDescent="0.25">
      <c r="A33" s="237" t="s">
        <v>286</v>
      </c>
      <c r="B33" s="242">
        <f>+SUM(B29:B32)</f>
        <v>347043603.85000002</v>
      </c>
      <c r="C33" s="242">
        <f t="shared" ref="C33:M33" si="122">+SUM(C29:C32)</f>
        <v>330049765.69000006</v>
      </c>
      <c r="D33" s="242">
        <f t="shared" si="122"/>
        <v>325971140.71000016</v>
      </c>
      <c r="E33" s="242">
        <f t="shared" si="122"/>
        <v>314649862.9599998</v>
      </c>
      <c r="F33" s="242">
        <f t="shared" si="122"/>
        <v>314954148.23999965</v>
      </c>
      <c r="G33" s="242">
        <f t="shared" si="122"/>
        <v>290979852.42999965</v>
      </c>
      <c r="H33" s="242">
        <f t="shared" si="122"/>
        <v>304808699.9199996</v>
      </c>
      <c r="I33" s="242">
        <f t="shared" si="122"/>
        <v>317692970.64999974</v>
      </c>
      <c r="J33" s="242">
        <f t="shared" si="122"/>
        <v>310766124.20999968</v>
      </c>
      <c r="K33" s="242">
        <f t="shared" si="122"/>
        <v>304888553.28999937</v>
      </c>
      <c r="L33" s="242">
        <f t="shared" si="122"/>
        <v>307578209.17999899</v>
      </c>
      <c r="M33" s="242">
        <f t="shared" si="122"/>
        <v>308754991.78999895</v>
      </c>
      <c r="N33" s="242">
        <f>+M33</f>
        <v>308754991.78999895</v>
      </c>
      <c r="O33" s="242">
        <f>+SUM(O29:O32)</f>
        <v>306533768.00999975</v>
      </c>
      <c r="P33" s="242">
        <f t="shared" ref="P33:Z33" si="123">+SUM(P29:P32)</f>
        <v>297908728.3799997</v>
      </c>
      <c r="Q33" s="242">
        <f t="shared" si="123"/>
        <v>296286669.93999958</v>
      </c>
      <c r="R33" s="242">
        <f t="shared" si="123"/>
        <v>319066423.58999914</v>
      </c>
      <c r="S33" s="242">
        <f t="shared" si="123"/>
        <v>316201917.21999925</v>
      </c>
      <c r="T33" s="242">
        <f t="shared" si="123"/>
        <v>323986285.15999943</v>
      </c>
      <c r="U33" s="242">
        <f t="shared" si="123"/>
        <v>324667924.49999928</v>
      </c>
      <c r="V33" s="242">
        <f t="shared" si="123"/>
        <v>337923883.84999907</v>
      </c>
      <c r="W33" s="242">
        <f t="shared" si="123"/>
        <v>335358486.67999905</v>
      </c>
      <c r="X33" s="242">
        <f t="shared" si="123"/>
        <v>328596297.92999893</v>
      </c>
      <c r="Y33" s="242">
        <f t="shared" si="123"/>
        <v>332925900.73999918</v>
      </c>
      <c r="Z33" s="242">
        <f t="shared" si="123"/>
        <v>335105127.53999925</v>
      </c>
      <c r="AA33" s="242">
        <f t="shared" si="99"/>
        <v>335105127.53999925</v>
      </c>
      <c r="AB33" s="242">
        <f t="shared" ref="AB33:AM33" si="124">+SUM(AB29:AB32)</f>
        <v>332111560.9800002</v>
      </c>
      <c r="AC33" s="242">
        <f t="shared" si="124"/>
        <v>332633709.32000053</v>
      </c>
      <c r="AD33" s="242">
        <f t="shared" si="124"/>
        <v>309830930.85000038</v>
      </c>
      <c r="AE33" s="242">
        <f t="shared" si="124"/>
        <v>321494787.73000038</v>
      </c>
      <c r="AF33" s="242">
        <f t="shared" si="124"/>
        <v>332955718.21000016</v>
      </c>
      <c r="AG33" s="242">
        <f t="shared" si="124"/>
        <v>340820206.2700001</v>
      </c>
      <c r="AH33" s="242">
        <f t="shared" si="124"/>
        <v>357641023.2100001</v>
      </c>
      <c r="AI33" s="242">
        <f t="shared" si="124"/>
        <v>361815301.32000005</v>
      </c>
      <c r="AJ33" s="242">
        <f t="shared" si="124"/>
        <v>371208970.26999986</v>
      </c>
      <c r="AK33" s="242">
        <f t="shared" si="124"/>
        <v>352652877.49999976</v>
      </c>
      <c r="AL33" s="242">
        <f t="shared" si="124"/>
        <v>339716973.37999982</v>
      </c>
      <c r="AM33" s="242">
        <f t="shared" si="124"/>
        <v>341157433.04999983</v>
      </c>
      <c r="AN33" s="242">
        <f t="shared" si="100"/>
        <v>341157433.04999983</v>
      </c>
      <c r="AO33" s="242">
        <f t="shared" ref="AO33:AY33" si="125">+SUM(AO29:AO32)</f>
        <v>342450652.53999996</v>
      </c>
      <c r="AP33" s="242">
        <f t="shared" si="125"/>
        <v>337333837.23000026</v>
      </c>
      <c r="AQ33" s="242">
        <f t="shared" si="125"/>
        <v>332087348.96000051</v>
      </c>
      <c r="AR33" s="242">
        <f t="shared" si="125"/>
        <v>341962546.34000063</v>
      </c>
      <c r="AS33" s="242">
        <f t="shared" si="125"/>
        <v>353803584.62000066</v>
      </c>
      <c r="AT33" s="242">
        <f t="shared" si="125"/>
        <v>363716217.69000071</v>
      </c>
      <c r="AU33" s="242">
        <f t="shared" si="125"/>
        <v>373272136.80000091</v>
      </c>
      <c r="AV33" s="242">
        <f t="shared" si="125"/>
        <v>370608047.23000085</v>
      </c>
      <c r="AW33" s="242">
        <f t="shared" si="125"/>
        <v>377805145.8100009</v>
      </c>
      <c r="AX33" s="242">
        <f t="shared" si="125"/>
        <v>394377225.4700008</v>
      </c>
      <c r="AY33" s="242">
        <f t="shared" si="125"/>
        <v>392475167.04000092</v>
      </c>
      <c r="AZ33" s="242">
        <f>+SUM(AZ29:AZ32)</f>
        <v>394891085.14000094</v>
      </c>
      <c r="BA33" s="242">
        <f>+AZ33</f>
        <v>394891085.14000094</v>
      </c>
      <c r="BB33" s="242">
        <f>+SUM(BB29:BB32)</f>
        <v>396208151.27999997</v>
      </c>
      <c r="BC33" s="242">
        <f t="shared" ref="BC33:BM33" si="126">+SUM(BC29:BC32)</f>
        <v>378083046.75</v>
      </c>
      <c r="BD33" s="242">
        <f t="shared" si="126"/>
        <v>376112494.98000002</v>
      </c>
      <c r="BE33" s="242">
        <f t="shared" si="126"/>
        <v>374433643.11000001</v>
      </c>
      <c r="BF33" s="242">
        <f t="shared" si="126"/>
        <v>370620770.71000004</v>
      </c>
      <c r="BG33" s="242">
        <f t="shared" si="126"/>
        <v>379603192.31</v>
      </c>
      <c r="BH33" s="242">
        <f t="shared" si="126"/>
        <v>328733844.79999995</v>
      </c>
      <c r="BI33" s="242">
        <f t="shared" si="126"/>
        <v>316094053.09000003</v>
      </c>
      <c r="BJ33" s="242">
        <f t="shared" si="126"/>
        <v>309395656.06999999</v>
      </c>
      <c r="BK33" s="242">
        <f t="shared" si="126"/>
        <v>325062865.84000003</v>
      </c>
      <c r="BL33" s="242">
        <f t="shared" si="126"/>
        <v>307393575.09999996</v>
      </c>
      <c r="BM33" s="242">
        <f t="shared" si="126"/>
        <v>291967827.03999996</v>
      </c>
      <c r="BN33" s="242">
        <f>+BM33</f>
        <v>291967827.03999996</v>
      </c>
      <c r="BO33" s="242">
        <f t="shared" ref="BO33:BT33" si="127">+SUM(BO29:BO32)</f>
        <v>282437086.19</v>
      </c>
      <c r="BP33" s="242">
        <f t="shared" si="127"/>
        <v>281104211.13</v>
      </c>
      <c r="BQ33" s="242">
        <f t="shared" si="127"/>
        <v>288909896.63999999</v>
      </c>
      <c r="BR33" s="242">
        <f t="shared" si="127"/>
        <v>291153144.41000003</v>
      </c>
      <c r="BS33" s="242">
        <f t="shared" si="127"/>
        <v>291023973.69999999</v>
      </c>
      <c r="BT33" s="242">
        <f t="shared" si="127"/>
        <v>330284738.49000001</v>
      </c>
      <c r="BU33" s="242">
        <f t="shared" ref="BU33:BZ33" si="128">+SUM(BU29:BU32)</f>
        <v>391709355.80222774</v>
      </c>
      <c r="BV33" s="242">
        <f t="shared" si="128"/>
        <v>385083885.76987433</v>
      </c>
      <c r="BW33" s="242">
        <f t="shared" si="128"/>
        <v>381116660.02827871</v>
      </c>
      <c r="BX33" s="242">
        <f t="shared" si="128"/>
        <v>409885136.89476675</v>
      </c>
      <c r="BY33" s="242">
        <f t="shared" si="128"/>
        <v>383006915.12475061</v>
      </c>
      <c r="BZ33" s="242">
        <f t="shared" si="128"/>
        <v>394603724.87846452</v>
      </c>
      <c r="CA33" s="242">
        <f>+BZ33</f>
        <v>394603724.87846452</v>
      </c>
      <c r="CB33" s="242">
        <f t="shared" ref="CB33:CM33" si="129">+SUM(CB29:CB32)</f>
        <v>438574782.72668362</v>
      </c>
      <c r="CC33" s="242">
        <f t="shared" si="129"/>
        <v>436744382.67293191</v>
      </c>
      <c r="CD33" s="242">
        <f t="shared" si="129"/>
        <v>396973684.20873791</v>
      </c>
      <c r="CE33" s="242">
        <f t="shared" si="129"/>
        <v>402802309.80160862</v>
      </c>
      <c r="CF33" s="242">
        <f t="shared" si="129"/>
        <v>402830456.01625568</v>
      </c>
      <c r="CG33" s="242">
        <f t="shared" si="129"/>
        <v>403048009.7574268</v>
      </c>
      <c r="CH33" s="242">
        <f t="shared" si="129"/>
        <v>410062851.88457942</v>
      </c>
      <c r="CI33" s="242">
        <f t="shared" si="129"/>
        <v>410377009.28719139</v>
      </c>
      <c r="CJ33" s="242">
        <f t="shared" si="129"/>
        <v>410716415.25142282</v>
      </c>
      <c r="CK33" s="242">
        <f t="shared" si="129"/>
        <v>417754194.36343998</v>
      </c>
      <c r="CL33" s="242">
        <f t="shared" si="129"/>
        <v>418163591.2940169</v>
      </c>
      <c r="CM33" s="242">
        <f t="shared" si="129"/>
        <v>418605521.68489897</v>
      </c>
      <c r="CN33" s="242">
        <f>+CM33</f>
        <v>418605521.68489897</v>
      </c>
      <c r="CO33" s="242">
        <f t="shared" ref="CO33" si="130">+SUM(CO29:CO32)</f>
        <v>420777219.86908275</v>
      </c>
      <c r="CP33" s="242">
        <f t="shared" ref="CP33:CZ33" si="131">+SUM(CP29:CP32)</f>
        <v>416742056.63918245</v>
      </c>
      <c r="CQ33" s="242">
        <f t="shared" si="131"/>
        <v>413578282.45247233</v>
      </c>
      <c r="CR33" s="242">
        <f t="shared" si="131"/>
        <v>418768651.42726409</v>
      </c>
      <c r="CS33" s="242">
        <f t="shared" si="131"/>
        <v>418483537.3651219</v>
      </c>
      <c r="CT33" s="242">
        <f t="shared" si="131"/>
        <v>420202562.22902346</v>
      </c>
      <c r="CU33" s="242">
        <f t="shared" si="131"/>
        <v>428192866.41952205</v>
      </c>
      <c r="CV33" s="242">
        <f t="shared" si="131"/>
        <v>429730436.54244035</v>
      </c>
      <c r="CW33" s="242">
        <f t="shared" si="131"/>
        <v>431541782.48408866</v>
      </c>
      <c r="CX33" s="242">
        <f t="shared" si="131"/>
        <v>439533559.37916571</v>
      </c>
      <c r="CY33" s="242">
        <f t="shared" si="131"/>
        <v>441257504.57515889</v>
      </c>
      <c r="CZ33" s="242">
        <f t="shared" si="131"/>
        <v>443155702.23896265</v>
      </c>
      <c r="DA33" s="242">
        <f>+CZ33</f>
        <v>443155702.23896265</v>
      </c>
      <c r="DB33" s="242">
        <f t="shared" ref="DB33:DM33" si="132">+SUM(DB29:DB32)</f>
        <v>467898613.34365797</v>
      </c>
      <c r="DC33" s="242">
        <f t="shared" si="132"/>
        <v>486777112.18381619</v>
      </c>
      <c r="DD33" s="242">
        <f t="shared" si="132"/>
        <v>506737391.09881556</v>
      </c>
      <c r="DE33" s="242">
        <f t="shared" si="132"/>
        <v>534474180.20043099</v>
      </c>
      <c r="DF33" s="242">
        <f t="shared" si="132"/>
        <v>557090947.45757413</v>
      </c>
      <c r="DG33" s="242">
        <f t="shared" si="132"/>
        <v>580102132.41793966</v>
      </c>
      <c r="DH33" s="242">
        <f t="shared" si="132"/>
        <v>609039446.00175178</v>
      </c>
      <c r="DI33" s="242">
        <f t="shared" si="132"/>
        <v>631918205.81196976</v>
      </c>
      <c r="DJ33" s="242">
        <f t="shared" si="132"/>
        <v>655018077.19724011</v>
      </c>
      <c r="DK33" s="242">
        <f t="shared" si="132"/>
        <v>683956863.48563075</v>
      </c>
      <c r="DL33" s="242">
        <f t="shared" si="132"/>
        <v>706906855.30892384</v>
      </c>
      <c r="DM33" s="242">
        <f t="shared" si="132"/>
        <v>735441257.08567798</v>
      </c>
      <c r="DN33" s="242">
        <f>+DM33</f>
        <v>735441257.08567798</v>
      </c>
      <c r="DO33" s="242">
        <f t="shared" ref="DO33:DZ33" si="133">+SUM(DO29:DO32)</f>
        <v>739249029.82245862</v>
      </c>
      <c r="DP33" s="242">
        <f t="shared" si="133"/>
        <v>737475072.40082157</v>
      </c>
      <c r="DQ33" s="242">
        <f t="shared" si="133"/>
        <v>742053993.50212562</v>
      </c>
      <c r="DR33" s="242">
        <f t="shared" si="133"/>
        <v>748855490.81642067</v>
      </c>
      <c r="DS33" s="242">
        <f t="shared" si="133"/>
        <v>750816067.5508635</v>
      </c>
      <c r="DT33" s="242">
        <f t="shared" si="133"/>
        <v>758366364.15216744</v>
      </c>
      <c r="DU33" s="242">
        <f t="shared" si="133"/>
        <v>766299678.00394857</v>
      </c>
      <c r="DV33" s="242">
        <f t="shared" si="133"/>
        <v>768993797.83761978</v>
      </c>
      <c r="DW33" s="242">
        <f t="shared" si="133"/>
        <v>776705453.8689239</v>
      </c>
      <c r="DX33" s="242">
        <f t="shared" si="133"/>
        <v>784771906.88359034</v>
      </c>
      <c r="DY33" s="242">
        <f t="shared" si="133"/>
        <v>787537258.73033655</v>
      </c>
      <c r="DZ33" s="242">
        <f t="shared" si="133"/>
        <v>795253078.12164056</v>
      </c>
      <c r="EA33" s="242">
        <f>+DZ33</f>
        <v>795253078.12164056</v>
      </c>
      <c r="EB33" s="242">
        <f t="shared" ref="EB33:EM33" si="134">+SUM(EB29:EB32)</f>
        <v>799128993.13081646</v>
      </c>
      <c r="EC33" s="242">
        <f t="shared" si="134"/>
        <v>798102223.17549217</v>
      </c>
      <c r="ED33" s="242">
        <f t="shared" si="134"/>
        <v>802857504.73679626</v>
      </c>
      <c r="EE33" s="242">
        <f t="shared" si="134"/>
        <v>809726153.90677369</v>
      </c>
      <c r="EF33" s="242">
        <f t="shared" si="134"/>
        <v>812443209.23966992</v>
      </c>
      <c r="EG33" s="242">
        <f t="shared" si="134"/>
        <v>820168819.40097404</v>
      </c>
      <c r="EH33" s="242">
        <f t="shared" si="134"/>
        <v>828237072.9612335</v>
      </c>
      <c r="EI33" s="242">
        <f t="shared" si="134"/>
        <v>831216120.84720445</v>
      </c>
      <c r="EJ33" s="242">
        <f t="shared" si="134"/>
        <v>838944430.33850849</v>
      </c>
      <c r="EK33" s="242">
        <f t="shared" si="134"/>
        <v>847013494.7827338</v>
      </c>
      <c r="EL33" s="242">
        <f t="shared" si="134"/>
        <v>850063774.68177974</v>
      </c>
      <c r="EM33" s="242">
        <f t="shared" si="134"/>
        <v>857796247.5330838</v>
      </c>
      <c r="EN33" s="242">
        <f>+EM33</f>
        <v>857796247.5330838</v>
      </c>
    </row>
    <row r="34" spans="1:144" s="241" customFormat="1" x14ac:dyDescent="0.25">
      <c r="A34" s="240" t="s">
        <v>259</v>
      </c>
    </row>
    <row r="35" spans="1:144" s="236" customFormat="1" x14ac:dyDescent="0.25">
      <c r="A35" s="234" t="s">
        <v>260</v>
      </c>
      <c r="B35" s="236">
        <f>+'EEFF base'!BB31</f>
        <v>636869709.56999981</v>
      </c>
      <c r="C35" s="236">
        <f>+'EEFF base'!BC31+B35</f>
        <v>634697887.49999976</v>
      </c>
      <c r="D35" s="236">
        <f>+'EEFF base'!BD31+C35</f>
        <v>632378810.37999976</v>
      </c>
      <c r="E35" s="236">
        <f>+'EEFF base'!BE31+D35</f>
        <v>630071109.53999972</v>
      </c>
      <c r="F35" s="236">
        <f>+'EEFF base'!BF31+E35</f>
        <v>627803623.65999973</v>
      </c>
      <c r="G35" s="236">
        <f>+'EEFF base'!BG31+F35</f>
        <v>625485032.5599997</v>
      </c>
      <c r="H35" s="236">
        <f>+'EEFF base'!BH31+G35</f>
        <v>622872200.41999972</v>
      </c>
      <c r="I35" s="236">
        <f>+'EEFF base'!BI31+H35</f>
        <v>639591919.32999969</v>
      </c>
      <c r="J35" s="236">
        <f>+'EEFF base'!BJ31+I35</f>
        <v>644313079.3099997</v>
      </c>
      <c r="K35" s="236">
        <f>+'EEFF base'!BK31+J35</f>
        <v>641182468.97999966</v>
      </c>
      <c r="L35" s="236">
        <f>+'EEFF base'!BL31+K35</f>
        <v>638545997.26999962</v>
      </c>
      <c r="M35" s="236">
        <f>+'EEFF base'!BM31+L35</f>
        <v>636043492.23999965</v>
      </c>
      <c r="N35" s="236">
        <f t="shared" ref="N35:N40" si="135">+M35</f>
        <v>636043492.23999965</v>
      </c>
      <c r="O35" s="236">
        <f>+'EEFF base'!BO31</f>
        <v>653263520.0999999</v>
      </c>
      <c r="P35" s="236">
        <f>+'EEFF base'!BP31+O35</f>
        <v>650531466.15999985</v>
      </c>
      <c r="Q35" s="236">
        <f>+'EEFF base'!BQ31+P35</f>
        <v>647681152.94999981</v>
      </c>
      <c r="R35" s="236">
        <f>+'EEFF base'!BR31+Q35</f>
        <v>644745403.36999977</v>
      </c>
      <c r="S35" s="236">
        <f>+'EEFF base'!BS31+R35</f>
        <v>642419475.18999982</v>
      </c>
      <c r="T35" s="236">
        <f>+'EEFF base'!BT31+S35</f>
        <v>639330515.75999987</v>
      </c>
      <c r="U35" s="236">
        <f>+'EEFF base'!BU31+T35</f>
        <v>636527598.18999982</v>
      </c>
      <c r="V35" s="236">
        <f>+'EEFF base'!BV31+U35</f>
        <v>633693922.09999979</v>
      </c>
      <c r="W35" s="236">
        <f>+'EEFF base'!BW31+V35</f>
        <v>630993167.77999973</v>
      </c>
      <c r="X35" s="236">
        <f>+'EEFF base'!BX31+W35</f>
        <v>628375222.16999972</v>
      </c>
      <c r="Y35" s="236">
        <f>+'EEFF base'!BY31+X35</f>
        <v>625690958.44999969</v>
      </c>
      <c r="Z35" s="236">
        <f>+'EEFF base'!BZ31+Y35</f>
        <v>623223082.06999969</v>
      </c>
      <c r="AA35" s="236">
        <f t="shared" si="99"/>
        <v>623223082.06999969</v>
      </c>
      <c r="AB35" s="236">
        <f>+'EEFF base'!CB31</f>
        <v>620769486.60000026</v>
      </c>
      <c r="AC35" s="236">
        <f>+'EEFF base'!CC31+AB35</f>
        <v>618079411.21000028</v>
      </c>
      <c r="AD35" s="236">
        <f>+'EEFF base'!CD31+AC35</f>
        <v>615843930.09000027</v>
      </c>
      <c r="AE35" s="236">
        <f>+'EEFF base'!CE31+AD35</f>
        <v>613779215.16000032</v>
      </c>
      <c r="AF35" s="236">
        <f>+'EEFF base'!CF31+AE35</f>
        <v>611815203.39000034</v>
      </c>
      <c r="AG35" s="236">
        <f>+'EEFF base'!CG31+AF35</f>
        <v>609664523.42000031</v>
      </c>
      <c r="AH35" s="236">
        <f>+'EEFF base'!CH31+AG35</f>
        <v>609241585.72000027</v>
      </c>
      <c r="AI35" s="236">
        <f>+'EEFF base'!CI31+AH35</f>
        <v>607518652.11000025</v>
      </c>
      <c r="AJ35" s="236">
        <f>+'EEFF base'!CJ31+AI35</f>
        <v>600620634.4200002</v>
      </c>
      <c r="AK35" s="236">
        <f>+'EEFF base'!CK31+AJ35</f>
        <v>599357832.34000015</v>
      </c>
      <c r="AL35" s="236">
        <f>+'EEFF base'!CL31+AK35</f>
        <v>598050296.57000017</v>
      </c>
      <c r="AM35" s="236">
        <f>+'EEFF base'!CM31+AL35</f>
        <v>597586950.94000018</v>
      </c>
      <c r="AN35" s="236">
        <f t="shared" si="100"/>
        <v>597586950.94000018</v>
      </c>
      <c r="AO35" s="236">
        <f>+'EEFF historicoss'!R37</f>
        <v>596269700.48999977</v>
      </c>
      <c r="AP35" s="236">
        <f>+'EEFF historicoss'!S37</f>
        <v>594840322.21999979</v>
      </c>
      <c r="AQ35" s="236">
        <f>+'EEFF historicoss'!T37</f>
        <v>593360430.48999977</v>
      </c>
      <c r="AR35" s="236">
        <f>+'EEFF historicoss'!U37</f>
        <v>591936176.42999983</v>
      </c>
      <c r="AS35" s="236">
        <f>+'EEFF historicoss'!V37</f>
        <v>590425035.5799998</v>
      </c>
      <c r="AT35" s="236">
        <f>+'EEFF historicoss'!W37</f>
        <v>589083557.38999975</v>
      </c>
      <c r="AU35" s="236">
        <f>+'EEFF historicoss'!X37</f>
        <v>587740343.42999971</v>
      </c>
      <c r="AV35" s="236">
        <f>+'EEFF historicoss'!Y37</f>
        <v>584830720.22999966</v>
      </c>
      <c r="AW35" s="236">
        <f>+'EEFF historicoss'!Z37</f>
        <v>582948454.5599997</v>
      </c>
      <c r="AX35" s="236">
        <f>+'EEFF historicoss'!AA37</f>
        <v>581135705.76999974</v>
      </c>
      <c r="AY35" s="236">
        <f>+'EEFF historicoss'!AB37</f>
        <v>579975080.48999977</v>
      </c>
      <c r="AZ35" s="236">
        <f>+'EEFF historicoss'!AC37</f>
        <v>578464133.68999982</v>
      </c>
      <c r="BA35" s="236">
        <f t="shared" ref="BA35:BA56" si="136">+AZ35</f>
        <v>578464133.68999982</v>
      </c>
      <c r="BB35" s="236">
        <f>+'EEFF historicoss'!AE37</f>
        <v>577407467.30999994</v>
      </c>
      <c r="BC35" s="236">
        <f>+'EEFF historicoss'!AF37</f>
        <v>576234959.88999999</v>
      </c>
      <c r="BD35" s="236">
        <f>+'EEFF historicoss'!AG37</f>
        <v>575117381.51999998</v>
      </c>
      <c r="BE35" s="236">
        <f>+'EEFF historicoss'!AH37</f>
        <v>574511724.75</v>
      </c>
      <c r="BF35" s="236">
        <f>+'EEFF historicoss'!AI37</f>
        <v>573736025.79999995</v>
      </c>
      <c r="BG35" s="236">
        <f>+'EEFF historicoss'!AJ37</f>
        <v>573877374.76999998</v>
      </c>
      <c r="BH35" s="236">
        <f>+'EEFF historicoss'!AK37</f>
        <v>593978590.98000002</v>
      </c>
      <c r="BI35" s="236">
        <f>+'EEFF historicoss'!AL37</f>
        <v>595289240.37</v>
      </c>
      <c r="BJ35" s="236">
        <f>+'EEFF historicoss'!AM37</f>
        <v>597355415.79999995</v>
      </c>
      <c r="BK35" s="236">
        <f>+'EEFF historicoss'!AN37</f>
        <v>599774235.46000004</v>
      </c>
      <c r="BL35" s="236">
        <f>+'EEFF historicoss'!AO37</f>
        <v>603054619.73000002</v>
      </c>
      <c r="BM35" s="236">
        <f>+'EEFF historicoss'!AP37</f>
        <v>606848758.82000005</v>
      </c>
      <c r="BN35" s="236">
        <f t="shared" ref="BN35:BN56" si="137">+BM35</f>
        <v>606848758.82000005</v>
      </c>
      <c r="BO35" s="236">
        <f>+'EEFF historicoss'!AR37</f>
        <v>618780286.11000001</v>
      </c>
      <c r="BP35" s="236">
        <f>+'EEFF historicoss'!AS37</f>
        <v>623600051.48000002</v>
      </c>
      <c r="BQ35" s="236">
        <f>+'EEFF historicoss'!AT37</f>
        <v>629870246.53999996</v>
      </c>
      <c r="BR35" s="236">
        <f>+'EEFF historicoss'!AU37</f>
        <v>638041187.58000004</v>
      </c>
      <c r="BS35" s="236">
        <f>+'EEFF historicoss'!AV37</f>
        <v>647420575.25999999</v>
      </c>
      <c r="BT35" s="236">
        <f>+'EEFF historicoss'!AW37</f>
        <v>656823346.12</v>
      </c>
      <c r="BU35" s="236">
        <f t="shared" ref="BU35:BY35" si="138">+BU128</f>
        <v>648626553.48503125</v>
      </c>
      <c r="BV35" s="236">
        <f t="shared" si="138"/>
        <v>640429760.85006249</v>
      </c>
      <c r="BW35" s="236">
        <f t="shared" si="138"/>
        <v>632232968.21509373</v>
      </c>
      <c r="BX35" s="236">
        <f t="shared" si="138"/>
        <v>624036175.58012497</v>
      </c>
      <c r="BY35" s="236">
        <f t="shared" si="138"/>
        <v>615839382.94515622</v>
      </c>
      <c r="BZ35" s="236">
        <f>+BZ128</f>
        <v>607642590.31018746</v>
      </c>
      <c r="CA35" s="236">
        <f t="shared" ref="CA35:CA40" si="139">+BZ35</f>
        <v>607642590.31018746</v>
      </c>
      <c r="CB35" s="236">
        <f>+CB128</f>
        <v>610097552.88903844</v>
      </c>
      <c r="CC35" s="236">
        <f t="shared" ref="CC35:EN35" si="140">+CC128</f>
        <v>612244688.67788947</v>
      </c>
      <c r="CD35" s="236">
        <f t="shared" si="140"/>
        <v>613471122.39674056</v>
      </c>
      <c r="CE35" s="236">
        <f t="shared" si="140"/>
        <v>612933663.67559135</v>
      </c>
      <c r="CF35" s="236">
        <f t="shared" si="140"/>
        <v>611387712.27444232</v>
      </c>
      <c r="CG35" s="236">
        <f t="shared" si="140"/>
        <v>609651000.33329332</v>
      </c>
      <c r="CH35" s="236">
        <f t="shared" si="140"/>
        <v>607914288.39214432</v>
      </c>
      <c r="CI35" s="236">
        <f t="shared" si="140"/>
        <v>606177576.45099533</v>
      </c>
      <c r="CJ35" s="236">
        <f t="shared" si="140"/>
        <v>604440864.50984633</v>
      </c>
      <c r="CK35" s="236">
        <f t="shared" si="140"/>
        <v>602704152.56869733</v>
      </c>
      <c r="CL35" s="236">
        <f t="shared" si="140"/>
        <v>600967440.62754834</v>
      </c>
      <c r="CM35" s="236">
        <f t="shared" si="140"/>
        <v>599230728.68639934</v>
      </c>
      <c r="CN35" s="236">
        <f>+CN128</f>
        <v>599230728.68639994</v>
      </c>
      <c r="CO35" s="236">
        <f t="shared" ref="CO35" si="141">+CO128</f>
        <v>602386679.73389995</v>
      </c>
      <c r="CP35" s="236">
        <f t="shared" si="140"/>
        <v>605234803.9914</v>
      </c>
      <c r="CQ35" s="236">
        <f t="shared" si="140"/>
        <v>607162226.17890012</v>
      </c>
      <c r="CR35" s="236">
        <f t="shared" si="140"/>
        <v>607325755.92639995</v>
      </c>
      <c r="CS35" s="236">
        <f t="shared" si="140"/>
        <v>606480792.99389994</v>
      </c>
      <c r="CT35" s="236">
        <f t="shared" si="140"/>
        <v>605445069.52139997</v>
      </c>
      <c r="CU35" s="236">
        <f t="shared" si="140"/>
        <v>604409346.04890001</v>
      </c>
      <c r="CV35" s="236">
        <f t="shared" si="140"/>
        <v>603373622.57640004</v>
      </c>
      <c r="CW35" s="236">
        <f t="shared" si="140"/>
        <v>602337899.10390007</v>
      </c>
      <c r="CX35" s="236">
        <f t="shared" si="140"/>
        <v>601302175.63140011</v>
      </c>
      <c r="CY35" s="236">
        <f t="shared" si="140"/>
        <v>600266452.15890014</v>
      </c>
      <c r="CZ35" s="236">
        <f t="shared" si="140"/>
        <v>599230728.68640018</v>
      </c>
      <c r="DA35" s="236">
        <f t="shared" si="140"/>
        <v>599230728.68639994</v>
      </c>
      <c r="DB35" s="236">
        <f t="shared" si="140"/>
        <v>581445561.1588999</v>
      </c>
      <c r="DC35" s="236">
        <f t="shared" si="140"/>
        <v>563352566.84139991</v>
      </c>
      <c r="DD35" s="236">
        <f t="shared" si="140"/>
        <v>544338870.45389998</v>
      </c>
      <c r="DE35" s="236">
        <f t="shared" si="140"/>
        <v>523561281.62639976</v>
      </c>
      <c r="DF35" s="236">
        <f t="shared" si="140"/>
        <v>501775200.1188997</v>
      </c>
      <c r="DG35" s="236">
        <f t="shared" si="140"/>
        <v>479798358.07139969</v>
      </c>
      <c r="DH35" s="236">
        <f t="shared" si="140"/>
        <v>457821516.02389967</v>
      </c>
      <c r="DI35" s="236">
        <f t="shared" si="140"/>
        <v>435844673.97639966</v>
      </c>
      <c r="DJ35" s="236">
        <f t="shared" si="140"/>
        <v>413867831.92889965</v>
      </c>
      <c r="DK35" s="236">
        <f t="shared" si="140"/>
        <v>391890989.88139963</v>
      </c>
      <c r="DL35" s="236">
        <f t="shared" si="140"/>
        <v>369914147.83389962</v>
      </c>
      <c r="DM35" s="236">
        <f t="shared" si="140"/>
        <v>347937305.7863996</v>
      </c>
      <c r="DN35" s="236">
        <f t="shared" si="140"/>
        <v>347937305.78639984</v>
      </c>
      <c r="DO35" s="236">
        <f t="shared" si="140"/>
        <v>351093256.83389986</v>
      </c>
      <c r="DP35" s="236">
        <f t="shared" si="140"/>
        <v>353941381.09139991</v>
      </c>
      <c r="DQ35" s="236">
        <f t="shared" si="140"/>
        <v>355868803.27890003</v>
      </c>
      <c r="DR35" s="236">
        <f t="shared" si="140"/>
        <v>356032333.02639985</v>
      </c>
      <c r="DS35" s="236">
        <f t="shared" si="140"/>
        <v>355187370.09389985</v>
      </c>
      <c r="DT35" s="236">
        <f t="shared" si="140"/>
        <v>354151646.62139988</v>
      </c>
      <c r="DU35" s="236">
        <f t="shared" si="140"/>
        <v>353115923.14889991</v>
      </c>
      <c r="DV35" s="236">
        <f t="shared" si="140"/>
        <v>352080199.67639995</v>
      </c>
      <c r="DW35" s="236">
        <f t="shared" si="140"/>
        <v>351044476.20389998</v>
      </c>
      <c r="DX35" s="236">
        <f t="shared" si="140"/>
        <v>350008752.73140001</v>
      </c>
      <c r="DY35" s="236">
        <f t="shared" si="140"/>
        <v>348973029.25890005</v>
      </c>
      <c r="DZ35" s="236">
        <f t="shared" si="140"/>
        <v>347937305.78640008</v>
      </c>
      <c r="EA35" s="236">
        <f t="shared" si="140"/>
        <v>347937305.78639984</v>
      </c>
      <c r="EB35" s="236">
        <f t="shared" si="140"/>
        <v>351093256.83389986</v>
      </c>
      <c r="EC35" s="236">
        <f t="shared" si="140"/>
        <v>353941381.09139991</v>
      </c>
      <c r="ED35" s="236">
        <f t="shared" si="140"/>
        <v>355868803.27890003</v>
      </c>
      <c r="EE35" s="236">
        <f t="shared" si="140"/>
        <v>356032333.02639985</v>
      </c>
      <c r="EF35" s="236">
        <f t="shared" si="140"/>
        <v>355187370.09389985</v>
      </c>
      <c r="EG35" s="236">
        <f t="shared" si="140"/>
        <v>354151646.62139988</v>
      </c>
      <c r="EH35" s="236">
        <f t="shared" si="140"/>
        <v>353115923.14889991</v>
      </c>
      <c r="EI35" s="236">
        <f t="shared" si="140"/>
        <v>352080199.67639995</v>
      </c>
      <c r="EJ35" s="236">
        <f t="shared" si="140"/>
        <v>351044476.20389998</v>
      </c>
      <c r="EK35" s="236">
        <f t="shared" si="140"/>
        <v>350008752.73140001</v>
      </c>
      <c r="EL35" s="236">
        <f t="shared" si="140"/>
        <v>348973029.25890005</v>
      </c>
      <c r="EM35" s="236">
        <f t="shared" si="140"/>
        <v>347937305.78640008</v>
      </c>
      <c r="EN35" s="236">
        <f t="shared" si="140"/>
        <v>347937305.78639984</v>
      </c>
    </row>
    <row r="36" spans="1:144" s="236" customFormat="1" x14ac:dyDescent="0.25">
      <c r="A36" s="234" t="s">
        <v>263</v>
      </c>
      <c r="B36" s="236">
        <f>+'EEFF base'!BB34</f>
        <v>4349009.84</v>
      </c>
      <c r="C36" s="236">
        <f>+'EEFF base'!BC32+B36</f>
        <v>5691214.0299999993</v>
      </c>
      <c r="D36" s="236">
        <f>+'EEFF base'!BD32+C36</f>
        <v>6815038.2299999995</v>
      </c>
      <c r="E36" s="236">
        <f>+'EEFF base'!BE32+D36</f>
        <v>7955899.2599999998</v>
      </c>
      <c r="F36" s="236">
        <f>+'EEFF base'!BF32+E36</f>
        <v>9156069.3399999999</v>
      </c>
      <c r="G36" s="236">
        <f>+'EEFF base'!BG32+F36</f>
        <v>10278942.73</v>
      </c>
      <c r="H36" s="236">
        <f>+'EEFF base'!BH32+G36</f>
        <v>10935116.620000001</v>
      </c>
      <c r="I36" s="236">
        <f>+'EEFF base'!BI32+H36</f>
        <v>30867892.890000004</v>
      </c>
      <c r="J36" s="236">
        <f>+'EEFF base'!BJ32+I36</f>
        <v>38617010.500000007</v>
      </c>
      <c r="K36" s="236">
        <f>+'EEFF base'!BK32+J36</f>
        <v>38730031.230000004</v>
      </c>
      <c r="L36" s="236">
        <f>+'EEFF base'!BL32+K36</f>
        <v>40040848.090000004</v>
      </c>
      <c r="M36" s="236">
        <f>+'EEFF base'!BM32+L36</f>
        <v>41168711.630000003</v>
      </c>
      <c r="N36" s="236">
        <f t="shared" si="135"/>
        <v>41168711.630000003</v>
      </c>
      <c r="O36" s="236">
        <f>+'EEFF base'!BO34</f>
        <v>4395311.8999999976</v>
      </c>
      <c r="P36" s="236">
        <f>+'EEFF base'!BP32+O36</f>
        <v>5085981.8599999975</v>
      </c>
      <c r="Q36" s="236">
        <f>+'EEFF base'!BQ32+P36</f>
        <v>5550104.629999998</v>
      </c>
      <c r="R36" s="236">
        <f>+'EEFF base'!BR32+Q36</f>
        <v>5867479.7299999977</v>
      </c>
      <c r="S36" s="236">
        <f>+'EEFF base'!BS32+R36</f>
        <v>6733216.8599999975</v>
      </c>
      <c r="T36" s="236">
        <f>+'EEFF base'!BT32+S36</f>
        <v>6862811.589999998</v>
      </c>
      <c r="U36" s="236">
        <f>+'EEFF base'!BU32+T36</f>
        <v>7462069.2699999977</v>
      </c>
      <c r="V36" s="236">
        <f>+'EEFF base'!BV32+U36</f>
        <v>7985859.9799999977</v>
      </c>
      <c r="W36" s="236">
        <f>+'EEFF base'!BW32+V36</f>
        <v>8728832.8999999985</v>
      </c>
      <c r="X36" s="236">
        <f>+'EEFF base'!BX32+W36</f>
        <v>9595979.8999999985</v>
      </c>
      <c r="Y36" s="236">
        <f>+'EEFF base'!BY32+X36</f>
        <v>9800946.3199999984</v>
      </c>
      <c r="Z36" s="236">
        <f>+'EEFF base'!BZ32+Y36</f>
        <v>10289045.77</v>
      </c>
      <c r="AA36" s="236">
        <f t="shared" si="99"/>
        <v>10289045.77</v>
      </c>
      <c r="AB36" s="236">
        <f>+'EEFF base'!CB34</f>
        <v>5058414.1199999992</v>
      </c>
      <c r="AC36" s="236">
        <f>+'EEFF base'!CC32+AB36</f>
        <v>5620115.1599999992</v>
      </c>
      <c r="AD36" s="236">
        <f>+'EEFF base'!CD32+AC36</f>
        <v>6810848.5299999993</v>
      </c>
      <c r="AE36" s="236">
        <f>+'EEFF base'!CE32+AD36</f>
        <v>8279920.9699999997</v>
      </c>
      <c r="AF36" s="236">
        <f>+'EEFF base'!CF32+AE36</f>
        <v>9954778.5199999996</v>
      </c>
      <c r="AG36" s="236">
        <f>+'EEFF base'!CG32+AF36</f>
        <v>11375965.5</v>
      </c>
      <c r="AH36" s="236">
        <f>+'EEFF base'!CH32+AG36</f>
        <v>15787309.98</v>
      </c>
      <c r="AI36" s="236">
        <f>+'EEFF base'!CI32+AH36</f>
        <v>17491626.75</v>
      </c>
      <c r="AJ36" s="236">
        <f>+'EEFF base'!CJ32+AI36</f>
        <v>10311719.309999999</v>
      </c>
      <c r="AK36" s="236">
        <f>+'EEFF base'!CK32+AJ36</f>
        <v>12936407.069999998</v>
      </c>
      <c r="AL36" s="236">
        <f>+'EEFF base'!CL32+AK36</f>
        <v>15258322.419999998</v>
      </c>
      <c r="AM36" s="236">
        <f>+'EEFF base'!CM32+AL36</f>
        <v>18474838.369999997</v>
      </c>
      <c r="AN36" s="236">
        <f t="shared" si="100"/>
        <v>18474838.369999997</v>
      </c>
      <c r="AO36" s="236">
        <f>+'EEFF historicoss'!R40</f>
        <v>5152083.6399999969</v>
      </c>
      <c r="AP36" s="236">
        <f>+'EEFF historicoss'!S40</f>
        <v>5062157.2099999972</v>
      </c>
      <c r="AQ36" s="236">
        <f>+'EEFF historicoss'!T40</f>
        <v>5323547.3699999973</v>
      </c>
      <c r="AR36" s="236">
        <f>+'EEFF historicoss'!U40</f>
        <v>5130098.8499999978</v>
      </c>
      <c r="AS36" s="236">
        <f>+'EEFF historicoss'!V40</f>
        <v>5017326.5299999975</v>
      </c>
      <c r="AT36" s="236">
        <f>+'EEFF historicoss'!W40</f>
        <v>4785183.6499999976</v>
      </c>
      <c r="AU36" s="236">
        <f>+'EEFF historicoss'!X40</f>
        <v>4554660.4299999978</v>
      </c>
      <c r="AV36" s="236">
        <f>+'EEFF historicoss'!Y40</f>
        <v>14512538.279999997</v>
      </c>
      <c r="AW36" s="236">
        <f>+'EEFF historicoss'!Z40</f>
        <v>14672926.839999998</v>
      </c>
      <c r="AX36" s="236">
        <f>+'EEFF historicoss'!AA40</f>
        <v>13274051.609999998</v>
      </c>
      <c r="AY36" s="236">
        <f>+'EEFF historicoss'!AB40</f>
        <v>13180071.249999998</v>
      </c>
      <c r="AZ36" s="236">
        <f>+'EEFF historicoss'!AC40</f>
        <v>13101418.639999999</v>
      </c>
      <c r="BA36" s="236">
        <f t="shared" si="136"/>
        <v>13101418.639999999</v>
      </c>
      <c r="BB36" s="236">
        <f>+'EEFF historicoss'!AE40</f>
        <v>13101418.640000001</v>
      </c>
      <c r="BC36" s="236">
        <f>+'EEFF historicoss'!AF40</f>
        <v>13183210.550000001</v>
      </c>
      <c r="BD36" s="236">
        <f>+'EEFF historicoss'!AG40</f>
        <v>13127108.84</v>
      </c>
      <c r="BE36" s="236">
        <f>+'EEFF historicoss'!AH40</f>
        <v>13151610.35</v>
      </c>
      <c r="BF36" s="236">
        <f>+'EEFF historicoss'!AI40</f>
        <v>13094564.439999999</v>
      </c>
      <c r="BG36" s="236">
        <f>+'EEFF historicoss'!AJ40</f>
        <v>13050025.16</v>
      </c>
      <c r="BH36" s="236">
        <f>+'EEFF historicoss'!AK40</f>
        <v>13113661.189999999</v>
      </c>
      <c r="BI36" s="236">
        <f>+'EEFF historicoss'!AL40</f>
        <v>19000615.32</v>
      </c>
      <c r="BJ36" s="236">
        <f>+'EEFF historicoss'!AM40</f>
        <v>17572052.170000002</v>
      </c>
      <c r="BK36" s="236">
        <f>+'EEFF historicoss'!AN40</f>
        <v>16425744.65</v>
      </c>
      <c r="BL36" s="236">
        <f>+'EEFF historicoss'!AO40</f>
        <v>15680239.689999999</v>
      </c>
      <c r="BM36" s="236">
        <f>+'EEFF historicoss'!AP40</f>
        <v>15549164.27</v>
      </c>
      <c r="BN36" s="236">
        <f t="shared" si="137"/>
        <v>15549164.27</v>
      </c>
      <c r="BO36" s="236">
        <f>+'EEFF historicoss'!AR40</f>
        <v>9871282.1999999993</v>
      </c>
      <c r="BP36" s="236">
        <f>+'EEFF historicoss'!AS40</f>
        <v>9396778.2400000002</v>
      </c>
      <c r="BQ36" s="236">
        <f>+'EEFF historicoss'!AT40</f>
        <v>10865239.26</v>
      </c>
      <c r="BR36" s="236">
        <f>+'EEFF historicoss'!AU40</f>
        <v>9914382.9100000001</v>
      </c>
      <c r="BS36" s="236">
        <f>+'EEFF historicoss'!AV40</f>
        <v>9022007.4700000007</v>
      </c>
      <c r="BT36" s="236">
        <f>+'EEFF historicoss'!AW40</f>
        <v>8512061.4000000004</v>
      </c>
      <c r="BU36" s="236">
        <f t="shared" ref="BU36:BZ37" si="142">+BT36</f>
        <v>8512061.4000000004</v>
      </c>
      <c r="BV36" s="236">
        <f t="shared" si="142"/>
        <v>8512061.4000000004</v>
      </c>
      <c r="BW36" s="236">
        <f t="shared" si="142"/>
        <v>8512061.4000000004</v>
      </c>
      <c r="BX36" s="236">
        <f t="shared" si="142"/>
        <v>8512061.4000000004</v>
      </c>
      <c r="BY36" s="236">
        <f t="shared" si="142"/>
        <v>8512061.4000000004</v>
      </c>
      <c r="BZ36" s="236">
        <f t="shared" si="142"/>
        <v>8512061.4000000004</v>
      </c>
      <c r="CA36" s="236">
        <f t="shared" si="139"/>
        <v>8512061.4000000004</v>
      </c>
      <c r="CB36" s="236">
        <f t="shared" ref="CB36:DC36" si="143">+CA36</f>
        <v>8512061.4000000004</v>
      </c>
      <c r="CC36" s="236">
        <f t="shared" si="143"/>
        <v>8512061.4000000004</v>
      </c>
      <c r="CD36" s="236">
        <f t="shared" si="143"/>
        <v>8512061.4000000004</v>
      </c>
      <c r="CE36" s="236">
        <f t="shared" si="143"/>
        <v>8512061.4000000004</v>
      </c>
      <c r="CF36" s="236">
        <f t="shared" si="143"/>
        <v>8512061.4000000004</v>
      </c>
      <c r="CG36" s="236">
        <f t="shared" si="143"/>
        <v>8512061.4000000004</v>
      </c>
      <c r="CH36" s="236">
        <f t="shared" si="143"/>
        <v>8512061.4000000004</v>
      </c>
      <c r="CI36" s="236">
        <f t="shared" si="143"/>
        <v>8512061.4000000004</v>
      </c>
      <c r="CJ36" s="236">
        <f t="shared" si="143"/>
        <v>8512061.4000000004</v>
      </c>
      <c r="CK36" s="236">
        <f t="shared" si="143"/>
        <v>8512061.4000000004</v>
      </c>
      <c r="CL36" s="236">
        <f t="shared" si="143"/>
        <v>8512061.4000000004</v>
      </c>
      <c r="CM36" s="236">
        <f t="shared" si="143"/>
        <v>8512061.4000000004</v>
      </c>
      <c r="CN36" s="236">
        <f t="shared" si="143"/>
        <v>8512061.4000000004</v>
      </c>
      <c r="CO36" s="236">
        <f t="shared" si="143"/>
        <v>8512061.4000000004</v>
      </c>
      <c r="CP36" s="236">
        <f t="shared" si="143"/>
        <v>8512061.4000000004</v>
      </c>
      <c r="CQ36" s="236">
        <f t="shared" si="143"/>
        <v>8512061.4000000004</v>
      </c>
      <c r="CR36" s="236">
        <f t="shared" si="143"/>
        <v>8512061.4000000004</v>
      </c>
      <c r="CS36" s="236">
        <f t="shared" si="143"/>
        <v>8512061.4000000004</v>
      </c>
      <c r="CT36" s="236">
        <f t="shared" si="143"/>
        <v>8512061.4000000004</v>
      </c>
      <c r="CU36" s="236">
        <f t="shared" si="143"/>
        <v>8512061.4000000004</v>
      </c>
      <c r="CV36" s="236">
        <f t="shared" si="143"/>
        <v>8512061.4000000004</v>
      </c>
      <c r="CW36" s="236">
        <f t="shared" si="143"/>
        <v>8512061.4000000004</v>
      </c>
      <c r="CX36" s="236">
        <f t="shared" si="143"/>
        <v>8512061.4000000004</v>
      </c>
      <c r="CY36" s="236">
        <f t="shared" si="143"/>
        <v>8512061.4000000004</v>
      </c>
      <c r="CZ36" s="236">
        <f t="shared" si="143"/>
        <v>8512061.4000000004</v>
      </c>
      <c r="DA36" s="236">
        <f t="shared" si="143"/>
        <v>8512061.4000000004</v>
      </c>
      <c r="DB36" s="236">
        <f t="shared" si="143"/>
        <v>8512061.4000000004</v>
      </c>
      <c r="DC36" s="236">
        <f t="shared" si="143"/>
        <v>8512061.4000000004</v>
      </c>
      <c r="DD36" s="236">
        <f t="shared" ref="DD36:EN36" si="144">+DC36</f>
        <v>8512061.4000000004</v>
      </c>
      <c r="DE36" s="236">
        <f t="shared" si="144"/>
        <v>8512061.4000000004</v>
      </c>
      <c r="DF36" s="236">
        <f t="shared" si="144"/>
        <v>8512061.4000000004</v>
      </c>
      <c r="DG36" s="236">
        <f t="shared" si="144"/>
        <v>8512061.4000000004</v>
      </c>
      <c r="DH36" s="236">
        <f t="shared" si="144"/>
        <v>8512061.4000000004</v>
      </c>
      <c r="DI36" s="236">
        <f t="shared" si="144"/>
        <v>8512061.4000000004</v>
      </c>
      <c r="DJ36" s="236">
        <f t="shared" si="144"/>
        <v>8512061.4000000004</v>
      </c>
      <c r="DK36" s="236">
        <f t="shared" si="144"/>
        <v>8512061.4000000004</v>
      </c>
      <c r="DL36" s="236">
        <f t="shared" si="144"/>
        <v>8512061.4000000004</v>
      </c>
      <c r="DM36" s="236">
        <f t="shared" si="144"/>
        <v>8512061.4000000004</v>
      </c>
      <c r="DN36" s="236">
        <f t="shared" si="144"/>
        <v>8512061.4000000004</v>
      </c>
      <c r="DO36" s="236">
        <f t="shared" si="144"/>
        <v>8512061.4000000004</v>
      </c>
      <c r="DP36" s="236">
        <f t="shared" si="144"/>
        <v>8512061.4000000004</v>
      </c>
      <c r="DQ36" s="236">
        <f t="shared" si="144"/>
        <v>8512061.4000000004</v>
      </c>
      <c r="DR36" s="236">
        <f t="shared" si="144"/>
        <v>8512061.4000000004</v>
      </c>
      <c r="DS36" s="236">
        <f t="shared" si="144"/>
        <v>8512061.4000000004</v>
      </c>
      <c r="DT36" s="236">
        <f t="shared" si="144"/>
        <v>8512061.4000000004</v>
      </c>
      <c r="DU36" s="236">
        <f t="shared" si="144"/>
        <v>8512061.4000000004</v>
      </c>
      <c r="DV36" s="236">
        <f t="shared" si="144"/>
        <v>8512061.4000000004</v>
      </c>
      <c r="DW36" s="236">
        <f t="shared" si="144"/>
        <v>8512061.4000000004</v>
      </c>
      <c r="DX36" s="236">
        <f t="shared" si="144"/>
        <v>8512061.4000000004</v>
      </c>
      <c r="DY36" s="236">
        <f t="shared" si="144"/>
        <v>8512061.4000000004</v>
      </c>
      <c r="DZ36" s="236">
        <f t="shared" si="144"/>
        <v>8512061.4000000004</v>
      </c>
      <c r="EA36" s="236">
        <f t="shared" si="144"/>
        <v>8512061.4000000004</v>
      </c>
      <c r="EB36" s="236">
        <f t="shared" si="144"/>
        <v>8512061.4000000004</v>
      </c>
      <c r="EC36" s="236">
        <f t="shared" si="144"/>
        <v>8512061.4000000004</v>
      </c>
      <c r="ED36" s="236">
        <f t="shared" si="144"/>
        <v>8512061.4000000004</v>
      </c>
      <c r="EE36" s="236">
        <f t="shared" si="144"/>
        <v>8512061.4000000004</v>
      </c>
      <c r="EF36" s="236">
        <f t="shared" si="144"/>
        <v>8512061.4000000004</v>
      </c>
      <c r="EG36" s="236">
        <f t="shared" si="144"/>
        <v>8512061.4000000004</v>
      </c>
      <c r="EH36" s="236">
        <f t="shared" si="144"/>
        <v>8512061.4000000004</v>
      </c>
      <c r="EI36" s="236">
        <f t="shared" si="144"/>
        <v>8512061.4000000004</v>
      </c>
      <c r="EJ36" s="236">
        <f t="shared" si="144"/>
        <v>8512061.4000000004</v>
      </c>
      <c r="EK36" s="236">
        <f t="shared" si="144"/>
        <v>8512061.4000000004</v>
      </c>
      <c r="EL36" s="236">
        <f t="shared" si="144"/>
        <v>8512061.4000000004</v>
      </c>
      <c r="EM36" s="236">
        <f t="shared" si="144"/>
        <v>8512061.4000000004</v>
      </c>
      <c r="EN36" s="236">
        <f t="shared" si="144"/>
        <v>8512061.4000000004</v>
      </c>
    </row>
    <row r="37" spans="1:144" s="236" customFormat="1" x14ac:dyDescent="0.25">
      <c r="A37" s="234" t="s">
        <v>264</v>
      </c>
      <c r="B37" s="236">
        <f>+'EEFF base'!BB35</f>
        <v>46257062.550000004</v>
      </c>
      <c r="C37" s="236">
        <f>+'EEFF base'!BC33+B37</f>
        <v>42743036.290000007</v>
      </c>
      <c r="D37" s="236">
        <f>+'EEFF base'!BD33+C37</f>
        <v>39300134.970000006</v>
      </c>
      <c r="E37" s="236">
        <f>+'EEFF base'!BE33+D37</f>
        <v>35851573.100000009</v>
      </c>
      <c r="F37" s="236">
        <f>+'EEFF base'!BF33+E37</f>
        <v>32383917.140000008</v>
      </c>
      <c r="G37" s="236">
        <f>+'EEFF base'!BG33+F37</f>
        <v>28942452.65000001</v>
      </c>
      <c r="H37" s="236">
        <f>+'EEFF base'!BH33+G37</f>
        <v>25673446.620000008</v>
      </c>
      <c r="I37" s="236">
        <f>+'EEFF base'!BI33+H37</f>
        <v>22460389.260000009</v>
      </c>
      <c r="J37" s="236">
        <f>+'EEFF base'!BJ33+I37</f>
        <v>19432431.63000001</v>
      </c>
      <c r="K37" s="236">
        <f>+'EEFF base'!BK33+J37</f>
        <v>16188800.57000001</v>
      </c>
      <c r="L37" s="236">
        <f>+'EEFF base'!BL33+K37</f>
        <v>12241512.000000009</v>
      </c>
      <c r="M37" s="236">
        <f>+'EEFF base'!BM33+L37</f>
        <v>8611143.430000009</v>
      </c>
      <c r="N37" s="236">
        <f t="shared" si="135"/>
        <v>8611143.430000009</v>
      </c>
      <c r="O37" s="236">
        <f>+'EEFF base'!BO35</f>
        <v>50736641.799999997</v>
      </c>
      <c r="P37" s="236">
        <f>+'EEFF base'!BP33+O37</f>
        <v>47313917.899999999</v>
      </c>
      <c r="Q37" s="236">
        <f>+'EEFF base'!BQ33+P37</f>
        <v>43999481.920000002</v>
      </c>
      <c r="R37" s="236">
        <f>+'EEFF base'!BR33+Q37</f>
        <v>40746357.240000002</v>
      </c>
      <c r="S37" s="236">
        <f>+'EEFF base'!BS33+R37</f>
        <v>37554691.93</v>
      </c>
      <c r="T37" s="236">
        <f>+'EEFF base'!BT33+S37</f>
        <v>34336137.770000003</v>
      </c>
      <c r="U37" s="236">
        <f>+'EEFF base'!BU33+T37</f>
        <v>30933962.520000003</v>
      </c>
      <c r="V37" s="236">
        <f>+'EEFF base'!BV33+U37</f>
        <v>27576495.720000003</v>
      </c>
      <c r="W37" s="236">
        <f>+'EEFF base'!BW33+V37</f>
        <v>24132768.480000004</v>
      </c>
      <c r="X37" s="236">
        <f>+'EEFF base'!BX33+W37</f>
        <v>20647675.870000005</v>
      </c>
      <c r="Y37" s="236">
        <f>+'EEFF base'!BY33+X37</f>
        <v>17758445.730000004</v>
      </c>
      <c r="Z37" s="236">
        <f>+'EEFF base'!BZ33+Y37</f>
        <v>14802469.900000004</v>
      </c>
      <c r="AA37" s="236">
        <f t="shared" si="99"/>
        <v>14802469.900000004</v>
      </c>
      <c r="AB37" s="236">
        <f>+'EEFF base'!CB35</f>
        <v>47156207.290000007</v>
      </c>
      <c r="AC37" s="236">
        <f>+'EEFF base'!CC33+AB37</f>
        <v>43904430.860000007</v>
      </c>
      <c r="AD37" s="236">
        <f>+'EEFF base'!CD33+AC37</f>
        <v>40478216.370000005</v>
      </c>
      <c r="AE37" s="236">
        <f>+'EEFF base'!CE33+AD37</f>
        <v>36944429.000000007</v>
      </c>
      <c r="AF37" s="236">
        <f>+'EEFF base'!CF33+AE37</f>
        <v>33305559.680000007</v>
      </c>
      <c r="AG37" s="236">
        <f>+'EEFF base'!CG33+AF37</f>
        <v>29733692.730000008</v>
      </c>
      <c r="AH37" s="236">
        <f>+'EEFF base'!CH33+AG37</f>
        <v>24899410.550000008</v>
      </c>
      <c r="AI37" s="236">
        <f>+'EEFF base'!CI33+AH37</f>
        <v>21472160.170000009</v>
      </c>
      <c r="AJ37" s="236">
        <f>+'EEFF base'!CJ33+AI37</f>
        <v>21754049.920000009</v>
      </c>
      <c r="AK37" s="236">
        <f>+'EEFF base'!CK33+AJ37</f>
        <v>17866560.080000009</v>
      </c>
      <c r="AL37" s="236">
        <f>+'EEFF base'!CL33+AK37</f>
        <v>14237108.96000001</v>
      </c>
      <c r="AM37" s="236">
        <f>+'EEFF base'!CM33+AL37</f>
        <v>10557247.38000001</v>
      </c>
      <c r="AN37" s="236">
        <f t="shared" si="100"/>
        <v>10557247.38000001</v>
      </c>
      <c r="AO37" s="236">
        <f>+'EEFF historicoss'!R38</f>
        <v>43710479.870000012</v>
      </c>
      <c r="AP37" s="236">
        <f>+'EEFF historicoss'!S38</f>
        <v>43149472.340000011</v>
      </c>
      <c r="AQ37" s="236">
        <f>+'EEFF historicoss'!T38</f>
        <v>41801644.830000013</v>
      </c>
      <c r="AR37" s="236">
        <f>+'EEFF historicoss'!U38</f>
        <v>39648427.430000015</v>
      </c>
      <c r="AS37" s="236">
        <f>+'EEFF historicoss'!V38</f>
        <v>39380401.140000015</v>
      </c>
      <c r="AT37" s="236">
        <f>+'EEFF historicoss'!W38</f>
        <v>41268672.040000014</v>
      </c>
      <c r="AU37" s="236">
        <f>+'EEFF historicoss'!X38</f>
        <v>40141293.680000015</v>
      </c>
      <c r="AV37" s="236">
        <f>+'EEFF historicoss'!Y38</f>
        <v>38195478.200000018</v>
      </c>
      <c r="AW37" s="236">
        <f>+'EEFF historicoss'!Z38</f>
        <v>37912703.140000015</v>
      </c>
      <c r="AX37" s="236">
        <f>+'EEFF historicoss'!AA38</f>
        <v>37912703.140000015</v>
      </c>
      <c r="AY37" s="236">
        <f>+'EEFF historicoss'!AB38</f>
        <v>37912703.140000015</v>
      </c>
      <c r="AZ37" s="236">
        <f>+'EEFF historicoss'!AC38</f>
        <v>37885832.580000013</v>
      </c>
      <c r="BA37" s="236">
        <f t="shared" si="136"/>
        <v>37885832.580000013</v>
      </c>
      <c r="BB37" s="236">
        <f>+'EEFF historicoss'!AE38</f>
        <v>37051364.509999998</v>
      </c>
      <c r="BC37" s="236">
        <f>+'EEFF historicoss'!AF38</f>
        <v>36914396.200000003</v>
      </c>
      <c r="BD37" s="236">
        <f>+'EEFF historicoss'!AG38</f>
        <v>37460407.840000004</v>
      </c>
      <c r="BE37" s="236">
        <f>+'EEFF historicoss'!AH38</f>
        <v>30316718.539999999</v>
      </c>
      <c r="BF37" s="236">
        <f>+'EEFF historicoss'!AI38</f>
        <v>29464288.640000001</v>
      </c>
      <c r="BG37" s="236">
        <f>+'EEFF historicoss'!AJ38</f>
        <v>26931687.809999999</v>
      </c>
      <c r="BH37" s="236">
        <f>+'EEFF historicoss'!AK38</f>
        <v>27486228.059999999</v>
      </c>
      <c r="BI37" s="236">
        <f>+'EEFF historicoss'!AL38</f>
        <v>27685380.489999998</v>
      </c>
      <c r="BJ37" s="236">
        <f>+'EEFF historicoss'!AM38</f>
        <v>28976725</v>
      </c>
      <c r="BK37" s="236">
        <f>+'EEFF historicoss'!AN38</f>
        <v>28976725</v>
      </c>
      <c r="BL37" s="236">
        <f>+'EEFF historicoss'!AO38</f>
        <v>28976725</v>
      </c>
      <c r="BM37" s="236">
        <f>+'EEFF historicoss'!AP38</f>
        <v>28976725</v>
      </c>
      <c r="BN37" s="236">
        <f t="shared" si="137"/>
        <v>28976725</v>
      </c>
      <c r="BO37" s="236">
        <f>+'EEFF historicoss'!AR38</f>
        <v>26733326.16</v>
      </c>
      <c r="BP37" s="236">
        <f>+'EEFF historicoss'!AS38</f>
        <v>27267113.940000001</v>
      </c>
      <c r="BQ37" s="236">
        <f>+'EEFF historicoss'!AT38</f>
        <v>27153742.420000002</v>
      </c>
      <c r="BR37" s="236">
        <f>+'EEFF historicoss'!AU38</f>
        <v>26704628.670000002</v>
      </c>
      <c r="BS37" s="236">
        <f>+'EEFF historicoss'!AV38</f>
        <v>26722097.09</v>
      </c>
      <c r="BT37" s="236">
        <f>+'EEFF historicoss'!AW38</f>
        <v>603320.01</v>
      </c>
      <c r="BU37" s="236">
        <f>+BT37</f>
        <v>603320.01</v>
      </c>
      <c r="BV37" s="236">
        <f t="shared" si="142"/>
        <v>603320.01</v>
      </c>
      <c r="BW37" s="236">
        <f t="shared" si="142"/>
        <v>603320.01</v>
      </c>
      <c r="BX37" s="236">
        <f t="shared" si="142"/>
        <v>603320.01</v>
      </c>
      <c r="BY37" s="236">
        <f t="shared" si="142"/>
        <v>603320.01</v>
      </c>
      <c r="BZ37" s="236">
        <f t="shared" si="142"/>
        <v>603320.01</v>
      </c>
      <c r="CA37" s="236">
        <f t="shared" si="139"/>
        <v>603320.01</v>
      </c>
      <c r="CB37" s="236">
        <f t="shared" ref="CB37:DC37" si="145">+CA37</f>
        <v>603320.01</v>
      </c>
      <c r="CC37" s="236">
        <f t="shared" si="145"/>
        <v>603320.01</v>
      </c>
      <c r="CD37" s="236">
        <f t="shared" si="145"/>
        <v>603320.01</v>
      </c>
      <c r="CE37" s="236">
        <f t="shared" si="145"/>
        <v>603320.01</v>
      </c>
      <c r="CF37" s="236">
        <f t="shared" si="145"/>
        <v>603320.01</v>
      </c>
      <c r="CG37" s="236">
        <f t="shared" si="145"/>
        <v>603320.01</v>
      </c>
      <c r="CH37" s="236">
        <f t="shared" si="145"/>
        <v>603320.01</v>
      </c>
      <c r="CI37" s="236">
        <f t="shared" si="145"/>
        <v>603320.01</v>
      </c>
      <c r="CJ37" s="236">
        <f t="shared" si="145"/>
        <v>603320.01</v>
      </c>
      <c r="CK37" s="236">
        <f t="shared" si="145"/>
        <v>603320.01</v>
      </c>
      <c r="CL37" s="236">
        <f t="shared" si="145"/>
        <v>603320.01</v>
      </c>
      <c r="CM37" s="236">
        <f t="shared" si="145"/>
        <v>603320.01</v>
      </c>
      <c r="CN37" s="236">
        <f t="shared" si="145"/>
        <v>603320.01</v>
      </c>
      <c r="CO37" s="236">
        <f t="shared" si="145"/>
        <v>603320.01</v>
      </c>
      <c r="CP37" s="236">
        <f t="shared" si="145"/>
        <v>603320.01</v>
      </c>
      <c r="CQ37" s="236">
        <f t="shared" si="145"/>
        <v>603320.01</v>
      </c>
      <c r="CR37" s="236">
        <f t="shared" si="145"/>
        <v>603320.01</v>
      </c>
      <c r="CS37" s="236">
        <f t="shared" si="145"/>
        <v>603320.01</v>
      </c>
      <c r="CT37" s="236">
        <f t="shared" si="145"/>
        <v>603320.01</v>
      </c>
      <c r="CU37" s="236">
        <f t="shared" si="145"/>
        <v>603320.01</v>
      </c>
      <c r="CV37" s="236">
        <f t="shared" si="145"/>
        <v>603320.01</v>
      </c>
      <c r="CW37" s="236">
        <f t="shared" si="145"/>
        <v>603320.01</v>
      </c>
      <c r="CX37" s="236">
        <f t="shared" si="145"/>
        <v>603320.01</v>
      </c>
      <c r="CY37" s="236">
        <f t="shared" si="145"/>
        <v>603320.01</v>
      </c>
      <c r="CZ37" s="236">
        <f t="shared" si="145"/>
        <v>603320.01</v>
      </c>
      <c r="DA37" s="236">
        <f t="shared" si="145"/>
        <v>603320.01</v>
      </c>
      <c r="DB37" s="236">
        <f t="shared" si="145"/>
        <v>603320.01</v>
      </c>
      <c r="DC37" s="236">
        <f t="shared" si="145"/>
        <v>603320.01</v>
      </c>
      <c r="DD37" s="236">
        <f t="shared" ref="DD37:EN37" si="146">+DC37</f>
        <v>603320.01</v>
      </c>
      <c r="DE37" s="236">
        <f t="shared" si="146"/>
        <v>603320.01</v>
      </c>
      <c r="DF37" s="236">
        <f t="shared" si="146"/>
        <v>603320.01</v>
      </c>
      <c r="DG37" s="236">
        <f t="shared" si="146"/>
        <v>603320.01</v>
      </c>
      <c r="DH37" s="236">
        <f t="shared" si="146"/>
        <v>603320.01</v>
      </c>
      <c r="DI37" s="236">
        <f t="shared" si="146"/>
        <v>603320.01</v>
      </c>
      <c r="DJ37" s="236">
        <f t="shared" si="146"/>
        <v>603320.01</v>
      </c>
      <c r="DK37" s="236">
        <f t="shared" si="146"/>
        <v>603320.01</v>
      </c>
      <c r="DL37" s="236">
        <f t="shared" si="146"/>
        <v>603320.01</v>
      </c>
      <c r="DM37" s="236">
        <f t="shared" si="146"/>
        <v>603320.01</v>
      </c>
      <c r="DN37" s="236">
        <f t="shared" si="146"/>
        <v>603320.01</v>
      </c>
      <c r="DO37" s="236">
        <f t="shared" si="146"/>
        <v>603320.01</v>
      </c>
      <c r="DP37" s="236">
        <f t="shared" si="146"/>
        <v>603320.01</v>
      </c>
      <c r="DQ37" s="236">
        <f t="shared" si="146"/>
        <v>603320.01</v>
      </c>
      <c r="DR37" s="236">
        <f t="shared" si="146"/>
        <v>603320.01</v>
      </c>
      <c r="DS37" s="236">
        <f t="shared" si="146"/>
        <v>603320.01</v>
      </c>
      <c r="DT37" s="236">
        <f t="shared" si="146"/>
        <v>603320.01</v>
      </c>
      <c r="DU37" s="236">
        <f t="shared" si="146"/>
        <v>603320.01</v>
      </c>
      <c r="DV37" s="236">
        <f t="shared" si="146"/>
        <v>603320.01</v>
      </c>
      <c r="DW37" s="236">
        <f t="shared" si="146"/>
        <v>603320.01</v>
      </c>
      <c r="DX37" s="236">
        <f t="shared" si="146"/>
        <v>603320.01</v>
      </c>
      <c r="DY37" s="236">
        <f t="shared" si="146"/>
        <v>603320.01</v>
      </c>
      <c r="DZ37" s="236">
        <f t="shared" si="146"/>
        <v>603320.01</v>
      </c>
      <c r="EA37" s="236">
        <f t="shared" si="146"/>
        <v>603320.01</v>
      </c>
      <c r="EB37" s="236">
        <f t="shared" si="146"/>
        <v>603320.01</v>
      </c>
      <c r="EC37" s="236">
        <f t="shared" si="146"/>
        <v>603320.01</v>
      </c>
      <c r="ED37" s="236">
        <f t="shared" si="146"/>
        <v>603320.01</v>
      </c>
      <c r="EE37" s="236">
        <f t="shared" si="146"/>
        <v>603320.01</v>
      </c>
      <c r="EF37" s="236">
        <f t="shared" si="146"/>
        <v>603320.01</v>
      </c>
      <c r="EG37" s="236">
        <f t="shared" si="146"/>
        <v>603320.01</v>
      </c>
      <c r="EH37" s="236">
        <f t="shared" si="146"/>
        <v>603320.01</v>
      </c>
      <c r="EI37" s="236">
        <f t="shared" si="146"/>
        <v>603320.01</v>
      </c>
      <c r="EJ37" s="236">
        <f t="shared" si="146"/>
        <v>603320.01</v>
      </c>
      <c r="EK37" s="236">
        <f t="shared" si="146"/>
        <v>603320.01</v>
      </c>
      <c r="EL37" s="236">
        <f t="shared" si="146"/>
        <v>603320.01</v>
      </c>
      <c r="EM37" s="236">
        <f t="shared" si="146"/>
        <v>603320.01</v>
      </c>
      <c r="EN37" s="236">
        <f t="shared" si="146"/>
        <v>603320.01</v>
      </c>
    </row>
    <row r="38" spans="1:144" s="236" customFormat="1" x14ac:dyDescent="0.25">
      <c r="A38" s="234" t="s">
        <v>265</v>
      </c>
      <c r="B38" s="236">
        <f>+'EEFF base'!BB36</f>
        <v>50039407.32</v>
      </c>
      <c r="C38" s="236">
        <f>+'EEFF base'!BC34+B38</f>
        <v>50040731.469999999</v>
      </c>
      <c r="D38" s="236">
        <f>+'EEFF base'!BD34+C38</f>
        <v>52128410.979999997</v>
      </c>
      <c r="E38" s="236">
        <f>+'EEFF base'!BE34+D38</f>
        <v>52101154.449999996</v>
      </c>
      <c r="F38" s="236">
        <f>+'EEFF base'!BF34+E38</f>
        <v>51869042.939999998</v>
      </c>
      <c r="G38" s="236">
        <f>+'EEFF base'!BG34+F38</f>
        <v>51636931.43</v>
      </c>
      <c r="H38" s="236">
        <f>+'EEFF base'!BH34+G38</f>
        <v>51404819.920000002</v>
      </c>
      <c r="I38" s="236">
        <f>+'EEFF base'!BI34+H38</f>
        <v>51172708.410000004</v>
      </c>
      <c r="J38" s="236">
        <f>+'EEFF base'!BJ34+I38</f>
        <v>50940596.900000006</v>
      </c>
      <c r="K38" s="236">
        <f>+'EEFF base'!BK34+J38</f>
        <v>51530255.670000009</v>
      </c>
      <c r="L38" s="236">
        <f>+'EEFF base'!BL34+K38</f>
        <v>51467236.38000001</v>
      </c>
      <c r="M38" s="236">
        <f>+'EEFF base'!BM34+L38</f>
        <v>49983579.980000012</v>
      </c>
      <c r="N38" s="236">
        <f t="shared" si="135"/>
        <v>49983579.980000012</v>
      </c>
      <c r="O38" s="236">
        <f>+'EEFF base'!BO36</f>
        <v>34618142.939999983</v>
      </c>
      <c r="P38" s="236">
        <f>+'EEFF base'!BP34+O38</f>
        <v>35467467.259999983</v>
      </c>
      <c r="Q38" s="236">
        <f>+'EEFF base'!BQ34+P38</f>
        <v>37442802.569999985</v>
      </c>
      <c r="R38" s="236">
        <f>+'EEFF base'!BR34+Q38</f>
        <v>36878983.899999984</v>
      </c>
      <c r="S38" s="236">
        <f>+'EEFF base'!BS34+R38</f>
        <v>36277487.739999987</v>
      </c>
      <c r="T38" s="236">
        <f>+'EEFF base'!BT34+S38</f>
        <v>35641365.329999991</v>
      </c>
      <c r="U38" s="236">
        <f>+'EEFF base'!BU34+T38</f>
        <v>35003221.379999988</v>
      </c>
      <c r="V38" s="236">
        <f>+'EEFF base'!BV34+U38</f>
        <v>34577175.579999991</v>
      </c>
      <c r="W38" s="236">
        <f>+'EEFF base'!BW34+V38</f>
        <v>34588900.589999989</v>
      </c>
      <c r="X38" s="236">
        <f>+'EEFF base'!BX34+W38</f>
        <v>34588900.589999989</v>
      </c>
      <c r="Y38" s="236">
        <f>+'EEFF base'!BY34+X38</f>
        <v>34494401.809999987</v>
      </c>
      <c r="Z38" s="236">
        <f>+'EEFF base'!BZ34+Y38</f>
        <v>34494401.809999987</v>
      </c>
      <c r="AA38" s="236">
        <f t="shared" si="99"/>
        <v>34494401.809999987</v>
      </c>
      <c r="AB38" s="236">
        <f>+'EEFF base'!CB36</f>
        <v>38948708.630000003</v>
      </c>
      <c r="AC38" s="236">
        <f>+'EEFF base'!CC34+AB38</f>
        <v>42848696.330000006</v>
      </c>
      <c r="AD38" s="236">
        <f>+'EEFF base'!CD34+AC38</f>
        <v>48108754.090000004</v>
      </c>
      <c r="AE38" s="236">
        <f>+'EEFF base'!CE34+AD38</f>
        <v>46693553.030000001</v>
      </c>
      <c r="AF38" s="236">
        <f>+'EEFF base'!CF34+AE38</f>
        <v>45210241.539999999</v>
      </c>
      <c r="AG38" s="236">
        <f>+'EEFF base'!CG34+AF38</f>
        <v>43805840.409999996</v>
      </c>
      <c r="AH38" s="236">
        <f>+'EEFF base'!CH34+AG38</f>
        <v>42633034.439999998</v>
      </c>
      <c r="AI38" s="236">
        <f>+'EEFF base'!CI34+AH38</f>
        <v>41395171.539999999</v>
      </c>
      <c r="AJ38" s="236">
        <f>+'EEFF base'!CJ34+AI38</f>
        <v>40147972.450000003</v>
      </c>
      <c r="AK38" s="236">
        <f>+'EEFF base'!CK34+AJ38</f>
        <v>39446094.040000007</v>
      </c>
      <c r="AL38" s="236">
        <f>+'EEFF base'!CL34+AK38</f>
        <v>38763657.230000004</v>
      </c>
      <c r="AM38" s="236">
        <f>+'EEFF base'!CM34+AL38</f>
        <v>39062232.650000006</v>
      </c>
      <c r="AN38" s="236">
        <f t="shared" si="100"/>
        <v>39062232.650000006</v>
      </c>
      <c r="AO38" s="236">
        <f>+'EEFF historicoss'!R39</f>
        <v>47062845.059999995</v>
      </c>
      <c r="AP38" s="236">
        <f>+'EEFF historicoss'!S39</f>
        <v>47752858.189999998</v>
      </c>
      <c r="AQ38" s="236">
        <f>+'EEFF historicoss'!T39</f>
        <v>48684217.169999994</v>
      </c>
      <c r="AR38" s="236">
        <f>+'EEFF historicoss'!U39</f>
        <v>48749562.379999995</v>
      </c>
      <c r="AS38" s="236">
        <f>+'EEFF historicoss'!V39</f>
        <v>46149621.969999999</v>
      </c>
      <c r="AT38" s="236">
        <f>+'EEFF historicoss'!W39</f>
        <v>46380406.899999999</v>
      </c>
      <c r="AU38" s="236">
        <f>+'EEFF historicoss'!X39</f>
        <v>46301813.079999998</v>
      </c>
      <c r="AV38" s="236">
        <f>+'EEFF historicoss'!Y39</f>
        <v>42596593.589999996</v>
      </c>
      <c r="AW38" s="236">
        <f>+'EEFF historicoss'!Z39</f>
        <v>42666066.239999995</v>
      </c>
      <c r="AX38" s="236">
        <f>+'EEFF historicoss'!AA39</f>
        <v>43043432.709999993</v>
      </c>
      <c r="AY38" s="236">
        <f>+'EEFF historicoss'!AB39</f>
        <v>42863700.379999995</v>
      </c>
      <c r="AZ38" s="236">
        <f>+'EEFF historicoss'!AC39</f>
        <v>45451803.739999995</v>
      </c>
      <c r="BA38" s="236">
        <f t="shared" si="136"/>
        <v>45451803.739999995</v>
      </c>
      <c r="BB38" s="236">
        <f>+'EEFF historicoss'!AE39</f>
        <v>202484432.28</v>
      </c>
      <c r="BC38" s="236">
        <f>+'EEFF historicoss'!AF39</f>
        <v>204678078.66</v>
      </c>
      <c r="BD38" s="236">
        <f>+'EEFF historicoss'!AG39</f>
        <v>201399467.86000001</v>
      </c>
      <c r="BE38" s="236">
        <f>+'EEFF historicoss'!AH39</f>
        <v>207733553.13999999</v>
      </c>
      <c r="BF38" s="236">
        <f>+'EEFF historicoss'!AI39</f>
        <v>206446193.16999999</v>
      </c>
      <c r="BG38" s="236">
        <f>+'EEFF historicoss'!AJ39</f>
        <v>206893907.47</v>
      </c>
      <c r="BH38" s="236">
        <f>+'EEFF historicoss'!AK39</f>
        <v>235468006.78</v>
      </c>
      <c r="BI38" s="236">
        <f>+'EEFF historicoss'!AL39</f>
        <v>222428756.72</v>
      </c>
      <c r="BJ38" s="236">
        <f>+'EEFF historicoss'!AM39</f>
        <v>221487582.08000001</v>
      </c>
      <c r="BK38" s="236">
        <f>+'EEFF historicoss'!AN39</f>
        <v>223866504.13999999</v>
      </c>
      <c r="BL38" s="236">
        <f>+'EEFF historicoss'!AO39</f>
        <v>225824215.34</v>
      </c>
      <c r="BM38" s="236">
        <f>+'EEFF historicoss'!AP39</f>
        <v>245738275.00999999</v>
      </c>
      <c r="BN38" s="236">
        <f t="shared" si="137"/>
        <v>245738275.00999999</v>
      </c>
      <c r="BO38" s="236">
        <f>+'EEFF historicoss'!AR39</f>
        <v>247370321.58000001</v>
      </c>
      <c r="BP38" s="236">
        <f>+'EEFF historicoss'!AS39</f>
        <v>247957348.84</v>
      </c>
      <c r="BQ38" s="236">
        <f>+'EEFF historicoss'!AT39</f>
        <v>246646147.31</v>
      </c>
      <c r="BR38" s="236">
        <f>+'EEFF historicoss'!AU39</f>
        <v>247033809.97999999</v>
      </c>
      <c r="BS38" s="236">
        <f>+'EEFF historicoss'!AV39</f>
        <v>249110100.96000001</v>
      </c>
      <c r="BT38" s="236">
        <f>+'EEFF historicoss'!AW39</f>
        <v>251020680.83000001</v>
      </c>
      <c r="BU38" s="236">
        <f t="shared" ref="BU38:BZ38" si="147">+BT38</f>
        <v>251020680.83000001</v>
      </c>
      <c r="BV38" s="236">
        <f t="shared" si="147"/>
        <v>251020680.83000001</v>
      </c>
      <c r="BW38" s="236">
        <f t="shared" si="147"/>
        <v>251020680.83000001</v>
      </c>
      <c r="BX38" s="236">
        <f t="shared" si="147"/>
        <v>251020680.83000001</v>
      </c>
      <c r="BY38" s="236">
        <f t="shared" si="147"/>
        <v>251020680.83000001</v>
      </c>
      <c r="BZ38" s="236">
        <f t="shared" si="147"/>
        <v>251020680.83000001</v>
      </c>
      <c r="CA38" s="236">
        <f t="shared" si="139"/>
        <v>251020680.83000001</v>
      </c>
      <c r="CB38" s="236">
        <f t="shared" ref="CB38:DC38" si="148">+CA38</f>
        <v>251020680.83000001</v>
      </c>
      <c r="CC38" s="236">
        <f t="shared" si="148"/>
        <v>251020680.83000001</v>
      </c>
      <c r="CD38" s="236">
        <f t="shared" si="148"/>
        <v>251020680.83000001</v>
      </c>
      <c r="CE38" s="236">
        <f t="shared" si="148"/>
        <v>251020680.83000001</v>
      </c>
      <c r="CF38" s="236">
        <f t="shared" si="148"/>
        <v>251020680.83000001</v>
      </c>
      <c r="CG38" s="236">
        <f t="shared" si="148"/>
        <v>251020680.83000001</v>
      </c>
      <c r="CH38" s="236">
        <f t="shared" si="148"/>
        <v>251020680.83000001</v>
      </c>
      <c r="CI38" s="236">
        <f t="shared" si="148"/>
        <v>251020680.83000001</v>
      </c>
      <c r="CJ38" s="236">
        <f t="shared" si="148"/>
        <v>251020680.83000001</v>
      </c>
      <c r="CK38" s="236">
        <f t="shared" si="148"/>
        <v>251020680.83000001</v>
      </c>
      <c r="CL38" s="236">
        <f t="shared" si="148"/>
        <v>251020680.83000001</v>
      </c>
      <c r="CM38" s="236">
        <f t="shared" si="148"/>
        <v>251020680.83000001</v>
      </c>
      <c r="CN38" s="236">
        <f t="shared" si="148"/>
        <v>251020680.83000001</v>
      </c>
      <c r="CO38" s="236">
        <f t="shared" si="148"/>
        <v>251020680.83000001</v>
      </c>
      <c r="CP38" s="236">
        <f t="shared" si="148"/>
        <v>251020680.83000001</v>
      </c>
      <c r="CQ38" s="236">
        <f t="shared" si="148"/>
        <v>251020680.83000001</v>
      </c>
      <c r="CR38" s="236">
        <f t="shared" si="148"/>
        <v>251020680.83000001</v>
      </c>
      <c r="CS38" s="236">
        <f t="shared" si="148"/>
        <v>251020680.83000001</v>
      </c>
      <c r="CT38" s="236">
        <f t="shared" si="148"/>
        <v>251020680.83000001</v>
      </c>
      <c r="CU38" s="236">
        <f t="shared" si="148"/>
        <v>251020680.83000001</v>
      </c>
      <c r="CV38" s="236">
        <f t="shared" si="148"/>
        <v>251020680.83000001</v>
      </c>
      <c r="CW38" s="236">
        <f t="shared" si="148"/>
        <v>251020680.83000001</v>
      </c>
      <c r="CX38" s="236">
        <f t="shared" si="148"/>
        <v>251020680.83000001</v>
      </c>
      <c r="CY38" s="236">
        <f t="shared" si="148"/>
        <v>251020680.83000001</v>
      </c>
      <c r="CZ38" s="236">
        <f t="shared" si="148"/>
        <v>251020680.83000001</v>
      </c>
      <c r="DA38" s="236">
        <f t="shared" si="148"/>
        <v>251020680.83000001</v>
      </c>
      <c r="DB38" s="236">
        <f t="shared" si="148"/>
        <v>251020680.83000001</v>
      </c>
      <c r="DC38" s="236">
        <f t="shared" si="148"/>
        <v>251020680.83000001</v>
      </c>
      <c r="DD38" s="236">
        <f t="shared" ref="DD38:EN38" si="149">+DC38</f>
        <v>251020680.83000001</v>
      </c>
      <c r="DE38" s="236">
        <f t="shared" si="149"/>
        <v>251020680.83000001</v>
      </c>
      <c r="DF38" s="236">
        <f t="shared" si="149"/>
        <v>251020680.83000001</v>
      </c>
      <c r="DG38" s="236">
        <f t="shared" si="149"/>
        <v>251020680.83000001</v>
      </c>
      <c r="DH38" s="236">
        <f t="shared" si="149"/>
        <v>251020680.83000001</v>
      </c>
      <c r="DI38" s="236">
        <f t="shared" si="149"/>
        <v>251020680.83000001</v>
      </c>
      <c r="DJ38" s="236">
        <f t="shared" si="149"/>
        <v>251020680.83000001</v>
      </c>
      <c r="DK38" s="236">
        <f t="shared" si="149"/>
        <v>251020680.83000001</v>
      </c>
      <c r="DL38" s="236">
        <f t="shared" si="149"/>
        <v>251020680.83000001</v>
      </c>
      <c r="DM38" s="236">
        <f t="shared" si="149"/>
        <v>251020680.83000001</v>
      </c>
      <c r="DN38" s="236">
        <f t="shared" si="149"/>
        <v>251020680.83000001</v>
      </c>
      <c r="DO38" s="236">
        <f t="shared" si="149"/>
        <v>251020680.83000001</v>
      </c>
      <c r="DP38" s="236">
        <f t="shared" si="149"/>
        <v>251020680.83000001</v>
      </c>
      <c r="DQ38" s="236">
        <f t="shared" si="149"/>
        <v>251020680.83000001</v>
      </c>
      <c r="DR38" s="236">
        <f t="shared" si="149"/>
        <v>251020680.83000001</v>
      </c>
      <c r="DS38" s="236">
        <f t="shared" si="149"/>
        <v>251020680.83000001</v>
      </c>
      <c r="DT38" s="236">
        <f t="shared" si="149"/>
        <v>251020680.83000001</v>
      </c>
      <c r="DU38" s="236">
        <f t="shared" si="149"/>
        <v>251020680.83000001</v>
      </c>
      <c r="DV38" s="236">
        <f t="shared" si="149"/>
        <v>251020680.83000001</v>
      </c>
      <c r="DW38" s="236">
        <f t="shared" si="149"/>
        <v>251020680.83000001</v>
      </c>
      <c r="DX38" s="236">
        <f t="shared" si="149"/>
        <v>251020680.83000001</v>
      </c>
      <c r="DY38" s="236">
        <f t="shared" si="149"/>
        <v>251020680.83000001</v>
      </c>
      <c r="DZ38" s="236">
        <f t="shared" si="149"/>
        <v>251020680.83000001</v>
      </c>
      <c r="EA38" s="236">
        <f t="shared" si="149"/>
        <v>251020680.83000001</v>
      </c>
      <c r="EB38" s="236">
        <f t="shared" si="149"/>
        <v>251020680.83000001</v>
      </c>
      <c r="EC38" s="236">
        <f t="shared" si="149"/>
        <v>251020680.83000001</v>
      </c>
      <c r="ED38" s="236">
        <f t="shared" si="149"/>
        <v>251020680.83000001</v>
      </c>
      <c r="EE38" s="236">
        <f t="shared" si="149"/>
        <v>251020680.83000001</v>
      </c>
      <c r="EF38" s="236">
        <f t="shared" si="149"/>
        <v>251020680.83000001</v>
      </c>
      <c r="EG38" s="236">
        <f t="shared" si="149"/>
        <v>251020680.83000001</v>
      </c>
      <c r="EH38" s="236">
        <f t="shared" si="149"/>
        <v>251020680.83000001</v>
      </c>
      <c r="EI38" s="236">
        <f t="shared" si="149"/>
        <v>251020680.83000001</v>
      </c>
      <c r="EJ38" s="236">
        <f t="shared" si="149"/>
        <v>251020680.83000001</v>
      </c>
      <c r="EK38" s="236">
        <f t="shared" si="149"/>
        <v>251020680.83000001</v>
      </c>
      <c r="EL38" s="236">
        <f t="shared" si="149"/>
        <v>251020680.83000001</v>
      </c>
      <c r="EM38" s="236">
        <f t="shared" si="149"/>
        <v>251020680.83000001</v>
      </c>
      <c r="EN38" s="236">
        <f t="shared" si="149"/>
        <v>251020680.83000001</v>
      </c>
    </row>
    <row r="39" spans="1:144" s="236" customFormat="1" x14ac:dyDescent="0.25">
      <c r="A39" s="243" t="s">
        <v>287</v>
      </c>
      <c r="B39" s="242">
        <f>+SUM(B35:B38)</f>
        <v>737515189.27999985</v>
      </c>
      <c r="C39" s="242">
        <f t="shared" ref="C39:M39" si="150">+SUM(C35:C38)</f>
        <v>733172869.28999972</v>
      </c>
      <c r="D39" s="242">
        <f t="shared" si="150"/>
        <v>730622394.55999982</v>
      </c>
      <c r="E39" s="242">
        <f t="shared" si="150"/>
        <v>725979736.34999979</v>
      </c>
      <c r="F39" s="242">
        <f t="shared" si="150"/>
        <v>721212653.07999969</v>
      </c>
      <c r="G39" s="242">
        <f t="shared" si="150"/>
        <v>716343359.36999965</v>
      </c>
      <c r="H39" s="242">
        <f t="shared" si="150"/>
        <v>710885583.57999969</v>
      </c>
      <c r="I39" s="242">
        <f t="shared" si="150"/>
        <v>744092909.88999963</v>
      </c>
      <c r="J39" s="242">
        <f t="shared" si="150"/>
        <v>753303118.33999968</v>
      </c>
      <c r="K39" s="242">
        <f t="shared" si="150"/>
        <v>747631556.44999969</v>
      </c>
      <c r="L39" s="242">
        <f t="shared" si="150"/>
        <v>742295593.73999965</v>
      </c>
      <c r="M39" s="242">
        <f t="shared" si="150"/>
        <v>735806927.27999973</v>
      </c>
      <c r="N39" s="242">
        <f t="shared" si="135"/>
        <v>735806927.27999973</v>
      </c>
      <c r="O39" s="242">
        <f>+SUM(O35:O38)</f>
        <v>743013616.73999977</v>
      </c>
      <c r="P39" s="242">
        <f t="shared" ref="P39:Z39" si="151">+SUM(P35:P38)</f>
        <v>738398833.17999983</v>
      </c>
      <c r="Q39" s="242">
        <f t="shared" si="151"/>
        <v>734673542.06999969</v>
      </c>
      <c r="R39" s="242">
        <f t="shared" si="151"/>
        <v>728238224.23999977</v>
      </c>
      <c r="S39" s="242">
        <f t="shared" si="151"/>
        <v>722984871.71999979</v>
      </c>
      <c r="T39" s="242">
        <f t="shared" si="151"/>
        <v>716170830.44999993</v>
      </c>
      <c r="U39" s="242">
        <f t="shared" si="151"/>
        <v>709926851.35999978</v>
      </c>
      <c r="V39" s="242">
        <f t="shared" si="151"/>
        <v>703833453.37999988</v>
      </c>
      <c r="W39" s="242">
        <f t="shared" si="151"/>
        <v>698443669.74999976</v>
      </c>
      <c r="X39" s="242">
        <f t="shared" si="151"/>
        <v>693207778.52999973</v>
      </c>
      <c r="Y39" s="242">
        <f t="shared" si="151"/>
        <v>687744752.3099997</v>
      </c>
      <c r="Z39" s="242">
        <f t="shared" si="151"/>
        <v>682808999.54999959</v>
      </c>
      <c r="AA39" s="242">
        <f t="shared" si="99"/>
        <v>682808999.54999959</v>
      </c>
      <c r="AB39" s="242">
        <f t="shared" ref="AB39:AM39" si="152">+SUM(AB35:AB38)</f>
        <v>711932816.64000022</v>
      </c>
      <c r="AC39" s="242">
        <f t="shared" si="152"/>
        <v>710452653.5600003</v>
      </c>
      <c r="AD39" s="242">
        <f t="shared" si="152"/>
        <v>711241749.08000028</v>
      </c>
      <c r="AE39" s="242">
        <f t="shared" si="152"/>
        <v>705697118.16000032</v>
      </c>
      <c r="AF39" s="242">
        <f t="shared" si="152"/>
        <v>700285783.13000035</v>
      </c>
      <c r="AG39" s="242">
        <f t="shared" si="152"/>
        <v>694580022.0600003</v>
      </c>
      <c r="AH39" s="242">
        <f t="shared" si="152"/>
        <v>692561340.6900003</v>
      </c>
      <c r="AI39" s="242">
        <f t="shared" si="152"/>
        <v>687877610.57000017</v>
      </c>
      <c r="AJ39" s="242">
        <f t="shared" si="152"/>
        <v>672834376.10000014</v>
      </c>
      <c r="AK39" s="242">
        <f t="shared" si="152"/>
        <v>669606893.53000021</v>
      </c>
      <c r="AL39" s="242">
        <f t="shared" si="152"/>
        <v>666309385.18000019</v>
      </c>
      <c r="AM39" s="242">
        <f t="shared" si="152"/>
        <v>665681269.34000015</v>
      </c>
      <c r="AN39" s="242">
        <f t="shared" si="100"/>
        <v>665681269.34000015</v>
      </c>
      <c r="AO39" s="242">
        <f t="shared" ref="AO39:AY39" si="153">+SUM(AO35:AO38)</f>
        <v>692195109.0599997</v>
      </c>
      <c r="AP39" s="242">
        <f t="shared" si="153"/>
        <v>690804809.9599998</v>
      </c>
      <c r="AQ39" s="242">
        <f t="shared" si="153"/>
        <v>689169839.85999978</v>
      </c>
      <c r="AR39" s="242">
        <f t="shared" si="153"/>
        <v>685464265.08999991</v>
      </c>
      <c r="AS39" s="242">
        <f t="shared" si="153"/>
        <v>680972385.21999979</v>
      </c>
      <c r="AT39" s="242">
        <f t="shared" si="153"/>
        <v>681517819.97999966</v>
      </c>
      <c r="AU39" s="242">
        <f t="shared" si="153"/>
        <v>678738110.61999977</v>
      </c>
      <c r="AV39" s="242">
        <f t="shared" si="153"/>
        <v>680135330.29999971</v>
      </c>
      <c r="AW39" s="242">
        <f t="shared" si="153"/>
        <v>678200150.77999973</v>
      </c>
      <c r="AX39" s="242">
        <f t="shared" si="153"/>
        <v>675365893.22999978</v>
      </c>
      <c r="AY39" s="242">
        <f t="shared" si="153"/>
        <v>673931555.25999975</v>
      </c>
      <c r="AZ39" s="242">
        <f>+SUM(AZ35:AZ38)</f>
        <v>674903188.64999986</v>
      </c>
      <c r="BA39" s="242">
        <f t="shared" si="136"/>
        <v>674903188.64999986</v>
      </c>
      <c r="BB39" s="242">
        <f>+SUM(BB35:BB38)</f>
        <v>830044682.73999989</v>
      </c>
      <c r="BC39" s="242">
        <f t="shared" ref="BC39:BM39" si="154">+SUM(BC35:BC38)</f>
        <v>831010645.29999995</v>
      </c>
      <c r="BD39" s="242">
        <f t="shared" si="154"/>
        <v>827104366.06000006</v>
      </c>
      <c r="BE39" s="242">
        <f t="shared" si="154"/>
        <v>825713606.77999997</v>
      </c>
      <c r="BF39" s="242">
        <f t="shared" si="154"/>
        <v>822741072.04999995</v>
      </c>
      <c r="BG39" s="242">
        <f t="shared" si="154"/>
        <v>820752995.20999992</v>
      </c>
      <c r="BH39" s="242">
        <f t="shared" si="154"/>
        <v>870046487.00999999</v>
      </c>
      <c r="BI39" s="242">
        <f t="shared" si="154"/>
        <v>864403992.9000001</v>
      </c>
      <c r="BJ39" s="242">
        <f t="shared" si="154"/>
        <v>865391775.04999995</v>
      </c>
      <c r="BK39" s="242">
        <f t="shared" si="154"/>
        <v>869043209.25</v>
      </c>
      <c r="BL39" s="242">
        <f t="shared" si="154"/>
        <v>873535799.76000011</v>
      </c>
      <c r="BM39" s="242">
        <f t="shared" si="154"/>
        <v>897112923.10000002</v>
      </c>
      <c r="BN39" s="242">
        <f t="shared" si="137"/>
        <v>897112923.10000002</v>
      </c>
      <c r="BO39" s="242">
        <f t="shared" ref="BO39:BZ39" si="155">+SUM(BO35:BO38)</f>
        <v>902755216.05000007</v>
      </c>
      <c r="BP39" s="242">
        <f t="shared" si="155"/>
        <v>908221292.50000012</v>
      </c>
      <c r="BQ39" s="242">
        <f t="shared" si="155"/>
        <v>914535375.52999997</v>
      </c>
      <c r="BR39" s="242">
        <f t="shared" si="155"/>
        <v>921694009.13999999</v>
      </c>
      <c r="BS39" s="242">
        <f t="shared" si="155"/>
        <v>932274780.78000009</v>
      </c>
      <c r="BT39" s="242">
        <f t="shared" ref="BT39" si="156">+SUM(BT35:BT38)</f>
        <v>916959408.36000001</v>
      </c>
      <c r="BU39" s="242">
        <f t="shared" si="155"/>
        <v>908762615.72503126</v>
      </c>
      <c r="BV39" s="242">
        <f t="shared" si="155"/>
        <v>900565823.0900625</v>
      </c>
      <c r="BW39" s="242">
        <f t="shared" si="155"/>
        <v>892369030.45509374</v>
      </c>
      <c r="BX39" s="242">
        <f t="shared" si="155"/>
        <v>884172237.82012498</v>
      </c>
      <c r="BY39" s="242">
        <f t="shared" si="155"/>
        <v>875975445.18515623</v>
      </c>
      <c r="BZ39" s="242">
        <f t="shared" si="155"/>
        <v>867778652.55018747</v>
      </c>
      <c r="CA39" s="242">
        <f t="shared" si="139"/>
        <v>867778652.55018747</v>
      </c>
      <c r="CB39" s="242">
        <f t="shared" ref="CB39:CL39" si="157">+SUM(CB35:CB38)</f>
        <v>870233615.12903845</v>
      </c>
      <c r="CC39" s="242">
        <f t="shared" si="157"/>
        <v>872380750.91788948</v>
      </c>
      <c r="CD39" s="242">
        <f t="shared" si="157"/>
        <v>873607184.63674057</v>
      </c>
      <c r="CE39" s="242">
        <f t="shared" si="157"/>
        <v>873069725.91559136</v>
      </c>
      <c r="CF39" s="242">
        <f t="shared" si="157"/>
        <v>871523774.51444232</v>
      </c>
      <c r="CG39" s="242">
        <f t="shared" si="157"/>
        <v>869787062.57329333</v>
      </c>
      <c r="CH39" s="242">
        <f t="shared" si="157"/>
        <v>868050350.63214433</v>
      </c>
      <c r="CI39" s="242">
        <f t="shared" si="157"/>
        <v>866313638.69099534</v>
      </c>
      <c r="CJ39" s="242">
        <f t="shared" si="157"/>
        <v>864576926.74984634</v>
      </c>
      <c r="CK39" s="242">
        <f t="shared" si="157"/>
        <v>862840214.80869734</v>
      </c>
      <c r="CL39" s="242">
        <f t="shared" si="157"/>
        <v>861103502.86754835</v>
      </c>
      <c r="CM39" s="242">
        <f>+SUM(CM35:CM38)</f>
        <v>859366790.92639935</v>
      </c>
      <c r="CN39" s="242">
        <f>+CM39</f>
        <v>859366790.92639935</v>
      </c>
      <c r="CO39" s="242">
        <f t="shared" ref="CO39" si="158">+SUM(CO35:CO38)</f>
        <v>862522741.97389996</v>
      </c>
      <c r="CP39" s="242">
        <f t="shared" ref="CP39:DA39" si="159">+SUM(CP35:CP38)</f>
        <v>865370866.23140001</v>
      </c>
      <c r="CQ39" s="242">
        <f t="shared" si="159"/>
        <v>867298288.41890013</v>
      </c>
      <c r="CR39" s="242">
        <f t="shared" si="159"/>
        <v>867461818.16639996</v>
      </c>
      <c r="CS39" s="242">
        <f t="shared" si="159"/>
        <v>866616855.23389995</v>
      </c>
      <c r="CT39" s="242">
        <f t="shared" si="159"/>
        <v>865581131.76139998</v>
      </c>
      <c r="CU39" s="242">
        <f t="shared" si="159"/>
        <v>864545408.28890002</v>
      </c>
      <c r="CV39" s="242">
        <f t="shared" si="159"/>
        <v>863509684.81640005</v>
      </c>
      <c r="CW39" s="242">
        <f t="shared" si="159"/>
        <v>862473961.34390008</v>
      </c>
      <c r="CX39" s="242">
        <f t="shared" si="159"/>
        <v>861438237.87140012</v>
      </c>
      <c r="CY39" s="242">
        <f t="shared" si="159"/>
        <v>860402514.39890015</v>
      </c>
      <c r="CZ39" s="242">
        <f t="shared" si="159"/>
        <v>859366790.92640018</v>
      </c>
      <c r="DA39" s="242">
        <f t="shared" si="159"/>
        <v>859366790.92639995</v>
      </c>
      <c r="DB39" s="242">
        <f t="shared" ref="DB39:DM39" si="160">+SUM(DB35:DB38)</f>
        <v>841581623.39889991</v>
      </c>
      <c r="DC39" s="242">
        <f t="shared" si="160"/>
        <v>823488629.08139992</v>
      </c>
      <c r="DD39" s="242">
        <f t="shared" si="160"/>
        <v>804474932.69389999</v>
      </c>
      <c r="DE39" s="242">
        <f t="shared" si="160"/>
        <v>783697343.86639977</v>
      </c>
      <c r="DF39" s="242">
        <f t="shared" si="160"/>
        <v>761911262.35889971</v>
      </c>
      <c r="DG39" s="242">
        <f t="shared" si="160"/>
        <v>739934420.3113997</v>
      </c>
      <c r="DH39" s="242">
        <f t="shared" si="160"/>
        <v>717957578.26389968</v>
      </c>
      <c r="DI39" s="242">
        <f t="shared" si="160"/>
        <v>695980736.21639967</v>
      </c>
      <c r="DJ39" s="242">
        <f t="shared" si="160"/>
        <v>674003894.16889966</v>
      </c>
      <c r="DK39" s="242">
        <f t="shared" si="160"/>
        <v>652027052.12139964</v>
      </c>
      <c r="DL39" s="242">
        <f t="shared" si="160"/>
        <v>630050210.07389963</v>
      </c>
      <c r="DM39" s="242">
        <f t="shared" si="160"/>
        <v>608073368.02639961</v>
      </c>
      <c r="DN39" s="242">
        <f>+DM39</f>
        <v>608073368.02639961</v>
      </c>
      <c r="DO39" s="242">
        <f t="shared" ref="DO39:DZ39" si="161">+SUM(DO35:DO38)</f>
        <v>611229319.07389987</v>
      </c>
      <c r="DP39" s="242">
        <f t="shared" si="161"/>
        <v>614077443.33139992</v>
      </c>
      <c r="DQ39" s="242">
        <f t="shared" si="161"/>
        <v>616004865.51890004</v>
      </c>
      <c r="DR39" s="242">
        <f t="shared" si="161"/>
        <v>616168395.26639986</v>
      </c>
      <c r="DS39" s="242">
        <f t="shared" si="161"/>
        <v>615323432.33389986</v>
      </c>
      <c r="DT39" s="242">
        <f t="shared" si="161"/>
        <v>614287708.86139989</v>
      </c>
      <c r="DU39" s="242">
        <f t="shared" si="161"/>
        <v>613251985.38889992</v>
      </c>
      <c r="DV39" s="242">
        <f t="shared" si="161"/>
        <v>612216261.91639996</v>
      </c>
      <c r="DW39" s="242">
        <f t="shared" si="161"/>
        <v>611180538.44389999</v>
      </c>
      <c r="DX39" s="242">
        <f t="shared" si="161"/>
        <v>610144814.97140002</v>
      </c>
      <c r="DY39" s="242">
        <f t="shared" si="161"/>
        <v>609109091.49890006</v>
      </c>
      <c r="DZ39" s="242">
        <f t="shared" si="161"/>
        <v>608073368.02640009</v>
      </c>
      <c r="EA39" s="242">
        <f>+DZ39</f>
        <v>608073368.02640009</v>
      </c>
      <c r="EB39" s="242">
        <f t="shared" ref="EB39:EM39" si="162">+SUM(EB35:EB38)</f>
        <v>611229319.07389987</v>
      </c>
      <c r="EC39" s="242">
        <f t="shared" si="162"/>
        <v>614077443.33139992</v>
      </c>
      <c r="ED39" s="242">
        <f t="shared" si="162"/>
        <v>616004865.51890004</v>
      </c>
      <c r="EE39" s="242">
        <f t="shared" si="162"/>
        <v>616168395.26639986</v>
      </c>
      <c r="EF39" s="242">
        <f t="shared" si="162"/>
        <v>615323432.33389986</v>
      </c>
      <c r="EG39" s="242">
        <f t="shared" si="162"/>
        <v>614287708.86139989</v>
      </c>
      <c r="EH39" s="242">
        <f t="shared" si="162"/>
        <v>613251985.38889992</v>
      </c>
      <c r="EI39" s="242">
        <f t="shared" si="162"/>
        <v>612216261.91639996</v>
      </c>
      <c r="EJ39" s="242">
        <f t="shared" si="162"/>
        <v>611180538.44389999</v>
      </c>
      <c r="EK39" s="242">
        <f t="shared" si="162"/>
        <v>610144814.97140002</v>
      </c>
      <c r="EL39" s="242">
        <f t="shared" si="162"/>
        <v>609109091.49890006</v>
      </c>
      <c r="EM39" s="242">
        <f t="shared" si="162"/>
        <v>608073368.02640009</v>
      </c>
      <c r="EN39" s="242">
        <f>+EM39</f>
        <v>608073368.02640009</v>
      </c>
    </row>
    <row r="40" spans="1:144" s="236" customFormat="1" ht="14.4" thickBot="1" x14ac:dyDescent="0.3">
      <c r="A40" s="244" t="s">
        <v>279</v>
      </c>
      <c r="B40" s="245">
        <f>+B39+B33</f>
        <v>1084558793.1299999</v>
      </c>
      <c r="C40" s="245">
        <f t="shared" ref="C40:M40" si="163">+C39+C33</f>
        <v>1063222634.9799998</v>
      </c>
      <c r="D40" s="245">
        <f t="shared" si="163"/>
        <v>1056593535.27</v>
      </c>
      <c r="E40" s="245">
        <f t="shared" si="163"/>
        <v>1040629599.3099996</v>
      </c>
      <c r="F40" s="245">
        <f t="shared" si="163"/>
        <v>1036166801.3199993</v>
      </c>
      <c r="G40" s="245">
        <f t="shared" si="163"/>
        <v>1007323211.7999992</v>
      </c>
      <c r="H40" s="245">
        <f t="shared" si="163"/>
        <v>1015694283.4999993</v>
      </c>
      <c r="I40" s="245">
        <f t="shared" si="163"/>
        <v>1061785880.5399994</v>
      </c>
      <c r="J40" s="245">
        <f t="shared" si="163"/>
        <v>1064069242.5499994</v>
      </c>
      <c r="K40" s="245">
        <f t="shared" si="163"/>
        <v>1052520109.7399991</v>
      </c>
      <c r="L40" s="245">
        <f t="shared" si="163"/>
        <v>1049873802.9199986</v>
      </c>
      <c r="M40" s="245">
        <f t="shared" si="163"/>
        <v>1044561919.0699987</v>
      </c>
      <c r="N40" s="245">
        <f t="shared" si="135"/>
        <v>1044561919.0699987</v>
      </c>
      <c r="O40" s="245">
        <f>+O39+O33</f>
        <v>1049547384.7499995</v>
      </c>
      <c r="P40" s="245">
        <f t="shared" ref="P40:Z40" si="164">+P39+P33</f>
        <v>1036307561.5599995</v>
      </c>
      <c r="Q40" s="245">
        <f t="shared" si="164"/>
        <v>1030960212.0099993</v>
      </c>
      <c r="R40" s="245">
        <f t="shared" si="164"/>
        <v>1047304647.829999</v>
      </c>
      <c r="S40" s="245">
        <f t="shared" si="164"/>
        <v>1039186788.9399991</v>
      </c>
      <c r="T40" s="245">
        <f t="shared" si="164"/>
        <v>1040157115.6099994</v>
      </c>
      <c r="U40" s="245">
        <f t="shared" si="164"/>
        <v>1034594775.8599991</v>
      </c>
      <c r="V40" s="245">
        <f t="shared" si="164"/>
        <v>1041757337.2299989</v>
      </c>
      <c r="W40" s="245">
        <f t="shared" si="164"/>
        <v>1033802156.4299989</v>
      </c>
      <c r="X40" s="245">
        <f t="shared" si="164"/>
        <v>1021804076.4599986</v>
      </c>
      <c r="Y40" s="245">
        <f t="shared" si="164"/>
        <v>1020670653.0499989</v>
      </c>
      <c r="Z40" s="245">
        <f t="shared" si="164"/>
        <v>1017914127.0899988</v>
      </c>
      <c r="AA40" s="245">
        <f t="shared" si="99"/>
        <v>1017914127.0899988</v>
      </c>
      <c r="AB40" s="245">
        <f t="shared" ref="AB40:AM40" si="165">+AB39+AB33</f>
        <v>1044044377.6200004</v>
      </c>
      <c r="AC40" s="245">
        <f t="shared" si="165"/>
        <v>1043086362.8800008</v>
      </c>
      <c r="AD40" s="245">
        <f t="shared" si="165"/>
        <v>1021072679.9300007</v>
      </c>
      <c r="AE40" s="245">
        <f t="shared" si="165"/>
        <v>1027191905.8900007</v>
      </c>
      <c r="AF40" s="245">
        <f t="shared" si="165"/>
        <v>1033241501.3400005</v>
      </c>
      <c r="AG40" s="245">
        <f t="shared" si="165"/>
        <v>1035400228.3300004</v>
      </c>
      <c r="AH40" s="245">
        <f t="shared" si="165"/>
        <v>1050202363.9000003</v>
      </c>
      <c r="AI40" s="245">
        <f t="shared" si="165"/>
        <v>1049692911.8900002</v>
      </c>
      <c r="AJ40" s="245">
        <f t="shared" si="165"/>
        <v>1044043346.37</v>
      </c>
      <c r="AK40" s="245">
        <f t="shared" si="165"/>
        <v>1022259771.03</v>
      </c>
      <c r="AL40" s="245">
        <f t="shared" si="165"/>
        <v>1006026358.5599999</v>
      </c>
      <c r="AM40" s="245">
        <f t="shared" si="165"/>
        <v>1006838702.39</v>
      </c>
      <c r="AN40" s="245">
        <f t="shared" si="100"/>
        <v>1006838702.39</v>
      </c>
      <c r="AO40" s="245">
        <f t="shared" ref="AO40:AY40" si="166">+AO39+AO33</f>
        <v>1034645761.5999997</v>
      </c>
      <c r="AP40" s="245">
        <f t="shared" si="166"/>
        <v>1028138647.1900001</v>
      </c>
      <c r="AQ40" s="245">
        <f t="shared" si="166"/>
        <v>1021257188.8200003</v>
      </c>
      <c r="AR40" s="245">
        <f t="shared" si="166"/>
        <v>1027426811.4300005</v>
      </c>
      <c r="AS40" s="245">
        <f t="shared" si="166"/>
        <v>1034775969.8400004</v>
      </c>
      <c r="AT40" s="245">
        <f t="shared" si="166"/>
        <v>1045234037.6700003</v>
      </c>
      <c r="AU40" s="245">
        <f t="shared" si="166"/>
        <v>1052010247.4200007</v>
      </c>
      <c r="AV40" s="245">
        <f t="shared" si="166"/>
        <v>1050743377.5300006</v>
      </c>
      <c r="AW40" s="245">
        <f t="shared" si="166"/>
        <v>1056005296.5900006</v>
      </c>
      <c r="AX40" s="245">
        <f t="shared" si="166"/>
        <v>1069743118.7000005</v>
      </c>
      <c r="AY40" s="245">
        <f t="shared" si="166"/>
        <v>1066406722.3000007</v>
      </c>
      <c r="AZ40" s="245">
        <f>+AZ39+AZ33</f>
        <v>1069794273.7900008</v>
      </c>
      <c r="BA40" s="245">
        <f>+AZ40</f>
        <v>1069794273.7900008</v>
      </c>
      <c r="BB40" s="245">
        <f>+BB39+BB33</f>
        <v>1226252834.02</v>
      </c>
      <c r="BC40" s="245">
        <f t="shared" ref="BC40:BM40" si="167">+BC39+BC33</f>
        <v>1209093692.05</v>
      </c>
      <c r="BD40" s="245">
        <f t="shared" si="167"/>
        <v>1203216861.04</v>
      </c>
      <c r="BE40" s="245">
        <f t="shared" si="167"/>
        <v>1200147249.8899999</v>
      </c>
      <c r="BF40" s="245">
        <f t="shared" si="167"/>
        <v>1193361842.76</v>
      </c>
      <c r="BG40" s="245">
        <f t="shared" si="167"/>
        <v>1200356187.52</v>
      </c>
      <c r="BH40" s="245">
        <f t="shared" si="167"/>
        <v>1198780331.8099999</v>
      </c>
      <c r="BI40" s="245">
        <f t="shared" si="167"/>
        <v>1180498045.9900002</v>
      </c>
      <c r="BJ40" s="245">
        <f t="shared" si="167"/>
        <v>1174787431.1199999</v>
      </c>
      <c r="BK40" s="245">
        <f t="shared" si="167"/>
        <v>1194106075.0900002</v>
      </c>
      <c r="BL40" s="245">
        <f t="shared" si="167"/>
        <v>1180929374.8600001</v>
      </c>
      <c r="BM40" s="245">
        <f t="shared" si="167"/>
        <v>1189080750.1399999</v>
      </c>
      <c r="BN40" s="245">
        <f>+BM40</f>
        <v>1189080750.1399999</v>
      </c>
      <c r="BO40" s="245">
        <f>+BO39+BO33</f>
        <v>1185192302.24</v>
      </c>
      <c r="BP40" s="245">
        <f t="shared" ref="BP40:CB40" si="168">+BP39+BP33</f>
        <v>1189325503.6300001</v>
      </c>
      <c r="BQ40" s="245">
        <f t="shared" si="168"/>
        <v>1203445272.1700001</v>
      </c>
      <c r="BR40" s="245">
        <f t="shared" si="168"/>
        <v>1212847153.55</v>
      </c>
      <c r="BS40" s="245">
        <f t="shared" si="168"/>
        <v>1223298754.48</v>
      </c>
      <c r="BT40" s="245">
        <f t="shared" si="168"/>
        <v>1247244146.8499999</v>
      </c>
      <c r="BU40" s="245">
        <f t="shared" si="168"/>
        <v>1300471971.5272589</v>
      </c>
      <c r="BV40" s="245">
        <f t="shared" si="168"/>
        <v>1285649708.8599367</v>
      </c>
      <c r="BW40" s="245">
        <f t="shared" si="168"/>
        <v>1273485690.4833724</v>
      </c>
      <c r="BX40" s="245">
        <f t="shared" si="168"/>
        <v>1294057374.7148917</v>
      </c>
      <c r="BY40" s="245">
        <f t="shared" si="168"/>
        <v>1258982360.309907</v>
      </c>
      <c r="BZ40" s="245">
        <f t="shared" si="168"/>
        <v>1262382377.428652</v>
      </c>
      <c r="CA40" s="245">
        <f t="shared" si="139"/>
        <v>1262382377.428652</v>
      </c>
      <c r="CB40" s="245">
        <f t="shared" si="168"/>
        <v>1308808397.855722</v>
      </c>
      <c r="CC40" s="245">
        <f t="shared" ref="CC40" si="169">+CC39+CC33</f>
        <v>1309125133.5908213</v>
      </c>
      <c r="CD40" s="245">
        <f t="shared" ref="CD40" si="170">+CD39+CD33</f>
        <v>1270580868.8454785</v>
      </c>
      <c r="CE40" s="245">
        <f t="shared" ref="CE40" si="171">+CE39+CE33</f>
        <v>1275872035.7172</v>
      </c>
      <c r="CF40" s="245">
        <f t="shared" ref="CF40" si="172">+CF39+CF33</f>
        <v>1274354230.5306981</v>
      </c>
      <c r="CG40" s="245">
        <f t="shared" ref="CG40" si="173">+CG39+CG33</f>
        <v>1272835072.3307202</v>
      </c>
      <c r="CH40" s="245">
        <f t="shared" ref="CH40" si="174">+CH39+CH33</f>
        <v>1278113202.5167236</v>
      </c>
      <c r="CI40" s="245">
        <f t="shared" ref="CI40" si="175">+CI39+CI33</f>
        <v>1276690647.9781866</v>
      </c>
      <c r="CJ40" s="245">
        <f t="shared" ref="CJ40" si="176">+CJ39+CJ33</f>
        <v>1275293342.0012691</v>
      </c>
      <c r="CK40" s="245">
        <f t="shared" ref="CK40" si="177">+CK39+CK33</f>
        <v>1280594409.1721373</v>
      </c>
      <c r="CL40" s="245">
        <f t="shared" ref="CL40" si="178">+CL39+CL33</f>
        <v>1279267094.1615653</v>
      </c>
      <c r="CM40" s="245">
        <f>+CM39+CM33</f>
        <v>1277972312.6112983</v>
      </c>
      <c r="CN40" s="245">
        <f>+CN39+CN33</f>
        <v>1277972312.6112983</v>
      </c>
      <c r="CO40" s="245">
        <f t="shared" ref="CO40:CP40" si="179">+CO39+CO33</f>
        <v>1283299961.8429828</v>
      </c>
      <c r="CP40" s="245">
        <f t="shared" si="179"/>
        <v>1282112922.8705826</v>
      </c>
      <c r="CQ40" s="245">
        <f t="shared" ref="CQ40" si="180">+CQ39+CQ33</f>
        <v>1280876570.8713725</v>
      </c>
      <c r="CR40" s="245">
        <f t="shared" ref="CR40" si="181">+CR39+CR33</f>
        <v>1286230469.5936642</v>
      </c>
      <c r="CS40" s="245">
        <f t="shared" ref="CS40" si="182">+CS39+CS33</f>
        <v>1285100392.5990219</v>
      </c>
      <c r="CT40" s="245">
        <f t="shared" ref="CT40" si="183">+CT39+CT33</f>
        <v>1285783693.9904234</v>
      </c>
      <c r="CU40" s="245">
        <f t="shared" ref="CU40" si="184">+CU39+CU33</f>
        <v>1292738274.7084222</v>
      </c>
      <c r="CV40" s="245">
        <f t="shared" ref="CV40" si="185">+CV39+CV33</f>
        <v>1293240121.3588405</v>
      </c>
      <c r="CW40" s="245">
        <f t="shared" ref="CW40" si="186">+CW39+CW33</f>
        <v>1294015743.8279886</v>
      </c>
      <c r="CX40" s="245">
        <f t="shared" ref="CX40" si="187">+CX39+CX33</f>
        <v>1300971797.2505658</v>
      </c>
      <c r="CY40" s="245">
        <f t="shared" ref="CY40" si="188">+CY39+CY33</f>
        <v>1301660018.9740591</v>
      </c>
      <c r="CZ40" s="245">
        <f t="shared" ref="CZ40" si="189">+CZ39+CZ33</f>
        <v>1302522493.1653628</v>
      </c>
      <c r="DA40" s="245">
        <f t="shared" ref="DA40" si="190">+DA39+DA33</f>
        <v>1302522493.1653626</v>
      </c>
      <c r="DB40" s="245">
        <f t="shared" ref="DB40" si="191">+DB39+DB33</f>
        <v>1309480236.742558</v>
      </c>
      <c r="DC40" s="245">
        <f t="shared" ref="DC40" si="192">+DC39+DC33</f>
        <v>1310265741.2652161</v>
      </c>
      <c r="DD40" s="245">
        <f t="shared" ref="DD40" si="193">+DD39+DD33</f>
        <v>1311212323.7927155</v>
      </c>
      <c r="DE40" s="245">
        <f t="shared" ref="DE40" si="194">+DE39+DE33</f>
        <v>1318171524.0668306</v>
      </c>
      <c r="DF40" s="245">
        <f t="shared" ref="DF40" si="195">+DF39+DF33</f>
        <v>1319002209.816474</v>
      </c>
      <c r="DG40" s="245">
        <f t="shared" ref="DG40" si="196">+DG39+DG33</f>
        <v>1320036552.7293394</v>
      </c>
      <c r="DH40" s="245">
        <f t="shared" ref="DH40" si="197">+DH39+DH33</f>
        <v>1326997024.2656515</v>
      </c>
      <c r="DI40" s="245">
        <f t="shared" ref="DI40" si="198">+DI39+DI33</f>
        <v>1327898942.0283694</v>
      </c>
      <c r="DJ40" s="245">
        <f t="shared" ref="DJ40" si="199">+DJ39+DJ33</f>
        <v>1329021971.3661399</v>
      </c>
      <c r="DK40" s="245">
        <f t="shared" ref="DK40" si="200">+DK39+DK33</f>
        <v>1335983915.6070304</v>
      </c>
      <c r="DL40" s="245">
        <f t="shared" ref="DL40" si="201">+DL39+DL33</f>
        <v>1336957065.3828235</v>
      </c>
      <c r="DM40" s="245">
        <f t="shared" ref="DM40" si="202">+DM39+DM33</f>
        <v>1343514625.1120777</v>
      </c>
      <c r="DN40" s="245">
        <f>+DM40</f>
        <v>1343514625.1120777</v>
      </c>
      <c r="DO40" s="245">
        <f t="shared" ref="DO40:DZ40" si="203">+DO39+DO33</f>
        <v>1350478348.8963585</v>
      </c>
      <c r="DP40" s="245">
        <f t="shared" si="203"/>
        <v>1351552515.7322216</v>
      </c>
      <c r="DQ40" s="245">
        <f t="shared" si="203"/>
        <v>1358058859.0210257</v>
      </c>
      <c r="DR40" s="245">
        <f t="shared" si="203"/>
        <v>1365023886.0828204</v>
      </c>
      <c r="DS40" s="245">
        <f t="shared" si="203"/>
        <v>1366139499.8847632</v>
      </c>
      <c r="DT40" s="245">
        <f t="shared" si="203"/>
        <v>1372654073.0135674</v>
      </c>
      <c r="DU40" s="245">
        <f t="shared" si="203"/>
        <v>1379551663.3928485</v>
      </c>
      <c r="DV40" s="245">
        <f t="shared" si="203"/>
        <v>1381210059.7540197</v>
      </c>
      <c r="DW40" s="245">
        <f t="shared" si="203"/>
        <v>1387885992.3128238</v>
      </c>
      <c r="DX40" s="245">
        <f t="shared" si="203"/>
        <v>1394916721.8549905</v>
      </c>
      <c r="DY40" s="245">
        <f t="shared" si="203"/>
        <v>1396646350.2292366</v>
      </c>
      <c r="DZ40" s="245">
        <f t="shared" si="203"/>
        <v>1403326446.1480408</v>
      </c>
      <c r="EA40" s="245">
        <f>+DZ40</f>
        <v>1403326446.1480408</v>
      </c>
      <c r="EB40" s="245">
        <f t="shared" ref="EB40:EM40" si="204">+EB39+EB33</f>
        <v>1410358312.2047162</v>
      </c>
      <c r="EC40" s="245">
        <f t="shared" si="204"/>
        <v>1412179666.5068922</v>
      </c>
      <c r="ED40" s="245">
        <f t="shared" si="204"/>
        <v>1418862370.2556963</v>
      </c>
      <c r="EE40" s="245">
        <f t="shared" si="204"/>
        <v>1425894549.1731734</v>
      </c>
      <c r="EF40" s="245">
        <f t="shared" si="204"/>
        <v>1427766641.5735698</v>
      </c>
      <c r="EG40" s="245">
        <f t="shared" si="204"/>
        <v>1434456528.2623739</v>
      </c>
      <c r="EH40" s="245">
        <f t="shared" si="204"/>
        <v>1441489058.3501334</v>
      </c>
      <c r="EI40" s="245">
        <f t="shared" si="204"/>
        <v>1443432382.7636044</v>
      </c>
      <c r="EJ40" s="245">
        <f t="shared" si="204"/>
        <v>1450124968.7824085</v>
      </c>
      <c r="EK40" s="245">
        <f t="shared" si="204"/>
        <v>1457158309.7541337</v>
      </c>
      <c r="EL40" s="245">
        <f t="shared" si="204"/>
        <v>1459172866.1806798</v>
      </c>
      <c r="EM40" s="245">
        <f t="shared" si="204"/>
        <v>1465869615.559484</v>
      </c>
      <c r="EN40" s="245">
        <f>+EM40</f>
        <v>1465869615.559484</v>
      </c>
    </row>
    <row r="41" spans="1:144" s="236" customFormat="1" ht="14.4" thickTop="1" x14ac:dyDescent="0.25">
      <c r="A41" s="234"/>
    </row>
    <row r="42" spans="1:144" s="236" customFormat="1" x14ac:dyDescent="0.25">
      <c r="A42" s="240" t="s">
        <v>53</v>
      </c>
    </row>
    <row r="43" spans="1:144" s="241" customFormat="1" x14ac:dyDescent="0.25">
      <c r="A43" s="240" t="s">
        <v>267</v>
      </c>
    </row>
    <row r="44" spans="1:144" s="236" customFormat="1" x14ac:dyDescent="0.25">
      <c r="A44" s="234" t="s">
        <v>268</v>
      </c>
      <c r="B44" s="236">
        <f>+'EEFF base'!BB39</f>
        <v>47780275.830000006</v>
      </c>
      <c r="C44" s="236">
        <f>+'EEFF base'!BC39+B44</f>
        <v>51070484.440000005</v>
      </c>
      <c r="D44" s="236">
        <f>+'EEFF base'!BD39+C44</f>
        <v>36106711.070000008</v>
      </c>
      <c r="E44" s="236">
        <f>+'EEFF base'!BE39+D44</f>
        <v>36955066.170000009</v>
      </c>
      <c r="F44" s="236">
        <f>+'EEFF base'!BF39+E44</f>
        <v>38419123.080000006</v>
      </c>
      <c r="G44" s="236">
        <f>+'EEFF base'!BG39+F44</f>
        <v>33275500.750000004</v>
      </c>
      <c r="H44" s="236">
        <f>+'EEFF base'!BH39+G44</f>
        <v>34996349.050000004</v>
      </c>
      <c r="I44" s="236">
        <f>+'EEFF base'!BI39+H44</f>
        <v>36908045.870000005</v>
      </c>
      <c r="J44" s="236">
        <f>+'EEFF base'!BJ39+I44</f>
        <v>37679181.060000002</v>
      </c>
      <c r="K44" s="236">
        <f>+'EEFF base'!BK39+J44</f>
        <v>28087835.210000008</v>
      </c>
      <c r="L44" s="236">
        <f>+'EEFF base'!BL39+K44</f>
        <v>29169927.97000001</v>
      </c>
      <c r="M44" s="236">
        <f>+'EEFF base'!BM39+L44</f>
        <v>85218228.420000046</v>
      </c>
      <c r="N44" s="236">
        <f t="shared" ref="N44:N50" si="205">+M44</f>
        <v>85218228.420000046</v>
      </c>
      <c r="O44" s="236">
        <f>+'EEFF base'!BO39</f>
        <v>76761612.800000012</v>
      </c>
      <c r="P44" s="236">
        <f>+'EEFF base'!BP39+O44</f>
        <v>76961947.180000007</v>
      </c>
      <c r="Q44" s="236">
        <f>+'EEFF base'!BQ39+P44</f>
        <v>62904148.680000007</v>
      </c>
      <c r="R44" s="236">
        <f>+'EEFF base'!BR39+Q44</f>
        <v>50741748.900000006</v>
      </c>
      <c r="S44" s="236">
        <f>+'EEFF base'!BS39+R44</f>
        <v>51545840.260000005</v>
      </c>
      <c r="T44" s="236">
        <f>+'EEFF base'!BT39+S44</f>
        <v>51418019.520000003</v>
      </c>
      <c r="U44" s="236">
        <f>+'EEFF base'!BU39+T44</f>
        <v>43724529.32</v>
      </c>
      <c r="V44" s="236">
        <f>+'EEFF base'!BV39+U44</f>
        <v>43119375.399999999</v>
      </c>
      <c r="W44" s="236">
        <f>+'EEFF base'!BW39+V44</f>
        <v>37222997.349999994</v>
      </c>
      <c r="X44" s="236">
        <f>+'EEFF base'!BX39+W44</f>
        <v>37485719.519999996</v>
      </c>
      <c r="Y44" s="236">
        <f>+'EEFF base'!BY39+X44</f>
        <v>34615948.209999993</v>
      </c>
      <c r="Z44" s="236">
        <f>+'EEFF base'!BZ39+Y44</f>
        <v>65778553.949999996</v>
      </c>
      <c r="AA44" s="236">
        <f t="shared" si="99"/>
        <v>65778553.949999996</v>
      </c>
      <c r="AB44" s="236">
        <f>+'EEFF base'!CB39</f>
        <v>64490571.88000001</v>
      </c>
      <c r="AC44" s="236">
        <f>+'EEFF base'!CC39+AB44</f>
        <v>61499010.610000007</v>
      </c>
      <c r="AD44" s="236">
        <f>+'EEFF base'!CD39+AC44</f>
        <v>54945888.000000007</v>
      </c>
      <c r="AE44" s="236">
        <f>+'EEFF base'!CE39+AD44</f>
        <v>52457197.360000007</v>
      </c>
      <c r="AF44" s="236">
        <f>+'EEFF base'!CF39+AE44</f>
        <v>40631322.600000009</v>
      </c>
      <c r="AG44" s="236">
        <f>+'EEFF base'!CG39+AF44</f>
        <v>28875794.340000004</v>
      </c>
      <c r="AH44" s="236">
        <f>+'EEFF base'!CH39+AG44</f>
        <v>26272200.000000004</v>
      </c>
      <c r="AI44" s="236">
        <f>+'EEFF base'!CI39+AH44</f>
        <v>26217410.780000005</v>
      </c>
      <c r="AJ44" s="236">
        <f>+'EEFF base'!CJ39+AI44</f>
        <v>6591791.420000013</v>
      </c>
      <c r="AK44" s="236">
        <f>+'EEFF base'!CK39+AJ44</f>
        <v>4464551.8000000129</v>
      </c>
      <c r="AL44" s="236">
        <f>+'EEFF base'!CL39+AK44</f>
        <v>3668846.3000000129</v>
      </c>
      <c r="AM44" s="236">
        <f>+'EEFF base'!CM39+AL44</f>
        <v>125937305.91999999</v>
      </c>
      <c r="AN44" s="236">
        <f t="shared" si="100"/>
        <v>125937305.91999999</v>
      </c>
      <c r="AO44" s="236">
        <f>+'EEFF historicoss'!R45</f>
        <v>86693082.25999999</v>
      </c>
      <c r="AP44" s="236">
        <f>+'EEFF historicoss'!S45</f>
        <v>85790548.499999985</v>
      </c>
      <c r="AQ44" s="236">
        <f>+'EEFF historicoss'!T45</f>
        <v>86119882.199999988</v>
      </c>
      <c r="AR44" s="236">
        <f>+'EEFF historicoss'!U45</f>
        <v>81797908.799999982</v>
      </c>
      <c r="AS44" s="236">
        <f>+'EEFF historicoss'!V45</f>
        <v>82172183.949999988</v>
      </c>
      <c r="AT44" s="236">
        <f>+'EEFF historicoss'!W45</f>
        <v>68836268.669999987</v>
      </c>
      <c r="AU44" s="236">
        <f>+'EEFF historicoss'!X45</f>
        <v>67370147.079999983</v>
      </c>
      <c r="AV44" s="236">
        <f>+'EEFF historicoss'!Y45</f>
        <v>68510144.729999989</v>
      </c>
      <c r="AW44" s="236">
        <f>+'EEFF historicoss'!Z45</f>
        <v>64654077.109999985</v>
      </c>
      <c r="AX44" s="236">
        <f>+'EEFF historicoss'!AA45</f>
        <v>64756350.989999987</v>
      </c>
      <c r="AY44" s="236">
        <f>+'EEFF historicoss'!AB45</f>
        <v>65052384.609999985</v>
      </c>
      <c r="AZ44" s="236">
        <f>+'EEFF historicoss'!AC45</f>
        <v>157985559.02999997</v>
      </c>
      <c r="BA44" s="236">
        <f t="shared" si="136"/>
        <v>157985559.02999997</v>
      </c>
      <c r="BB44" s="236">
        <f>+'EEFF historicoss'!AE45</f>
        <v>157466210.15000001</v>
      </c>
      <c r="BC44" s="236">
        <f>+'EEFF historicoss'!AF45</f>
        <v>157614200.46000001</v>
      </c>
      <c r="BD44" s="236">
        <f>+'EEFF historicoss'!AG45</f>
        <v>157301125.74000001</v>
      </c>
      <c r="BE44" s="236">
        <f>+'EEFF historicoss'!AH45</f>
        <v>155724430.13</v>
      </c>
      <c r="BF44" s="236">
        <f>+'EEFF historicoss'!AI45</f>
        <v>38013624.460000001</v>
      </c>
      <c r="BG44" s="236">
        <f>+'EEFF historicoss'!AJ45</f>
        <v>37397831.950000003</v>
      </c>
      <c r="BH44" s="236">
        <f>+'EEFF historicoss'!AK45</f>
        <v>14393185.32</v>
      </c>
      <c r="BI44" s="236">
        <f>+'EEFF historicoss'!AL45</f>
        <v>14122143.859999999</v>
      </c>
      <c r="BJ44" s="236">
        <f>+'EEFF historicoss'!AM45</f>
        <v>11319759.359999999</v>
      </c>
      <c r="BK44" s="236">
        <f>+'EEFF historicoss'!AN45</f>
        <v>8036301</v>
      </c>
      <c r="BL44" s="236">
        <f>+'EEFF historicoss'!AO45</f>
        <v>4022779.71</v>
      </c>
      <c r="BM44" s="236">
        <f>+'EEFF historicoss'!AP45</f>
        <v>55901487.469999999</v>
      </c>
      <c r="BN44" s="236">
        <f t="shared" si="137"/>
        <v>55901487.469999999</v>
      </c>
      <c r="BO44" s="236">
        <f>+'EEFF historicoss'!AR45</f>
        <v>56266793.719999999</v>
      </c>
      <c r="BP44" s="236">
        <f>+'EEFF historicoss'!AS45</f>
        <v>56400418.789999999</v>
      </c>
      <c r="BQ44" s="236">
        <f>+'EEFF historicoss'!AT45</f>
        <v>43051023.969999999</v>
      </c>
      <c r="BR44" s="236">
        <f>+'EEFF historicoss'!AU45</f>
        <v>43795319.780000001</v>
      </c>
      <c r="BS44" s="236">
        <f>+'EEFF historicoss'!AV45</f>
        <v>44431976.850000001</v>
      </c>
      <c r="BT44" s="236">
        <f>+'EEFF historicoss'!AW45</f>
        <v>43804585.740000002</v>
      </c>
      <c r="BU44" s="236">
        <f t="shared" ref="BU44:BZ44" si="206">+BT44</f>
        <v>43804585.740000002</v>
      </c>
      <c r="BV44" s="236">
        <f t="shared" si="206"/>
        <v>43804585.740000002</v>
      </c>
      <c r="BW44" s="236">
        <f t="shared" si="206"/>
        <v>43804585.740000002</v>
      </c>
      <c r="BX44" s="236">
        <f t="shared" si="206"/>
        <v>43804585.740000002</v>
      </c>
      <c r="BY44" s="236">
        <f t="shared" si="206"/>
        <v>43804585.740000002</v>
      </c>
      <c r="BZ44" s="236">
        <f t="shared" si="206"/>
        <v>43804585.740000002</v>
      </c>
      <c r="CA44" s="236">
        <f>+BZ44</f>
        <v>43804585.740000002</v>
      </c>
      <c r="CB44" s="236">
        <f>+BZ44</f>
        <v>43804585.740000002</v>
      </c>
      <c r="CC44" s="236">
        <f>+CB44</f>
        <v>43804585.740000002</v>
      </c>
      <c r="CN44" s="236">
        <f>+CM44</f>
        <v>0</v>
      </c>
      <c r="DA44" s="236">
        <f>+CZ44</f>
        <v>0</v>
      </c>
      <c r="DN44" s="236">
        <f>+DM44</f>
        <v>0</v>
      </c>
      <c r="EA44" s="236">
        <f>+DZ44</f>
        <v>0</v>
      </c>
      <c r="EN44" s="236">
        <f>+EM44</f>
        <v>0</v>
      </c>
    </row>
    <row r="45" spans="1:144" s="236" customFormat="1" x14ac:dyDescent="0.25">
      <c r="A45" s="234" t="s">
        <v>99</v>
      </c>
      <c r="B45" s="236">
        <f>+'EEFF base'!BB40</f>
        <v>79366012.680000067</v>
      </c>
      <c r="C45" s="236">
        <f>+'EEFF base'!BC40+B45</f>
        <v>70793127.090000078</v>
      </c>
      <c r="D45" s="236">
        <f>+'EEFF base'!BD40+C45</f>
        <v>61953656.750000097</v>
      </c>
      <c r="E45" s="236">
        <f>+'EEFF base'!BE40+D45</f>
        <v>60924055.370000079</v>
      </c>
      <c r="F45" s="236">
        <f>+'EEFF base'!BF40+E45</f>
        <v>61823383.190000102</v>
      </c>
      <c r="G45" s="236">
        <f>+'EEFF base'!BG40+F45</f>
        <v>51715360.100000128</v>
      </c>
      <c r="H45" s="236">
        <f>+'EEFF base'!BH40+G45</f>
        <v>52174514.160000138</v>
      </c>
      <c r="I45" s="236">
        <f>+'EEFF base'!BI40+H45</f>
        <v>69589804.720000207</v>
      </c>
      <c r="J45" s="236">
        <f>+'EEFF base'!BJ40+I45</f>
        <v>64894500.280000225</v>
      </c>
      <c r="K45" s="236">
        <f>+'EEFF base'!BK40+J45</f>
        <v>59797059.000000246</v>
      </c>
      <c r="L45" s="236">
        <f>+'EEFF base'!BL40+K45</f>
        <v>54747031.330000252</v>
      </c>
      <c r="M45" s="236">
        <f>+'EEFF base'!BM40+L45</f>
        <v>59394204.310000233</v>
      </c>
      <c r="N45" s="236">
        <f t="shared" si="205"/>
        <v>59394204.310000233</v>
      </c>
      <c r="O45" s="236">
        <f>+'EEFF base'!BO40</f>
        <v>60300665.630000018</v>
      </c>
      <c r="P45" s="236">
        <f>+'EEFF base'!BP40+O45</f>
        <v>51761527.500000015</v>
      </c>
      <c r="Q45" s="236">
        <f>+'EEFF base'!BQ40+P45</f>
        <v>53751191.130000018</v>
      </c>
      <c r="R45" s="236">
        <f>+'EEFF base'!BR40+Q45</f>
        <v>53845091.359999992</v>
      </c>
      <c r="S45" s="236">
        <f>+'EEFF base'!BS40+R45</f>
        <v>58122976.650000006</v>
      </c>
      <c r="T45" s="236">
        <f>+'EEFF base'!BT40+S45</f>
        <v>61939790.460000001</v>
      </c>
      <c r="U45" s="236">
        <f>+'EEFF base'!BU40+T45</f>
        <v>64238859.069999926</v>
      </c>
      <c r="V45" s="236">
        <f>+'EEFF base'!BV40+U45</f>
        <v>65944544.829999954</v>
      </c>
      <c r="W45" s="236">
        <f>+'EEFF base'!BW40+V45</f>
        <v>70029180.799999952</v>
      </c>
      <c r="X45" s="236">
        <f>+'EEFF base'!BX40+W45</f>
        <v>66906997.889999941</v>
      </c>
      <c r="Y45" s="236">
        <f>+'EEFF base'!BY40+X45</f>
        <v>68123960.099999949</v>
      </c>
      <c r="Z45" s="236">
        <f>+'EEFF base'!BZ40+Y45</f>
        <v>64678153.679999948</v>
      </c>
      <c r="AA45" s="236">
        <f t="shared" si="99"/>
        <v>64678153.679999948</v>
      </c>
      <c r="AB45" s="236">
        <f>+'EEFF base'!CB40</f>
        <v>56664068.629999988</v>
      </c>
      <c r="AC45" s="236">
        <f>+'EEFF base'!CC40+AB45</f>
        <v>49780927.639999986</v>
      </c>
      <c r="AD45" s="236">
        <f>+'EEFF base'!CD40+AC45</f>
        <v>43827488.539999947</v>
      </c>
      <c r="AE45" s="236">
        <f>+'EEFF base'!CE40+AD45</f>
        <v>52935137.219999939</v>
      </c>
      <c r="AF45" s="236">
        <f>+'EEFF base'!CF40+AE45</f>
        <v>59243196.319999933</v>
      </c>
      <c r="AG45" s="236">
        <f>+'EEFF base'!CG40+AF45</f>
        <v>59502047.799999744</v>
      </c>
      <c r="AH45" s="236">
        <f>+'EEFF base'!CH40+AG45</f>
        <v>71666564.059999824</v>
      </c>
      <c r="AI45" s="236">
        <f>+'EEFF base'!CI40+AH45</f>
        <v>76582156.83999981</v>
      </c>
      <c r="AJ45" s="236">
        <f>+'EEFF base'!CJ40+AI45</f>
        <v>71892652.019999787</v>
      </c>
      <c r="AK45" s="236">
        <f>+'EEFF base'!CK40+AJ45</f>
        <v>62964855.519999787</v>
      </c>
      <c r="AL45" s="236">
        <f>+'EEFF base'!CL40+AK45</f>
        <v>61536901.399999782</v>
      </c>
      <c r="AM45" s="236">
        <f>+'EEFF base'!CM40+AL45</f>
        <v>58682731.029999763</v>
      </c>
      <c r="AN45" s="236">
        <f t="shared" si="100"/>
        <v>58682731.029999763</v>
      </c>
      <c r="AO45" s="236">
        <f>+'EEFF historicoss'!R43+'EEFF historicoss'!R44</f>
        <v>62291980.449999988</v>
      </c>
      <c r="AP45" s="236">
        <f>+'EEFF historicoss'!S43+'EEFF historicoss'!S44</f>
        <v>63904402.629999995</v>
      </c>
      <c r="AQ45" s="236">
        <f>+'EEFF historicoss'!T43+'EEFF historicoss'!T44</f>
        <v>65377409.409999982</v>
      </c>
      <c r="AR45" s="236">
        <f>+'EEFF historicoss'!U43+'EEFF historicoss'!U44</f>
        <v>74511642.659999996</v>
      </c>
      <c r="AS45" s="236">
        <f>+'EEFF historicoss'!V43+'EEFF historicoss'!V44</f>
        <v>78566086.64000003</v>
      </c>
      <c r="AT45" s="236">
        <f>+'EEFF historicoss'!W43+'EEFF historicoss'!W44</f>
        <v>83198223.690000087</v>
      </c>
      <c r="AU45" s="236">
        <f>+'EEFF historicoss'!X43+'EEFF historicoss'!X44</f>
        <v>86066083.6300001</v>
      </c>
      <c r="AV45" s="236">
        <f>+'EEFF historicoss'!Y43+'EEFF historicoss'!Y44</f>
        <v>102243385.16000013</v>
      </c>
      <c r="AW45" s="236">
        <f>+'EEFF historicoss'!Z43+'EEFF historicoss'!Z44</f>
        <v>101152676.1000002</v>
      </c>
      <c r="AX45" s="236">
        <f>+'EEFF historicoss'!AA43+'EEFF historicoss'!AA44</f>
        <v>90193294.610000223</v>
      </c>
      <c r="AY45" s="236">
        <f>+'EEFF historicoss'!AB43+'EEFF historicoss'!AB44</f>
        <v>95727205.230000243</v>
      </c>
      <c r="AZ45" s="236">
        <f>+'EEFF historicoss'!AC43+'EEFF historicoss'!AC44</f>
        <v>93869404.130000234</v>
      </c>
      <c r="BA45" s="236">
        <f t="shared" ref="BA45:BA50" si="207">+AZ45</f>
        <v>93869404.130000234</v>
      </c>
      <c r="BB45" s="236">
        <f>+'EEFF historicoss'!AE43+'EEFF historicoss'!AE44</f>
        <v>94400228.799999997</v>
      </c>
      <c r="BC45" s="236">
        <f>+'EEFF historicoss'!AF43+'EEFF historicoss'!AF44</f>
        <v>87198359.659999996</v>
      </c>
      <c r="BD45" s="236">
        <f>+'EEFF historicoss'!AG43+'EEFF historicoss'!AG44</f>
        <v>93325083.519999996</v>
      </c>
      <c r="BE45" s="236">
        <f>+'EEFF historicoss'!AH43+'EEFF historicoss'!AH44</f>
        <v>100466424.84999999</v>
      </c>
      <c r="BF45" s="236">
        <f>+'EEFF historicoss'!AI43+'EEFF historicoss'!AI44</f>
        <v>99071856.049999997</v>
      </c>
      <c r="BG45" s="236">
        <f>+'EEFF historicoss'!AJ43+'EEFF historicoss'!AJ44</f>
        <v>99994238.329999998</v>
      </c>
      <c r="BH45" s="236">
        <f>+'EEFF historicoss'!AK43+'EEFF historicoss'!AK44</f>
        <v>98781638.070000008</v>
      </c>
      <c r="BI45" s="236">
        <f>+'EEFF historicoss'!AL43+'EEFF historicoss'!AL44</f>
        <v>89017182.310000002</v>
      </c>
      <c r="BJ45" s="236">
        <f>+'EEFF historicoss'!AM43+'EEFF historicoss'!AM44</f>
        <v>89443900.5</v>
      </c>
      <c r="BK45" s="236">
        <f>+'EEFF historicoss'!AN43+'EEFF historicoss'!AN44</f>
        <v>91670360.599999994</v>
      </c>
      <c r="BL45" s="236">
        <f>+'EEFF historicoss'!AO43+'EEFF historicoss'!AO44</f>
        <v>83796667.349999994</v>
      </c>
      <c r="BM45" s="236">
        <f>+'EEFF historicoss'!AP43+'EEFF historicoss'!AP44</f>
        <v>80218725.890000001</v>
      </c>
      <c r="BN45" s="236">
        <f t="shared" ref="BN45:BN50" si="208">+BM45</f>
        <v>80218725.890000001</v>
      </c>
      <c r="BO45" s="236">
        <f>+'EEFF historicoss'!AR43+'EEFF historicoss'!AR44</f>
        <v>75926656.159999996</v>
      </c>
      <c r="BP45" s="236">
        <f>+'EEFF historicoss'!AS43+'EEFF historicoss'!AS44</f>
        <v>70904177.649999991</v>
      </c>
      <c r="BQ45" s="236">
        <f>+'EEFF historicoss'!AT43+'EEFF historicoss'!AT44</f>
        <v>71471566.920000002</v>
      </c>
      <c r="BR45" s="236">
        <f>+'EEFF historicoss'!AU43+'EEFF historicoss'!AU44</f>
        <v>55420132.359999999</v>
      </c>
      <c r="BS45" s="236">
        <f>+'EEFF historicoss'!AV43+'EEFF historicoss'!AV44</f>
        <v>59533956.710000001</v>
      </c>
      <c r="BT45" s="236">
        <f>+'EEFF historicoss'!AW43+'EEFF historicoss'!AW44</f>
        <v>58073618.469999999</v>
      </c>
      <c r="BU45" s="236">
        <f t="shared" ref="BU45:BZ45" si="209">+BU109</f>
        <v>66014582.377795741</v>
      </c>
      <c r="BV45" s="236">
        <f t="shared" si="209"/>
        <v>75088607.138636515</v>
      </c>
      <c r="BW45" s="236">
        <f t="shared" si="209"/>
        <v>67135727.76434727</v>
      </c>
      <c r="BX45" s="236">
        <f t="shared" si="209"/>
        <v>78583302.683417141</v>
      </c>
      <c r="BY45" s="236">
        <f t="shared" si="209"/>
        <v>61192873.941663668</v>
      </c>
      <c r="BZ45" s="236">
        <f t="shared" si="209"/>
        <v>63821012.776469089</v>
      </c>
      <c r="CA45" s="236">
        <f t="shared" ref="CA45:CA50" si="210">+BZ45</f>
        <v>63821012.776469089</v>
      </c>
      <c r="CB45" s="236">
        <f t="shared" ref="CB45:CM45" si="211">+CB109</f>
        <v>86458766.598103449</v>
      </c>
      <c r="CC45" s="236">
        <f t="shared" si="211"/>
        <v>86458766.598103449</v>
      </c>
      <c r="CD45" s="236">
        <f t="shared" si="211"/>
        <v>86458766.598103449</v>
      </c>
      <c r="CE45" s="236">
        <f t="shared" si="211"/>
        <v>86458766.598103449</v>
      </c>
      <c r="CF45" s="236">
        <f t="shared" si="211"/>
        <v>86458766.598103449</v>
      </c>
      <c r="CG45" s="236">
        <f t="shared" si="211"/>
        <v>86458766.598103449</v>
      </c>
      <c r="CH45" s="236">
        <f t="shared" si="211"/>
        <v>86458766.598103449</v>
      </c>
      <c r="CI45" s="236">
        <f t="shared" si="211"/>
        <v>86458766.598103449</v>
      </c>
      <c r="CJ45" s="236">
        <f t="shared" si="211"/>
        <v>86458766.598103449</v>
      </c>
      <c r="CK45" s="236">
        <f t="shared" si="211"/>
        <v>86458766.598103449</v>
      </c>
      <c r="CL45" s="236">
        <f t="shared" si="211"/>
        <v>86458766.598103449</v>
      </c>
      <c r="CM45" s="236">
        <f t="shared" si="211"/>
        <v>86458766.598103449</v>
      </c>
      <c r="CN45" s="236">
        <f t="shared" ref="CN45:CN50" si="212">+CM45</f>
        <v>86458766.598103449</v>
      </c>
      <c r="CO45" s="236">
        <f t="shared" ref="CO45" si="213">+CO109</f>
        <v>86458766.598103449</v>
      </c>
      <c r="CP45" s="236">
        <f t="shared" ref="CP45:CZ45" si="214">+CP109</f>
        <v>86458766.598103449</v>
      </c>
      <c r="CQ45" s="236">
        <f t="shared" si="214"/>
        <v>86458766.598103449</v>
      </c>
      <c r="CR45" s="236">
        <f t="shared" si="214"/>
        <v>86458766.598103449</v>
      </c>
      <c r="CS45" s="236">
        <f t="shared" si="214"/>
        <v>86458766.598103449</v>
      </c>
      <c r="CT45" s="236">
        <f t="shared" si="214"/>
        <v>86458766.598103449</v>
      </c>
      <c r="CU45" s="236">
        <f t="shared" si="214"/>
        <v>86458766.598103449</v>
      </c>
      <c r="CV45" s="236">
        <f t="shared" si="214"/>
        <v>86458766.598103449</v>
      </c>
      <c r="CW45" s="236">
        <f t="shared" si="214"/>
        <v>86458766.598103449</v>
      </c>
      <c r="CX45" s="236">
        <f t="shared" si="214"/>
        <v>86458766.598103449</v>
      </c>
      <c r="CY45" s="236">
        <f t="shared" si="214"/>
        <v>86458766.598103449</v>
      </c>
      <c r="CZ45" s="236">
        <f t="shared" si="214"/>
        <v>86458766.598103449</v>
      </c>
      <c r="DA45" s="236">
        <f t="shared" ref="DA45:DA50" si="215">+CZ45</f>
        <v>86458766.598103449</v>
      </c>
      <c r="DB45" s="236">
        <f t="shared" ref="DB45:DM45" si="216">+DB109</f>
        <v>86458766.598103449</v>
      </c>
      <c r="DC45" s="236">
        <f t="shared" si="216"/>
        <v>86458766.598103449</v>
      </c>
      <c r="DD45" s="236">
        <f t="shared" si="216"/>
        <v>86458766.598103449</v>
      </c>
      <c r="DE45" s="236">
        <f t="shared" si="216"/>
        <v>86458766.598103449</v>
      </c>
      <c r="DF45" s="236">
        <f t="shared" si="216"/>
        <v>86458766.598103449</v>
      </c>
      <c r="DG45" s="236">
        <f t="shared" si="216"/>
        <v>86458766.598103449</v>
      </c>
      <c r="DH45" s="236">
        <f t="shared" si="216"/>
        <v>86458766.598103449</v>
      </c>
      <c r="DI45" s="236">
        <f t="shared" si="216"/>
        <v>86458766.598103449</v>
      </c>
      <c r="DJ45" s="236">
        <f t="shared" si="216"/>
        <v>86458766.598103449</v>
      </c>
      <c r="DK45" s="236">
        <f t="shared" si="216"/>
        <v>86458766.598103449</v>
      </c>
      <c r="DL45" s="236">
        <f t="shared" si="216"/>
        <v>86458766.598103449</v>
      </c>
      <c r="DM45" s="236">
        <f t="shared" si="216"/>
        <v>86458766.598103449</v>
      </c>
      <c r="DN45" s="236">
        <f t="shared" ref="DN45:DN50" si="217">+DM45</f>
        <v>86458766.598103449</v>
      </c>
      <c r="DO45" s="236">
        <f t="shared" ref="DO45:DZ45" si="218">+DO109</f>
        <v>86458766.598103449</v>
      </c>
      <c r="DP45" s="236">
        <f t="shared" si="218"/>
        <v>86458766.598103449</v>
      </c>
      <c r="DQ45" s="236">
        <f t="shared" si="218"/>
        <v>86458766.598103449</v>
      </c>
      <c r="DR45" s="236">
        <f t="shared" si="218"/>
        <v>86458766.598103449</v>
      </c>
      <c r="DS45" s="236">
        <f t="shared" si="218"/>
        <v>86458766.598103449</v>
      </c>
      <c r="DT45" s="236">
        <f t="shared" si="218"/>
        <v>86458766.598103449</v>
      </c>
      <c r="DU45" s="236">
        <f t="shared" si="218"/>
        <v>86458766.598103449</v>
      </c>
      <c r="DV45" s="236">
        <f t="shared" si="218"/>
        <v>86458766.598103449</v>
      </c>
      <c r="DW45" s="236">
        <f t="shared" si="218"/>
        <v>86458766.598103449</v>
      </c>
      <c r="DX45" s="236">
        <f t="shared" si="218"/>
        <v>86458766.598103449</v>
      </c>
      <c r="DY45" s="236">
        <f t="shared" si="218"/>
        <v>86458766.598103449</v>
      </c>
      <c r="DZ45" s="236">
        <f t="shared" si="218"/>
        <v>86458766.598103449</v>
      </c>
      <c r="EA45" s="236">
        <f t="shared" ref="EA45:EA50" si="219">+DZ45</f>
        <v>86458766.598103449</v>
      </c>
      <c r="EB45" s="236">
        <f t="shared" ref="EB45:EM45" si="220">+EB109</f>
        <v>86458766.598103449</v>
      </c>
      <c r="EC45" s="236">
        <f t="shared" si="220"/>
        <v>86458766.598103449</v>
      </c>
      <c r="ED45" s="236">
        <f t="shared" si="220"/>
        <v>86458766.598103449</v>
      </c>
      <c r="EE45" s="236">
        <f t="shared" si="220"/>
        <v>86458766.598103449</v>
      </c>
      <c r="EF45" s="236">
        <f t="shared" si="220"/>
        <v>86458766.598103449</v>
      </c>
      <c r="EG45" s="236">
        <f t="shared" si="220"/>
        <v>86458766.598103449</v>
      </c>
      <c r="EH45" s="236">
        <f t="shared" si="220"/>
        <v>86458766.598103449</v>
      </c>
      <c r="EI45" s="236">
        <f t="shared" si="220"/>
        <v>86458766.598103449</v>
      </c>
      <c r="EJ45" s="236">
        <f t="shared" si="220"/>
        <v>86458766.598103449</v>
      </c>
      <c r="EK45" s="236">
        <f t="shared" si="220"/>
        <v>86458766.598103449</v>
      </c>
      <c r="EL45" s="236">
        <f t="shared" si="220"/>
        <v>86458766.598103449</v>
      </c>
      <c r="EM45" s="236">
        <f t="shared" si="220"/>
        <v>86458766.598103449</v>
      </c>
      <c r="EN45" s="236">
        <f t="shared" ref="EN45:EN50" si="221">+EM45</f>
        <v>86458766.598103449</v>
      </c>
    </row>
    <row r="46" spans="1:144" s="236" customFormat="1" x14ac:dyDescent="0.25">
      <c r="A46" s="234" t="s">
        <v>289</v>
      </c>
      <c r="B46" s="236">
        <f>+'EEFF base'!BB44</f>
        <v>0</v>
      </c>
      <c r="C46" s="236">
        <f>+'EEFF base'!BC44+B46</f>
        <v>0</v>
      </c>
      <c r="D46" s="236">
        <f>+'EEFF base'!BD44+C46</f>
        <v>0</v>
      </c>
      <c r="E46" s="236">
        <f>+'EEFF base'!BE44+D46</f>
        <v>0</v>
      </c>
      <c r="F46" s="236">
        <f>+'EEFF base'!BF44+E46</f>
        <v>0</v>
      </c>
      <c r="G46" s="236">
        <f>+'EEFF base'!BG44+F46</f>
        <v>0</v>
      </c>
      <c r="H46" s="236">
        <f>+'EEFF base'!BH44+G46</f>
        <v>0</v>
      </c>
      <c r="I46" s="236">
        <f>+'EEFF base'!BI44+H46</f>
        <v>0</v>
      </c>
      <c r="J46" s="236">
        <f>+'EEFF base'!BJ44+I46</f>
        <v>0</v>
      </c>
      <c r="K46" s="236">
        <f>+'EEFF base'!BK44+J46</f>
        <v>0</v>
      </c>
      <c r="L46" s="236">
        <f>+'EEFF base'!BL44+K46</f>
        <v>0</v>
      </c>
      <c r="M46" s="236">
        <f>+'EEFF base'!BM44+L46</f>
        <v>0</v>
      </c>
      <c r="N46" s="236">
        <f t="shared" si="205"/>
        <v>0</v>
      </c>
      <c r="O46" s="236">
        <f>+'EEFF base'!BO44</f>
        <v>0</v>
      </c>
      <c r="P46" s="236">
        <f>+'EEFF base'!BP44+O46</f>
        <v>0</v>
      </c>
      <c r="Q46" s="236">
        <f>+'EEFF base'!BQ44+P46</f>
        <v>0</v>
      </c>
      <c r="R46" s="236">
        <f>+'EEFF base'!BR44+Q46</f>
        <v>0</v>
      </c>
      <c r="S46" s="236">
        <f>+'EEFF base'!BS44+R46</f>
        <v>0</v>
      </c>
      <c r="T46" s="236">
        <f>+'EEFF base'!BT44+S46</f>
        <v>0</v>
      </c>
      <c r="U46" s="236">
        <f>+'EEFF base'!BU44+T46</f>
        <v>0</v>
      </c>
      <c r="V46" s="236">
        <f>+'EEFF base'!BV44+U46</f>
        <v>0</v>
      </c>
      <c r="W46" s="236">
        <f>+'EEFF base'!BW44+V46</f>
        <v>0</v>
      </c>
      <c r="X46" s="236">
        <f>+'EEFF base'!BX44+W46</f>
        <v>0</v>
      </c>
      <c r="Y46" s="236">
        <f>+'EEFF base'!BY44+X46</f>
        <v>0</v>
      </c>
      <c r="Z46" s="236">
        <f>+'EEFF base'!BZ44+Y46</f>
        <v>0</v>
      </c>
      <c r="AA46" s="236">
        <f t="shared" si="99"/>
        <v>0</v>
      </c>
      <c r="AB46" s="236">
        <f>+'EEFF base'!CB44</f>
        <v>0</v>
      </c>
      <c r="AC46" s="236">
        <f>+'EEFF base'!CC44+AB46</f>
        <v>0</v>
      </c>
      <c r="AD46" s="236">
        <f>+'EEFF base'!CD44+AC46</f>
        <v>0</v>
      </c>
      <c r="AE46" s="236">
        <f>+'EEFF base'!CE44+AD46</f>
        <v>0</v>
      </c>
      <c r="AF46" s="236">
        <f>+'EEFF base'!CF44+AE46</f>
        <v>0</v>
      </c>
      <c r="AG46" s="236">
        <f>+'EEFF base'!CG44+AF46</f>
        <v>0</v>
      </c>
      <c r="AH46" s="236">
        <f>+'EEFF base'!CH44+AG46</f>
        <v>0</v>
      </c>
      <c r="AI46" s="236">
        <f>+'EEFF base'!CI44+AH46</f>
        <v>0</v>
      </c>
      <c r="AJ46" s="236">
        <f>+'EEFF base'!CJ44+AI46</f>
        <v>0</v>
      </c>
      <c r="AK46" s="236">
        <f>+'EEFF base'!CK44+AJ46</f>
        <v>0</v>
      </c>
      <c r="AL46" s="236">
        <f>+'EEFF base'!CL44+AK46</f>
        <v>0</v>
      </c>
      <c r="AM46" s="236">
        <f>+'EEFF base'!CM44+AL46</f>
        <v>0</v>
      </c>
      <c r="AN46" s="236">
        <f t="shared" si="100"/>
        <v>0</v>
      </c>
      <c r="AO46" s="236">
        <f>+'EEFF historicoss'!R49</f>
        <v>0</v>
      </c>
      <c r="AP46" s="236">
        <f>+'EEFF historicoss'!S49</f>
        <v>0</v>
      </c>
      <c r="AQ46" s="236">
        <f>+'EEFF historicoss'!T49</f>
        <v>0</v>
      </c>
      <c r="AR46" s="236">
        <f>+'EEFF historicoss'!U49</f>
        <v>0</v>
      </c>
      <c r="AS46" s="236">
        <f>+'EEFF historicoss'!V49</f>
        <v>0</v>
      </c>
      <c r="AT46" s="236">
        <f>+'EEFF historicoss'!W49</f>
        <v>0</v>
      </c>
      <c r="AU46" s="236">
        <f>+'EEFF historicoss'!X49</f>
        <v>0</v>
      </c>
      <c r="AV46" s="236">
        <f>+'EEFF historicoss'!Y49</f>
        <v>0</v>
      </c>
      <c r="AW46" s="236">
        <f>+'EEFF historicoss'!Z49</f>
        <v>0</v>
      </c>
      <c r="AX46" s="236">
        <f>+'EEFF historicoss'!AA49</f>
        <v>0</v>
      </c>
      <c r="AY46" s="236">
        <f>+'EEFF historicoss'!AB49</f>
        <v>0</v>
      </c>
      <c r="AZ46" s="236">
        <f>+'EEFF historicoss'!AC49</f>
        <v>0</v>
      </c>
      <c r="BA46" s="236">
        <f t="shared" si="207"/>
        <v>0</v>
      </c>
      <c r="BB46" s="236">
        <f>+'EEFF historicoss'!AE49</f>
        <v>2779752.09</v>
      </c>
      <c r="BC46" s="236">
        <f>+'EEFF historicoss'!AF49</f>
        <v>1837914.89</v>
      </c>
      <c r="BD46" s="236">
        <f>+'EEFF historicoss'!AG49</f>
        <v>1565626.32</v>
      </c>
      <c r="BE46" s="236">
        <f>+'EEFF historicoss'!AH49</f>
        <v>1495181.61</v>
      </c>
      <c r="BF46" s="236">
        <f>+'EEFF historicoss'!AI49</f>
        <v>1646098.94</v>
      </c>
      <c r="BG46" s="236">
        <f>+'EEFF historicoss'!AJ49</f>
        <v>3185093.54</v>
      </c>
      <c r="BH46" s="236">
        <f>+'EEFF historicoss'!AK49</f>
        <v>22447148.239999998</v>
      </c>
      <c r="BI46" s="236">
        <f>+'EEFF historicoss'!AL49</f>
        <v>6339981.1399999997</v>
      </c>
      <c r="BJ46" s="236">
        <f>+'EEFF historicoss'!AM49</f>
        <v>4400421.4400000004</v>
      </c>
      <c r="BK46" s="236">
        <f>+'EEFF historicoss'!AN49</f>
        <v>1545075.21</v>
      </c>
      <c r="BL46" s="236">
        <f>+'EEFF historicoss'!AO49</f>
        <v>14522964.560000001</v>
      </c>
      <c r="BM46" s="236">
        <f>+'EEFF historicoss'!AP49</f>
        <v>14822367.77</v>
      </c>
      <c r="BN46" s="236">
        <f t="shared" si="208"/>
        <v>14822367.77</v>
      </c>
      <c r="BO46" s="236">
        <f>+'EEFF historicoss'!AR49</f>
        <v>12395883.789999999</v>
      </c>
      <c r="BP46" s="236">
        <f>+'EEFF historicoss'!AS49</f>
        <v>8532793.0800000001</v>
      </c>
      <c r="BQ46" s="236">
        <f>+'EEFF historicoss'!AT49</f>
        <v>10161896.460000001</v>
      </c>
      <c r="BR46" s="236">
        <f>+'EEFF historicoss'!AU49</f>
        <v>11837347.380000001</v>
      </c>
      <c r="BS46" s="236">
        <f>+'EEFF historicoss'!AV49</f>
        <v>14080042.27</v>
      </c>
      <c r="BT46" s="236">
        <f>+'EEFF historicoss'!AW49</f>
        <v>13573773.73</v>
      </c>
      <c r="BU46" s="236">
        <f t="shared" ref="BU46:BZ46" si="222">+BU110</f>
        <v>13364885.696142452</v>
      </c>
      <c r="BV46" s="236">
        <f t="shared" si="222"/>
        <v>15165623.773380816</v>
      </c>
      <c r="BW46" s="236">
        <f t="shared" si="222"/>
        <v>13910361.161261331</v>
      </c>
      <c r="BX46" s="236">
        <f t="shared" si="222"/>
        <v>15578891.955686772</v>
      </c>
      <c r="BY46" s="236">
        <f t="shared" si="222"/>
        <v>12504168.248897547</v>
      </c>
      <c r="BZ46" s="236">
        <f t="shared" si="222"/>
        <v>12741899.262734069</v>
      </c>
      <c r="CA46" s="236">
        <f t="shared" si="210"/>
        <v>12741899.262734069</v>
      </c>
      <c r="CB46" s="236">
        <f t="shared" ref="CB46:CM46" si="223">+CB110</f>
        <v>18047593.46617708</v>
      </c>
      <c r="CC46" s="236">
        <f t="shared" si="223"/>
        <v>18047593.46617708</v>
      </c>
      <c r="CD46" s="236">
        <f t="shared" si="223"/>
        <v>18047593.46617708</v>
      </c>
      <c r="CE46" s="236">
        <f t="shared" si="223"/>
        <v>18047593.46617708</v>
      </c>
      <c r="CF46" s="236">
        <f t="shared" si="223"/>
        <v>18047593.46617708</v>
      </c>
      <c r="CG46" s="236">
        <f t="shared" si="223"/>
        <v>18047593.46617708</v>
      </c>
      <c r="CH46" s="236">
        <f t="shared" si="223"/>
        <v>18047593.46617708</v>
      </c>
      <c r="CI46" s="236">
        <f t="shared" si="223"/>
        <v>18047593.46617708</v>
      </c>
      <c r="CJ46" s="236">
        <f t="shared" si="223"/>
        <v>18047593.46617708</v>
      </c>
      <c r="CK46" s="236">
        <f t="shared" si="223"/>
        <v>18047593.46617708</v>
      </c>
      <c r="CL46" s="236">
        <f t="shared" si="223"/>
        <v>18047593.46617708</v>
      </c>
      <c r="CM46" s="236">
        <f t="shared" si="223"/>
        <v>18047593.46617708</v>
      </c>
      <c r="CN46" s="236">
        <f t="shared" si="212"/>
        <v>18047593.46617708</v>
      </c>
      <c r="CO46" s="236">
        <f t="shared" ref="CO46" si="224">+CO110</f>
        <v>18047593.46617708</v>
      </c>
      <c r="CP46" s="236">
        <f t="shared" ref="CP46:CZ46" si="225">+CP110</f>
        <v>18047593.46617708</v>
      </c>
      <c r="CQ46" s="236">
        <f t="shared" si="225"/>
        <v>18047593.46617708</v>
      </c>
      <c r="CR46" s="236">
        <f t="shared" si="225"/>
        <v>18047593.46617708</v>
      </c>
      <c r="CS46" s="236">
        <f t="shared" si="225"/>
        <v>18047593.46617708</v>
      </c>
      <c r="CT46" s="236">
        <f t="shared" si="225"/>
        <v>18047593.46617708</v>
      </c>
      <c r="CU46" s="236">
        <f t="shared" si="225"/>
        <v>18047593.46617708</v>
      </c>
      <c r="CV46" s="236">
        <f t="shared" si="225"/>
        <v>18047593.46617708</v>
      </c>
      <c r="CW46" s="236">
        <f t="shared" si="225"/>
        <v>18047593.46617708</v>
      </c>
      <c r="CX46" s="236">
        <f t="shared" si="225"/>
        <v>18047593.46617708</v>
      </c>
      <c r="CY46" s="236">
        <f t="shared" si="225"/>
        <v>18047593.46617708</v>
      </c>
      <c r="CZ46" s="236">
        <f t="shared" si="225"/>
        <v>18047593.46617708</v>
      </c>
      <c r="DA46" s="236">
        <f t="shared" si="215"/>
        <v>18047593.46617708</v>
      </c>
      <c r="DB46" s="236">
        <f t="shared" ref="DB46:DM46" si="226">+DB110</f>
        <v>18047593.46617708</v>
      </c>
      <c r="DC46" s="236">
        <f t="shared" si="226"/>
        <v>18047593.46617708</v>
      </c>
      <c r="DD46" s="236">
        <f t="shared" si="226"/>
        <v>18047593.46617708</v>
      </c>
      <c r="DE46" s="236">
        <f t="shared" si="226"/>
        <v>18047593.46617708</v>
      </c>
      <c r="DF46" s="236">
        <f t="shared" si="226"/>
        <v>18047593.46617708</v>
      </c>
      <c r="DG46" s="236">
        <f t="shared" si="226"/>
        <v>18047593.46617708</v>
      </c>
      <c r="DH46" s="236">
        <f t="shared" si="226"/>
        <v>18047593.46617708</v>
      </c>
      <c r="DI46" s="236">
        <f t="shared" si="226"/>
        <v>18047593.46617708</v>
      </c>
      <c r="DJ46" s="236">
        <f t="shared" si="226"/>
        <v>18047593.46617708</v>
      </c>
      <c r="DK46" s="236">
        <f t="shared" si="226"/>
        <v>18047593.46617708</v>
      </c>
      <c r="DL46" s="236">
        <f t="shared" si="226"/>
        <v>18047593.46617708</v>
      </c>
      <c r="DM46" s="236">
        <f t="shared" si="226"/>
        <v>18047593.46617708</v>
      </c>
      <c r="DN46" s="236">
        <f t="shared" si="217"/>
        <v>18047593.46617708</v>
      </c>
      <c r="DO46" s="236">
        <f t="shared" ref="DO46:DZ46" si="227">+DO110</f>
        <v>18047593.46617708</v>
      </c>
      <c r="DP46" s="236">
        <f t="shared" si="227"/>
        <v>18047593.46617708</v>
      </c>
      <c r="DQ46" s="236">
        <f t="shared" si="227"/>
        <v>18047593.46617708</v>
      </c>
      <c r="DR46" s="236">
        <f t="shared" si="227"/>
        <v>18047593.46617708</v>
      </c>
      <c r="DS46" s="236">
        <f t="shared" si="227"/>
        <v>18047593.46617708</v>
      </c>
      <c r="DT46" s="236">
        <f t="shared" si="227"/>
        <v>18047593.46617708</v>
      </c>
      <c r="DU46" s="236">
        <f t="shared" si="227"/>
        <v>18047593.46617708</v>
      </c>
      <c r="DV46" s="236">
        <f t="shared" si="227"/>
        <v>18047593.46617708</v>
      </c>
      <c r="DW46" s="236">
        <f t="shared" si="227"/>
        <v>18047593.46617708</v>
      </c>
      <c r="DX46" s="236">
        <f t="shared" si="227"/>
        <v>18047593.46617708</v>
      </c>
      <c r="DY46" s="236">
        <f t="shared" si="227"/>
        <v>18047593.46617708</v>
      </c>
      <c r="DZ46" s="236">
        <f t="shared" si="227"/>
        <v>18047593.46617708</v>
      </c>
      <c r="EA46" s="236">
        <f t="shared" si="219"/>
        <v>18047593.46617708</v>
      </c>
      <c r="EB46" s="236">
        <f t="shared" ref="EB46:EM46" si="228">+EB110</f>
        <v>18047593.46617708</v>
      </c>
      <c r="EC46" s="236">
        <f t="shared" si="228"/>
        <v>18047593.46617708</v>
      </c>
      <c r="ED46" s="236">
        <f t="shared" si="228"/>
        <v>18047593.46617708</v>
      </c>
      <c r="EE46" s="236">
        <f t="shared" si="228"/>
        <v>18047593.46617708</v>
      </c>
      <c r="EF46" s="236">
        <f t="shared" si="228"/>
        <v>18047593.46617708</v>
      </c>
      <c r="EG46" s="236">
        <f t="shared" si="228"/>
        <v>18047593.46617708</v>
      </c>
      <c r="EH46" s="236">
        <f t="shared" si="228"/>
        <v>18047593.46617708</v>
      </c>
      <c r="EI46" s="236">
        <f t="shared" si="228"/>
        <v>18047593.46617708</v>
      </c>
      <c r="EJ46" s="236">
        <f t="shared" si="228"/>
        <v>18047593.46617708</v>
      </c>
      <c r="EK46" s="236">
        <f t="shared" si="228"/>
        <v>18047593.46617708</v>
      </c>
      <c r="EL46" s="236">
        <f t="shared" si="228"/>
        <v>18047593.46617708</v>
      </c>
      <c r="EM46" s="236">
        <f t="shared" si="228"/>
        <v>18047593.46617708</v>
      </c>
      <c r="EN46" s="236">
        <f t="shared" si="221"/>
        <v>18047593.46617708</v>
      </c>
    </row>
    <row r="47" spans="1:144" s="236" customFormat="1" x14ac:dyDescent="0.25">
      <c r="A47" s="234" t="s">
        <v>269</v>
      </c>
      <c r="B47" s="236">
        <f>+'EEFF base'!BB41</f>
        <v>28760405.75999999</v>
      </c>
      <c r="C47" s="236">
        <f>+'EEFF base'!BC42+B47</f>
        <v>28760405.75999999</v>
      </c>
      <c r="D47" s="236">
        <f>+'EEFF base'!BD42+C47</f>
        <v>28760405.759999994</v>
      </c>
      <c r="E47" s="236">
        <f>+'EEFF base'!BE42+D47</f>
        <v>28760405.759999998</v>
      </c>
      <c r="F47" s="236">
        <f>+'EEFF base'!BF42+E47</f>
        <v>28760405.759999998</v>
      </c>
      <c r="G47" s="236">
        <f>+'EEFF base'!BG42+F47</f>
        <v>28760405.759999998</v>
      </c>
      <c r="H47" s="236">
        <f>+'EEFF base'!BH42+G47</f>
        <v>28760405.759999998</v>
      </c>
      <c r="I47" s="236">
        <f>+'EEFF base'!BI42+H47</f>
        <v>28760405.759999994</v>
      </c>
      <c r="J47" s="236">
        <f>+'EEFF base'!BJ42+I47</f>
        <v>28760405.75999999</v>
      </c>
      <c r="K47" s="236">
        <f>+'EEFF base'!BK42+J47</f>
        <v>28760405.75999999</v>
      </c>
      <c r="L47" s="236">
        <f>+'EEFF base'!BL42+K47</f>
        <v>28760405.759999987</v>
      </c>
      <c r="M47" s="236">
        <f>+'EEFF base'!BM42+L47</f>
        <v>28760405.759999979</v>
      </c>
      <c r="N47" s="236">
        <f t="shared" si="205"/>
        <v>28760405.759999979</v>
      </c>
      <c r="O47" s="236">
        <f>+'EEFF base'!BO41</f>
        <v>38090258.12000002</v>
      </c>
      <c r="P47" s="236">
        <f>+'EEFF base'!BP42+O47</f>
        <v>38090258.12000002</v>
      </c>
      <c r="Q47" s="236">
        <f>+'EEFF base'!BQ42+P47</f>
        <v>38090258.12000002</v>
      </c>
      <c r="R47" s="236">
        <f>+'EEFF base'!BR42+Q47</f>
        <v>38090258.120000027</v>
      </c>
      <c r="S47" s="236">
        <f>+'EEFF base'!BS42+R47</f>
        <v>38090258.120000027</v>
      </c>
      <c r="T47" s="236">
        <f>+'EEFF base'!BT42+S47</f>
        <v>38090258.120000027</v>
      </c>
      <c r="U47" s="236">
        <f>+'EEFF base'!BU42+T47</f>
        <v>38090258.120000027</v>
      </c>
      <c r="V47" s="236">
        <f>+'EEFF base'!BV42+U47</f>
        <v>38090258.120000035</v>
      </c>
      <c r="W47" s="236">
        <f>+'EEFF base'!BW42+V47</f>
        <v>38090258.120000035</v>
      </c>
      <c r="X47" s="236">
        <f>+'EEFF base'!BX42+W47</f>
        <v>38090258.120000027</v>
      </c>
      <c r="Y47" s="236">
        <f>+'EEFF base'!BY42+X47</f>
        <v>38090258.120000027</v>
      </c>
      <c r="Z47" s="236">
        <f>+'EEFF base'!BZ42+Y47</f>
        <v>38090258.120000027</v>
      </c>
      <c r="AA47" s="236">
        <f t="shared" si="99"/>
        <v>38090258.120000027</v>
      </c>
      <c r="AB47" s="236">
        <f>+'EEFF base'!CB41</f>
        <v>31456054.630000006</v>
      </c>
      <c r="AC47" s="236">
        <f>+'EEFF base'!CC42+AB47</f>
        <v>31456054.630000003</v>
      </c>
      <c r="AD47" s="236">
        <f>+'EEFF base'!CD42+AC47</f>
        <v>31456054.629999999</v>
      </c>
      <c r="AE47" s="236">
        <f>+'EEFF base'!CE42+AD47</f>
        <v>31456054.630000003</v>
      </c>
      <c r="AF47" s="236">
        <f>+'EEFF base'!CF42+AE47</f>
        <v>31456054.630000003</v>
      </c>
      <c r="AG47" s="236">
        <f>+'EEFF base'!CG42+AF47</f>
        <v>31456054.63000001</v>
      </c>
      <c r="AH47" s="236">
        <f>+'EEFF base'!CH42+AG47</f>
        <v>31456054.63000001</v>
      </c>
      <c r="AI47" s="236">
        <f>+'EEFF base'!CI42+AH47</f>
        <v>31456054.630000018</v>
      </c>
      <c r="AJ47" s="236">
        <f>+'EEFF base'!CJ42+AI47</f>
        <v>31456054.630000006</v>
      </c>
      <c r="AK47" s="236">
        <f>+'EEFF base'!CK42+AJ47</f>
        <v>31456054.630000006</v>
      </c>
      <c r="AL47" s="236">
        <f>+'EEFF base'!CL42+AK47</f>
        <v>31456054.630000003</v>
      </c>
      <c r="AM47" s="236">
        <f>+'EEFF base'!CM42+AL47</f>
        <v>31456054.629999988</v>
      </c>
      <c r="AN47" s="236">
        <f t="shared" si="100"/>
        <v>31456054.629999988</v>
      </c>
      <c r="AO47" s="236">
        <f>+'EEFF historicoss'!R48</f>
        <v>22809393.140000012</v>
      </c>
      <c r="AP47" s="236">
        <f>+'EEFF historicoss'!S48</f>
        <v>26172194.140000012</v>
      </c>
      <c r="AQ47" s="236">
        <f>+'EEFF historicoss'!T48</f>
        <v>26896855.160000011</v>
      </c>
      <c r="AR47" s="236">
        <f>+'EEFF historicoss'!U48</f>
        <v>27533363.930000003</v>
      </c>
      <c r="AS47" s="236">
        <f>+'EEFF historicoss'!V48</f>
        <v>21563243.600000005</v>
      </c>
      <c r="AT47" s="236">
        <f>+'EEFF historicoss'!W48</f>
        <v>26792639.470000006</v>
      </c>
      <c r="AU47" s="236">
        <f>+'EEFF historicoss'!X48</f>
        <v>28644514.95000001</v>
      </c>
      <c r="AV47" s="236">
        <f>+'EEFF historicoss'!Y48</f>
        <v>27004358.320000019</v>
      </c>
      <c r="AW47" s="236">
        <f>+'EEFF historicoss'!Z48</f>
        <v>21824306.080000024</v>
      </c>
      <c r="AX47" s="236">
        <f>+'EEFF historicoss'!AA48</f>
        <v>24438249.570000026</v>
      </c>
      <c r="AY47" s="236">
        <f>+'EEFF historicoss'!AB48</f>
        <v>24993465.350000028</v>
      </c>
      <c r="AZ47" s="236">
        <f>+'EEFF historicoss'!AC48</f>
        <v>29307415.68000003</v>
      </c>
      <c r="BA47" s="236">
        <f t="shared" si="207"/>
        <v>29307415.68000003</v>
      </c>
      <c r="BB47" s="236">
        <f>+'EEFF historicoss'!AE48</f>
        <v>11324973.789999999</v>
      </c>
      <c r="BC47" s="236">
        <f>+'EEFF historicoss'!AF48</f>
        <v>10739211.84</v>
      </c>
      <c r="BD47" s="236">
        <f>+'EEFF historicoss'!AG48</f>
        <v>11519713.6</v>
      </c>
      <c r="BE47" s="236">
        <f>+'EEFF historicoss'!AH48</f>
        <v>12208854.85</v>
      </c>
      <c r="BF47" s="236">
        <f>+'EEFF historicoss'!AI48</f>
        <v>12801984.779999999</v>
      </c>
      <c r="BG47" s="236">
        <f>+'EEFF historicoss'!AJ48</f>
        <v>13525194.27</v>
      </c>
      <c r="BH47" s="236">
        <f>+'EEFF historicoss'!AK48</f>
        <v>14193495.4</v>
      </c>
      <c r="BI47" s="236">
        <f>+'EEFF historicoss'!AL48</f>
        <v>14882362.220000001</v>
      </c>
      <c r="BJ47" s="236">
        <f>+'EEFF historicoss'!AM48</f>
        <v>7234498.46</v>
      </c>
      <c r="BK47" s="236">
        <f>+'EEFF historicoss'!AN48</f>
        <v>7926969.0199999996</v>
      </c>
      <c r="BL47" s="236">
        <f>+'EEFF historicoss'!AO48</f>
        <v>8625258.9600000009</v>
      </c>
      <c r="BM47" s="236">
        <f>+'EEFF historicoss'!AP48</f>
        <v>12003839.960000001</v>
      </c>
      <c r="BN47" s="236">
        <f t="shared" si="208"/>
        <v>12003839.960000001</v>
      </c>
      <c r="BO47" s="236">
        <f>+'EEFF historicoss'!AR48</f>
        <v>13293361.279999999</v>
      </c>
      <c r="BP47" s="236">
        <f>+'EEFF historicoss'!AS48</f>
        <v>11824166.91</v>
      </c>
      <c r="BQ47" s="236">
        <f>+'EEFF historicoss'!AT48</f>
        <v>10099014.65</v>
      </c>
      <c r="BR47" s="236">
        <f>+'EEFF historicoss'!AU48</f>
        <v>10820424.300000001</v>
      </c>
      <c r="BS47" s="236">
        <f>+'EEFF historicoss'!AV48</f>
        <v>11597223.9</v>
      </c>
      <c r="BT47" s="236">
        <f>+'EEFF historicoss'!AW48</f>
        <v>12337061.99</v>
      </c>
      <c r="BU47" s="236">
        <f t="shared" ref="BU47:BZ47" si="229">+BU111</f>
        <v>17376343.786521953</v>
      </c>
      <c r="BV47" s="236">
        <f t="shared" si="229"/>
        <v>19717571.733469959</v>
      </c>
      <c r="BW47" s="236">
        <f t="shared" si="229"/>
        <v>18085543.208388645</v>
      </c>
      <c r="BX47" s="236">
        <f t="shared" si="229"/>
        <v>20254881.978768356</v>
      </c>
      <c r="BY47" s="236">
        <f t="shared" si="229"/>
        <v>16257282.792928731</v>
      </c>
      <c r="BZ47" s="236">
        <f t="shared" si="229"/>
        <v>16566368.550866349</v>
      </c>
      <c r="CA47" s="236">
        <f t="shared" si="210"/>
        <v>16566368.550866349</v>
      </c>
      <c r="CB47" s="236">
        <f t="shared" ref="CB47:CM47" si="230">+CB111</f>
        <v>23464561.966152545</v>
      </c>
      <c r="CC47" s="236">
        <f t="shared" si="230"/>
        <v>23464561.966152545</v>
      </c>
      <c r="CD47" s="236">
        <f t="shared" si="230"/>
        <v>23464561.966152545</v>
      </c>
      <c r="CE47" s="236">
        <f t="shared" si="230"/>
        <v>23464561.966152545</v>
      </c>
      <c r="CF47" s="236">
        <f t="shared" si="230"/>
        <v>23464561.966152545</v>
      </c>
      <c r="CG47" s="236">
        <f t="shared" si="230"/>
        <v>23464561.966152545</v>
      </c>
      <c r="CH47" s="236">
        <f t="shared" si="230"/>
        <v>23464561.966152545</v>
      </c>
      <c r="CI47" s="236">
        <f t="shared" si="230"/>
        <v>23464561.966152545</v>
      </c>
      <c r="CJ47" s="236">
        <f t="shared" si="230"/>
        <v>23464561.966152545</v>
      </c>
      <c r="CK47" s="236">
        <f t="shared" si="230"/>
        <v>23464561.966152545</v>
      </c>
      <c r="CL47" s="236">
        <f t="shared" si="230"/>
        <v>23464561.966152545</v>
      </c>
      <c r="CM47" s="236">
        <f t="shared" si="230"/>
        <v>23464561.966152545</v>
      </c>
      <c r="CN47" s="236">
        <f t="shared" si="212"/>
        <v>23464561.966152545</v>
      </c>
      <c r="CO47" s="236">
        <f t="shared" ref="CO47" si="231">+CO111</f>
        <v>23464561.966152545</v>
      </c>
      <c r="CP47" s="236">
        <f t="shared" ref="CP47:CZ47" si="232">+CP111</f>
        <v>23464561.966152545</v>
      </c>
      <c r="CQ47" s="236">
        <f t="shared" si="232"/>
        <v>23464561.966152545</v>
      </c>
      <c r="CR47" s="236">
        <f t="shared" si="232"/>
        <v>23464561.966152545</v>
      </c>
      <c r="CS47" s="236">
        <f t="shared" si="232"/>
        <v>23464561.966152545</v>
      </c>
      <c r="CT47" s="236">
        <f t="shared" si="232"/>
        <v>23464561.966152545</v>
      </c>
      <c r="CU47" s="236">
        <f t="shared" si="232"/>
        <v>23464561.966152545</v>
      </c>
      <c r="CV47" s="236">
        <f t="shared" si="232"/>
        <v>23464561.966152545</v>
      </c>
      <c r="CW47" s="236">
        <f t="shared" si="232"/>
        <v>23464561.966152545</v>
      </c>
      <c r="CX47" s="236">
        <f t="shared" si="232"/>
        <v>23464561.966152545</v>
      </c>
      <c r="CY47" s="236">
        <f t="shared" si="232"/>
        <v>23464561.966152545</v>
      </c>
      <c r="CZ47" s="236">
        <f t="shared" si="232"/>
        <v>23464561.966152545</v>
      </c>
      <c r="DA47" s="236">
        <f t="shared" si="215"/>
        <v>23464561.966152545</v>
      </c>
      <c r="DB47" s="236">
        <f t="shared" ref="DB47:DM47" si="233">+DB111</f>
        <v>23464561.966152545</v>
      </c>
      <c r="DC47" s="236">
        <f t="shared" si="233"/>
        <v>23464561.966152545</v>
      </c>
      <c r="DD47" s="236">
        <f t="shared" si="233"/>
        <v>23464561.966152545</v>
      </c>
      <c r="DE47" s="236">
        <f t="shared" si="233"/>
        <v>23464561.966152545</v>
      </c>
      <c r="DF47" s="236">
        <f t="shared" si="233"/>
        <v>23464561.966152545</v>
      </c>
      <c r="DG47" s="236">
        <f t="shared" si="233"/>
        <v>23464561.966152545</v>
      </c>
      <c r="DH47" s="236">
        <f t="shared" si="233"/>
        <v>23464561.966152545</v>
      </c>
      <c r="DI47" s="236">
        <f t="shared" si="233"/>
        <v>23464561.966152545</v>
      </c>
      <c r="DJ47" s="236">
        <f t="shared" si="233"/>
        <v>23464561.966152545</v>
      </c>
      <c r="DK47" s="236">
        <f t="shared" si="233"/>
        <v>23464561.966152545</v>
      </c>
      <c r="DL47" s="236">
        <f t="shared" si="233"/>
        <v>23464561.966152545</v>
      </c>
      <c r="DM47" s="236">
        <f t="shared" si="233"/>
        <v>23464561.966152545</v>
      </c>
      <c r="DN47" s="236">
        <f t="shared" si="217"/>
        <v>23464561.966152545</v>
      </c>
      <c r="DO47" s="236">
        <f t="shared" ref="DO47:DZ47" si="234">+DO111</f>
        <v>23464561.966152545</v>
      </c>
      <c r="DP47" s="236">
        <f t="shared" si="234"/>
        <v>23464561.966152545</v>
      </c>
      <c r="DQ47" s="236">
        <f t="shared" si="234"/>
        <v>23464561.966152545</v>
      </c>
      <c r="DR47" s="236">
        <f t="shared" si="234"/>
        <v>23464561.966152545</v>
      </c>
      <c r="DS47" s="236">
        <f t="shared" si="234"/>
        <v>23464561.966152545</v>
      </c>
      <c r="DT47" s="236">
        <f t="shared" si="234"/>
        <v>23464561.966152545</v>
      </c>
      <c r="DU47" s="236">
        <f t="shared" si="234"/>
        <v>23464561.966152545</v>
      </c>
      <c r="DV47" s="236">
        <f t="shared" si="234"/>
        <v>23464561.966152545</v>
      </c>
      <c r="DW47" s="236">
        <f t="shared" si="234"/>
        <v>23464561.966152545</v>
      </c>
      <c r="DX47" s="236">
        <f t="shared" si="234"/>
        <v>23464561.966152545</v>
      </c>
      <c r="DY47" s="236">
        <f t="shared" si="234"/>
        <v>23464561.966152545</v>
      </c>
      <c r="DZ47" s="236">
        <f t="shared" si="234"/>
        <v>23464561.966152545</v>
      </c>
      <c r="EA47" s="236">
        <f t="shared" si="219"/>
        <v>23464561.966152545</v>
      </c>
      <c r="EB47" s="236">
        <f t="shared" ref="EB47:EM47" si="235">+EB111</f>
        <v>23464561.966152545</v>
      </c>
      <c r="EC47" s="236">
        <f t="shared" si="235"/>
        <v>23464561.966152545</v>
      </c>
      <c r="ED47" s="236">
        <f t="shared" si="235"/>
        <v>23464561.966152545</v>
      </c>
      <c r="EE47" s="236">
        <f t="shared" si="235"/>
        <v>23464561.966152545</v>
      </c>
      <c r="EF47" s="236">
        <f t="shared" si="235"/>
        <v>23464561.966152545</v>
      </c>
      <c r="EG47" s="236">
        <f t="shared" si="235"/>
        <v>23464561.966152545</v>
      </c>
      <c r="EH47" s="236">
        <f t="shared" si="235"/>
        <v>23464561.966152545</v>
      </c>
      <c r="EI47" s="236">
        <f t="shared" si="235"/>
        <v>23464561.966152545</v>
      </c>
      <c r="EJ47" s="236">
        <f t="shared" si="235"/>
        <v>23464561.966152545</v>
      </c>
      <c r="EK47" s="236">
        <f t="shared" si="235"/>
        <v>23464561.966152545</v>
      </c>
      <c r="EL47" s="236">
        <f t="shared" si="235"/>
        <v>23464561.966152545</v>
      </c>
      <c r="EM47" s="236">
        <f t="shared" si="235"/>
        <v>23464561.966152545</v>
      </c>
      <c r="EN47" s="236">
        <f t="shared" si="221"/>
        <v>23464561.966152545</v>
      </c>
    </row>
    <row r="48" spans="1:144" s="236" customFormat="1" x14ac:dyDescent="0.25">
      <c r="A48" s="234" t="s">
        <v>270</v>
      </c>
      <c r="B48" s="236">
        <f>+'EEFF base'!BB42</f>
        <v>-4.6566128730773926E-10</v>
      </c>
      <c r="C48" s="236">
        <f>+'EEFF base'!BC43+B48</f>
        <v>-230972.37999999989</v>
      </c>
      <c r="D48" s="236">
        <f>+'EEFF base'!BD43+C48</f>
        <v>-2228115.5400000005</v>
      </c>
      <c r="E48" s="236">
        <f>+'EEFF base'!BE43+D48</f>
        <v>-2797116.93</v>
      </c>
      <c r="F48" s="236">
        <f>+'EEFF base'!BF43+E48</f>
        <v>-4389637.7199999988</v>
      </c>
      <c r="G48" s="236">
        <f>+'EEFF base'!BG43+F48</f>
        <v>-7886402.8200000003</v>
      </c>
      <c r="H48" s="236">
        <f>+'EEFF base'!BH43+G48</f>
        <v>-9112274.4800000004</v>
      </c>
      <c r="I48" s="236">
        <f>+'EEFF base'!BI43+H48</f>
        <v>-9287447.540000001</v>
      </c>
      <c r="J48" s="236">
        <f>+'EEFF base'!BJ43+I48</f>
        <v>-5741305.3800000008</v>
      </c>
      <c r="K48" s="236">
        <f>+'EEFF base'!BK43+J48</f>
        <v>-5231280.7300000004</v>
      </c>
      <c r="L48" s="236">
        <f>+'EEFF base'!BL43+K48</f>
        <v>-6972623.9500000002</v>
      </c>
      <c r="M48" s="236">
        <f>+'EEFF base'!BM43+L48</f>
        <v>-7122979.04</v>
      </c>
      <c r="N48" s="236">
        <f t="shared" si="205"/>
        <v>-7122979.04</v>
      </c>
      <c r="O48" s="236">
        <f>+'EEFF base'!BO42</f>
        <v>1.0422809282317758E-9</v>
      </c>
      <c r="P48" s="236">
        <f>+'EEFF base'!BP43+O48</f>
        <v>-865326.94999999914</v>
      </c>
      <c r="Q48" s="236">
        <f>+'EEFF base'!BQ43+P48</f>
        <v>-1297579.4099999992</v>
      </c>
      <c r="R48" s="236">
        <f>+'EEFF base'!BR43+Q48</f>
        <v>-2460124.6100000003</v>
      </c>
      <c r="S48" s="236">
        <f>+'EEFF base'!BS43+R48</f>
        <v>-2524286.1300000004</v>
      </c>
      <c r="T48" s="236">
        <f>+'EEFF base'!BT43+S48</f>
        <v>-2550765.9300000002</v>
      </c>
      <c r="U48" s="236">
        <f>+'EEFF base'!BU43+T48</f>
        <v>-2478734.9700000002</v>
      </c>
      <c r="V48" s="236">
        <f>+'EEFF base'!BV43+U48</f>
        <v>4475073.5399999991</v>
      </c>
      <c r="W48" s="236">
        <f>+'EEFF base'!BW43+V48</f>
        <v>4405941.7899999991</v>
      </c>
      <c r="X48" s="236">
        <f>+'EEFF base'!BX43+W48</f>
        <v>6709148.0199999996</v>
      </c>
      <c r="Y48" s="236">
        <f>+'EEFF base'!BY43+X48</f>
        <v>11502237.199999999</v>
      </c>
      <c r="Z48" s="236">
        <f>+'EEFF base'!BZ43+Y48</f>
        <v>11019172.83</v>
      </c>
      <c r="AA48" s="236">
        <f t="shared" si="99"/>
        <v>11019172.83</v>
      </c>
      <c r="AB48" s="236">
        <f>+'EEFF base'!CB42</f>
        <v>2.2373569663614035E-10</v>
      </c>
      <c r="AC48" s="236">
        <f>+'EEFF base'!CC43+AB48</f>
        <v>13478614.57</v>
      </c>
      <c r="AD48" s="236">
        <f>+'EEFF base'!CD43+AC48</f>
        <v>13320532.27</v>
      </c>
      <c r="AE48" s="236">
        <f>+'EEFF base'!CE43+AD48</f>
        <v>12940751.359999999</v>
      </c>
      <c r="AF48" s="236">
        <f>+'EEFF base'!CF43+AE48</f>
        <v>13495678.02</v>
      </c>
      <c r="AG48" s="236">
        <f>+'EEFF base'!CG43+AF48</f>
        <v>13703350.309999999</v>
      </c>
      <c r="AH48" s="236">
        <f>+'EEFF base'!CH43+AG48</f>
        <v>13176844.819999998</v>
      </c>
      <c r="AI48" s="236">
        <f>+'EEFF base'!CI43+AH48</f>
        <v>12776990.389999999</v>
      </c>
      <c r="AJ48" s="236">
        <f>+'EEFF base'!CJ43+AI48</f>
        <v>11282669.899999999</v>
      </c>
      <c r="AK48" s="236">
        <f>+'EEFF base'!CK43+AJ48</f>
        <v>11009325.709999999</v>
      </c>
      <c r="AL48" s="236">
        <f>+'EEFF base'!CL43+AK48</f>
        <v>10999702.659999998</v>
      </c>
      <c r="AM48" s="236">
        <f>+'EEFF base'!CM43+AL48</f>
        <v>11085183.109999998</v>
      </c>
      <c r="AN48" s="236">
        <f t="shared" si="100"/>
        <v>11085183.109999998</v>
      </c>
      <c r="AO48" s="236">
        <f>+'EEFF historicoss'!R46</f>
        <v>5.4387783166021109E-9</v>
      </c>
      <c r="AP48" s="236">
        <f>+'EEFF historicoss'!S46</f>
        <v>5.8489604271017015E-9</v>
      </c>
      <c r="AQ48" s="236">
        <f>+'EEFF historicoss'!T46</f>
        <v>1.7696038412395865E-8</v>
      </c>
      <c r="AR48" s="236">
        <f>+'EEFF historicoss'!U46</f>
        <v>1.5833393263164908E-8</v>
      </c>
      <c r="AS48" s="236">
        <f>+'EEFF historicoss'!V46</f>
        <v>1.5758814697619528E-8</v>
      </c>
      <c r="AT48" s="236">
        <f>+'EEFF historicoss'!W46</f>
        <v>1.7397724150214344E-8</v>
      </c>
      <c r="AU48" s="236">
        <f>+'EEFF historicoss'!X46</f>
        <v>1.5311343304347247E-8</v>
      </c>
      <c r="AV48" s="236">
        <f>+'EEFF historicoss'!Y46</f>
        <v>9.2022673925384879E-9</v>
      </c>
      <c r="AW48" s="236">
        <f>+'EEFF historicoss'!Z46</f>
        <v>1.1548763723112643E-8</v>
      </c>
      <c r="AX48" s="236">
        <f>+'EEFF historicoss'!AA46</f>
        <v>3.3416654332540929E-8</v>
      </c>
      <c r="AY48" s="236">
        <f>+'EEFF historicoss'!AB46</f>
        <v>3.2001025829231367E-8</v>
      </c>
      <c r="AZ48" s="236">
        <f>+'EEFF historicoss'!AC46</f>
        <v>4.1314251575386152E-8</v>
      </c>
      <c r="BA48" s="236">
        <f t="shared" si="207"/>
        <v>4.1314251575386152E-8</v>
      </c>
      <c r="BB48" s="236">
        <f>+'EEFF historicoss'!AE46</f>
        <v>0</v>
      </c>
      <c r="BC48" s="236">
        <f>+'EEFF historicoss'!AF46</f>
        <v>0</v>
      </c>
      <c r="BD48" s="236">
        <f>+'EEFF historicoss'!AG46</f>
        <v>0</v>
      </c>
      <c r="BE48" s="236">
        <f>+'EEFF historicoss'!AH46</f>
        <v>0</v>
      </c>
      <c r="BF48" s="236">
        <f>+'EEFF historicoss'!AI46</f>
        <v>0</v>
      </c>
      <c r="BG48" s="236">
        <f>+'EEFF historicoss'!AJ46</f>
        <v>0</v>
      </c>
      <c r="BH48" s="236">
        <f>+'EEFF historicoss'!AK46</f>
        <v>0</v>
      </c>
      <c r="BI48" s="236">
        <f>+'EEFF historicoss'!AL46</f>
        <v>0</v>
      </c>
      <c r="BJ48" s="236">
        <f>+'EEFF historicoss'!AM46</f>
        <v>0</v>
      </c>
      <c r="BK48" s="236">
        <f>+'EEFF historicoss'!AN46</f>
        <v>0</v>
      </c>
      <c r="BL48" s="236">
        <f>+'EEFF historicoss'!AO46</f>
        <v>1</v>
      </c>
      <c r="BM48" s="236">
        <f>+'EEFF historicoss'!AP46</f>
        <v>0</v>
      </c>
      <c r="BN48" s="236">
        <f t="shared" si="208"/>
        <v>0</v>
      </c>
      <c r="BO48" s="236">
        <f>+'EEFF historicoss'!AR46</f>
        <v>0</v>
      </c>
      <c r="BP48" s="236">
        <f>+'EEFF historicoss'!AS46</f>
        <v>0</v>
      </c>
      <c r="BQ48" s="236">
        <f>+'EEFF historicoss'!AT46</f>
        <v>0</v>
      </c>
      <c r="BR48" s="236">
        <f>+'EEFF historicoss'!AU46</f>
        <v>0</v>
      </c>
      <c r="BS48" s="236">
        <f>+'EEFF historicoss'!AV46</f>
        <v>0</v>
      </c>
      <c r="BT48" s="236">
        <f>+'EEFF historicoss'!AW46</f>
        <v>0</v>
      </c>
      <c r="BU48" s="236">
        <f t="shared" ref="BU48:BZ48" si="236">+BU112</f>
        <v>0</v>
      </c>
      <c r="BV48" s="236">
        <f t="shared" si="236"/>
        <v>0</v>
      </c>
      <c r="BW48" s="236">
        <f t="shared" si="236"/>
        <v>0</v>
      </c>
      <c r="BX48" s="236">
        <f t="shared" si="236"/>
        <v>0</v>
      </c>
      <c r="BY48" s="236">
        <f t="shared" si="236"/>
        <v>0</v>
      </c>
      <c r="BZ48" s="236">
        <f t="shared" si="236"/>
        <v>0</v>
      </c>
      <c r="CA48" s="236">
        <f t="shared" si="210"/>
        <v>0</v>
      </c>
      <c r="CB48" s="236">
        <f t="shared" ref="CB48:CM48" si="237">+CB112</f>
        <v>0</v>
      </c>
      <c r="CC48" s="236">
        <f t="shared" si="237"/>
        <v>0</v>
      </c>
      <c r="CD48" s="236">
        <f t="shared" si="237"/>
        <v>0</v>
      </c>
      <c r="CE48" s="236">
        <f t="shared" si="237"/>
        <v>0</v>
      </c>
      <c r="CF48" s="236">
        <f t="shared" si="237"/>
        <v>0</v>
      </c>
      <c r="CG48" s="236">
        <f t="shared" si="237"/>
        <v>0</v>
      </c>
      <c r="CH48" s="236">
        <f t="shared" si="237"/>
        <v>0</v>
      </c>
      <c r="CI48" s="236">
        <f t="shared" si="237"/>
        <v>0</v>
      </c>
      <c r="CJ48" s="236">
        <f t="shared" si="237"/>
        <v>0</v>
      </c>
      <c r="CK48" s="236">
        <f t="shared" si="237"/>
        <v>0</v>
      </c>
      <c r="CL48" s="236">
        <f t="shared" si="237"/>
        <v>0</v>
      </c>
      <c r="CM48" s="236">
        <f t="shared" si="237"/>
        <v>0</v>
      </c>
      <c r="CN48" s="236">
        <f t="shared" si="212"/>
        <v>0</v>
      </c>
      <c r="CO48" s="236">
        <f t="shared" ref="CO48" si="238">+CO112</f>
        <v>0</v>
      </c>
      <c r="CP48" s="236">
        <f t="shared" ref="CP48:CZ48" si="239">+CP112</f>
        <v>0</v>
      </c>
      <c r="CQ48" s="236">
        <f t="shared" si="239"/>
        <v>0</v>
      </c>
      <c r="CR48" s="236">
        <f t="shared" si="239"/>
        <v>0</v>
      </c>
      <c r="CS48" s="236">
        <f t="shared" si="239"/>
        <v>0</v>
      </c>
      <c r="CT48" s="236">
        <f t="shared" si="239"/>
        <v>0</v>
      </c>
      <c r="CU48" s="236">
        <f t="shared" si="239"/>
        <v>0</v>
      </c>
      <c r="CV48" s="236">
        <f t="shared" si="239"/>
        <v>0</v>
      </c>
      <c r="CW48" s="236">
        <f t="shared" si="239"/>
        <v>0</v>
      </c>
      <c r="CX48" s="236">
        <f t="shared" si="239"/>
        <v>0</v>
      </c>
      <c r="CY48" s="236">
        <f t="shared" si="239"/>
        <v>0</v>
      </c>
      <c r="CZ48" s="236">
        <f t="shared" si="239"/>
        <v>0</v>
      </c>
      <c r="DA48" s="236">
        <f t="shared" si="215"/>
        <v>0</v>
      </c>
      <c r="DB48" s="236">
        <f t="shared" ref="DB48:DM48" si="240">+DB112</f>
        <v>0</v>
      </c>
      <c r="DC48" s="236">
        <f t="shared" si="240"/>
        <v>0</v>
      </c>
      <c r="DD48" s="236">
        <f t="shared" si="240"/>
        <v>0</v>
      </c>
      <c r="DE48" s="236">
        <f t="shared" si="240"/>
        <v>0</v>
      </c>
      <c r="DF48" s="236">
        <f t="shared" si="240"/>
        <v>0</v>
      </c>
      <c r="DG48" s="236">
        <f t="shared" si="240"/>
        <v>0</v>
      </c>
      <c r="DH48" s="236">
        <f t="shared" si="240"/>
        <v>0</v>
      </c>
      <c r="DI48" s="236">
        <f t="shared" si="240"/>
        <v>0</v>
      </c>
      <c r="DJ48" s="236">
        <f t="shared" si="240"/>
        <v>0</v>
      </c>
      <c r="DK48" s="236">
        <f t="shared" si="240"/>
        <v>0</v>
      </c>
      <c r="DL48" s="236">
        <f t="shared" si="240"/>
        <v>0</v>
      </c>
      <c r="DM48" s="236">
        <f t="shared" si="240"/>
        <v>0</v>
      </c>
      <c r="DN48" s="236">
        <f t="shared" si="217"/>
        <v>0</v>
      </c>
      <c r="DO48" s="236">
        <f t="shared" ref="DO48:DZ48" si="241">+DO112</f>
        <v>0</v>
      </c>
      <c r="DP48" s="236">
        <f t="shared" si="241"/>
        <v>0</v>
      </c>
      <c r="DQ48" s="236">
        <f t="shared" si="241"/>
        <v>0</v>
      </c>
      <c r="DR48" s="236">
        <f t="shared" si="241"/>
        <v>0</v>
      </c>
      <c r="DS48" s="236">
        <f t="shared" si="241"/>
        <v>0</v>
      </c>
      <c r="DT48" s="236">
        <f t="shared" si="241"/>
        <v>0</v>
      </c>
      <c r="DU48" s="236">
        <f t="shared" si="241"/>
        <v>0</v>
      </c>
      <c r="DV48" s="236">
        <f t="shared" si="241"/>
        <v>0</v>
      </c>
      <c r="DW48" s="236">
        <f t="shared" si="241"/>
        <v>0</v>
      </c>
      <c r="DX48" s="236">
        <f t="shared" si="241"/>
        <v>0</v>
      </c>
      <c r="DY48" s="236">
        <f t="shared" si="241"/>
        <v>0</v>
      </c>
      <c r="DZ48" s="236">
        <f t="shared" si="241"/>
        <v>0</v>
      </c>
      <c r="EA48" s="236">
        <f t="shared" si="219"/>
        <v>0</v>
      </c>
      <c r="EB48" s="236">
        <f t="shared" ref="EB48:EM48" si="242">+EB112</f>
        <v>0</v>
      </c>
      <c r="EC48" s="236">
        <f t="shared" si="242"/>
        <v>0</v>
      </c>
      <c r="ED48" s="236">
        <f t="shared" si="242"/>
        <v>0</v>
      </c>
      <c r="EE48" s="236">
        <f t="shared" si="242"/>
        <v>0</v>
      </c>
      <c r="EF48" s="236">
        <f t="shared" si="242"/>
        <v>0</v>
      </c>
      <c r="EG48" s="236">
        <f t="shared" si="242"/>
        <v>0</v>
      </c>
      <c r="EH48" s="236">
        <f t="shared" si="242"/>
        <v>0</v>
      </c>
      <c r="EI48" s="236">
        <f t="shared" si="242"/>
        <v>0</v>
      </c>
      <c r="EJ48" s="236">
        <f t="shared" si="242"/>
        <v>0</v>
      </c>
      <c r="EK48" s="236">
        <f t="shared" si="242"/>
        <v>0</v>
      </c>
      <c r="EL48" s="236">
        <f t="shared" si="242"/>
        <v>0</v>
      </c>
      <c r="EM48" s="236">
        <f t="shared" si="242"/>
        <v>0</v>
      </c>
      <c r="EN48" s="236">
        <f t="shared" si="221"/>
        <v>0</v>
      </c>
    </row>
    <row r="49" spans="1:144" s="236" customFormat="1" x14ac:dyDescent="0.25">
      <c r="A49" s="234" t="s">
        <v>271</v>
      </c>
      <c r="B49" s="236">
        <f>+'EEFF base'!BB43</f>
        <v>16812949.259999998</v>
      </c>
      <c r="C49" s="236">
        <f>+'EEFF base'!BC44+B49</f>
        <v>16812949.259999998</v>
      </c>
      <c r="D49" s="236">
        <f>+'EEFF base'!BD44+C49</f>
        <v>16812949.259999998</v>
      </c>
      <c r="E49" s="236">
        <f>+'EEFF base'!BE44+D49</f>
        <v>16812949.259999998</v>
      </c>
      <c r="F49" s="236">
        <f>+'EEFF base'!BF44+E49</f>
        <v>16812949.259999998</v>
      </c>
      <c r="G49" s="236">
        <f>+'EEFF base'!BG44+F49</f>
        <v>16812949.259999998</v>
      </c>
      <c r="H49" s="236">
        <f>+'EEFF base'!BH44+G49</f>
        <v>16812949.259999998</v>
      </c>
      <c r="I49" s="236">
        <f>+'EEFF base'!BI44+H49</f>
        <v>16812949.259999998</v>
      </c>
      <c r="J49" s="236">
        <f>+'EEFF base'!BJ44+I49</f>
        <v>16812949.259999998</v>
      </c>
      <c r="K49" s="236">
        <f>+'EEFF base'!BK44+J49</f>
        <v>16812949.259999998</v>
      </c>
      <c r="L49" s="236">
        <f>+'EEFF base'!BL44+K49</f>
        <v>16812949.259999998</v>
      </c>
      <c r="M49" s="236">
        <f>+'EEFF base'!BM44+L49</f>
        <v>16812949.259999998</v>
      </c>
      <c r="N49" s="236">
        <f t="shared" si="205"/>
        <v>16812949.259999998</v>
      </c>
      <c r="O49" s="236">
        <f>+'EEFF base'!BO43</f>
        <v>8965162.3800000027</v>
      </c>
      <c r="P49" s="236">
        <f>+'EEFF base'!BP44+O49</f>
        <v>8965162.3800000027</v>
      </c>
      <c r="Q49" s="236">
        <f>+'EEFF base'!BQ44+P49</f>
        <v>8965162.3800000027</v>
      </c>
      <c r="R49" s="236">
        <f>+'EEFF base'!BR44+Q49</f>
        <v>8965162.3800000027</v>
      </c>
      <c r="S49" s="236">
        <f>+'EEFF base'!BS44+R49</f>
        <v>8965162.3800000027</v>
      </c>
      <c r="T49" s="236">
        <f>+'EEFF base'!BT44+S49</f>
        <v>8965162.3800000027</v>
      </c>
      <c r="U49" s="236">
        <f>+'EEFF base'!BU44+T49</f>
        <v>8965162.3800000027</v>
      </c>
      <c r="V49" s="236">
        <f>+'EEFF base'!BV44+U49</f>
        <v>8965162.3800000027</v>
      </c>
      <c r="W49" s="236">
        <f>+'EEFF base'!BW44+V49</f>
        <v>8965162.3800000027</v>
      </c>
      <c r="X49" s="236">
        <f>+'EEFF base'!BX44+W49</f>
        <v>8965162.3800000027</v>
      </c>
      <c r="Y49" s="236">
        <f>+'EEFF base'!BY44+X49</f>
        <v>8965162.3800000027</v>
      </c>
      <c r="Z49" s="236">
        <f>+'EEFF base'!BZ44+Y49</f>
        <v>8965162.3800000027</v>
      </c>
      <c r="AA49" s="236">
        <f t="shared" si="99"/>
        <v>8965162.3800000027</v>
      </c>
      <c r="AB49" s="236">
        <f>+'EEFF base'!CB43</f>
        <v>19573288.050000001</v>
      </c>
      <c r="AC49" s="236">
        <f>+'EEFF base'!CC44+AB49</f>
        <v>19573288.050000001</v>
      </c>
      <c r="AD49" s="236">
        <f>+'EEFF base'!CD44+AC49</f>
        <v>19573288.050000001</v>
      </c>
      <c r="AE49" s="236">
        <f>+'EEFF base'!CE44+AD49</f>
        <v>19573288.050000001</v>
      </c>
      <c r="AF49" s="236">
        <f>+'EEFF base'!CF44+AE49</f>
        <v>19573288.050000001</v>
      </c>
      <c r="AG49" s="236">
        <f>+'EEFF base'!CG44+AF49</f>
        <v>19573288.050000001</v>
      </c>
      <c r="AH49" s="236">
        <f>+'EEFF base'!CH44+AG49</f>
        <v>19573288.050000001</v>
      </c>
      <c r="AI49" s="236">
        <f>+'EEFF base'!CI44+AH49</f>
        <v>19573288.050000001</v>
      </c>
      <c r="AJ49" s="236">
        <f>+'EEFF base'!CJ44+AI49</f>
        <v>19573288.050000001</v>
      </c>
      <c r="AK49" s="236">
        <f>+'EEFF base'!CK44+AJ49</f>
        <v>19573288.050000001</v>
      </c>
      <c r="AL49" s="236">
        <f>+'EEFF base'!CL44+AK49</f>
        <v>19573288.050000001</v>
      </c>
      <c r="AM49" s="236">
        <f>+'EEFF base'!CM44+AL49</f>
        <v>19573288.050000001</v>
      </c>
      <c r="AN49" s="236">
        <f t="shared" si="100"/>
        <v>19573288.050000001</v>
      </c>
      <c r="AO49" s="236">
        <f>+'EEFF historicoss'!R47</f>
        <v>29146422.879999995</v>
      </c>
      <c r="AP49" s="236">
        <f>+'EEFF historicoss'!S47</f>
        <v>28560057.869999997</v>
      </c>
      <c r="AQ49" s="236">
        <f>+'EEFF historicoss'!T47</f>
        <v>23638821.029999997</v>
      </c>
      <c r="AR49" s="236">
        <f>+'EEFF historicoss'!U47</f>
        <v>23503328.809999999</v>
      </c>
      <c r="AS49" s="236">
        <f>+'EEFF historicoss'!V47</f>
        <v>24624378.879999999</v>
      </c>
      <c r="AT49" s="236">
        <f>+'EEFF historicoss'!W47</f>
        <v>23210575.359999999</v>
      </c>
      <c r="AU49" s="236">
        <f>+'EEFF historicoss'!X47</f>
        <v>21216264.310000002</v>
      </c>
      <c r="AV49" s="236">
        <f>+'EEFF historicoss'!Y47</f>
        <v>7014449.4900000021</v>
      </c>
      <c r="AW49" s="236">
        <f>+'EEFF historicoss'!Z47</f>
        <v>14505879.500000002</v>
      </c>
      <c r="AX49" s="236">
        <f>+'EEFF historicoss'!AA47</f>
        <v>15628410.370000001</v>
      </c>
      <c r="AY49" s="236">
        <f>+'EEFF historicoss'!AB47</f>
        <v>14990065.67</v>
      </c>
      <c r="AZ49" s="236">
        <f>+'EEFF historicoss'!AC47</f>
        <v>11341890.550000001</v>
      </c>
      <c r="BA49" s="236">
        <f t="shared" si="207"/>
        <v>11341890.550000001</v>
      </c>
      <c r="BB49" s="236">
        <f>+'EEFF historicoss'!AE47</f>
        <v>15928872.67</v>
      </c>
      <c r="BC49" s="236">
        <f>+'EEFF historicoss'!AF47</f>
        <v>17175431.600000001</v>
      </c>
      <c r="BD49" s="236">
        <f>+'EEFF historicoss'!AG47</f>
        <v>13727871.6</v>
      </c>
      <c r="BE49" s="236">
        <f>+'EEFF historicoss'!AH47</f>
        <v>22770279.039999999</v>
      </c>
      <c r="BF49" s="236">
        <f>+'EEFF historicoss'!AI47</f>
        <v>22650669.210000001</v>
      </c>
      <c r="BG49" s="236">
        <f>+'EEFF historicoss'!AJ47</f>
        <v>25001086.57</v>
      </c>
      <c r="BH49" s="236">
        <f>+'EEFF historicoss'!AK47</f>
        <v>26369339.260000002</v>
      </c>
      <c r="BI49" s="236">
        <f>+'EEFF historicoss'!AL47</f>
        <v>27567655.670000002</v>
      </c>
      <c r="BJ49" s="236">
        <f>+'EEFF historicoss'!AM47</f>
        <v>28045944</v>
      </c>
      <c r="BK49" s="236">
        <f>+'EEFF historicoss'!AN47</f>
        <v>28090409.800000001</v>
      </c>
      <c r="BL49" s="236">
        <f>+'EEFF historicoss'!AO47</f>
        <v>20353698.719999999</v>
      </c>
      <c r="BM49" s="236">
        <f>+'EEFF historicoss'!AP47</f>
        <v>22520089.329999998</v>
      </c>
      <c r="BN49" s="236">
        <f t="shared" si="208"/>
        <v>22520089.329999998</v>
      </c>
      <c r="BO49" s="236">
        <f>+'EEFF historicoss'!AR47</f>
        <v>21053139.969999999</v>
      </c>
      <c r="BP49" s="236">
        <f>+'EEFF historicoss'!AS47</f>
        <v>18074872.52</v>
      </c>
      <c r="BQ49" s="236">
        <f>+'EEFF historicoss'!AT47</f>
        <v>19408100.84</v>
      </c>
      <c r="BR49" s="236">
        <f>+'EEFF historicoss'!AU47</f>
        <v>12272580.93</v>
      </c>
      <c r="BS49" s="236">
        <f>+'EEFF historicoss'!AV47</f>
        <v>12942187.220000001</v>
      </c>
      <c r="BT49" s="236">
        <f>+'EEFF historicoss'!AW47</f>
        <v>12672584.609999999</v>
      </c>
      <c r="BU49" s="236">
        <f t="shared" ref="BU49:BZ49" si="243">+BU113</f>
        <v>20928834.718651276</v>
      </c>
      <c r="BV49" s="236">
        <f t="shared" si="243"/>
        <v>23805604.632391762</v>
      </c>
      <c r="BW49" s="236">
        <f t="shared" si="243"/>
        <v>21284275.375026729</v>
      </c>
      <c r="BX49" s="236">
        <f t="shared" si="243"/>
        <v>24913540.225018062</v>
      </c>
      <c r="BY49" s="236">
        <f t="shared" si="243"/>
        <v>19400191.572144341</v>
      </c>
      <c r="BZ49" s="236">
        <f t="shared" si="243"/>
        <v>20233399.649967648</v>
      </c>
      <c r="CA49" s="236">
        <f t="shared" si="210"/>
        <v>20233399.649967648</v>
      </c>
      <c r="CB49" s="236">
        <f t="shared" ref="CB49:CM49" si="244">+CB113</f>
        <v>25301839.557736829</v>
      </c>
      <c r="CC49" s="236">
        <f t="shared" si="244"/>
        <v>25301839.557736829</v>
      </c>
      <c r="CD49" s="236">
        <f t="shared" si="244"/>
        <v>25301839.557736829</v>
      </c>
      <c r="CE49" s="236">
        <f t="shared" si="244"/>
        <v>25301839.557736829</v>
      </c>
      <c r="CF49" s="236">
        <f t="shared" si="244"/>
        <v>25301839.557736829</v>
      </c>
      <c r="CG49" s="236">
        <f t="shared" si="244"/>
        <v>25301839.557736829</v>
      </c>
      <c r="CH49" s="236">
        <f t="shared" si="244"/>
        <v>25301839.557736829</v>
      </c>
      <c r="CI49" s="236">
        <f t="shared" si="244"/>
        <v>25301839.557736829</v>
      </c>
      <c r="CJ49" s="236">
        <f t="shared" si="244"/>
        <v>25301839.557736829</v>
      </c>
      <c r="CK49" s="236">
        <f t="shared" si="244"/>
        <v>25301839.557736829</v>
      </c>
      <c r="CL49" s="236">
        <f t="shared" si="244"/>
        <v>25301839.557736829</v>
      </c>
      <c r="CM49" s="236">
        <f t="shared" si="244"/>
        <v>25301839.557736829</v>
      </c>
      <c r="CN49" s="236">
        <f t="shared" si="212"/>
        <v>25301839.557736829</v>
      </c>
      <c r="CO49" s="236">
        <f t="shared" ref="CO49" si="245">+CO113</f>
        <v>25301839.557736829</v>
      </c>
      <c r="CP49" s="236">
        <f t="shared" ref="CP49:CZ49" si="246">+CP113</f>
        <v>25301839.557736829</v>
      </c>
      <c r="CQ49" s="236">
        <f t="shared" si="246"/>
        <v>25301839.557736829</v>
      </c>
      <c r="CR49" s="236">
        <f t="shared" si="246"/>
        <v>25301839.557736829</v>
      </c>
      <c r="CS49" s="236">
        <f t="shared" si="246"/>
        <v>25301839.557736829</v>
      </c>
      <c r="CT49" s="236">
        <f t="shared" si="246"/>
        <v>25301839.557736829</v>
      </c>
      <c r="CU49" s="236">
        <f t="shared" si="246"/>
        <v>25301839.557736829</v>
      </c>
      <c r="CV49" s="236">
        <f t="shared" si="246"/>
        <v>25301839.557736829</v>
      </c>
      <c r="CW49" s="236">
        <f t="shared" si="246"/>
        <v>25301839.557736829</v>
      </c>
      <c r="CX49" s="236">
        <f t="shared" si="246"/>
        <v>25301839.557736829</v>
      </c>
      <c r="CY49" s="236">
        <f t="shared" si="246"/>
        <v>25301839.557736829</v>
      </c>
      <c r="CZ49" s="236">
        <f t="shared" si="246"/>
        <v>25301839.557736829</v>
      </c>
      <c r="DA49" s="236">
        <f t="shared" si="215"/>
        <v>25301839.557736829</v>
      </c>
      <c r="DB49" s="236">
        <f t="shared" ref="DB49:DM49" si="247">+DB113</f>
        <v>25301839.557736829</v>
      </c>
      <c r="DC49" s="236">
        <f t="shared" si="247"/>
        <v>25301839.557736829</v>
      </c>
      <c r="DD49" s="236">
        <f t="shared" si="247"/>
        <v>25301839.557736829</v>
      </c>
      <c r="DE49" s="236">
        <f t="shared" si="247"/>
        <v>25301839.557736829</v>
      </c>
      <c r="DF49" s="236">
        <f t="shared" si="247"/>
        <v>25301839.557736829</v>
      </c>
      <c r="DG49" s="236">
        <f t="shared" si="247"/>
        <v>25301839.557736829</v>
      </c>
      <c r="DH49" s="236">
        <f t="shared" si="247"/>
        <v>25301839.557736829</v>
      </c>
      <c r="DI49" s="236">
        <f t="shared" si="247"/>
        <v>25301839.557736829</v>
      </c>
      <c r="DJ49" s="236">
        <f t="shared" si="247"/>
        <v>25301839.557736829</v>
      </c>
      <c r="DK49" s="236">
        <f t="shared" si="247"/>
        <v>25301839.557736829</v>
      </c>
      <c r="DL49" s="236">
        <f t="shared" si="247"/>
        <v>25301839.557736829</v>
      </c>
      <c r="DM49" s="236">
        <f t="shared" si="247"/>
        <v>25301839.557736829</v>
      </c>
      <c r="DN49" s="236">
        <f t="shared" si="217"/>
        <v>25301839.557736829</v>
      </c>
      <c r="DO49" s="236">
        <f t="shared" ref="DO49:DZ49" si="248">+DO113</f>
        <v>25301839.557736829</v>
      </c>
      <c r="DP49" s="236">
        <f t="shared" si="248"/>
        <v>25301839.557736829</v>
      </c>
      <c r="DQ49" s="236">
        <f t="shared" si="248"/>
        <v>25301839.557736829</v>
      </c>
      <c r="DR49" s="236">
        <f t="shared" si="248"/>
        <v>25301839.557736829</v>
      </c>
      <c r="DS49" s="236">
        <f t="shared" si="248"/>
        <v>25301839.557736829</v>
      </c>
      <c r="DT49" s="236">
        <f t="shared" si="248"/>
        <v>25301839.557736829</v>
      </c>
      <c r="DU49" s="236">
        <f t="shared" si="248"/>
        <v>25301839.557736829</v>
      </c>
      <c r="DV49" s="236">
        <f t="shared" si="248"/>
        <v>25301839.557736829</v>
      </c>
      <c r="DW49" s="236">
        <f t="shared" si="248"/>
        <v>25301839.557736829</v>
      </c>
      <c r="DX49" s="236">
        <f t="shared" si="248"/>
        <v>25301839.557736829</v>
      </c>
      <c r="DY49" s="236">
        <f t="shared" si="248"/>
        <v>25301839.557736829</v>
      </c>
      <c r="DZ49" s="236">
        <f t="shared" si="248"/>
        <v>25301839.557736829</v>
      </c>
      <c r="EA49" s="236">
        <f t="shared" si="219"/>
        <v>25301839.557736829</v>
      </c>
      <c r="EB49" s="236">
        <f t="shared" ref="EB49:EM49" si="249">+EB113</f>
        <v>25301839.557736829</v>
      </c>
      <c r="EC49" s="236">
        <f t="shared" si="249"/>
        <v>25301839.557736829</v>
      </c>
      <c r="ED49" s="236">
        <f t="shared" si="249"/>
        <v>25301839.557736829</v>
      </c>
      <c r="EE49" s="236">
        <f t="shared" si="249"/>
        <v>25301839.557736829</v>
      </c>
      <c r="EF49" s="236">
        <f t="shared" si="249"/>
        <v>25301839.557736829</v>
      </c>
      <c r="EG49" s="236">
        <f t="shared" si="249"/>
        <v>25301839.557736829</v>
      </c>
      <c r="EH49" s="236">
        <f t="shared" si="249"/>
        <v>25301839.557736829</v>
      </c>
      <c r="EI49" s="236">
        <f t="shared" si="249"/>
        <v>25301839.557736829</v>
      </c>
      <c r="EJ49" s="236">
        <f t="shared" si="249"/>
        <v>25301839.557736829</v>
      </c>
      <c r="EK49" s="236">
        <f t="shared" si="249"/>
        <v>25301839.557736829</v>
      </c>
      <c r="EL49" s="236">
        <f t="shared" si="249"/>
        <v>25301839.557736829</v>
      </c>
      <c r="EM49" s="236">
        <f t="shared" si="249"/>
        <v>25301839.557736829</v>
      </c>
      <c r="EN49" s="236">
        <f t="shared" si="221"/>
        <v>25301839.557736829</v>
      </c>
    </row>
    <row r="50" spans="1:144" s="236" customFormat="1" x14ac:dyDescent="0.25">
      <c r="A50" s="237" t="s">
        <v>282</v>
      </c>
      <c r="B50" s="242">
        <f>+SUM(B44:B49)</f>
        <v>172719643.53000006</v>
      </c>
      <c r="C50" s="242">
        <f t="shared" ref="C50:M50" si="250">+SUM(C44:C49)</f>
        <v>167205994.17000008</v>
      </c>
      <c r="D50" s="242">
        <f t="shared" si="250"/>
        <v>141405607.3000001</v>
      </c>
      <c r="E50" s="242">
        <f t="shared" si="250"/>
        <v>140655359.63000005</v>
      </c>
      <c r="F50" s="242">
        <f t="shared" si="250"/>
        <v>141426223.57000008</v>
      </c>
      <c r="G50" s="242">
        <f t="shared" si="250"/>
        <v>122677813.05000013</v>
      </c>
      <c r="H50" s="242">
        <f t="shared" si="250"/>
        <v>123631943.75000015</v>
      </c>
      <c r="I50" s="242">
        <f t="shared" si="250"/>
        <v>142783758.0700002</v>
      </c>
      <c r="J50" s="242">
        <f t="shared" si="250"/>
        <v>142405730.98000023</v>
      </c>
      <c r="K50" s="242">
        <f t="shared" si="250"/>
        <v>128226968.50000024</v>
      </c>
      <c r="L50" s="242">
        <f t="shared" si="250"/>
        <v>122517690.37000024</v>
      </c>
      <c r="M50" s="242">
        <f t="shared" si="250"/>
        <v>183062808.71000028</v>
      </c>
      <c r="N50" s="242">
        <f t="shared" si="205"/>
        <v>183062808.71000028</v>
      </c>
      <c r="O50" s="242">
        <f>+SUM(O44:O49)</f>
        <v>184117698.93000007</v>
      </c>
      <c r="P50" s="242">
        <f t="shared" ref="P50:Z50" si="251">+SUM(P44:P49)</f>
        <v>174913568.23000005</v>
      </c>
      <c r="Q50" s="242">
        <f t="shared" si="251"/>
        <v>162413180.90000007</v>
      </c>
      <c r="R50" s="242">
        <f t="shared" si="251"/>
        <v>149182136.15000001</v>
      </c>
      <c r="S50" s="242">
        <f t="shared" si="251"/>
        <v>154199951.28000003</v>
      </c>
      <c r="T50" s="242">
        <f t="shared" si="251"/>
        <v>157862464.55000001</v>
      </c>
      <c r="U50" s="242">
        <f t="shared" si="251"/>
        <v>152540073.91999996</v>
      </c>
      <c r="V50" s="242">
        <f t="shared" si="251"/>
        <v>160594414.26999998</v>
      </c>
      <c r="W50" s="242">
        <f t="shared" si="251"/>
        <v>158713540.43999997</v>
      </c>
      <c r="X50" s="242">
        <f t="shared" si="251"/>
        <v>158157285.92999998</v>
      </c>
      <c r="Y50" s="242">
        <f t="shared" si="251"/>
        <v>161297566.00999996</v>
      </c>
      <c r="Z50" s="242">
        <f t="shared" si="251"/>
        <v>188531300.95999998</v>
      </c>
      <c r="AA50" s="242">
        <f t="shared" si="99"/>
        <v>188531300.95999998</v>
      </c>
      <c r="AB50" s="242">
        <f t="shared" ref="AB50:AM50" si="252">+SUM(AB44:AB49)</f>
        <v>172183983.19</v>
      </c>
      <c r="AC50" s="242">
        <f t="shared" si="252"/>
        <v>175787895.5</v>
      </c>
      <c r="AD50" s="242">
        <f t="shared" si="252"/>
        <v>163123251.48999998</v>
      </c>
      <c r="AE50" s="242">
        <f t="shared" si="252"/>
        <v>169362428.61999995</v>
      </c>
      <c r="AF50" s="242">
        <f t="shared" si="252"/>
        <v>164399539.61999997</v>
      </c>
      <c r="AG50" s="242">
        <f t="shared" si="252"/>
        <v>153110535.12999976</v>
      </c>
      <c r="AH50" s="242">
        <f t="shared" si="252"/>
        <v>162144951.55999985</v>
      </c>
      <c r="AI50" s="242">
        <f t="shared" si="252"/>
        <v>166605900.68999982</v>
      </c>
      <c r="AJ50" s="242">
        <f t="shared" si="252"/>
        <v>140796456.01999983</v>
      </c>
      <c r="AK50" s="242">
        <f t="shared" si="252"/>
        <v>129468075.7099998</v>
      </c>
      <c r="AL50" s="242">
        <f t="shared" si="252"/>
        <v>127234793.0399998</v>
      </c>
      <c r="AM50" s="242">
        <f t="shared" si="252"/>
        <v>246734562.73999974</v>
      </c>
      <c r="AN50" s="242">
        <f t="shared" si="100"/>
        <v>246734562.73999974</v>
      </c>
      <c r="AO50" s="242">
        <f t="shared" ref="AO50:AY50" si="253">+SUM(AO44:AO49)</f>
        <v>200940878.72999999</v>
      </c>
      <c r="AP50" s="242">
        <f t="shared" si="253"/>
        <v>204427203.14000002</v>
      </c>
      <c r="AQ50" s="242">
        <f t="shared" si="253"/>
        <v>202032967.80000001</v>
      </c>
      <c r="AR50" s="242">
        <f t="shared" si="253"/>
        <v>207346244.20000002</v>
      </c>
      <c r="AS50" s="242">
        <f t="shared" si="253"/>
        <v>206925893.07000005</v>
      </c>
      <c r="AT50" s="242">
        <f t="shared" si="253"/>
        <v>202037707.19000012</v>
      </c>
      <c r="AU50" s="242">
        <f t="shared" si="253"/>
        <v>203297009.97000015</v>
      </c>
      <c r="AV50" s="242">
        <f t="shared" si="253"/>
        <v>204772337.70000014</v>
      </c>
      <c r="AW50" s="242">
        <f t="shared" si="253"/>
        <v>202136938.7900002</v>
      </c>
      <c r="AX50" s="242">
        <f t="shared" si="253"/>
        <v>195016305.54000026</v>
      </c>
      <c r="AY50" s="242">
        <f t="shared" si="253"/>
        <v>200763120.86000025</v>
      </c>
      <c r="AZ50" s="242">
        <f>+SUM(AZ44:AZ49)</f>
        <v>292504269.39000028</v>
      </c>
      <c r="BA50" s="242">
        <f t="shared" si="207"/>
        <v>292504269.39000028</v>
      </c>
      <c r="BB50" s="242">
        <f>+SUM(BB44:BB49)</f>
        <v>281900037.5</v>
      </c>
      <c r="BC50" s="242">
        <f t="shared" ref="BC50:BM50" si="254">+SUM(BC44:BC49)</f>
        <v>274565118.44999999</v>
      </c>
      <c r="BD50" s="242">
        <f t="shared" si="254"/>
        <v>277439420.77999997</v>
      </c>
      <c r="BE50" s="242">
        <f t="shared" si="254"/>
        <v>292665170.48000002</v>
      </c>
      <c r="BF50" s="242">
        <f t="shared" si="254"/>
        <v>174184233.44</v>
      </c>
      <c r="BG50" s="242">
        <f t="shared" si="254"/>
        <v>179103444.66</v>
      </c>
      <c r="BH50" s="242">
        <f t="shared" si="254"/>
        <v>176184806.29000002</v>
      </c>
      <c r="BI50" s="242">
        <f t="shared" si="254"/>
        <v>151929325.19999999</v>
      </c>
      <c r="BJ50" s="242">
        <f t="shared" si="254"/>
        <v>140444523.75999999</v>
      </c>
      <c r="BK50" s="242">
        <f t="shared" si="254"/>
        <v>137269115.63</v>
      </c>
      <c r="BL50" s="242">
        <f t="shared" si="254"/>
        <v>131321370.29999998</v>
      </c>
      <c r="BM50" s="242">
        <f t="shared" si="254"/>
        <v>185466510.42000002</v>
      </c>
      <c r="BN50" s="242">
        <f t="shared" si="208"/>
        <v>185466510.42000002</v>
      </c>
      <c r="BO50" s="242">
        <f t="shared" ref="BO50:BT50" si="255">+SUM(BO44:BO49)</f>
        <v>178935834.91999999</v>
      </c>
      <c r="BP50" s="242">
        <f t="shared" si="255"/>
        <v>165736428.95000002</v>
      </c>
      <c r="BQ50" s="242">
        <f t="shared" si="255"/>
        <v>154191602.84</v>
      </c>
      <c r="BR50" s="242">
        <f t="shared" si="255"/>
        <v>134145804.75</v>
      </c>
      <c r="BS50" s="242">
        <f t="shared" si="255"/>
        <v>142585386.95000002</v>
      </c>
      <c r="BT50" s="242">
        <f t="shared" si="255"/>
        <v>140461624.54000002</v>
      </c>
      <c r="BU50" s="242">
        <f t="shared" ref="BU50:BZ50" si="256">+SUM(BU44:BU49)</f>
        <v>161489232.31911141</v>
      </c>
      <c r="BV50" s="242">
        <f t="shared" si="256"/>
        <v>177581993.01787904</v>
      </c>
      <c r="BW50" s="242">
        <f t="shared" si="256"/>
        <v>164220493.24902397</v>
      </c>
      <c r="BX50" s="242">
        <f t="shared" si="256"/>
        <v>183135202.58289033</v>
      </c>
      <c r="BY50" s="242">
        <f t="shared" si="256"/>
        <v>153159102.29563427</v>
      </c>
      <c r="BZ50" s="242">
        <f t="shared" si="256"/>
        <v>157167265.98003715</v>
      </c>
      <c r="CA50" s="242">
        <f t="shared" si="210"/>
        <v>157167265.98003715</v>
      </c>
      <c r="CB50" s="242">
        <f t="shared" ref="CB50:CM50" si="257">+SUM(CB44:CB49)</f>
        <v>197077347.32816988</v>
      </c>
      <c r="CC50" s="242">
        <f t="shared" si="257"/>
        <v>197077347.32816988</v>
      </c>
      <c r="CD50" s="242">
        <f t="shared" si="257"/>
        <v>153272761.5881699</v>
      </c>
      <c r="CE50" s="242">
        <f t="shared" si="257"/>
        <v>153272761.5881699</v>
      </c>
      <c r="CF50" s="242">
        <f t="shared" si="257"/>
        <v>153272761.5881699</v>
      </c>
      <c r="CG50" s="242">
        <f t="shared" si="257"/>
        <v>153272761.5881699</v>
      </c>
      <c r="CH50" s="242">
        <f t="shared" si="257"/>
        <v>153272761.5881699</v>
      </c>
      <c r="CI50" s="242">
        <f t="shared" si="257"/>
        <v>153272761.5881699</v>
      </c>
      <c r="CJ50" s="242">
        <f t="shared" si="257"/>
        <v>153272761.5881699</v>
      </c>
      <c r="CK50" s="242">
        <f t="shared" si="257"/>
        <v>153272761.5881699</v>
      </c>
      <c r="CL50" s="242">
        <f t="shared" si="257"/>
        <v>153272761.5881699</v>
      </c>
      <c r="CM50" s="242">
        <f t="shared" si="257"/>
        <v>153272761.5881699</v>
      </c>
      <c r="CN50" s="242">
        <f t="shared" si="212"/>
        <v>153272761.5881699</v>
      </c>
      <c r="CO50" s="242">
        <f t="shared" ref="CO50" si="258">+SUM(CO44:CO49)</f>
        <v>153272761.5881699</v>
      </c>
      <c r="CP50" s="242">
        <f t="shared" ref="CP50:CZ50" si="259">+SUM(CP44:CP49)</f>
        <v>153272761.5881699</v>
      </c>
      <c r="CQ50" s="242">
        <f t="shared" si="259"/>
        <v>153272761.5881699</v>
      </c>
      <c r="CR50" s="242">
        <f t="shared" si="259"/>
        <v>153272761.5881699</v>
      </c>
      <c r="CS50" s="242">
        <f t="shared" si="259"/>
        <v>153272761.5881699</v>
      </c>
      <c r="CT50" s="242">
        <f t="shared" si="259"/>
        <v>153272761.5881699</v>
      </c>
      <c r="CU50" s="242">
        <f t="shared" si="259"/>
        <v>153272761.5881699</v>
      </c>
      <c r="CV50" s="242">
        <f t="shared" si="259"/>
        <v>153272761.5881699</v>
      </c>
      <c r="CW50" s="242">
        <f t="shared" si="259"/>
        <v>153272761.5881699</v>
      </c>
      <c r="CX50" s="242">
        <f t="shared" si="259"/>
        <v>153272761.5881699</v>
      </c>
      <c r="CY50" s="242">
        <f t="shared" si="259"/>
        <v>153272761.5881699</v>
      </c>
      <c r="CZ50" s="242">
        <f t="shared" si="259"/>
        <v>153272761.5881699</v>
      </c>
      <c r="DA50" s="242">
        <f t="shared" si="215"/>
        <v>153272761.5881699</v>
      </c>
      <c r="DB50" s="242">
        <f t="shared" ref="DB50:DM50" si="260">+SUM(DB44:DB49)</f>
        <v>153272761.5881699</v>
      </c>
      <c r="DC50" s="242">
        <f t="shared" si="260"/>
        <v>153272761.5881699</v>
      </c>
      <c r="DD50" s="242">
        <f t="shared" si="260"/>
        <v>153272761.5881699</v>
      </c>
      <c r="DE50" s="242">
        <f t="shared" si="260"/>
        <v>153272761.5881699</v>
      </c>
      <c r="DF50" s="242">
        <f t="shared" si="260"/>
        <v>153272761.5881699</v>
      </c>
      <c r="DG50" s="242">
        <f t="shared" si="260"/>
        <v>153272761.5881699</v>
      </c>
      <c r="DH50" s="242">
        <f t="shared" si="260"/>
        <v>153272761.5881699</v>
      </c>
      <c r="DI50" s="242">
        <f t="shared" si="260"/>
        <v>153272761.5881699</v>
      </c>
      <c r="DJ50" s="242">
        <f t="shared" si="260"/>
        <v>153272761.5881699</v>
      </c>
      <c r="DK50" s="242">
        <f t="shared" si="260"/>
        <v>153272761.5881699</v>
      </c>
      <c r="DL50" s="242">
        <f t="shared" si="260"/>
        <v>153272761.5881699</v>
      </c>
      <c r="DM50" s="242">
        <f t="shared" si="260"/>
        <v>153272761.5881699</v>
      </c>
      <c r="DN50" s="242">
        <f t="shared" si="217"/>
        <v>153272761.5881699</v>
      </c>
      <c r="DO50" s="242">
        <f t="shared" ref="DO50:DZ50" si="261">+SUM(DO44:DO49)</f>
        <v>153272761.5881699</v>
      </c>
      <c r="DP50" s="242">
        <f t="shared" si="261"/>
        <v>153272761.5881699</v>
      </c>
      <c r="DQ50" s="242">
        <f t="shared" si="261"/>
        <v>153272761.5881699</v>
      </c>
      <c r="DR50" s="242">
        <f t="shared" si="261"/>
        <v>153272761.5881699</v>
      </c>
      <c r="DS50" s="242">
        <f t="shared" si="261"/>
        <v>153272761.5881699</v>
      </c>
      <c r="DT50" s="242">
        <f t="shared" si="261"/>
        <v>153272761.5881699</v>
      </c>
      <c r="DU50" s="242">
        <f t="shared" si="261"/>
        <v>153272761.5881699</v>
      </c>
      <c r="DV50" s="242">
        <f t="shared" si="261"/>
        <v>153272761.5881699</v>
      </c>
      <c r="DW50" s="242">
        <f t="shared" si="261"/>
        <v>153272761.5881699</v>
      </c>
      <c r="DX50" s="242">
        <f t="shared" si="261"/>
        <v>153272761.5881699</v>
      </c>
      <c r="DY50" s="242">
        <f t="shared" si="261"/>
        <v>153272761.5881699</v>
      </c>
      <c r="DZ50" s="242">
        <f t="shared" si="261"/>
        <v>153272761.5881699</v>
      </c>
      <c r="EA50" s="242">
        <f t="shared" si="219"/>
        <v>153272761.5881699</v>
      </c>
      <c r="EB50" s="242">
        <f t="shared" ref="EB50:EM50" si="262">+SUM(EB44:EB49)</f>
        <v>153272761.5881699</v>
      </c>
      <c r="EC50" s="242">
        <f t="shared" si="262"/>
        <v>153272761.5881699</v>
      </c>
      <c r="ED50" s="242">
        <f t="shared" si="262"/>
        <v>153272761.5881699</v>
      </c>
      <c r="EE50" s="242">
        <f t="shared" si="262"/>
        <v>153272761.5881699</v>
      </c>
      <c r="EF50" s="242">
        <f t="shared" si="262"/>
        <v>153272761.5881699</v>
      </c>
      <c r="EG50" s="242">
        <f t="shared" si="262"/>
        <v>153272761.5881699</v>
      </c>
      <c r="EH50" s="242">
        <f t="shared" si="262"/>
        <v>153272761.5881699</v>
      </c>
      <c r="EI50" s="242">
        <f t="shared" si="262"/>
        <v>153272761.5881699</v>
      </c>
      <c r="EJ50" s="242">
        <f t="shared" si="262"/>
        <v>153272761.5881699</v>
      </c>
      <c r="EK50" s="242">
        <f t="shared" si="262"/>
        <v>153272761.5881699</v>
      </c>
      <c r="EL50" s="242">
        <f t="shared" si="262"/>
        <v>153272761.5881699</v>
      </c>
      <c r="EM50" s="242">
        <f t="shared" si="262"/>
        <v>153272761.5881699</v>
      </c>
      <c r="EN50" s="242">
        <f t="shared" si="221"/>
        <v>153272761.5881699</v>
      </c>
    </row>
    <row r="51" spans="1:144" s="241" customFormat="1" x14ac:dyDescent="0.25">
      <c r="A51" s="240" t="s">
        <v>272</v>
      </c>
      <c r="BA51" s="241">
        <f t="shared" si="136"/>
        <v>0</v>
      </c>
      <c r="BN51" s="241">
        <f t="shared" si="137"/>
        <v>0</v>
      </c>
      <c r="DA51" s="241">
        <f>+CZ51</f>
        <v>0</v>
      </c>
      <c r="DN51" s="241">
        <f>+DM51</f>
        <v>0</v>
      </c>
      <c r="EA51" s="241">
        <f>+DZ51</f>
        <v>0</v>
      </c>
      <c r="EN51" s="241">
        <f>+EM51</f>
        <v>0</v>
      </c>
    </row>
    <row r="52" spans="1:144" s="236" customFormat="1" x14ac:dyDescent="0.25">
      <c r="A52" s="234" t="str">
        <f>+'EEFF base'!A46</f>
        <v>Cuentas corrientes unidades</v>
      </c>
      <c r="B52" s="236">
        <f>+'EEFF base'!BB46</f>
        <v>2913907</v>
      </c>
      <c r="C52" s="236">
        <f>+'EEFF base'!BC46+B52</f>
        <v>3509297.07</v>
      </c>
      <c r="D52" s="236">
        <f>+'EEFF base'!BD46+C52</f>
        <v>4084818.8899999997</v>
      </c>
      <c r="E52" s="236">
        <f>+'EEFF base'!BE46+D52</f>
        <v>4669021.38</v>
      </c>
      <c r="F52" s="236">
        <f>+'EEFF base'!BF46+E52</f>
        <v>5253223.84</v>
      </c>
      <c r="G52" s="236">
        <f>+'EEFF base'!BG46+F52</f>
        <v>3966019.2400000007</v>
      </c>
      <c r="H52" s="236">
        <f>+'EEFF base'!BH46+G52</f>
        <v>4550610.66</v>
      </c>
      <c r="I52" s="236">
        <f>+'EEFF base'!BI46+H52</f>
        <v>3382253.4700000007</v>
      </c>
      <c r="J52" s="236">
        <f>+'EEFF base'!BJ46+I52</f>
        <v>3966453.1000000006</v>
      </c>
      <c r="K52" s="236">
        <f>+'EEFF base'!BK46+J52</f>
        <v>4744749.5000000009</v>
      </c>
      <c r="L52" s="236">
        <f>+'EEFF base'!BL46+K52</f>
        <v>5351822.2700000014</v>
      </c>
      <c r="M52" s="236">
        <f>+'EEFF base'!BM46+L52</f>
        <v>770574.75999999978</v>
      </c>
      <c r="N52" s="236">
        <f t="shared" ref="N52:N57" si="263">+M52</f>
        <v>770574.75999999978</v>
      </c>
      <c r="O52" s="236">
        <f>+'EEFF base'!BO46</f>
        <v>1399977.4500000011</v>
      </c>
      <c r="P52" s="236">
        <f>+'EEFF base'!BP46+O52</f>
        <v>1980949.7400000026</v>
      </c>
      <c r="Q52" s="236">
        <f>+'EEFF base'!BQ46+P52</f>
        <v>2610464.6300000036</v>
      </c>
      <c r="R52" s="236">
        <f>+'EEFF base'!BR46+Q52</f>
        <v>3253585.1500000055</v>
      </c>
      <c r="S52" s="236">
        <f>+'EEFF base'!BS46+R52</f>
        <v>1929981.0000000072</v>
      </c>
      <c r="T52" s="236">
        <f>+'EEFF base'!BT46+S52</f>
        <v>2559374.3900000085</v>
      </c>
      <c r="U52" s="236">
        <f>+'EEFF base'!BU46+T52</f>
        <v>3138965.2300000098</v>
      </c>
      <c r="V52" s="236">
        <f>+'EEFF base'!BV46+U52</f>
        <v>3718556.6800000109</v>
      </c>
      <c r="W52" s="236">
        <f>+'EEFF base'!BW46+V52</f>
        <v>4298153.8300000113</v>
      </c>
      <c r="X52" s="236">
        <f>+'EEFF base'!BX46+W52</f>
        <v>736045.80000000726</v>
      </c>
      <c r="Y52" s="236">
        <f>+'EEFF base'!BY46+X52</f>
        <v>717354.19000000728</v>
      </c>
      <c r="Z52" s="236">
        <f>+'EEFF base'!BZ46+Y52</f>
        <v>736045.29000000726</v>
      </c>
      <c r="AA52" s="236">
        <f t="shared" si="99"/>
        <v>736045.29000000726</v>
      </c>
      <c r="AB52" s="236">
        <f>+'EEFF base'!CB46</f>
        <v>1315634.7200000007</v>
      </c>
      <c r="AC52" s="236">
        <f>+'EEFF base'!CC46+AB52</f>
        <v>1895240.2700000016</v>
      </c>
      <c r="AD52" s="236">
        <f>+'EEFF base'!CD46+AC52</f>
        <v>2474844.5000000019</v>
      </c>
      <c r="AE52" s="236">
        <f>+'EEFF base'!CE46+AD52</f>
        <v>3054437.0400000024</v>
      </c>
      <c r="AF52" s="236">
        <f>+'EEFF base'!CF46+AE52</f>
        <v>3634079.6900000027</v>
      </c>
      <c r="AG52" s="236">
        <f>+'EEFF base'!CG46+AF52</f>
        <v>4213669.6900000032</v>
      </c>
      <c r="AH52" s="236">
        <f>+'EEFF base'!CH46+AG52</f>
        <v>4793259.820000004</v>
      </c>
      <c r="AI52" s="236">
        <f>+'EEFF base'!CI46+AH52</f>
        <v>5372850.1800000044</v>
      </c>
      <c r="AJ52" s="236">
        <f>+'EEFF base'!CJ46+AI52</f>
        <v>5898064.2800000049</v>
      </c>
      <c r="AK52" s="236">
        <f>+'EEFF base'!CK46+AJ52</f>
        <v>6532043.5500000045</v>
      </c>
      <c r="AL52" s="236">
        <f>+'EEFF base'!CL46+AK52</f>
        <v>7111649.2500000047</v>
      </c>
      <c r="AM52" s="236">
        <f>+'EEFF base'!CM46+AL52</f>
        <v>736186.3600000022</v>
      </c>
      <c r="AN52" s="236">
        <f t="shared" si="100"/>
        <v>736186.3600000022</v>
      </c>
      <c r="AO52" s="236">
        <f>+'EEFF historicoss'!R54</f>
        <v>1316022.2200000002</v>
      </c>
      <c r="AP52" s="236">
        <f>+'EEFF historicoss'!S54</f>
        <v>1895616.5800000003</v>
      </c>
      <c r="AQ52" s="236">
        <f>+'EEFF historicoss'!T54</f>
        <v>2431126.2500000005</v>
      </c>
      <c r="AR52" s="236">
        <f>+'EEFF historicoss'!U54</f>
        <v>3054801.9600000004</v>
      </c>
      <c r="AS52" s="236">
        <f>+'EEFF historicoss'!V54</f>
        <v>3565133.0400000005</v>
      </c>
      <c r="AT52" s="236">
        <f>+'EEFF historicoss'!W54</f>
        <v>4214005.4400000004</v>
      </c>
      <c r="AU52" s="236">
        <f>+'EEFF historicoss'!X54</f>
        <v>4793616.1400000006</v>
      </c>
      <c r="AV52" s="236">
        <f>+'EEFF historicoss'!Y54</f>
        <v>5373205.4900000002</v>
      </c>
      <c r="AW52" s="236">
        <f>+'EEFF historicoss'!Z54</f>
        <v>736512.99999999907</v>
      </c>
      <c r="AX52" s="236">
        <f>+'EEFF historicoss'!AA54</f>
        <v>723895.89999999909</v>
      </c>
      <c r="AY52" s="236">
        <f>+'EEFF historicoss'!AB54</f>
        <v>714865.13999999908</v>
      </c>
      <c r="AZ52" s="236">
        <f>+'EEFF historicoss'!AC54</f>
        <v>726787.69999999914</v>
      </c>
      <c r="BA52" s="236">
        <f t="shared" si="136"/>
        <v>726787.69999999914</v>
      </c>
      <c r="BB52" s="236">
        <f>+'EEFF historicoss'!AE54</f>
        <v>251961550.06999999</v>
      </c>
      <c r="BC52" s="236">
        <f>+'EEFF historicoss'!AF54</f>
        <v>250454684.56999999</v>
      </c>
      <c r="BD52" s="236">
        <f>+'EEFF historicoss'!AG54</f>
        <v>248647402.63999999</v>
      </c>
      <c r="BE52" s="236">
        <f>+'EEFF historicoss'!AH54</f>
        <v>249660604.88999999</v>
      </c>
      <c r="BF52" s="236">
        <f>+'EEFF historicoss'!AI54</f>
        <v>250378385.30000001</v>
      </c>
      <c r="BG52" s="236">
        <f>+'EEFF historicoss'!AJ54</f>
        <v>253174863.97</v>
      </c>
      <c r="BH52" s="236">
        <f>+'EEFF historicoss'!AK54</f>
        <v>253503837.22999999</v>
      </c>
      <c r="BI52" s="236">
        <f>+'EEFF historicoss'!AL54</f>
        <v>258498278.65000001</v>
      </c>
      <c r="BJ52" s="236">
        <f>+'EEFF historicoss'!AM54</f>
        <v>260366389.16999999</v>
      </c>
      <c r="BK52" s="236">
        <f>+'EEFF historicoss'!AN54</f>
        <v>266525845.41</v>
      </c>
      <c r="BL52" s="236">
        <f>+'EEFF historicoss'!AO54</f>
        <v>263329343.72999999</v>
      </c>
      <c r="BM52" s="236">
        <f>+'EEFF historicoss'!AP54</f>
        <v>267617053.50999999</v>
      </c>
      <c r="BN52" s="236">
        <f t="shared" si="137"/>
        <v>267617053.50999999</v>
      </c>
      <c r="BO52" s="236">
        <f>+'EEFF historicoss'!AR54</f>
        <v>266465764.37</v>
      </c>
      <c r="BP52" s="236">
        <f>+'EEFF historicoss'!AS54</f>
        <v>268479458.16000003</v>
      </c>
      <c r="BQ52" s="236">
        <f>+'EEFF historicoss'!AT54</f>
        <v>268990617.76999998</v>
      </c>
      <c r="BR52" s="236">
        <f>+'EEFF historicoss'!AU54</f>
        <v>272994008.19999999</v>
      </c>
      <c r="BS52" s="236">
        <f>+'EEFF historicoss'!AV54</f>
        <v>266075110.81</v>
      </c>
      <c r="BT52" s="236">
        <f>+'EEFF historicoss'!AW54</f>
        <v>269097807.32999998</v>
      </c>
      <c r="BU52" s="236">
        <f t="shared" ref="BU52:BZ52" si="264">+BT52</f>
        <v>269097807.32999998</v>
      </c>
      <c r="BV52" s="236">
        <f t="shared" si="264"/>
        <v>269097807.32999998</v>
      </c>
      <c r="BW52" s="236">
        <f t="shared" si="264"/>
        <v>269097807.32999998</v>
      </c>
      <c r="BX52" s="236">
        <f t="shared" si="264"/>
        <v>269097807.32999998</v>
      </c>
      <c r="BY52" s="236">
        <f t="shared" si="264"/>
        <v>269097807.32999998</v>
      </c>
      <c r="BZ52" s="236">
        <f t="shared" si="264"/>
        <v>269097807.32999998</v>
      </c>
      <c r="CA52" s="236">
        <f>+BZ52</f>
        <v>269097807.32999998</v>
      </c>
      <c r="CB52" s="236">
        <f>+CA52</f>
        <v>269097807.32999998</v>
      </c>
      <c r="CC52" s="236">
        <f t="shared" ref="CC52:CM52" si="265">+CB52</f>
        <v>269097807.32999998</v>
      </c>
      <c r="CD52" s="236">
        <f t="shared" si="265"/>
        <v>269097807.32999998</v>
      </c>
      <c r="CE52" s="236">
        <f t="shared" si="265"/>
        <v>269097807.32999998</v>
      </c>
      <c r="CF52" s="236">
        <f t="shared" si="265"/>
        <v>269097807.32999998</v>
      </c>
      <c r="CG52" s="236">
        <f t="shared" si="265"/>
        <v>269097807.32999998</v>
      </c>
      <c r="CH52" s="236">
        <f t="shared" si="265"/>
        <v>269097807.32999998</v>
      </c>
      <c r="CI52" s="236">
        <f t="shared" si="265"/>
        <v>269097807.32999998</v>
      </c>
      <c r="CJ52" s="236">
        <f t="shared" si="265"/>
        <v>269097807.32999998</v>
      </c>
      <c r="CK52" s="236">
        <f t="shared" si="265"/>
        <v>269097807.32999998</v>
      </c>
      <c r="CL52" s="236">
        <f t="shared" si="265"/>
        <v>269097807.32999998</v>
      </c>
      <c r="CM52" s="236">
        <f t="shared" si="265"/>
        <v>269097807.32999998</v>
      </c>
      <c r="CN52" s="236">
        <f t="shared" ref="CN52:CN57" si="266">+CM52</f>
        <v>269097807.32999998</v>
      </c>
      <c r="CO52" s="236">
        <f t="shared" ref="CO52:DA52" si="267">+CN52</f>
        <v>269097807.32999998</v>
      </c>
      <c r="CP52" s="236">
        <f t="shared" si="267"/>
        <v>269097807.32999998</v>
      </c>
      <c r="CQ52" s="236">
        <f t="shared" si="267"/>
        <v>269097807.32999998</v>
      </c>
      <c r="CR52" s="236">
        <f t="shared" si="267"/>
        <v>269097807.32999998</v>
      </c>
      <c r="CS52" s="236">
        <f t="shared" si="267"/>
        <v>269097807.32999998</v>
      </c>
      <c r="CT52" s="236">
        <f t="shared" si="267"/>
        <v>269097807.32999998</v>
      </c>
      <c r="CU52" s="236">
        <f t="shared" si="267"/>
        <v>269097807.32999998</v>
      </c>
      <c r="CV52" s="236">
        <f t="shared" si="267"/>
        <v>269097807.32999998</v>
      </c>
      <c r="CW52" s="236">
        <f t="shared" si="267"/>
        <v>269097807.32999998</v>
      </c>
      <c r="CX52" s="236">
        <f t="shared" si="267"/>
        <v>269097807.32999998</v>
      </c>
      <c r="CY52" s="236">
        <f t="shared" si="267"/>
        <v>269097807.32999998</v>
      </c>
      <c r="CZ52" s="236">
        <f t="shared" si="267"/>
        <v>269097807.32999998</v>
      </c>
      <c r="DA52" s="236">
        <f t="shared" si="267"/>
        <v>269097807.32999998</v>
      </c>
      <c r="DB52" s="236">
        <f>+DA52</f>
        <v>269097807.32999998</v>
      </c>
      <c r="DC52" s="236">
        <f t="shared" ref="DC52:DN52" si="268">+DB52</f>
        <v>269097807.32999998</v>
      </c>
      <c r="DD52" s="236">
        <f t="shared" si="268"/>
        <v>269097807.32999998</v>
      </c>
      <c r="DE52" s="236">
        <f t="shared" si="268"/>
        <v>269097807.32999998</v>
      </c>
      <c r="DF52" s="236">
        <f t="shared" si="268"/>
        <v>269097807.32999998</v>
      </c>
      <c r="DG52" s="236">
        <f t="shared" si="268"/>
        <v>269097807.32999998</v>
      </c>
      <c r="DH52" s="236">
        <f t="shared" si="268"/>
        <v>269097807.32999998</v>
      </c>
      <c r="DI52" s="236">
        <f t="shared" si="268"/>
        <v>269097807.32999998</v>
      </c>
      <c r="DJ52" s="236">
        <f t="shared" si="268"/>
        <v>269097807.32999998</v>
      </c>
      <c r="DK52" s="236">
        <f t="shared" si="268"/>
        <v>269097807.32999998</v>
      </c>
      <c r="DL52" s="236">
        <f t="shared" si="268"/>
        <v>269097807.32999998</v>
      </c>
      <c r="DM52" s="236">
        <f t="shared" si="268"/>
        <v>269097807.32999998</v>
      </c>
      <c r="DN52" s="236">
        <f t="shared" si="268"/>
        <v>269097807.32999998</v>
      </c>
      <c r="DO52" s="236">
        <f>+DN52</f>
        <v>269097807.32999998</v>
      </c>
      <c r="DP52" s="236">
        <f t="shared" ref="DP52:EA52" si="269">+DO52</f>
        <v>269097807.32999998</v>
      </c>
      <c r="DQ52" s="236">
        <f t="shared" si="269"/>
        <v>269097807.32999998</v>
      </c>
      <c r="DR52" s="236">
        <f t="shared" si="269"/>
        <v>269097807.32999998</v>
      </c>
      <c r="DS52" s="236">
        <f t="shared" si="269"/>
        <v>269097807.32999998</v>
      </c>
      <c r="DT52" s="236">
        <f t="shared" si="269"/>
        <v>269097807.32999998</v>
      </c>
      <c r="DU52" s="236">
        <f t="shared" si="269"/>
        <v>269097807.32999998</v>
      </c>
      <c r="DV52" s="236">
        <f t="shared" si="269"/>
        <v>269097807.32999998</v>
      </c>
      <c r="DW52" s="236">
        <f t="shared" si="269"/>
        <v>269097807.32999998</v>
      </c>
      <c r="DX52" s="236">
        <f t="shared" si="269"/>
        <v>269097807.32999998</v>
      </c>
      <c r="DY52" s="236">
        <f t="shared" si="269"/>
        <v>269097807.32999998</v>
      </c>
      <c r="DZ52" s="236">
        <f t="shared" si="269"/>
        <v>269097807.32999998</v>
      </c>
      <c r="EA52" s="236">
        <f t="shared" si="269"/>
        <v>269097807.32999998</v>
      </c>
      <c r="EB52" s="236">
        <f>+EA52</f>
        <v>269097807.32999998</v>
      </c>
      <c r="EC52" s="236">
        <f t="shared" ref="EC52:EN52" si="270">+EB52</f>
        <v>269097807.32999998</v>
      </c>
      <c r="ED52" s="236">
        <f t="shared" si="270"/>
        <v>269097807.32999998</v>
      </c>
      <c r="EE52" s="236">
        <f t="shared" si="270"/>
        <v>269097807.32999998</v>
      </c>
      <c r="EF52" s="236">
        <f t="shared" si="270"/>
        <v>269097807.32999998</v>
      </c>
      <c r="EG52" s="236">
        <f t="shared" si="270"/>
        <v>269097807.32999998</v>
      </c>
      <c r="EH52" s="236">
        <f t="shared" si="270"/>
        <v>269097807.32999998</v>
      </c>
      <c r="EI52" s="236">
        <f t="shared" si="270"/>
        <v>269097807.32999998</v>
      </c>
      <c r="EJ52" s="236">
        <f t="shared" si="270"/>
        <v>269097807.32999998</v>
      </c>
      <c r="EK52" s="236">
        <f t="shared" si="270"/>
        <v>269097807.32999998</v>
      </c>
      <c r="EL52" s="236">
        <f t="shared" si="270"/>
        <v>269097807.32999998</v>
      </c>
      <c r="EM52" s="236">
        <f t="shared" si="270"/>
        <v>269097807.32999998</v>
      </c>
      <c r="EN52" s="236">
        <f t="shared" si="270"/>
        <v>269097807.32999998</v>
      </c>
    </row>
    <row r="53" spans="1:144" s="236" customFormat="1" x14ac:dyDescent="0.25">
      <c r="A53" s="234" t="s">
        <v>274</v>
      </c>
      <c r="B53" s="236">
        <f>+'EEFF base'!BB47</f>
        <v>291056111.79999995</v>
      </c>
      <c r="C53" s="236">
        <f>+'EEFF base'!BC47+B53</f>
        <v>294247599.79999995</v>
      </c>
      <c r="D53" s="236">
        <f>+'EEFF base'!BD47+C53</f>
        <v>315313173.95999998</v>
      </c>
      <c r="E53" s="236">
        <f>+'EEFF base'!BE47+D53</f>
        <v>315313173.95999998</v>
      </c>
      <c r="F53" s="236">
        <f>+'EEFF base'!BF47+E53</f>
        <v>315313173.95999998</v>
      </c>
      <c r="G53" s="236">
        <f>+'EEFF base'!BG47+F53</f>
        <v>315313173.95999998</v>
      </c>
      <c r="H53" s="236">
        <f>+'EEFF base'!BH47+G53</f>
        <v>315313173.95999998</v>
      </c>
      <c r="I53" s="236">
        <f>+'EEFF base'!BI47+H53</f>
        <v>315313173.95999998</v>
      </c>
      <c r="J53" s="236">
        <f>+'EEFF base'!BJ47+I53</f>
        <v>315313173.95999998</v>
      </c>
      <c r="K53" s="236">
        <f>+'EEFF base'!BK47+J53</f>
        <v>315313173.95999998</v>
      </c>
      <c r="L53" s="236">
        <f>+'EEFF base'!BL47+K53</f>
        <v>319313173.95999998</v>
      </c>
      <c r="M53" s="236">
        <f>+'EEFF base'!BM47+L53</f>
        <v>262298399.81999999</v>
      </c>
      <c r="N53" s="236">
        <f t="shared" si="263"/>
        <v>262298399.81999999</v>
      </c>
      <c r="O53" s="236">
        <f>+'EEFF base'!BO47</f>
        <v>264609101.28000003</v>
      </c>
      <c r="P53" s="236">
        <f>+'EEFF base'!BP47+O53</f>
        <v>266199290.49000004</v>
      </c>
      <c r="Q53" s="236">
        <f>+'EEFF base'!BQ47+P53</f>
        <v>289564416.54000002</v>
      </c>
      <c r="R53" s="236">
        <f>+'EEFF base'!BR47+Q53</f>
        <v>299264051.84000003</v>
      </c>
      <c r="S53" s="236">
        <f>+'EEFF base'!BS47+R53</f>
        <v>298955140.86000001</v>
      </c>
      <c r="T53" s="236">
        <f>+'EEFF base'!BT47+S53</f>
        <v>298054863.27000004</v>
      </c>
      <c r="U53" s="236">
        <f>+'EEFF base'!BU47+T53</f>
        <v>303673217.26000005</v>
      </c>
      <c r="V53" s="236">
        <f>+'EEFF base'!BV47+U53</f>
        <v>303653573.97000003</v>
      </c>
      <c r="W53" s="236">
        <f>+'EEFF base'!BW47+V53</f>
        <v>307276772.97000003</v>
      </c>
      <c r="X53" s="236">
        <f>+'EEFF base'!BX47+W53</f>
        <v>308135584.39000005</v>
      </c>
      <c r="Y53" s="236">
        <f>+'EEFF base'!BY47+X53</f>
        <v>310450585.80000007</v>
      </c>
      <c r="Z53" s="236">
        <f>+'EEFF base'!BZ47+Y53</f>
        <v>278690297.95000005</v>
      </c>
      <c r="AA53" s="236">
        <f t="shared" si="99"/>
        <v>278690297.95000005</v>
      </c>
      <c r="AB53" s="236">
        <f>+'EEFF base'!CB47</f>
        <v>278690297.94999999</v>
      </c>
      <c r="AC53" s="236">
        <f>+'EEFF base'!CC47+AB53</f>
        <v>283031522.94999999</v>
      </c>
      <c r="AD53" s="236">
        <f>+'EEFF base'!CD47+AC53</f>
        <v>287901386.63</v>
      </c>
      <c r="AE53" s="236">
        <f>+'EEFF base'!CE47+AD53</f>
        <v>287901386.63</v>
      </c>
      <c r="AF53" s="236">
        <f>+'EEFF base'!CF47+AE53</f>
        <v>296323882.81</v>
      </c>
      <c r="AG53" s="236">
        <f>+'EEFF base'!CG47+AF53</f>
        <v>306832496.99000001</v>
      </c>
      <c r="AH53" s="236">
        <f>+'EEFF base'!CH47+AG53</f>
        <v>306902496.99000001</v>
      </c>
      <c r="AI53" s="236">
        <f>+'EEFF base'!CI47+AH53</f>
        <v>306902496.99000001</v>
      </c>
      <c r="AJ53" s="236">
        <f>+'EEFF base'!CJ47+AI53</f>
        <v>325880157.69</v>
      </c>
      <c r="AK53" s="236">
        <f>+'EEFF base'!CK47+AJ53</f>
        <v>325880157.69</v>
      </c>
      <c r="AL53" s="236">
        <f>+'EEFF base'!CL47+AK53</f>
        <v>325880157.69</v>
      </c>
      <c r="AM53" s="236">
        <f>+'EEFF base'!CM47+AL53</f>
        <v>203139913.17000002</v>
      </c>
      <c r="AN53" s="236">
        <f t="shared" si="100"/>
        <v>203139913.17000002</v>
      </c>
      <c r="AO53" s="236">
        <f>+'EEFF historicoss'!R51</f>
        <v>240147695.80000001</v>
      </c>
      <c r="AP53" s="236">
        <f>+'EEFF historicoss'!S51</f>
        <v>240147695.80000001</v>
      </c>
      <c r="AQ53" s="236">
        <f>+'EEFF historicoss'!T51</f>
        <v>240147695.80000001</v>
      </c>
      <c r="AR53" s="236">
        <f>+'EEFF historicoss'!U51</f>
        <v>243494097.19</v>
      </c>
      <c r="AS53" s="236">
        <f>+'EEFF historicoss'!V51</f>
        <v>243494097.19</v>
      </c>
      <c r="AT53" s="236">
        <f>+'EEFF historicoss'!W51</f>
        <v>255693279.22999999</v>
      </c>
      <c r="AU53" s="236">
        <f>+'EEFF historicoss'!X51</f>
        <v>256343104.06999999</v>
      </c>
      <c r="AV53" s="236">
        <f>+'EEFF historicoss'!Y51</f>
        <v>256343104.06999999</v>
      </c>
      <c r="AW53" s="236">
        <f>+'EEFF historicoss'!Z51</f>
        <v>259116979.84</v>
      </c>
      <c r="AX53" s="236">
        <f>+'EEFF historicoss'!AA51</f>
        <v>259207813.17000002</v>
      </c>
      <c r="AY53" s="236">
        <f>+'EEFF historicoss'!AB51</f>
        <v>259207813.17000002</v>
      </c>
      <c r="AZ53" s="236">
        <f>+'EEFF historicoss'!AC51</f>
        <v>164637171.31</v>
      </c>
      <c r="BA53" s="236">
        <f t="shared" si="136"/>
        <v>164637171.31</v>
      </c>
      <c r="BB53" s="236">
        <f>+'EEFF historicoss'!AE51</f>
        <v>164637171.31</v>
      </c>
      <c r="BC53" s="236">
        <f>+'EEFF historicoss'!AF51</f>
        <v>164637171.31</v>
      </c>
      <c r="BD53" s="236">
        <f>+'EEFF historicoss'!AG51</f>
        <v>164637171.31</v>
      </c>
      <c r="BE53" s="236">
        <f>+'EEFF historicoss'!AH51</f>
        <v>164637171.31</v>
      </c>
      <c r="BF53" s="236">
        <f>+'EEFF historicoss'!AI51</f>
        <v>280581956.83999997</v>
      </c>
      <c r="BG53" s="236">
        <f>+'EEFF historicoss'!AJ51</f>
        <v>280581956.52999997</v>
      </c>
      <c r="BH53" s="236">
        <f>+'EEFF historicoss'!AK51</f>
        <v>277119940.11000001</v>
      </c>
      <c r="BI53" s="236">
        <f>+'EEFF historicoss'!AL51</f>
        <v>265044641.37</v>
      </c>
      <c r="BJ53" s="236">
        <f>+'EEFF historicoss'!AM51</f>
        <v>266153434.65000001</v>
      </c>
      <c r="BK53" s="236">
        <f>+'EEFF historicoss'!AN51</f>
        <v>266153434.65000001</v>
      </c>
      <c r="BL53" s="236">
        <f>+'EEFF historicoss'!AO51</f>
        <v>258146794.25999999</v>
      </c>
      <c r="BM53" s="236">
        <f>+'EEFF historicoss'!AP51</f>
        <v>204507293.19</v>
      </c>
      <c r="BN53" s="236">
        <f t="shared" si="137"/>
        <v>204507293.19</v>
      </c>
      <c r="BO53" s="236">
        <f>+'EEFF historicoss'!AR51</f>
        <v>204507293.19</v>
      </c>
      <c r="BP53" s="236">
        <f>+'EEFF historicoss'!AS51</f>
        <v>204507293.19</v>
      </c>
      <c r="BQ53" s="236">
        <f>+'EEFF historicoss'!AT51</f>
        <v>214962498.06999999</v>
      </c>
      <c r="BR53" s="236">
        <f>+'EEFF historicoss'!AU51</f>
        <v>214962498.06999999</v>
      </c>
      <c r="BS53" s="236">
        <f>+'EEFF historicoss'!AV51</f>
        <v>214962498.06999999</v>
      </c>
      <c r="BT53" s="236">
        <f>+'EEFF historicoss'!AW51</f>
        <v>214962498.06999999</v>
      </c>
      <c r="BU53" s="236">
        <f>+VLOOKUP(BU1,'Obligaciones financieras'!$C$25:$F$150,3,FALSE)</f>
        <v>245387027.06667128</v>
      </c>
      <c r="BV53" s="236">
        <f>+VLOOKUP(BV1,'Obligaciones financieras'!$C$25:$F$150,3,FALSE)</f>
        <v>214616680.66667128</v>
      </c>
      <c r="BW53" s="236">
        <f>+VLOOKUP(BW1,'Obligaciones financieras'!$C$25:$F$150,3,FALSE)</f>
        <v>213930096.85667127</v>
      </c>
      <c r="BX53" s="236">
        <f>+VLOOKUP(BX1,'Obligaciones financieras'!$C$25:$F$150,3,FALSE)</f>
        <v>213520527.74813884</v>
      </c>
      <c r="BY53" s="236">
        <f>+VLOOKUP(BY1,'Obligaciones financieras'!$C$25:$F$150,3,FALSE)</f>
        <v>209046677.86689955</v>
      </c>
      <c r="BZ53" s="236">
        <f>+VLOOKUP(BZ1,'Obligaciones financieras'!$C$25:$F$150,3,FALSE)</f>
        <v>208335231.80689955</v>
      </c>
      <c r="CA53" s="236">
        <f>+BZ53</f>
        <v>208335231.80689955</v>
      </c>
      <c r="CB53" s="236">
        <f>+VLOOKUP(CB1,'Obligaciones financieras'!$C$25:$F$150,3,FALSE)</f>
        <v>207923729.06836712</v>
      </c>
      <c r="CC53" s="236">
        <f>+VLOOKUP(CC1,'Obligaciones financieras'!$C$25:$F$150,3,FALSE)</f>
        <v>203449879.18712783</v>
      </c>
      <c r="CD53" s="236">
        <f>+VLOOKUP(CD1,'Obligaciones financieras'!$C$25:$F$150,3,FALSE)</f>
        <v>202733371.09712783</v>
      </c>
      <c r="CE53" s="236">
        <f>+VLOOKUP(CE1,'Obligaciones financieras'!$C$25:$F$150,3,FALSE)</f>
        <v>201087241.1685954</v>
      </c>
      <c r="CF53" s="236">
        <f>+VLOOKUP(CF1,'Obligaciones financieras'!$C$25:$F$150,3,FALSE)</f>
        <v>194769277.79265657</v>
      </c>
      <c r="CG53" s="236">
        <f>+VLOOKUP(CG1,'Obligaciones financieras'!$C$25:$F$150,3,FALSE)</f>
        <v>187245465.95965657</v>
      </c>
      <c r="CH53" s="236">
        <f>+VLOOKUP(CH1,'Obligaciones financieras'!$C$25:$F$150,3,FALSE)</f>
        <v>185561775.37112415</v>
      </c>
      <c r="CI53" s="236">
        <f>+VLOOKUP(CI1,'Obligaciones financieras'!$C$25:$F$150,3,FALSE)</f>
        <v>179242017.65518531</v>
      </c>
      <c r="CJ53" s="236">
        <f>+VLOOKUP(CJ1,'Obligaciones financieras'!$C$25:$F$150,3,FALSE)</f>
        <v>171714720.38218531</v>
      </c>
      <c r="CK53" s="236">
        <f>+VLOOKUP(CK1,'Obligaciones financieras'!$C$25:$F$150,3,FALSE)</f>
        <v>170031029.79365289</v>
      </c>
      <c r="CL53" s="236">
        <f>+VLOOKUP(CL1,'Obligaciones financieras'!$C$25:$F$150,3,FALSE)</f>
        <v>163709439.69771406</v>
      </c>
      <c r="CM53" s="236">
        <f>+VLOOKUP(CM1,'Obligaciones financieras'!$C$25:$F$150,3,FALSE)</f>
        <v>156230899.82471406</v>
      </c>
      <c r="CN53" s="236">
        <f t="shared" si="266"/>
        <v>156230899.82471406</v>
      </c>
      <c r="CO53" s="236">
        <f>+VLOOKUP(CO1,'Obligaciones financieras'!$C$25:$F$150,3,FALSE)</f>
        <v>154547209.23618165</v>
      </c>
      <c r="CP53" s="236">
        <f>+VLOOKUP(CP1,'Obligaciones financieras'!$C$25:$F$150,3,FALSE)</f>
        <v>148256721.70024282</v>
      </c>
      <c r="CQ53" s="236">
        <f>+VLOOKUP(CQ1,'Obligaciones financieras'!$C$25:$F$150,3,FALSE)</f>
        <v>140731997.66724283</v>
      </c>
      <c r="CR53" s="236">
        <f>+VLOOKUP(CR1,'Obligaciones financieras'!$C$25:$F$150,3,FALSE)</f>
        <v>139048307.07871041</v>
      </c>
      <c r="CS53" s="236">
        <f>+VLOOKUP(CS1,'Obligaciones financieras'!$C$25:$F$150,3,FALSE)</f>
        <v>132755416.50277157</v>
      </c>
      <c r="CT53" s="236">
        <f>+VLOOKUP(CT1,'Obligaciones financieras'!$C$25:$F$150,3,FALSE)</f>
        <v>126979247.12977158</v>
      </c>
      <c r="CU53" s="236">
        <f>+VLOOKUP(CU1,'Obligaciones financieras'!$C$25:$F$150,3,FALSE)</f>
        <v>126879194.92123915</v>
      </c>
      <c r="CV53" s="236">
        <f>+VLOOKUP(CV1,'Obligaciones financieras'!$C$25:$F$150,3,FALSE)</f>
        <v>122148115.78530031</v>
      </c>
      <c r="CW53" s="236">
        <f>+VLOOKUP(CW1,'Obligaciones financieras'!$C$25:$F$150,3,FALSE)</f>
        <v>116371946.41230032</v>
      </c>
      <c r="CX53" s="236">
        <f>+VLOOKUP(CX1,'Obligaciones financieras'!$C$25:$F$150,3,FALSE)</f>
        <v>116271894.2037679</v>
      </c>
      <c r="CY53" s="236">
        <f>+VLOOKUP(CY1,'Obligaciones financieras'!$C$25:$F$150,3,FALSE)</f>
        <v>111622008.06782906</v>
      </c>
      <c r="CZ53" s="236">
        <f>+VLOOKUP(CZ1,'Obligaciones financieras'!$C$25:$F$150,3,FALSE)</f>
        <v>105845838.69482906</v>
      </c>
      <c r="DA53" s="236">
        <f>+CZ53</f>
        <v>105845838.69482906</v>
      </c>
      <c r="DB53" s="236">
        <f>+VLOOKUP(DB1,'Obligaciones financieras'!$C$25:$F$150,3,FALSE)</f>
        <v>105745786.48629664</v>
      </c>
      <c r="DC53" s="236">
        <f>+VLOOKUP(DC1,'Obligaciones financieras'!$C$25:$F$150,3,FALSE)</f>
        <v>101095900.3503578</v>
      </c>
      <c r="DD53" s="236">
        <f>+VLOOKUP(DD1,'Obligaciones financieras'!$C$25:$F$150,3,FALSE)</f>
        <v>95319730.977357805</v>
      </c>
      <c r="DE53" s="236">
        <f>+VLOOKUP(DE1,'Obligaciones financieras'!$C$25:$F$150,3,FALSE)</f>
        <v>95219678.768825382</v>
      </c>
      <c r="DF53" s="236">
        <f>+VLOOKUP(DF1,'Obligaciones financieras'!$C$25:$F$150,3,FALSE)</f>
        <v>90569792.632886544</v>
      </c>
      <c r="DG53" s="236">
        <f>+VLOOKUP(DG1,'Obligaciones financieras'!$C$25:$F$150,3,FALSE)</f>
        <v>84793623.259886548</v>
      </c>
      <c r="DH53" s="236">
        <f>+VLOOKUP(DH1,'Obligaciones financieras'!$C$25:$F$150,3,FALSE)</f>
        <v>84693571.051354125</v>
      </c>
      <c r="DI53" s="236">
        <f>+VLOOKUP(DI1,'Obligaciones financieras'!$C$25:$F$150,3,FALSE)</f>
        <v>80043684.915415287</v>
      </c>
      <c r="DJ53" s="236">
        <f>+VLOOKUP(DJ1,'Obligaciones financieras'!$C$25:$F$150,3,FALSE)</f>
        <v>74267515.542415291</v>
      </c>
      <c r="DK53" s="236">
        <f>+VLOOKUP(DK1,'Obligaciones financieras'!$C$25:$F$150,3,FALSE)</f>
        <v>74167463.333882868</v>
      </c>
      <c r="DL53" s="236">
        <f>+VLOOKUP(DL1,'Obligaciones financieras'!$C$25:$F$150,3,FALSE)</f>
        <v>69517577.19794403</v>
      </c>
      <c r="DM53" s="236">
        <f>+VLOOKUP(DM1,'Obligaciones financieras'!$C$25:$F$150,3,FALSE)</f>
        <v>69089069.117944032</v>
      </c>
      <c r="DN53" s="236">
        <f>+DM53</f>
        <v>69089069.117944032</v>
      </c>
      <c r="DO53" s="236">
        <f>+VLOOKUP(DO1,'Obligaciones financieras'!$C$25:$F$150,3,FALSE)</f>
        <v>68989016.909411609</v>
      </c>
      <c r="DP53" s="236">
        <f>+VLOOKUP(DP1,'Obligaciones financieras'!$C$25:$F$150,3,FALSE)</f>
        <v>64339130.773472771</v>
      </c>
      <c r="DQ53" s="236">
        <f>+VLOOKUP(DQ1,'Obligaciones financieras'!$C$25:$F$150,3,FALSE)</f>
        <v>63910622.81347277</v>
      </c>
      <c r="DR53" s="236">
        <f>+VLOOKUP(DR1,'Obligaciones financieras'!$C$25:$F$150,3,FALSE)</f>
        <v>63810570.604940347</v>
      </c>
      <c r="DS53" s="236">
        <f>+VLOOKUP(DS1,'Obligaciones financieras'!$C$25:$F$150,3,FALSE)</f>
        <v>59160684.469001517</v>
      </c>
      <c r="DT53" s="236">
        <f>+VLOOKUP(DT1,'Obligaciones financieras'!$C$25:$F$150,3,FALSE)</f>
        <v>58732176.509001516</v>
      </c>
      <c r="DU53" s="236">
        <f>+VLOOKUP(DU1,'Obligaciones financieras'!$C$25:$F$150,3,FALSE)</f>
        <v>58563102.133781247</v>
      </c>
      <c r="DV53" s="236">
        <f>+VLOOKUP(DV1,'Obligaciones financieras'!$C$25:$F$150,3,FALSE)</f>
        <v>53913215.997842416</v>
      </c>
      <c r="DW53" s="236">
        <f>+VLOOKUP(DW1,'Obligaciones financieras'!$C$25:$F$150,3,FALSE)</f>
        <v>53589025.887842417</v>
      </c>
      <c r="DX53" s="236">
        <f>+VLOOKUP(DX1,'Obligaciones financieras'!$C$25:$F$150,3,FALSE)</f>
        <v>53549531.577842414</v>
      </c>
      <c r="DY53" s="236">
        <f>+VLOOKUP(DY1,'Obligaciones financieras'!$C$25:$F$150,3,FALSE)</f>
        <v>48899645.441903576</v>
      </c>
      <c r="DZ53" s="236">
        <f>+VLOOKUP(DZ1,'Obligaciones financieras'!$C$25:$F$150,3,FALSE)</f>
        <v>48575455.331903577</v>
      </c>
      <c r="EA53" s="236">
        <f>+DZ53</f>
        <v>48575455.331903577</v>
      </c>
      <c r="EB53" s="236">
        <f>+VLOOKUP(EB1,'Obligaciones financieras'!$C$25:$F$150,3,FALSE)</f>
        <v>48535961.021903574</v>
      </c>
      <c r="EC53" s="236">
        <f>+VLOOKUP(EC1,'Obligaciones financieras'!$C$25:$F$150,3,FALSE)</f>
        <v>43886074.885964736</v>
      </c>
      <c r="ED53" s="236">
        <f>+VLOOKUP(ED1,'Obligaciones financieras'!$C$25:$F$150,3,FALSE)</f>
        <v>43561884.775964737</v>
      </c>
      <c r="EE53" s="236">
        <f>+VLOOKUP(EE1,'Obligaciones financieras'!$C$25:$F$150,3,FALSE)</f>
        <v>43522390.465964735</v>
      </c>
      <c r="EF53" s="236">
        <f>+VLOOKUP(EF1,'Obligaciones financieras'!$C$25:$F$150,3,FALSE)</f>
        <v>38872504.330025896</v>
      </c>
      <c r="EG53" s="236">
        <f>+VLOOKUP(EG1,'Obligaciones financieras'!$C$25:$F$150,3,FALSE)</f>
        <v>38548314.220025897</v>
      </c>
      <c r="EH53" s="236">
        <f>+VLOOKUP(EH1,'Obligaciones financieras'!$C$25:$F$150,3,FALSE)</f>
        <v>38508819.910025895</v>
      </c>
      <c r="EI53" s="236">
        <f>+VLOOKUP(EI1,'Obligaciones financieras'!$C$25:$F$150,3,FALSE)</f>
        <v>33858933.774087057</v>
      </c>
      <c r="EJ53" s="236">
        <f>+VLOOKUP(EJ1,'Obligaciones financieras'!$C$25:$F$150,3,FALSE)</f>
        <v>33534743.664087057</v>
      </c>
      <c r="EK53" s="236">
        <f>+VLOOKUP(EK1,'Obligaciones financieras'!$C$25:$F$150,3,FALSE)</f>
        <v>33495249.354087058</v>
      </c>
      <c r="EL53" s="236">
        <f>+VLOOKUP(EL1,'Obligaciones financieras'!$C$25:$F$150,3,FALSE)</f>
        <v>28845363.218148224</v>
      </c>
      <c r="EM53" s="236">
        <f>+VLOOKUP(EM1,'Obligaciones financieras'!$C$25:$F$150,3,FALSE)</f>
        <v>28521173.108148225</v>
      </c>
      <c r="EN53" s="236">
        <f>+EM53</f>
        <v>28521173.108148225</v>
      </c>
    </row>
    <row r="54" spans="1:144" s="236" customFormat="1" x14ac:dyDescent="0.25">
      <c r="A54" s="234" t="s">
        <v>275</v>
      </c>
      <c r="B54" s="236">
        <f>+'EEFF base'!BB48</f>
        <v>56982.68</v>
      </c>
      <c r="C54" s="236">
        <f>+'EEFF base'!BC48+B54</f>
        <v>56982.68</v>
      </c>
      <c r="D54" s="236">
        <f>+'EEFF base'!BD48+C54</f>
        <v>56982.68</v>
      </c>
      <c r="E54" s="236">
        <f>+'EEFF base'!BE48+D54</f>
        <v>56982.68</v>
      </c>
      <c r="F54" s="236">
        <f>+'EEFF base'!BF48+E54</f>
        <v>56982.68</v>
      </c>
      <c r="G54" s="236">
        <f>+'EEFF base'!BG48+F54</f>
        <v>56982.68</v>
      </c>
      <c r="H54" s="236">
        <f>+'EEFF base'!BH48+G54</f>
        <v>56982.68</v>
      </c>
      <c r="I54" s="236">
        <f>+'EEFF base'!BI48+H54</f>
        <v>56982.68</v>
      </c>
      <c r="J54" s="236">
        <f>+'EEFF base'!BJ48+I54</f>
        <v>56982.68</v>
      </c>
      <c r="K54" s="236">
        <f>+'EEFF base'!BK48+J54</f>
        <v>56982.68</v>
      </c>
      <c r="L54" s="236">
        <f>+'EEFF base'!BL48+K54</f>
        <v>56982.68</v>
      </c>
      <c r="M54" s="236">
        <f>+'EEFF base'!BM48+L54</f>
        <v>56982.68</v>
      </c>
      <c r="N54" s="236">
        <f t="shared" si="263"/>
        <v>56982.68</v>
      </c>
      <c r="O54" s="236">
        <f>+'EEFF base'!BO48</f>
        <v>56982.68</v>
      </c>
      <c r="P54" s="236">
        <f>+'EEFF base'!BP48+O54</f>
        <v>56982.68</v>
      </c>
      <c r="Q54" s="236">
        <f>+'EEFF base'!BQ48+P54</f>
        <v>56982.68</v>
      </c>
      <c r="R54" s="236">
        <f>+'EEFF base'!BR48+Q54</f>
        <v>56982.68</v>
      </c>
      <c r="S54" s="236">
        <f>+'EEFF base'!BS48+R54</f>
        <v>56982.68</v>
      </c>
      <c r="T54" s="236">
        <f>+'EEFF base'!BT48+S54</f>
        <v>56982.68</v>
      </c>
      <c r="U54" s="236">
        <f>+'EEFF base'!BU48+T54</f>
        <v>56982.68</v>
      </c>
      <c r="V54" s="236">
        <f>+'EEFF base'!BV48+U54</f>
        <v>56982.68</v>
      </c>
      <c r="W54" s="236">
        <f>+'EEFF base'!BW48+V54</f>
        <v>56982.68</v>
      </c>
      <c r="X54" s="236">
        <f>+'EEFF base'!BX48+W54</f>
        <v>56982.68</v>
      </c>
      <c r="Y54" s="236">
        <f>+'EEFF base'!BY48+X54</f>
        <v>56982.68</v>
      </c>
      <c r="Z54" s="236">
        <f>+'EEFF base'!BZ48+Y54</f>
        <v>56982.68</v>
      </c>
      <c r="AA54" s="236">
        <f t="shared" si="99"/>
        <v>56982.68</v>
      </c>
      <c r="AB54" s="236">
        <f>+'EEFF base'!CB48</f>
        <v>56982.68</v>
      </c>
      <c r="AC54" s="236">
        <f>+'EEFF base'!CC48+AB54</f>
        <v>56982.68</v>
      </c>
      <c r="AD54" s="236">
        <f>+'EEFF base'!CD48+AC54</f>
        <v>56982.68</v>
      </c>
      <c r="AE54" s="236">
        <f>+'EEFF base'!CE48+AD54</f>
        <v>56982.68</v>
      </c>
      <c r="AF54" s="236">
        <f>+'EEFF base'!CF48+AE54</f>
        <v>56982.68</v>
      </c>
      <c r="AG54" s="236">
        <f>+'EEFF base'!CG48+AF54</f>
        <v>56982.68</v>
      </c>
      <c r="AH54" s="236">
        <f>+'EEFF base'!CH48+AG54</f>
        <v>56982.68</v>
      </c>
      <c r="AI54" s="236">
        <f>+'EEFF base'!CI48+AH54</f>
        <v>56982.68</v>
      </c>
      <c r="AJ54" s="236">
        <f>+'EEFF base'!CJ48+AI54</f>
        <v>56982.68</v>
      </c>
      <c r="AK54" s="236">
        <f>+'EEFF base'!CK48+AJ54</f>
        <v>56982.68</v>
      </c>
      <c r="AL54" s="236">
        <f>+'EEFF base'!CL48+AK54</f>
        <v>56982.68</v>
      </c>
      <c r="AM54" s="236">
        <f>+'EEFF base'!CM48+AL54</f>
        <v>56982.68</v>
      </c>
      <c r="AN54" s="236">
        <f t="shared" si="100"/>
        <v>56982.68</v>
      </c>
      <c r="AO54" s="236">
        <f>+'EEFF historicoss'!R53</f>
        <v>56982.68</v>
      </c>
      <c r="AP54" s="236">
        <f>+'EEFF historicoss'!S53</f>
        <v>56982.68</v>
      </c>
      <c r="AQ54" s="236">
        <f>+'EEFF historicoss'!T53</f>
        <v>56982.68</v>
      </c>
      <c r="AR54" s="236">
        <f>+'EEFF historicoss'!U53</f>
        <v>56982.68</v>
      </c>
      <c r="AS54" s="236">
        <f>+'EEFF historicoss'!V53</f>
        <v>56982.68</v>
      </c>
      <c r="AT54" s="236">
        <f>+'EEFF historicoss'!W53</f>
        <v>56982.68</v>
      </c>
      <c r="AU54" s="236">
        <f>+'EEFF historicoss'!X53</f>
        <v>56982.68</v>
      </c>
      <c r="AV54" s="236">
        <f>+'EEFF historicoss'!Y53</f>
        <v>56982.68</v>
      </c>
      <c r="AW54" s="236">
        <f>+'EEFF historicoss'!Z53</f>
        <v>56982.68</v>
      </c>
      <c r="AX54" s="236">
        <f>+'EEFF historicoss'!AA53</f>
        <v>56982.68</v>
      </c>
      <c r="AY54" s="236">
        <f>+'EEFF historicoss'!AB53</f>
        <v>56982.68</v>
      </c>
      <c r="AZ54" s="236">
        <f>+'EEFF historicoss'!AC53</f>
        <v>56982.68</v>
      </c>
      <c r="BA54" s="236">
        <f t="shared" si="136"/>
        <v>56982.68</v>
      </c>
      <c r="BB54" s="236">
        <f>+'EEFF historicoss'!AE53</f>
        <v>714544.21</v>
      </c>
      <c r="BC54" s="236">
        <f>+'EEFF historicoss'!AF53</f>
        <v>726798.27</v>
      </c>
      <c r="BD54" s="236">
        <f>+'EEFF historicoss'!AG53</f>
        <v>705348.99</v>
      </c>
      <c r="BE54" s="236">
        <f>+'EEFF historicoss'!AH53</f>
        <v>726810.16</v>
      </c>
      <c r="BF54" s="236">
        <f>+'EEFF historicoss'!AI53</f>
        <v>732572.32</v>
      </c>
      <c r="BG54" s="236">
        <f>+'EEFF historicoss'!AJ53</f>
        <v>732581.56</v>
      </c>
      <c r="BH54" s="236">
        <f>+'EEFF historicoss'!AK53</f>
        <v>732684.6</v>
      </c>
      <c r="BI54" s="236">
        <f>+'EEFF historicoss'!AL53</f>
        <v>713682.74</v>
      </c>
      <c r="BJ54" s="236">
        <f>+'EEFF historicoss'!AM53</f>
        <v>732723.53</v>
      </c>
      <c r="BK54" s="236">
        <f>+'EEFF historicoss'!AN53</f>
        <v>723430</v>
      </c>
      <c r="BL54" s="236">
        <f>+'EEFF historicoss'!AO53</f>
        <v>683844.76</v>
      </c>
      <c r="BM54" s="236">
        <f>+'EEFF historicoss'!AP53</f>
        <v>733017.78</v>
      </c>
      <c r="BN54" s="236">
        <f t="shared" si="137"/>
        <v>733017.78</v>
      </c>
      <c r="BO54" s="236">
        <f>+'EEFF historicoss'!AR53</f>
        <v>733039.76</v>
      </c>
      <c r="BP54" s="236">
        <f>+'EEFF historicoss'!AS53</f>
        <v>647855.93999999994</v>
      </c>
      <c r="BQ54" s="236">
        <f>+'EEFF historicoss'!AT53</f>
        <v>727353.84</v>
      </c>
      <c r="BR54" s="236">
        <f>+'EEFF historicoss'!AU53</f>
        <v>727817.83</v>
      </c>
      <c r="BS54" s="236">
        <f>+'EEFF historicoss'!AV53</f>
        <v>749292.25</v>
      </c>
      <c r="BT54" s="236">
        <f>+'EEFF historicoss'!AW53</f>
        <v>749414.52</v>
      </c>
      <c r="BU54" s="236">
        <f t="shared" ref="BU54:BZ54" si="271">+BT54</f>
        <v>749414.52</v>
      </c>
      <c r="BV54" s="236">
        <f t="shared" si="271"/>
        <v>749414.52</v>
      </c>
      <c r="BW54" s="236">
        <f t="shared" si="271"/>
        <v>749414.52</v>
      </c>
      <c r="BX54" s="236">
        <f t="shared" si="271"/>
        <v>749414.52</v>
      </c>
      <c r="BY54" s="236">
        <f t="shared" si="271"/>
        <v>749414.52</v>
      </c>
      <c r="BZ54" s="236">
        <f t="shared" si="271"/>
        <v>749414.52</v>
      </c>
      <c r="CA54" s="236">
        <f>+BZ54</f>
        <v>749414.52</v>
      </c>
      <c r="CB54" s="236">
        <f>+CA54</f>
        <v>749414.52</v>
      </c>
      <c r="CC54" s="236">
        <f t="shared" ref="CC54:CM54" si="272">+CB54</f>
        <v>749414.52</v>
      </c>
      <c r="CD54" s="236">
        <f t="shared" si="272"/>
        <v>749414.52</v>
      </c>
      <c r="CE54" s="236">
        <f t="shared" si="272"/>
        <v>749414.52</v>
      </c>
      <c r="CF54" s="236">
        <f t="shared" si="272"/>
        <v>749414.52</v>
      </c>
      <c r="CG54" s="236">
        <f t="shared" si="272"/>
        <v>749414.52</v>
      </c>
      <c r="CH54" s="236">
        <f t="shared" si="272"/>
        <v>749414.52</v>
      </c>
      <c r="CI54" s="236">
        <f t="shared" si="272"/>
        <v>749414.52</v>
      </c>
      <c r="CJ54" s="236">
        <f t="shared" si="272"/>
        <v>749414.52</v>
      </c>
      <c r="CK54" s="236">
        <f t="shared" si="272"/>
        <v>749414.52</v>
      </c>
      <c r="CL54" s="236">
        <f t="shared" si="272"/>
        <v>749414.52</v>
      </c>
      <c r="CM54" s="236">
        <f t="shared" si="272"/>
        <v>749414.52</v>
      </c>
      <c r="CN54" s="236">
        <f t="shared" si="266"/>
        <v>749414.52</v>
      </c>
      <c r="CO54" s="236">
        <f t="shared" ref="CO54:DA54" si="273">+CN54</f>
        <v>749414.52</v>
      </c>
      <c r="CP54" s="236">
        <f t="shared" si="273"/>
        <v>749414.52</v>
      </c>
      <c r="CQ54" s="236">
        <f t="shared" si="273"/>
        <v>749414.52</v>
      </c>
      <c r="CR54" s="236">
        <f t="shared" si="273"/>
        <v>749414.52</v>
      </c>
      <c r="CS54" s="236">
        <f t="shared" si="273"/>
        <v>749414.52</v>
      </c>
      <c r="CT54" s="236">
        <f t="shared" si="273"/>
        <v>749414.52</v>
      </c>
      <c r="CU54" s="236">
        <f t="shared" si="273"/>
        <v>749414.52</v>
      </c>
      <c r="CV54" s="236">
        <f t="shared" si="273"/>
        <v>749414.52</v>
      </c>
      <c r="CW54" s="236">
        <f t="shared" si="273"/>
        <v>749414.52</v>
      </c>
      <c r="CX54" s="236">
        <f t="shared" si="273"/>
        <v>749414.52</v>
      </c>
      <c r="CY54" s="236">
        <f t="shared" si="273"/>
        <v>749414.52</v>
      </c>
      <c r="CZ54" s="236">
        <f t="shared" si="273"/>
        <v>749414.52</v>
      </c>
      <c r="DA54" s="236">
        <f t="shared" si="273"/>
        <v>749414.52</v>
      </c>
      <c r="DB54" s="236">
        <f>+DA54</f>
        <v>749414.52</v>
      </c>
      <c r="DC54" s="236">
        <f t="shared" ref="DC54:DN54" si="274">+DB54</f>
        <v>749414.52</v>
      </c>
      <c r="DD54" s="236">
        <f t="shared" si="274"/>
        <v>749414.52</v>
      </c>
      <c r="DE54" s="236">
        <f t="shared" si="274"/>
        <v>749414.52</v>
      </c>
      <c r="DF54" s="236">
        <f t="shared" si="274"/>
        <v>749414.52</v>
      </c>
      <c r="DG54" s="236">
        <f t="shared" si="274"/>
        <v>749414.52</v>
      </c>
      <c r="DH54" s="236">
        <f t="shared" si="274"/>
        <v>749414.52</v>
      </c>
      <c r="DI54" s="236">
        <f t="shared" si="274"/>
        <v>749414.52</v>
      </c>
      <c r="DJ54" s="236">
        <f t="shared" si="274"/>
        <v>749414.52</v>
      </c>
      <c r="DK54" s="236">
        <f t="shared" si="274"/>
        <v>749414.52</v>
      </c>
      <c r="DL54" s="236">
        <f t="shared" si="274"/>
        <v>749414.52</v>
      </c>
      <c r="DM54" s="236">
        <f t="shared" si="274"/>
        <v>749414.52</v>
      </c>
      <c r="DN54" s="236">
        <f t="shared" si="274"/>
        <v>749414.52</v>
      </c>
      <c r="DO54" s="236">
        <f>+DN54</f>
        <v>749414.52</v>
      </c>
      <c r="DP54" s="236">
        <f t="shared" ref="DP54:EA54" si="275">+DO54</f>
        <v>749414.52</v>
      </c>
      <c r="DQ54" s="236">
        <f t="shared" si="275"/>
        <v>749414.52</v>
      </c>
      <c r="DR54" s="236">
        <f t="shared" si="275"/>
        <v>749414.52</v>
      </c>
      <c r="DS54" s="236">
        <f t="shared" si="275"/>
        <v>749414.52</v>
      </c>
      <c r="DT54" s="236">
        <f t="shared" si="275"/>
        <v>749414.52</v>
      </c>
      <c r="DU54" s="236">
        <f t="shared" si="275"/>
        <v>749414.52</v>
      </c>
      <c r="DV54" s="236">
        <f t="shared" si="275"/>
        <v>749414.52</v>
      </c>
      <c r="DW54" s="236">
        <f t="shared" si="275"/>
        <v>749414.52</v>
      </c>
      <c r="DX54" s="236">
        <f t="shared" si="275"/>
        <v>749414.52</v>
      </c>
      <c r="DY54" s="236">
        <f t="shared" si="275"/>
        <v>749414.52</v>
      </c>
      <c r="DZ54" s="236">
        <f t="shared" si="275"/>
        <v>749414.52</v>
      </c>
      <c r="EA54" s="236">
        <f t="shared" si="275"/>
        <v>749414.52</v>
      </c>
      <c r="EB54" s="236">
        <f>+EA54</f>
        <v>749414.52</v>
      </c>
      <c r="EC54" s="236">
        <f t="shared" ref="EC54:EN54" si="276">+EB54</f>
        <v>749414.52</v>
      </c>
      <c r="ED54" s="236">
        <f t="shared" si="276"/>
        <v>749414.52</v>
      </c>
      <c r="EE54" s="236">
        <f t="shared" si="276"/>
        <v>749414.52</v>
      </c>
      <c r="EF54" s="236">
        <f t="shared" si="276"/>
        <v>749414.52</v>
      </c>
      <c r="EG54" s="236">
        <f t="shared" si="276"/>
        <v>749414.52</v>
      </c>
      <c r="EH54" s="236">
        <f t="shared" si="276"/>
        <v>749414.52</v>
      </c>
      <c r="EI54" s="236">
        <f t="shared" si="276"/>
        <v>749414.52</v>
      </c>
      <c r="EJ54" s="236">
        <f t="shared" si="276"/>
        <v>749414.52</v>
      </c>
      <c r="EK54" s="236">
        <f t="shared" si="276"/>
        <v>749414.52</v>
      </c>
      <c r="EL54" s="236">
        <f t="shared" si="276"/>
        <v>749414.52</v>
      </c>
      <c r="EM54" s="236">
        <f t="shared" si="276"/>
        <v>749414.52</v>
      </c>
      <c r="EN54" s="236">
        <f t="shared" si="276"/>
        <v>749414.52</v>
      </c>
    </row>
    <row r="55" spans="1:144" s="236" customFormat="1" x14ac:dyDescent="0.25">
      <c r="A55" s="234" t="s">
        <v>276</v>
      </c>
      <c r="B55" s="236">
        <f>+'EEFF base'!BB49</f>
        <v>56898589.549999997</v>
      </c>
      <c r="C55" s="236">
        <f>+'EEFF base'!BC49+B55</f>
        <v>57677303.779999994</v>
      </c>
      <c r="D55" s="236">
        <f>+'EEFF base'!BD49+C55</f>
        <v>57435327.179999992</v>
      </c>
      <c r="E55" s="236">
        <f>+'EEFF base'!BE49+D55</f>
        <v>57354286.419999994</v>
      </c>
      <c r="F55" s="236">
        <f>+'EEFF base'!BF49+E55</f>
        <v>58119701.619999997</v>
      </c>
      <c r="G55" s="236">
        <f>+'EEFF base'!BG49+F55</f>
        <v>58273274.479999997</v>
      </c>
      <c r="H55" s="236">
        <f>+'EEFF base'!BH49+G55</f>
        <v>57958033.539999999</v>
      </c>
      <c r="I55" s="236">
        <f>+'EEFF base'!BI49+H55</f>
        <v>57866674.229999997</v>
      </c>
      <c r="J55" s="236">
        <f>+'EEFF base'!BJ49+I55</f>
        <v>60124051.729999997</v>
      </c>
      <c r="K55" s="236">
        <f>+'EEFF base'!BK49+J55</f>
        <v>59920655.259999998</v>
      </c>
      <c r="L55" s="236">
        <f>+'EEFF base'!BL49+K55</f>
        <v>60322501.850000001</v>
      </c>
      <c r="M55" s="236">
        <f>+'EEFF base'!BM49+L55</f>
        <v>59916789.039999999</v>
      </c>
      <c r="N55" s="236">
        <f t="shared" si="263"/>
        <v>59916789.039999999</v>
      </c>
      <c r="O55" s="236">
        <f>+'EEFF base'!BO49</f>
        <v>47285326.539999999</v>
      </c>
      <c r="P55" s="236">
        <f>+'EEFF base'!BP49+O55</f>
        <v>47826265.82</v>
      </c>
      <c r="Q55" s="236">
        <f>+'EEFF base'!BQ49+P55</f>
        <v>51933841.469999999</v>
      </c>
      <c r="R55" s="236">
        <f>+'EEFF base'!BR49+Q55</f>
        <v>52341319.769999996</v>
      </c>
      <c r="S55" s="236">
        <f>+'EEFF base'!BS49+R55</f>
        <v>52559511.069999993</v>
      </c>
      <c r="T55" s="236">
        <f>+'EEFF base'!BT49+S55</f>
        <v>50330332.949999996</v>
      </c>
      <c r="U55" s="236">
        <f>+'EEFF base'!BU49+T55</f>
        <v>50923433.289999999</v>
      </c>
      <c r="V55" s="236">
        <f>+'EEFF base'!BV49+U55</f>
        <v>51474619.159999996</v>
      </c>
      <c r="W55" s="236">
        <f>+'EEFF base'!BW49+V55</f>
        <v>49690724.239999995</v>
      </c>
      <c r="X55" s="236">
        <f>+'EEFF base'!BX49+W55</f>
        <v>50188215.559999995</v>
      </c>
      <c r="Y55" s="236">
        <f>+'EEFF base'!BY49+X55</f>
        <v>50357971.569999993</v>
      </c>
      <c r="Z55" s="236">
        <f>+'EEFF base'!BZ49+Y55</f>
        <v>50991282.409999996</v>
      </c>
      <c r="AA55" s="236">
        <f t="shared" si="99"/>
        <v>50991282.409999996</v>
      </c>
      <c r="AB55" s="236">
        <f>+'EEFF base'!CB49</f>
        <v>50895503.079999998</v>
      </c>
      <c r="AC55" s="236">
        <f>+'EEFF base'!CC49+AB55</f>
        <v>50421650.699999996</v>
      </c>
      <c r="AD55" s="236">
        <f>+'EEFF base'!CD49+AC55</f>
        <v>50897267.919999994</v>
      </c>
      <c r="AE55" s="236">
        <f>+'EEFF base'!CE49+AD55</f>
        <v>51294736.689999998</v>
      </c>
      <c r="AF55" s="236">
        <f>+'EEFF base'!CF49+AE55</f>
        <v>51295312.089999996</v>
      </c>
      <c r="AG55" s="236">
        <f>+'EEFF base'!CG49+AF55</f>
        <v>53200713.519999996</v>
      </c>
      <c r="AH55" s="236">
        <f>+'EEFF base'!CH49+AG55</f>
        <v>52787033.469999999</v>
      </c>
      <c r="AI55" s="236">
        <f>+'EEFF base'!CI49+AH55</f>
        <v>50474653.079999998</v>
      </c>
      <c r="AJ55" s="236">
        <f>+'EEFF base'!CJ49+AI55</f>
        <v>50965836.299999997</v>
      </c>
      <c r="AK55" s="236">
        <f>+'EEFF base'!CK49+AJ55</f>
        <v>50745515.25</v>
      </c>
      <c r="AL55" s="236">
        <f>+'EEFF base'!CL49+AK55</f>
        <v>50563082.259999998</v>
      </c>
      <c r="AM55" s="236">
        <f>+'EEFF base'!CM49+AL55</f>
        <v>49445043.659999996</v>
      </c>
      <c r="AN55" s="236">
        <f t="shared" si="100"/>
        <v>49445043.659999996</v>
      </c>
      <c r="AO55" s="236">
        <f>+'EEFF historicoss'!R52</f>
        <v>49840369.830000006</v>
      </c>
      <c r="AP55" s="236">
        <f>+'EEFF historicoss'!S52</f>
        <v>50563155.140000008</v>
      </c>
      <c r="AQ55" s="236">
        <f>+'EEFF historicoss'!T52</f>
        <v>51933500.510000005</v>
      </c>
      <c r="AR55" s="236">
        <f>+'EEFF historicoss'!U52</f>
        <v>50093704.970000006</v>
      </c>
      <c r="AS55" s="236">
        <f>+'EEFF historicoss'!V52</f>
        <v>49324426.310000002</v>
      </c>
      <c r="AT55" s="236">
        <f>+'EEFF historicoss'!W52</f>
        <v>49437897.32</v>
      </c>
      <c r="AU55" s="236">
        <f>+'EEFF historicoss'!X52</f>
        <v>48845298.490000002</v>
      </c>
      <c r="AV55" s="236">
        <f>+'EEFF historicoss'!Y52</f>
        <v>49283439.039999999</v>
      </c>
      <c r="AW55" s="236">
        <f>+'EEFF historicoss'!Z52</f>
        <v>53346475.839999996</v>
      </c>
      <c r="AX55" s="236">
        <f>+'EEFF historicoss'!AA52</f>
        <v>54085339.349999994</v>
      </c>
      <c r="AY55" s="236">
        <f>+'EEFF historicoss'!AB52</f>
        <v>54803352.599999994</v>
      </c>
      <c r="AZ55" s="236">
        <f>+'EEFF historicoss'!AC52</f>
        <v>55125747.969999991</v>
      </c>
      <c r="BA55" s="236">
        <f t="shared" si="136"/>
        <v>55125747.969999991</v>
      </c>
      <c r="BB55" s="236">
        <f>+'EEFF historicoss'!AE52</f>
        <v>55654467.380000003</v>
      </c>
      <c r="BC55" s="236">
        <f>+'EEFF historicoss'!AF52</f>
        <v>56153004.920000002</v>
      </c>
      <c r="BD55" s="236">
        <f>+'EEFF historicoss'!AG52</f>
        <v>56797273.170000002</v>
      </c>
      <c r="BE55" s="236">
        <f>+'EEFF historicoss'!AH52</f>
        <v>55112229.909999996</v>
      </c>
      <c r="BF55" s="236">
        <f>+'EEFF historicoss'!AI52</f>
        <v>53522081.689999998</v>
      </c>
      <c r="BG55" s="236">
        <f>+'EEFF historicoss'!AJ52</f>
        <v>49971305.630000003</v>
      </c>
      <c r="BH55" s="236">
        <f>+'EEFF historicoss'!AK52</f>
        <v>49772313.130000003</v>
      </c>
      <c r="BI55" s="236">
        <f>+'EEFF historicoss'!AL52</f>
        <v>49992748.770000003</v>
      </c>
      <c r="BJ55" s="236">
        <f>+'EEFF historicoss'!AM52</f>
        <v>51288116.93</v>
      </c>
      <c r="BK55" s="236">
        <f>+'EEFF historicoss'!AN52</f>
        <v>51121244.32</v>
      </c>
      <c r="BL55" s="236">
        <f>+'EEFF historicoss'!AO52</f>
        <v>51668832.109999999</v>
      </c>
      <c r="BM55" s="236">
        <f>+'EEFF historicoss'!AP52</f>
        <v>52779691.670000002</v>
      </c>
      <c r="BN55" s="236">
        <f t="shared" si="137"/>
        <v>52779691.670000002</v>
      </c>
      <c r="BO55" s="236">
        <f>+'EEFF historicoss'!AR52</f>
        <v>53315135.200000003</v>
      </c>
      <c r="BP55" s="236">
        <f>+'EEFF historicoss'!AS52</f>
        <v>53757210.469999999</v>
      </c>
      <c r="BQ55" s="236">
        <f>+'EEFF historicoss'!AT52</f>
        <v>55135291.850000001</v>
      </c>
      <c r="BR55" s="236">
        <f>+'EEFF historicoss'!AU52</f>
        <v>55650321.659999996</v>
      </c>
      <c r="BS55" s="236">
        <f>+'EEFF historicoss'!AV52</f>
        <v>55981343.359999999</v>
      </c>
      <c r="BT55" s="236">
        <f>+'EEFF historicoss'!AW52</f>
        <v>57060795.619999997</v>
      </c>
      <c r="BU55" s="236">
        <f t="shared" ref="BU55:BZ55" si="277">+BT55</f>
        <v>57060795.619999997</v>
      </c>
      <c r="BV55" s="236">
        <f t="shared" si="277"/>
        <v>57060795.619999997</v>
      </c>
      <c r="BW55" s="236">
        <f t="shared" si="277"/>
        <v>57060795.619999997</v>
      </c>
      <c r="BX55" s="236">
        <f t="shared" si="277"/>
        <v>57060795.619999997</v>
      </c>
      <c r="BY55" s="236">
        <f t="shared" si="277"/>
        <v>57060795.619999997</v>
      </c>
      <c r="BZ55" s="236">
        <f t="shared" si="277"/>
        <v>57060795.619999997</v>
      </c>
      <c r="CA55" s="236">
        <f>+BZ55</f>
        <v>57060795.619999997</v>
      </c>
      <c r="CB55" s="236">
        <f>+CA55</f>
        <v>57060795.619999997</v>
      </c>
      <c r="CC55" s="236">
        <f t="shared" ref="CC55:CM55" si="278">+CB55</f>
        <v>57060795.619999997</v>
      </c>
      <c r="CD55" s="236">
        <f t="shared" si="278"/>
        <v>57060795.619999997</v>
      </c>
      <c r="CE55" s="236">
        <f t="shared" si="278"/>
        <v>57060795.619999997</v>
      </c>
      <c r="CF55" s="236">
        <f t="shared" si="278"/>
        <v>57060795.619999997</v>
      </c>
      <c r="CG55" s="236">
        <f t="shared" si="278"/>
        <v>57060795.619999997</v>
      </c>
      <c r="CH55" s="236">
        <f t="shared" si="278"/>
        <v>57060795.619999997</v>
      </c>
      <c r="CI55" s="236">
        <f t="shared" si="278"/>
        <v>57060795.619999997</v>
      </c>
      <c r="CJ55" s="236">
        <f t="shared" si="278"/>
        <v>57060795.619999997</v>
      </c>
      <c r="CK55" s="236">
        <f t="shared" si="278"/>
        <v>57060795.619999997</v>
      </c>
      <c r="CL55" s="236">
        <f t="shared" si="278"/>
        <v>57060795.619999997</v>
      </c>
      <c r="CM55" s="236">
        <f t="shared" si="278"/>
        <v>57060795.619999997</v>
      </c>
      <c r="CN55" s="236">
        <f t="shared" si="266"/>
        <v>57060795.619999997</v>
      </c>
      <c r="CO55" s="236">
        <f t="shared" ref="CO55:DA55" si="279">+CN55</f>
        <v>57060795.619999997</v>
      </c>
      <c r="CP55" s="236">
        <f t="shared" si="279"/>
        <v>57060795.619999997</v>
      </c>
      <c r="CQ55" s="236">
        <f t="shared" si="279"/>
        <v>57060795.619999997</v>
      </c>
      <c r="CR55" s="236">
        <f t="shared" si="279"/>
        <v>57060795.619999997</v>
      </c>
      <c r="CS55" s="236">
        <f t="shared" si="279"/>
        <v>57060795.619999997</v>
      </c>
      <c r="CT55" s="236">
        <f t="shared" si="279"/>
        <v>57060795.619999997</v>
      </c>
      <c r="CU55" s="236">
        <f t="shared" si="279"/>
        <v>57060795.619999997</v>
      </c>
      <c r="CV55" s="236">
        <f t="shared" si="279"/>
        <v>57060795.619999997</v>
      </c>
      <c r="CW55" s="236">
        <f t="shared" si="279"/>
        <v>57060795.619999997</v>
      </c>
      <c r="CX55" s="236">
        <f t="shared" si="279"/>
        <v>57060795.619999997</v>
      </c>
      <c r="CY55" s="236">
        <f t="shared" si="279"/>
        <v>57060795.619999997</v>
      </c>
      <c r="CZ55" s="236">
        <f t="shared" si="279"/>
        <v>57060795.619999997</v>
      </c>
      <c r="DA55" s="236">
        <f t="shared" si="279"/>
        <v>57060795.619999997</v>
      </c>
      <c r="DB55" s="236">
        <f>+DA55</f>
        <v>57060795.619999997</v>
      </c>
      <c r="DC55" s="236">
        <f t="shared" ref="DC55:DN55" si="280">+DB55</f>
        <v>57060795.619999997</v>
      </c>
      <c r="DD55" s="236">
        <f t="shared" si="280"/>
        <v>57060795.619999997</v>
      </c>
      <c r="DE55" s="236">
        <f t="shared" si="280"/>
        <v>57060795.619999997</v>
      </c>
      <c r="DF55" s="236">
        <f t="shared" si="280"/>
        <v>57060795.619999997</v>
      </c>
      <c r="DG55" s="236">
        <f t="shared" si="280"/>
        <v>57060795.619999997</v>
      </c>
      <c r="DH55" s="236">
        <f t="shared" si="280"/>
        <v>57060795.619999997</v>
      </c>
      <c r="DI55" s="236">
        <f t="shared" si="280"/>
        <v>57060795.619999997</v>
      </c>
      <c r="DJ55" s="236">
        <f t="shared" si="280"/>
        <v>57060795.619999997</v>
      </c>
      <c r="DK55" s="236">
        <f t="shared" si="280"/>
        <v>57060795.619999997</v>
      </c>
      <c r="DL55" s="236">
        <f t="shared" si="280"/>
        <v>57060795.619999997</v>
      </c>
      <c r="DM55" s="236">
        <f t="shared" si="280"/>
        <v>57060795.619999997</v>
      </c>
      <c r="DN55" s="236">
        <f t="shared" si="280"/>
        <v>57060795.619999997</v>
      </c>
      <c r="DO55" s="236">
        <f>+DN55</f>
        <v>57060795.619999997</v>
      </c>
      <c r="DP55" s="236">
        <f t="shared" ref="DP55:EA55" si="281">+DO55</f>
        <v>57060795.619999997</v>
      </c>
      <c r="DQ55" s="236">
        <f t="shared" si="281"/>
        <v>57060795.619999997</v>
      </c>
      <c r="DR55" s="236">
        <f t="shared" si="281"/>
        <v>57060795.619999997</v>
      </c>
      <c r="DS55" s="236">
        <f t="shared" si="281"/>
        <v>57060795.619999997</v>
      </c>
      <c r="DT55" s="236">
        <f t="shared" si="281"/>
        <v>57060795.619999997</v>
      </c>
      <c r="DU55" s="236">
        <f t="shared" si="281"/>
        <v>57060795.619999997</v>
      </c>
      <c r="DV55" s="236">
        <f t="shared" si="281"/>
        <v>57060795.619999997</v>
      </c>
      <c r="DW55" s="236">
        <f t="shared" si="281"/>
        <v>57060795.619999997</v>
      </c>
      <c r="DX55" s="236">
        <f t="shared" si="281"/>
        <v>57060795.619999997</v>
      </c>
      <c r="DY55" s="236">
        <f t="shared" si="281"/>
        <v>57060795.619999997</v>
      </c>
      <c r="DZ55" s="236">
        <f t="shared" si="281"/>
        <v>57060795.619999997</v>
      </c>
      <c r="EA55" s="236">
        <f t="shared" si="281"/>
        <v>57060795.619999997</v>
      </c>
      <c r="EB55" s="236">
        <f>+EA55</f>
        <v>57060795.619999997</v>
      </c>
      <c r="EC55" s="236">
        <f t="shared" ref="EC55:EN55" si="282">+EB55</f>
        <v>57060795.619999997</v>
      </c>
      <c r="ED55" s="236">
        <f t="shared" si="282"/>
        <v>57060795.619999997</v>
      </c>
      <c r="EE55" s="236">
        <f t="shared" si="282"/>
        <v>57060795.619999997</v>
      </c>
      <c r="EF55" s="236">
        <f t="shared" si="282"/>
        <v>57060795.619999997</v>
      </c>
      <c r="EG55" s="236">
        <f t="shared" si="282"/>
        <v>57060795.619999997</v>
      </c>
      <c r="EH55" s="236">
        <f t="shared" si="282"/>
        <v>57060795.619999997</v>
      </c>
      <c r="EI55" s="236">
        <f t="shared" si="282"/>
        <v>57060795.619999997</v>
      </c>
      <c r="EJ55" s="236">
        <f t="shared" si="282"/>
        <v>57060795.619999997</v>
      </c>
      <c r="EK55" s="236">
        <f t="shared" si="282"/>
        <v>57060795.619999997</v>
      </c>
      <c r="EL55" s="236">
        <f t="shared" si="282"/>
        <v>57060795.619999997</v>
      </c>
      <c r="EM55" s="236">
        <f t="shared" si="282"/>
        <v>57060795.619999997</v>
      </c>
      <c r="EN55" s="236">
        <f t="shared" si="282"/>
        <v>57060795.619999997</v>
      </c>
    </row>
    <row r="56" spans="1:144" s="236" customFormat="1" x14ac:dyDescent="0.25">
      <c r="A56" s="243" t="s">
        <v>281</v>
      </c>
      <c r="B56" s="246">
        <f>+SUM(B51:B55)</f>
        <v>350925591.02999997</v>
      </c>
      <c r="C56" s="246">
        <f t="shared" ref="C56:M56" si="283">+SUM(C51:C55)</f>
        <v>355491183.32999992</v>
      </c>
      <c r="D56" s="246">
        <f t="shared" si="283"/>
        <v>376890302.70999998</v>
      </c>
      <c r="E56" s="246">
        <f t="shared" si="283"/>
        <v>377393464.44</v>
      </c>
      <c r="F56" s="246">
        <f t="shared" si="283"/>
        <v>378743082.09999996</v>
      </c>
      <c r="G56" s="246">
        <f t="shared" si="283"/>
        <v>377609450.36000001</v>
      </c>
      <c r="H56" s="246">
        <f t="shared" si="283"/>
        <v>377878800.84000003</v>
      </c>
      <c r="I56" s="246">
        <f t="shared" si="283"/>
        <v>376619084.34000003</v>
      </c>
      <c r="J56" s="246">
        <f t="shared" si="283"/>
        <v>379460661.47000003</v>
      </c>
      <c r="K56" s="246">
        <f t="shared" si="283"/>
        <v>380035561.39999998</v>
      </c>
      <c r="L56" s="246">
        <f t="shared" si="283"/>
        <v>385044480.75999999</v>
      </c>
      <c r="M56" s="246">
        <f t="shared" si="283"/>
        <v>323042746.30000001</v>
      </c>
      <c r="N56" s="246">
        <f t="shared" si="263"/>
        <v>323042746.30000001</v>
      </c>
      <c r="O56" s="246">
        <f>+SUM(O51:O55)</f>
        <v>313351387.95000005</v>
      </c>
      <c r="P56" s="246">
        <f t="shared" ref="P56:Z56" si="284">+SUM(P51:P55)</f>
        <v>316063488.73000008</v>
      </c>
      <c r="Q56" s="246">
        <f t="shared" si="284"/>
        <v>344165705.32000005</v>
      </c>
      <c r="R56" s="246">
        <f t="shared" si="284"/>
        <v>354915939.44</v>
      </c>
      <c r="S56" s="246">
        <f t="shared" si="284"/>
        <v>353501615.61000001</v>
      </c>
      <c r="T56" s="246">
        <f t="shared" si="284"/>
        <v>351001553.29000002</v>
      </c>
      <c r="U56" s="246">
        <f t="shared" si="284"/>
        <v>357792598.4600001</v>
      </c>
      <c r="V56" s="246">
        <f t="shared" si="284"/>
        <v>358903732.49000001</v>
      </c>
      <c r="W56" s="246">
        <f t="shared" si="284"/>
        <v>361322633.72000003</v>
      </c>
      <c r="X56" s="246">
        <f t="shared" si="284"/>
        <v>359116828.43000007</v>
      </c>
      <c r="Y56" s="246">
        <f t="shared" si="284"/>
        <v>361582894.24000007</v>
      </c>
      <c r="Z56" s="246">
        <f t="shared" si="284"/>
        <v>330474608.33000004</v>
      </c>
      <c r="AA56" s="246">
        <f t="shared" si="99"/>
        <v>330474608.33000004</v>
      </c>
      <c r="AB56" s="246">
        <f t="shared" ref="AB56:AM56" si="285">+SUM(AB51:AB55)</f>
        <v>330958418.43000001</v>
      </c>
      <c r="AC56" s="246">
        <f t="shared" si="285"/>
        <v>335405396.59999996</v>
      </c>
      <c r="AD56" s="246">
        <f t="shared" si="285"/>
        <v>341330481.73000002</v>
      </c>
      <c r="AE56" s="246">
        <f t="shared" si="285"/>
        <v>342307543.04000002</v>
      </c>
      <c r="AF56" s="246">
        <f t="shared" si="285"/>
        <v>351310257.26999998</v>
      </c>
      <c r="AG56" s="246">
        <f t="shared" si="285"/>
        <v>364303862.88</v>
      </c>
      <c r="AH56" s="246">
        <f t="shared" si="285"/>
        <v>364539772.96000004</v>
      </c>
      <c r="AI56" s="246">
        <f t="shared" si="285"/>
        <v>362806982.93000001</v>
      </c>
      <c r="AJ56" s="246">
        <f t="shared" si="285"/>
        <v>382801040.95000005</v>
      </c>
      <c r="AK56" s="246">
        <f t="shared" si="285"/>
        <v>383214699.17000002</v>
      </c>
      <c r="AL56" s="246">
        <f t="shared" si="285"/>
        <v>383611871.88</v>
      </c>
      <c r="AM56" s="246">
        <f t="shared" si="285"/>
        <v>253378125.87000003</v>
      </c>
      <c r="AN56" s="246">
        <f t="shared" si="100"/>
        <v>253378125.87000003</v>
      </c>
      <c r="AO56" s="246">
        <f t="shared" ref="AO56:AY56" si="286">+SUM(AO51:AO55)</f>
        <v>291361070.53000003</v>
      </c>
      <c r="AP56" s="246">
        <f t="shared" si="286"/>
        <v>292663450.20000005</v>
      </c>
      <c r="AQ56" s="246">
        <f t="shared" si="286"/>
        <v>294569305.24000001</v>
      </c>
      <c r="AR56" s="246">
        <f t="shared" si="286"/>
        <v>296699586.80000001</v>
      </c>
      <c r="AS56" s="246">
        <f t="shared" si="286"/>
        <v>296440639.22000003</v>
      </c>
      <c r="AT56" s="246">
        <f t="shared" si="286"/>
        <v>309402164.67000002</v>
      </c>
      <c r="AU56" s="246">
        <f t="shared" si="286"/>
        <v>310039001.38</v>
      </c>
      <c r="AV56" s="246">
        <f t="shared" si="286"/>
        <v>311056731.28000003</v>
      </c>
      <c r="AW56" s="246">
        <f t="shared" si="286"/>
        <v>313256951.36000001</v>
      </c>
      <c r="AX56" s="246">
        <f t="shared" si="286"/>
        <v>314074031.10000002</v>
      </c>
      <c r="AY56" s="246">
        <f t="shared" si="286"/>
        <v>314783013.59000003</v>
      </c>
      <c r="AZ56" s="246">
        <f>+SUM(AZ51:AZ55)</f>
        <v>220546689.66</v>
      </c>
      <c r="BA56" s="246">
        <f t="shared" si="136"/>
        <v>220546689.66</v>
      </c>
      <c r="BB56" s="246">
        <f>+SUM(BB51:BB55)</f>
        <v>472967732.96999997</v>
      </c>
      <c r="BC56" s="246">
        <f t="shared" ref="BC56:BM56" si="287">+SUM(BC51:BC55)</f>
        <v>471971659.06999999</v>
      </c>
      <c r="BD56" s="246">
        <f t="shared" si="287"/>
        <v>470787196.11000001</v>
      </c>
      <c r="BE56" s="246">
        <f t="shared" si="287"/>
        <v>470136816.26999998</v>
      </c>
      <c r="BF56" s="246">
        <f t="shared" si="287"/>
        <v>585214996.14999998</v>
      </c>
      <c r="BG56" s="246">
        <f t="shared" si="287"/>
        <v>584460707.69000006</v>
      </c>
      <c r="BH56" s="246">
        <f t="shared" si="287"/>
        <v>581128775.07000005</v>
      </c>
      <c r="BI56" s="246">
        <f t="shared" si="287"/>
        <v>574249351.52999997</v>
      </c>
      <c r="BJ56" s="246">
        <f t="shared" si="287"/>
        <v>578540664.27999997</v>
      </c>
      <c r="BK56" s="246">
        <f t="shared" si="287"/>
        <v>584523954.38</v>
      </c>
      <c r="BL56" s="246">
        <f t="shared" si="287"/>
        <v>573828814.86000001</v>
      </c>
      <c r="BM56" s="246">
        <f t="shared" si="287"/>
        <v>525637056.14999998</v>
      </c>
      <c r="BN56" s="246">
        <f t="shared" si="137"/>
        <v>525637056.14999998</v>
      </c>
      <c r="BO56" s="246">
        <f t="shared" ref="BO56:BZ56" si="288">+SUM(BO51:BO55)</f>
        <v>525021232.51999998</v>
      </c>
      <c r="BP56" s="246">
        <f t="shared" si="288"/>
        <v>527391817.75999999</v>
      </c>
      <c r="BQ56" s="246">
        <f t="shared" si="288"/>
        <v>539815761.52999997</v>
      </c>
      <c r="BR56" s="246">
        <f t="shared" si="288"/>
        <v>544334645.75999999</v>
      </c>
      <c r="BS56" s="246">
        <f t="shared" si="288"/>
        <v>537768244.49000001</v>
      </c>
      <c r="BT56" s="246">
        <f t="shared" ref="BT56" si="289">+SUM(BT51:BT55)</f>
        <v>541870515.53999996</v>
      </c>
      <c r="BU56" s="246">
        <f t="shared" si="288"/>
        <v>572295044.53667128</v>
      </c>
      <c r="BV56" s="246">
        <f t="shared" si="288"/>
        <v>541524698.13667119</v>
      </c>
      <c r="BW56" s="246">
        <f t="shared" si="288"/>
        <v>540838114.32667124</v>
      </c>
      <c r="BX56" s="246">
        <f t="shared" si="288"/>
        <v>540428545.21813881</v>
      </c>
      <c r="BY56" s="246">
        <f t="shared" si="288"/>
        <v>535954695.33689952</v>
      </c>
      <c r="BZ56" s="246">
        <f t="shared" si="288"/>
        <v>535243249.27689952</v>
      </c>
      <c r="CA56" s="246">
        <f>+BZ56</f>
        <v>535243249.27689952</v>
      </c>
      <c r="CB56" s="246">
        <f t="shared" ref="CB56:CM56" si="290">+SUM(CB51:CB55)</f>
        <v>534831746.53836709</v>
      </c>
      <c r="CC56" s="246">
        <f t="shared" si="290"/>
        <v>530357896.6571278</v>
      </c>
      <c r="CD56" s="246">
        <f t="shared" si="290"/>
        <v>529641388.56712782</v>
      </c>
      <c r="CE56" s="246">
        <f t="shared" si="290"/>
        <v>527995258.63859534</v>
      </c>
      <c r="CF56" s="246">
        <f t="shared" si="290"/>
        <v>521677295.26265657</v>
      </c>
      <c r="CG56" s="246">
        <f t="shared" si="290"/>
        <v>514153483.42965651</v>
      </c>
      <c r="CH56" s="246">
        <f t="shared" si="290"/>
        <v>512469792.84112412</v>
      </c>
      <c r="CI56" s="246">
        <f t="shared" si="290"/>
        <v>506150035.12518525</v>
      </c>
      <c r="CJ56" s="246">
        <f t="shared" si="290"/>
        <v>498622737.85218525</v>
      </c>
      <c r="CK56" s="246">
        <f t="shared" si="290"/>
        <v>496939047.26365286</v>
      </c>
      <c r="CL56" s="246">
        <f t="shared" si="290"/>
        <v>490617457.167714</v>
      </c>
      <c r="CM56" s="246">
        <f t="shared" si="290"/>
        <v>483138917.29471403</v>
      </c>
      <c r="CN56" s="246">
        <f t="shared" si="266"/>
        <v>483138917.29471403</v>
      </c>
      <c r="CO56" s="246">
        <f t="shared" ref="CO56" si="291">+SUM(CO51:CO55)</f>
        <v>481455226.70618165</v>
      </c>
      <c r="CP56" s="246">
        <f t="shared" ref="CP56:CZ56" si="292">+SUM(CP51:CP55)</f>
        <v>475164739.17024279</v>
      </c>
      <c r="CQ56" s="246">
        <f t="shared" si="292"/>
        <v>467640015.13724279</v>
      </c>
      <c r="CR56" s="246">
        <f t="shared" si="292"/>
        <v>465956324.54871035</v>
      </c>
      <c r="CS56" s="246">
        <f t="shared" si="292"/>
        <v>459663433.97277153</v>
      </c>
      <c r="CT56" s="246">
        <f t="shared" si="292"/>
        <v>453887264.59977156</v>
      </c>
      <c r="CU56" s="246">
        <f t="shared" si="292"/>
        <v>453787212.39123911</v>
      </c>
      <c r="CV56" s="246">
        <f t="shared" si="292"/>
        <v>449056133.25530028</v>
      </c>
      <c r="CW56" s="246">
        <f t="shared" si="292"/>
        <v>443279963.88230026</v>
      </c>
      <c r="CX56" s="246">
        <f t="shared" si="292"/>
        <v>443179911.67376786</v>
      </c>
      <c r="CY56" s="246">
        <f t="shared" si="292"/>
        <v>438530025.53782904</v>
      </c>
      <c r="CZ56" s="246">
        <f t="shared" si="292"/>
        <v>432753856.16482902</v>
      </c>
      <c r="DA56" s="246">
        <f>+CZ56</f>
        <v>432753856.16482902</v>
      </c>
      <c r="DB56" s="246">
        <f t="shared" ref="DB56:DM56" si="293">+SUM(DB51:DB55)</f>
        <v>432653803.95629662</v>
      </c>
      <c r="DC56" s="246">
        <f t="shared" si="293"/>
        <v>428003917.8203578</v>
      </c>
      <c r="DD56" s="246">
        <f t="shared" si="293"/>
        <v>422227748.44735777</v>
      </c>
      <c r="DE56" s="246">
        <f t="shared" si="293"/>
        <v>422127696.23882532</v>
      </c>
      <c r="DF56" s="246">
        <f t="shared" si="293"/>
        <v>417477810.1028865</v>
      </c>
      <c r="DG56" s="246">
        <f t="shared" si="293"/>
        <v>411701640.72988653</v>
      </c>
      <c r="DH56" s="246">
        <f t="shared" si="293"/>
        <v>411601588.52135408</v>
      </c>
      <c r="DI56" s="246">
        <f t="shared" si="293"/>
        <v>406951702.38541526</v>
      </c>
      <c r="DJ56" s="246">
        <f t="shared" si="293"/>
        <v>401175533.01241529</v>
      </c>
      <c r="DK56" s="246">
        <f t="shared" si="293"/>
        <v>401075480.80388284</v>
      </c>
      <c r="DL56" s="246">
        <f t="shared" si="293"/>
        <v>396425594.66794401</v>
      </c>
      <c r="DM56" s="246">
        <f t="shared" si="293"/>
        <v>395997086.58794403</v>
      </c>
      <c r="DN56" s="246">
        <f>+DM56</f>
        <v>395997086.58794403</v>
      </c>
      <c r="DO56" s="246">
        <f t="shared" ref="DO56:DZ56" si="294">+SUM(DO51:DO55)</f>
        <v>395897034.37941158</v>
      </c>
      <c r="DP56" s="246">
        <f t="shared" si="294"/>
        <v>391247148.24347275</v>
      </c>
      <c r="DQ56" s="246">
        <f t="shared" si="294"/>
        <v>390818640.28347272</v>
      </c>
      <c r="DR56" s="246">
        <f t="shared" si="294"/>
        <v>390718588.07494032</v>
      </c>
      <c r="DS56" s="246">
        <f t="shared" si="294"/>
        <v>386068701.9390015</v>
      </c>
      <c r="DT56" s="246">
        <f t="shared" si="294"/>
        <v>385640193.97900146</v>
      </c>
      <c r="DU56" s="246">
        <f t="shared" si="294"/>
        <v>385471119.60378122</v>
      </c>
      <c r="DV56" s="246">
        <f t="shared" si="294"/>
        <v>380821233.4678424</v>
      </c>
      <c r="DW56" s="246">
        <f t="shared" si="294"/>
        <v>380497043.35784239</v>
      </c>
      <c r="DX56" s="246">
        <f t="shared" si="294"/>
        <v>380457549.04784238</v>
      </c>
      <c r="DY56" s="246">
        <f t="shared" si="294"/>
        <v>375807662.91190356</v>
      </c>
      <c r="DZ56" s="246">
        <f t="shared" si="294"/>
        <v>375483472.80190355</v>
      </c>
      <c r="EA56" s="246">
        <f>+DZ56</f>
        <v>375483472.80190355</v>
      </c>
      <c r="EB56" s="246">
        <f t="shared" ref="EB56:EM56" si="295">+SUM(EB51:EB55)</f>
        <v>375443978.49190354</v>
      </c>
      <c r="EC56" s="246">
        <f t="shared" si="295"/>
        <v>370794092.35596472</v>
      </c>
      <c r="ED56" s="246">
        <f t="shared" si="295"/>
        <v>370469902.24596471</v>
      </c>
      <c r="EE56" s="246">
        <f t="shared" si="295"/>
        <v>370430407.9359647</v>
      </c>
      <c r="EF56" s="246">
        <f t="shared" si="295"/>
        <v>365780521.80002588</v>
      </c>
      <c r="EG56" s="246">
        <f t="shared" si="295"/>
        <v>365456331.69002587</v>
      </c>
      <c r="EH56" s="246">
        <f t="shared" si="295"/>
        <v>365416837.38002586</v>
      </c>
      <c r="EI56" s="246">
        <f t="shared" si="295"/>
        <v>360766951.24408704</v>
      </c>
      <c r="EJ56" s="246">
        <f t="shared" si="295"/>
        <v>360442761.13408703</v>
      </c>
      <c r="EK56" s="246">
        <f t="shared" si="295"/>
        <v>360403266.82408702</v>
      </c>
      <c r="EL56" s="246">
        <f t="shared" si="295"/>
        <v>355753380.6881482</v>
      </c>
      <c r="EM56" s="246">
        <f t="shared" si="295"/>
        <v>355429190.57814819</v>
      </c>
      <c r="EN56" s="246">
        <f>+EM56</f>
        <v>355429190.57814819</v>
      </c>
    </row>
    <row r="57" spans="1:144" s="236" customFormat="1" ht="14.4" thickBot="1" x14ac:dyDescent="0.3">
      <c r="A57" s="244" t="s">
        <v>280</v>
      </c>
      <c r="B57" s="245">
        <f>+B56+B50</f>
        <v>523645234.56000006</v>
      </c>
      <c r="C57" s="245">
        <f t="shared" ref="C57:M57" si="296">+C56+C50</f>
        <v>522697177.5</v>
      </c>
      <c r="D57" s="245">
        <f t="shared" si="296"/>
        <v>518295910.01000011</v>
      </c>
      <c r="E57" s="245">
        <f t="shared" si="296"/>
        <v>518048824.07000005</v>
      </c>
      <c r="F57" s="245">
        <f t="shared" si="296"/>
        <v>520169305.67000008</v>
      </c>
      <c r="G57" s="245">
        <f t="shared" si="296"/>
        <v>500287263.41000015</v>
      </c>
      <c r="H57" s="245">
        <f t="shared" si="296"/>
        <v>501510744.59000015</v>
      </c>
      <c r="I57" s="245">
        <f t="shared" si="296"/>
        <v>519402842.41000021</v>
      </c>
      <c r="J57" s="245">
        <f t="shared" si="296"/>
        <v>521866392.45000029</v>
      </c>
      <c r="K57" s="245">
        <f t="shared" si="296"/>
        <v>508262529.90000021</v>
      </c>
      <c r="L57" s="245">
        <f t="shared" si="296"/>
        <v>507562171.13000023</v>
      </c>
      <c r="M57" s="245">
        <f t="shared" si="296"/>
        <v>506105555.01000029</v>
      </c>
      <c r="N57" s="245">
        <f t="shared" si="263"/>
        <v>506105555.01000029</v>
      </c>
      <c r="O57" s="245">
        <f>+O56+O50</f>
        <v>497469086.88000011</v>
      </c>
      <c r="P57" s="245">
        <f t="shared" ref="P57:Z57" si="297">+P56+P50</f>
        <v>490977056.96000016</v>
      </c>
      <c r="Q57" s="245">
        <f t="shared" si="297"/>
        <v>506578886.22000015</v>
      </c>
      <c r="R57" s="245">
        <f t="shared" si="297"/>
        <v>504098075.59000003</v>
      </c>
      <c r="S57" s="245">
        <f t="shared" si="297"/>
        <v>507701566.89000005</v>
      </c>
      <c r="T57" s="245">
        <f t="shared" si="297"/>
        <v>508864017.84000003</v>
      </c>
      <c r="U57" s="245">
        <f t="shared" si="297"/>
        <v>510332672.38000005</v>
      </c>
      <c r="V57" s="245">
        <f t="shared" si="297"/>
        <v>519498146.75999999</v>
      </c>
      <c r="W57" s="245">
        <f t="shared" si="297"/>
        <v>520036174.15999997</v>
      </c>
      <c r="X57" s="245">
        <f t="shared" si="297"/>
        <v>517274114.36000001</v>
      </c>
      <c r="Y57" s="245">
        <f t="shared" si="297"/>
        <v>522880460.25</v>
      </c>
      <c r="Z57" s="245">
        <f t="shared" si="297"/>
        <v>519005909.29000002</v>
      </c>
      <c r="AA57" s="245">
        <f t="shared" si="99"/>
        <v>519005909.29000002</v>
      </c>
      <c r="AB57" s="245">
        <f t="shared" ref="AB57:AM57" si="298">+AB56+AB50</f>
        <v>503142401.62</v>
      </c>
      <c r="AC57" s="245">
        <f t="shared" si="298"/>
        <v>511193292.09999996</v>
      </c>
      <c r="AD57" s="245">
        <f t="shared" si="298"/>
        <v>504453733.22000003</v>
      </c>
      <c r="AE57" s="245">
        <f t="shared" si="298"/>
        <v>511669971.65999997</v>
      </c>
      <c r="AF57" s="245">
        <f t="shared" si="298"/>
        <v>515709796.88999999</v>
      </c>
      <c r="AG57" s="245">
        <f t="shared" si="298"/>
        <v>517414398.00999975</v>
      </c>
      <c r="AH57" s="245">
        <f t="shared" si="298"/>
        <v>526684724.51999986</v>
      </c>
      <c r="AI57" s="245">
        <f t="shared" si="298"/>
        <v>529412883.61999983</v>
      </c>
      <c r="AJ57" s="245">
        <f t="shared" si="298"/>
        <v>523597496.96999991</v>
      </c>
      <c r="AK57" s="245">
        <f t="shared" si="298"/>
        <v>512682774.87999982</v>
      </c>
      <c r="AL57" s="245">
        <f t="shared" si="298"/>
        <v>510846664.91999978</v>
      </c>
      <c r="AM57" s="245">
        <f t="shared" si="298"/>
        <v>500112688.60999978</v>
      </c>
      <c r="AN57" s="245">
        <f t="shared" si="100"/>
        <v>500112688.60999978</v>
      </c>
      <c r="AO57" s="245">
        <f t="shared" ref="AO57:AY57" si="299">+AO56+AO50</f>
        <v>492301949.25999999</v>
      </c>
      <c r="AP57" s="245">
        <f t="shared" si="299"/>
        <v>497090653.34000003</v>
      </c>
      <c r="AQ57" s="245">
        <f t="shared" si="299"/>
        <v>496602273.04000002</v>
      </c>
      <c r="AR57" s="245">
        <f t="shared" si="299"/>
        <v>504045831</v>
      </c>
      <c r="AS57" s="245">
        <f t="shared" si="299"/>
        <v>503366532.29000008</v>
      </c>
      <c r="AT57" s="245">
        <f t="shared" si="299"/>
        <v>511439871.86000013</v>
      </c>
      <c r="AU57" s="245">
        <f t="shared" si="299"/>
        <v>513336011.35000014</v>
      </c>
      <c r="AV57" s="245">
        <f t="shared" si="299"/>
        <v>515829068.98000014</v>
      </c>
      <c r="AW57" s="245">
        <f t="shared" si="299"/>
        <v>515393890.15000021</v>
      </c>
      <c r="AX57" s="245">
        <f t="shared" si="299"/>
        <v>509090336.64000028</v>
      </c>
      <c r="AY57" s="245">
        <f t="shared" si="299"/>
        <v>515546134.45000029</v>
      </c>
      <c r="AZ57" s="245">
        <f>+AZ56+AZ50</f>
        <v>513050959.05000031</v>
      </c>
      <c r="BA57" s="245">
        <f>+AZ57</f>
        <v>513050959.05000031</v>
      </c>
      <c r="BB57" s="245">
        <f>+BB56+BB50</f>
        <v>754867770.47000003</v>
      </c>
      <c r="BC57" s="245">
        <f t="shared" ref="BC57:BM57" si="300">+BC56+BC50</f>
        <v>746536777.51999998</v>
      </c>
      <c r="BD57" s="245">
        <f t="shared" si="300"/>
        <v>748226616.88999999</v>
      </c>
      <c r="BE57" s="245">
        <f t="shared" si="300"/>
        <v>762801986.75</v>
      </c>
      <c r="BF57" s="245">
        <f t="shared" si="300"/>
        <v>759399229.58999991</v>
      </c>
      <c r="BG57" s="245">
        <f t="shared" si="300"/>
        <v>763564152.35000002</v>
      </c>
      <c r="BH57" s="245">
        <f t="shared" si="300"/>
        <v>757313581.36000013</v>
      </c>
      <c r="BI57" s="245">
        <f t="shared" si="300"/>
        <v>726178676.73000002</v>
      </c>
      <c r="BJ57" s="245">
        <f t="shared" si="300"/>
        <v>718985188.03999996</v>
      </c>
      <c r="BK57" s="245">
        <f t="shared" si="300"/>
        <v>721793070.00999999</v>
      </c>
      <c r="BL57" s="245">
        <f t="shared" si="300"/>
        <v>705150185.15999997</v>
      </c>
      <c r="BM57" s="245">
        <f t="shared" si="300"/>
        <v>711103566.56999993</v>
      </c>
      <c r="BN57" s="245">
        <f>+BM57</f>
        <v>711103566.56999993</v>
      </c>
      <c r="BO57" s="245">
        <f t="shared" ref="BO57:BT57" si="301">+BO56+BO50</f>
        <v>703957067.43999994</v>
      </c>
      <c r="BP57" s="245">
        <f t="shared" si="301"/>
        <v>693128246.71000004</v>
      </c>
      <c r="BQ57" s="245">
        <f t="shared" si="301"/>
        <v>694007364.37</v>
      </c>
      <c r="BR57" s="245">
        <f t="shared" si="301"/>
        <v>678480450.50999999</v>
      </c>
      <c r="BS57" s="245">
        <f t="shared" si="301"/>
        <v>680353631.44000006</v>
      </c>
      <c r="BT57" s="245">
        <f t="shared" si="301"/>
        <v>682332140.07999992</v>
      </c>
      <c r="BU57" s="245">
        <f t="shared" ref="BU57:BZ57" si="302">+BU56+BU50</f>
        <v>733784276.85578275</v>
      </c>
      <c r="BV57" s="245">
        <f t="shared" si="302"/>
        <v>719106691.15455019</v>
      </c>
      <c r="BW57" s="245">
        <f t="shared" si="302"/>
        <v>705058607.57569528</v>
      </c>
      <c r="BX57" s="245">
        <f t="shared" si="302"/>
        <v>723563747.80102921</v>
      </c>
      <c r="BY57" s="245">
        <f t="shared" si="302"/>
        <v>689113797.63253379</v>
      </c>
      <c r="BZ57" s="245">
        <f t="shared" si="302"/>
        <v>692410515.25693667</v>
      </c>
      <c r="CA57" s="245">
        <f>+BZ57</f>
        <v>692410515.25693667</v>
      </c>
      <c r="CB57" s="245">
        <f t="shared" ref="CB57:CM57" si="303">+CB56+CB50</f>
        <v>731909093.86653697</v>
      </c>
      <c r="CC57" s="245">
        <f t="shared" si="303"/>
        <v>727435243.98529768</v>
      </c>
      <c r="CD57" s="245">
        <f t="shared" si="303"/>
        <v>682914150.15529776</v>
      </c>
      <c r="CE57" s="245">
        <f t="shared" si="303"/>
        <v>681268020.22676528</v>
      </c>
      <c r="CF57" s="245">
        <f t="shared" si="303"/>
        <v>674950056.8508265</v>
      </c>
      <c r="CG57" s="245">
        <f t="shared" si="303"/>
        <v>667426245.01782644</v>
      </c>
      <c r="CH57" s="245">
        <f t="shared" si="303"/>
        <v>665742554.42929399</v>
      </c>
      <c r="CI57" s="245">
        <f t="shared" si="303"/>
        <v>659422796.71335518</v>
      </c>
      <c r="CJ57" s="245">
        <f t="shared" si="303"/>
        <v>651895499.44035518</v>
      </c>
      <c r="CK57" s="245">
        <f t="shared" si="303"/>
        <v>650211808.85182273</v>
      </c>
      <c r="CL57" s="245">
        <f t="shared" si="303"/>
        <v>643890218.75588393</v>
      </c>
      <c r="CM57" s="245">
        <f t="shared" si="303"/>
        <v>636411678.88288391</v>
      </c>
      <c r="CN57" s="245">
        <f t="shared" si="266"/>
        <v>636411678.88288391</v>
      </c>
      <c r="CO57" s="245">
        <f t="shared" ref="CO57" si="304">+CO56+CO50</f>
        <v>634727988.29435158</v>
      </c>
      <c r="CP57" s="245">
        <f t="shared" ref="CP57:CZ57" si="305">+CP56+CP50</f>
        <v>628437500.75841272</v>
      </c>
      <c r="CQ57" s="245">
        <f t="shared" si="305"/>
        <v>620912776.72541273</v>
      </c>
      <c r="CR57" s="245">
        <f t="shared" si="305"/>
        <v>619229086.13688028</v>
      </c>
      <c r="CS57" s="245">
        <f t="shared" si="305"/>
        <v>612936195.56094146</v>
      </c>
      <c r="CT57" s="245">
        <f t="shared" si="305"/>
        <v>607160026.18794143</v>
      </c>
      <c r="CU57" s="245">
        <f t="shared" si="305"/>
        <v>607059973.97940898</v>
      </c>
      <c r="CV57" s="245">
        <f t="shared" si="305"/>
        <v>602328894.84347022</v>
      </c>
      <c r="CW57" s="245">
        <f t="shared" si="305"/>
        <v>596552725.47047019</v>
      </c>
      <c r="CX57" s="245">
        <f t="shared" si="305"/>
        <v>596452673.26193774</v>
      </c>
      <c r="CY57" s="245">
        <f t="shared" si="305"/>
        <v>591802787.12599897</v>
      </c>
      <c r="CZ57" s="245">
        <f t="shared" si="305"/>
        <v>586026617.75299895</v>
      </c>
      <c r="DA57" s="245">
        <f>+CZ57</f>
        <v>586026617.75299895</v>
      </c>
      <c r="DB57" s="245">
        <f t="shared" ref="DB57:DM57" si="306">+DB56+DB50</f>
        <v>585926565.5444665</v>
      </c>
      <c r="DC57" s="245">
        <f t="shared" si="306"/>
        <v>581276679.40852773</v>
      </c>
      <c r="DD57" s="245">
        <f t="shared" si="306"/>
        <v>575500510.03552771</v>
      </c>
      <c r="DE57" s="245">
        <f t="shared" si="306"/>
        <v>575400457.82699525</v>
      </c>
      <c r="DF57" s="245">
        <f t="shared" si="306"/>
        <v>570750571.69105637</v>
      </c>
      <c r="DG57" s="245">
        <f t="shared" si="306"/>
        <v>564974402.31805646</v>
      </c>
      <c r="DH57" s="245">
        <f t="shared" si="306"/>
        <v>564874350.10952401</v>
      </c>
      <c r="DI57" s="245">
        <f t="shared" si="306"/>
        <v>560224463.97358513</v>
      </c>
      <c r="DJ57" s="245">
        <f t="shared" si="306"/>
        <v>554448294.60058522</v>
      </c>
      <c r="DK57" s="245">
        <f t="shared" si="306"/>
        <v>554348242.39205277</v>
      </c>
      <c r="DL57" s="245">
        <f t="shared" si="306"/>
        <v>549698356.25611389</v>
      </c>
      <c r="DM57" s="245">
        <f t="shared" si="306"/>
        <v>549269848.17611396</v>
      </c>
      <c r="DN57" s="245">
        <f>+DM57</f>
        <v>549269848.17611396</v>
      </c>
      <c r="DO57" s="245">
        <f t="shared" ref="DO57:DZ57" si="307">+DO56+DO50</f>
        <v>549169795.96758151</v>
      </c>
      <c r="DP57" s="245">
        <f t="shared" si="307"/>
        <v>544519909.83164263</v>
      </c>
      <c r="DQ57" s="245">
        <f t="shared" si="307"/>
        <v>544091401.87164259</v>
      </c>
      <c r="DR57" s="245">
        <f t="shared" si="307"/>
        <v>543991349.66311026</v>
      </c>
      <c r="DS57" s="245">
        <f t="shared" si="307"/>
        <v>539341463.52717137</v>
      </c>
      <c r="DT57" s="245">
        <f t="shared" si="307"/>
        <v>538912955.56717134</v>
      </c>
      <c r="DU57" s="245">
        <f t="shared" si="307"/>
        <v>538743881.19195116</v>
      </c>
      <c r="DV57" s="245">
        <f t="shared" si="307"/>
        <v>534093995.05601227</v>
      </c>
      <c r="DW57" s="245">
        <f t="shared" si="307"/>
        <v>533769804.94601226</v>
      </c>
      <c r="DX57" s="245">
        <f t="shared" si="307"/>
        <v>533730310.63601232</v>
      </c>
      <c r="DY57" s="245">
        <f t="shared" si="307"/>
        <v>529080424.50007343</v>
      </c>
      <c r="DZ57" s="245">
        <f t="shared" si="307"/>
        <v>528756234.39007342</v>
      </c>
      <c r="EA57" s="245">
        <f>+DZ57</f>
        <v>528756234.39007342</v>
      </c>
      <c r="EB57" s="245">
        <f t="shared" ref="EB57:EM57" si="308">+EB56+EB50</f>
        <v>528716740.08007348</v>
      </c>
      <c r="EC57" s="245">
        <f t="shared" si="308"/>
        <v>524066853.94413459</v>
      </c>
      <c r="ED57" s="245">
        <f t="shared" si="308"/>
        <v>523742663.83413458</v>
      </c>
      <c r="EE57" s="245">
        <f t="shared" si="308"/>
        <v>523703169.52413464</v>
      </c>
      <c r="EF57" s="245">
        <f t="shared" si="308"/>
        <v>519053283.38819575</v>
      </c>
      <c r="EG57" s="245">
        <f t="shared" si="308"/>
        <v>518729093.27819574</v>
      </c>
      <c r="EH57" s="245">
        <f t="shared" si="308"/>
        <v>518689598.9681958</v>
      </c>
      <c r="EI57" s="245">
        <f t="shared" si="308"/>
        <v>514039712.83225691</v>
      </c>
      <c r="EJ57" s="245">
        <f t="shared" si="308"/>
        <v>513715522.7222569</v>
      </c>
      <c r="EK57" s="245">
        <f t="shared" si="308"/>
        <v>513676028.41225696</v>
      </c>
      <c r="EL57" s="245">
        <f t="shared" si="308"/>
        <v>509026142.27631807</v>
      </c>
      <c r="EM57" s="245">
        <f t="shared" si="308"/>
        <v>508701952.16631806</v>
      </c>
      <c r="EN57" s="245">
        <f>+EM57</f>
        <v>508701952.16631806</v>
      </c>
    </row>
    <row r="58" spans="1:144" s="236" customFormat="1" ht="14.4" thickTop="1" x14ac:dyDescent="0.25">
      <c r="A58" s="234"/>
    </row>
    <row r="59" spans="1:144" s="236" customFormat="1" x14ac:dyDescent="0.25">
      <c r="A59" s="240" t="s">
        <v>81</v>
      </c>
    </row>
    <row r="60" spans="1:144" s="236" customFormat="1" x14ac:dyDescent="0.25">
      <c r="A60" s="234" t="s">
        <v>284</v>
      </c>
      <c r="B60" s="236">
        <f>+'EEFF base'!BB51</f>
        <v>0</v>
      </c>
      <c r="C60" s="236">
        <f>+'EEFF base'!BC51</f>
        <v>0</v>
      </c>
      <c r="D60" s="236">
        <f>+'EEFF base'!BD51</f>
        <v>0</v>
      </c>
      <c r="E60" s="236">
        <f>+'EEFF base'!BE51</f>
        <v>0</v>
      </c>
      <c r="F60" s="236">
        <f>+'EEFF base'!BF51</f>
        <v>0</v>
      </c>
      <c r="G60" s="236">
        <f>+'EEFF base'!BG51</f>
        <v>0</v>
      </c>
      <c r="H60" s="236">
        <f>+'EEFF base'!BH51</f>
        <v>0</v>
      </c>
      <c r="I60" s="236">
        <f>+'EEFF base'!BI51</f>
        <v>0</v>
      </c>
      <c r="J60" s="236">
        <f>+'EEFF base'!BJ51</f>
        <v>0</v>
      </c>
      <c r="K60" s="236">
        <f>+'EEFF base'!BK51</f>
        <v>0</v>
      </c>
      <c r="L60" s="236">
        <f>+'EEFF base'!BL51</f>
        <v>0</v>
      </c>
      <c r="M60" s="236">
        <f>+'EEFF base'!BM51</f>
        <v>0</v>
      </c>
      <c r="N60" s="236">
        <v>449403337</v>
      </c>
      <c r="O60" s="236">
        <f>+'EEFF base'!BO51</f>
        <v>0</v>
      </c>
      <c r="P60" s="236">
        <f>+'EEFF base'!BP51</f>
        <v>0</v>
      </c>
      <c r="Q60" s="236">
        <f>+'EEFF base'!BQ51</f>
        <v>0</v>
      </c>
      <c r="R60" s="236">
        <f>+'EEFF base'!BR51</f>
        <v>0</v>
      </c>
      <c r="S60" s="236">
        <f>+'EEFF base'!BS51</f>
        <v>0</v>
      </c>
      <c r="T60" s="236">
        <f>+'EEFF base'!BT51</f>
        <v>0</v>
      </c>
      <c r="U60" s="236">
        <f>+'EEFF base'!BU51</f>
        <v>0</v>
      </c>
      <c r="V60" s="236">
        <f>+'EEFF base'!BV51</f>
        <v>0</v>
      </c>
      <c r="W60" s="236">
        <f>+'EEFF base'!BW51</f>
        <v>0</v>
      </c>
      <c r="X60" s="236">
        <f>+'EEFF base'!BX51</f>
        <v>0</v>
      </c>
      <c r="Y60" s="236">
        <f>+'EEFF base'!BY51</f>
        <v>0</v>
      </c>
      <c r="Z60" s="236">
        <f>+'EEFF base'!BZ51</f>
        <v>0</v>
      </c>
      <c r="AA60" s="236">
        <f t="shared" si="99"/>
        <v>0</v>
      </c>
      <c r="AB60" s="236">
        <f>+'EEFF base'!CB51</f>
        <v>0</v>
      </c>
      <c r="AC60" s="236">
        <f>+'EEFF base'!CC51</f>
        <v>0</v>
      </c>
      <c r="AD60" s="236">
        <f>+'EEFF base'!CD51</f>
        <v>0</v>
      </c>
      <c r="AE60" s="236">
        <f>+'EEFF base'!CE51</f>
        <v>0</v>
      </c>
      <c r="AF60" s="236">
        <f>+'EEFF base'!CF51</f>
        <v>0</v>
      </c>
      <c r="AG60" s="236">
        <f>+'EEFF base'!CG51</f>
        <v>0</v>
      </c>
      <c r="AH60" s="236">
        <f>+'EEFF base'!CH51</f>
        <v>0</v>
      </c>
      <c r="AI60" s="236">
        <f>+'EEFF base'!CI51</f>
        <v>0</v>
      </c>
      <c r="AJ60" s="236">
        <f>+'EEFF base'!CJ51</f>
        <v>0</v>
      </c>
      <c r="AK60" s="236">
        <f>+'EEFF base'!CK51</f>
        <v>0</v>
      </c>
      <c r="AL60" s="236">
        <f>+'EEFF base'!CL51</f>
        <v>0</v>
      </c>
      <c r="AM60" s="236">
        <v>506726013.77999997</v>
      </c>
      <c r="AN60" s="236">
        <v>506726013.77999997</v>
      </c>
      <c r="AO60" s="236">
        <f>+'EEFF historicoss'!R56</f>
        <v>548966869.02999973</v>
      </c>
      <c r="AP60" s="236">
        <f>+'EEFF historicoss'!S56</f>
        <v>547718472.31000006</v>
      </c>
      <c r="AQ60" s="236">
        <f>+'EEFF historicoss'!T56</f>
        <v>529052765.36000025</v>
      </c>
      <c r="AR60" s="236">
        <f>+'EEFF historicoss'!U56</f>
        <v>523107202.91000056</v>
      </c>
      <c r="AS60" s="236">
        <f>+'EEFF historicoss'!V56</f>
        <v>529106745.63000029</v>
      </c>
      <c r="AT60" s="236">
        <f>+'EEFF historicoss'!W56</f>
        <v>531622567.95000017</v>
      </c>
      <c r="AU60" s="236">
        <f>+'EEFF historicoss'!X56</f>
        <v>531832921.12000054</v>
      </c>
      <c r="AV60" s="236">
        <f>+'EEFF historicoss'!Y56</f>
        <v>537036441.90000045</v>
      </c>
      <c r="AW60" s="236">
        <f>+'EEFF historicoss'!Z56</f>
        <v>536585263.6400004</v>
      </c>
      <c r="AX60" s="236">
        <f>+'EEFF historicoss'!AA56</f>
        <v>543398193.43000031</v>
      </c>
      <c r="AY60" s="236">
        <f>+'EEFF historicoss'!AB56</f>
        <v>559163195.06000042</v>
      </c>
      <c r="AZ60" s="236">
        <f>+'EEFF historicoss'!AC56</f>
        <v>557170453.07000053</v>
      </c>
      <c r="BA60" s="236">
        <f>+AZ60</f>
        <v>557170453.07000053</v>
      </c>
      <c r="BB60" s="236">
        <f>+'EEFF historicoss'!AE56</f>
        <v>462216922.91000003</v>
      </c>
      <c r="BC60" s="236">
        <f>+'EEFF historicoss'!AF56</f>
        <v>463483184.29000002</v>
      </c>
      <c r="BD60" s="236">
        <f>+'EEFF historicoss'!AG56</f>
        <v>464818042.56</v>
      </c>
      <c r="BE60" s="236">
        <f>+'EEFF historicoss'!AH56</f>
        <v>466232621.52999997</v>
      </c>
      <c r="BF60" s="236">
        <f>+'EEFF historicoss'!AI56</f>
        <v>467726921.19999999</v>
      </c>
      <c r="BG60" s="236">
        <f>+'EEFF historicoss'!AJ56</f>
        <v>469562351.31999999</v>
      </c>
      <c r="BH60" s="236">
        <f>+'EEFF historicoss'!AK56</f>
        <v>471798238.92000002</v>
      </c>
      <c r="BI60" s="236">
        <f>+'EEFF historicoss'!AL56</f>
        <v>474579193.63999999</v>
      </c>
      <c r="BJ60" s="236">
        <f>+'EEFF historicoss'!AM56</f>
        <v>478014599.70999998</v>
      </c>
      <c r="BK60" s="236">
        <f>+'EEFF historicoss'!AN56</f>
        <v>481752202.86000001</v>
      </c>
      <c r="BL60" s="236">
        <f>+'EEFF historicoss'!AO56</f>
        <v>486070098.56</v>
      </c>
      <c r="BM60" s="236">
        <f>+'EEFF historicoss'!AP56</f>
        <v>490979410.63</v>
      </c>
      <c r="BN60" s="236">
        <f>+BM60</f>
        <v>490979410.63</v>
      </c>
      <c r="BO60" s="236">
        <f>+'EEFF historicoss'!AR56</f>
        <v>483279899.18000001</v>
      </c>
      <c r="BP60" s="236">
        <f>+'EEFF historicoss'!AS56</f>
        <v>488896662.63</v>
      </c>
      <c r="BQ60" s="236">
        <f>+'EEFF historicoss'!AT56</f>
        <v>495435715.94999999</v>
      </c>
      <c r="BR60" s="236">
        <f>+'EEFF historicoss'!AU56</f>
        <v>503765202.87</v>
      </c>
      <c r="BS60" s="236">
        <f>+'EEFF historicoss'!AV56</f>
        <v>513074735.58999997</v>
      </c>
      <c r="BT60" s="236">
        <f>+'EEFF historicoss'!AW56</f>
        <v>522488950.89999998</v>
      </c>
      <c r="BU60" s="236">
        <f t="shared" ref="BU60:BZ60" si="309">+BT60</f>
        <v>522488950.89999998</v>
      </c>
      <c r="BV60" s="236">
        <f t="shared" si="309"/>
        <v>522488950.89999998</v>
      </c>
      <c r="BW60" s="236">
        <f t="shared" si="309"/>
        <v>522488950.89999998</v>
      </c>
      <c r="BX60" s="236">
        <f t="shared" si="309"/>
        <v>522488950.89999998</v>
      </c>
      <c r="BY60" s="236">
        <f t="shared" si="309"/>
        <v>522488950.89999998</v>
      </c>
      <c r="BZ60" s="236">
        <f t="shared" si="309"/>
        <v>522488950.89999998</v>
      </c>
      <c r="CA60" s="236">
        <f>+BZ60</f>
        <v>522488950.89999998</v>
      </c>
      <c r="CB60" s="236">
        <f>+CA60</f>
        <v>522488950.89999998</v>
      </c>
      <c r="CC60" s="236">
        <f t="shared" ref="CC60:CM60" si="310">+CB60</f>
        <v>522488950.89999998</v>
      </c>
      <c r="CD60" s="236">
        <f t="shared" si="310"/>
        <v>522488950.89999998</v>
      </c>
      <c r="CE60" s="236">
        <f t="shared" si="310"/>
        <v>522488950.89999998</v>
      </c>
      <c r="CF60" s="236">
        <f t="shared" si="310"/>
        <v>522488950.89999998</v>
      </c>
      <c r="CG60" s="236">
        <f t="shared" si="310"/>
        <v>522488950.89999998</v>
      </c>
      <c r="CH60" s="236">
        <f t="shared" si="310"/>
        <v>522488950.89999998</v>
      </c>
      <c r="CI60" s="236">
        <f t="shared" si="310"/>
        <v>522488950.89999998</v>
      </c>
      <c r="CJ60" s="236">
        <f t="shared" si="310"/>
        <v>522488950.89999998</v>
      </c>
      <c r="CK60" s="236">
        <f t="shared" si="310"/>
        <v>522488950.89999998</v>
      </c>
      <c r="CL60" s="236">
        <f t="shared" si="310"/>
        <v>522488950.89999998</v>
      </c>
      <c r="CM60" s="236">
        <f t="shared" si="310"/>
        <v>522488950.89999998</v>
      </c>
      <c r="CN60" s="236">
        <f>+CM60</f>
        <v>522488950.89999998</v>
      </c>
      <c r="CO60" s="236">
        <f t="shared" ref="CO60:DA60" si="311">+CN60</f>
        <v>522488950.89999998</v>
      </c>
      <c r="CP60" s="236">
        <f t="shared" si="311"/>
        <v>522488950.89999998</v>
      </c>
      <c r="CQ60" s="236">
        <f t="shared" si="311"/>
        <v>522488950.89999998</v>
      </c>
      <c r="CR60" s="236">
        <f t="shared" si="311"/>
        <v>522488950.89999998</v>
      </c>
      <c r="CS60" s="236">
        <f t="shared" si="311"/>
        <v>522488950.89999998</v>
      </c>
      <c r="CT60" s="236">
        <f t="shared" si="311"/>
        <v>522488950.89999998</v>
      </c>
      <c r="CU60" s="236">
        <f t="shared" si="311"/>
        <v>522488950.89999998</v>
      </c>
      <c r="CV60" s="236">
        <f t="shared" si="311"/>
        <v>522488950.89999998</v>
      </c>
      <c r="CW60" s="236">
        <f t="shared" si="311"/>
        <v>522488950.89999998</v>
      </c>
      <c r="CX60" s="236">
        <f t="shared" si="311"/>
        <v>522488950.89999998</v>
      </c>
      <c r="CY60" s="236">
        <f t="shared" si="311"/>
        <v>522488950.89999998</v>
      </c>
      <c r="CZ60" s="236">
        <f t="shared" si="311"/>
        <v>522488950.89999998</v>
      </c>
      <c r="DA60" s="236">
        <f t="shared" si="311"/>
        <v>522488950.89999998</v>
      </c>
      <c r="DB60" s="236">
        <f>+DA60</f>
        <v>522488950.89999998</v>
      </c>
      <c r="DC60" s="236">
        <f t="shared" ref="DC60:DN60" si="312">+DB60</f>
        <v>522488950.89999998</v>
      </c>
      <c r="DD60" s="236">
        <f t="shared" si="312"/>
        <v>522488950.89999998</v>
      </c>
      <c r="DE60" s="236">
        <f t="shared" si="312"/>
        <v>522488950.89999998</v>
      </c>
      <c r="DF60" s="236">
        <f t="shared" si="312"/>
        <v>522488950.89999998</v>
      </c>
      <c r="DG60" s="236">
        <f t="shared" si="312"/>
        <v>522488950.89999998</v>
      </c>
      <c r="DH60" s="236">
        <f t="shared" si="312"/>
        <v>522488950.89999998</v>
      </c>
      <c r="DI60" s="236">
        <f t="shared" si="312"/>
        <v>522488950.89999998</v>
      </c>
      <c r="DJ60" s="236">
        <f t="shared" si="312"/>
        <v>522488950.89999998</v>
      </c>
      <c r="DK60" s="236">
        <f t="shared" si="312"/>
        <v>522488950.89999998</v>
      </c>
      <c r="DL60" s="236">
        <f t="shared" si="312"/>
        <v>522488950.89999998</v>
      </c>
      <c r="DM60" s="236">
        <f t="shared" si="312"/>
        <v>522488950.89999998</v>
      </c>
      <c r="DN60" s="236">
        <f t="shared" si="312"/>
        <v>522488950.89999998</v>
      </c>
      <c r="DO60" s="236">
        <f>+DN60</f>
        <v>522488950.89999998</v>
      </c>
      <c r="DP60" s="236">
        <f t="shared" ref="DP60:EA60" si="313">+DO60</f>
        <v>522488950.89999998</v>
      </c>
      <c r="DQ60" s="236">
        <f t="shared" si="313"/>
        <v>522488950.89999998</v>
      </c>
      <c r="DR60" s="236">
        <f t="shared" si="313"/>
        <v>522488950.89999998</v>
      </c>
      <c r="DS60" s="236">
        <f t="shared" si="313"/>
        <v>522488950.89999998</v>
      </c>
      <c r="DT60" s="236">
        <f t="shared" si="313"/>
        <v>522488950.89999998</v>
      </c>
      <c r="DU60" s="236">
        <f t="shared" si="313"/>
        <v>522488950.89999998</v>
      </c>
      <c r="DV60" s="236">
        <f t="shared" si="313"/>
        <v>522488950.89999998</v>
      </c>
      <c r="DW60" s="236">
        <f t="shared" si="313"/>
        <v>522488950.89999998</v>
      </c>
      <c r="DX60" s="236">
        <f t="shared" si="313"/>
        <v>522488950.89999998</v>
      </c>
      <c r="DY60" s="236">
        <f t="shared" si="313"/>
        <v>522488950.89999998</v>
      </c>
      <c r="DZ60" s="236">
        <f t="shared" si="313"/>
        <v>522488950.89999998</v>
      </c>
      <c r="EA60" s="236">
        <f t="shared" si="313"/>
        <v>522488950.89999998</v>
      </c>
      <c r="EB60" s="236">
        <f>+EA60</f>
        <v>522488950.89999998</v>
      </c>
      <c r="EC60" s="236">
        <f t="shared" ref="EC60:EN60" si="314">+EB60</f>
        <v>522488950.89999998</v>
      </c>
      <c r="ED60" s="236">
        <f t="shared" si="314"/>
        <v>522488950.89999998</v>
      </c>
      <c r="EE60" s="236">
        <f t="shared" si="314"/>
        <v>522488950.89999998</v>
      </c>
      <c r="EF60" s="236">
        <f t="shared" si="314"/>
        <v>522488950.89999998</v>
      </c>
      <c r="EG60" s="236">
        <f t="shared" si="314"/>
        <v>522488950.89999998</v>
      </c>
      <c r="EH60" s="236">
        <f t="shared" si="314"/>
        <v>522488950.89999998</v>
      </c>
      <c r="EI60" s="236">
        <f t="shared" si="314"/>
        <v>522488950.89999998</v>
      </c>
      <c r="EJ60" s="236">
        <f t="shared" si="314"/>
        <v>522488950.89999998</v>
      </c>
      <c r="EK60" s="236">
        <f t="shared" si="314"/>
        <v>522488950.89999998</v>
      </c>
      <c r="EL60" s="236">
        <f t="shared" si="314"/>
        <v>522488950.89999998</v>
      </c>
      <c r="EM60" s="236">
        <f t="shared" si="314"/>
        <v>522488950.89999998</v>
      </c>
      <c r="EN60" s="236">
        <f t="shared" si="314"/>
        <v>522488950.89999998</v>
      </c>
    </row>
    <row r="61" spans="1:144" s="236" customFormat="1" x14ac:dyDescent="0.25">
      <c r="A61" s="234" t="s">
        <v>285</v>
      </c>
      <c r="B61" s="236">
        <f>+'EEFF base'!BB52</f>
        <v>0</v>
      </c>
      <c r="C61" s="236">
        <f>+'EEFF base'!BC52</f>
        <v>0</v>
      </c>
      <c r="D61" s="236">
        <f>+'EEFF base'!BD52</f>
        <v>0</v>
      </c>
      <c r="E61" s="236">
        <f>+'EEFF base'!BE52</f>
        <v>0</v>
      </c>
      <c r="F61" s="236">
        <f>+'EEFF base'!BF52</f>
        <v>0</v>
      </c>
      <c r="G61" s="236">
        <f>+'EEFF base'!BG52</f>
        <v>0</v>
      </c>
      <c r="H61" s="236">
        <f>+'EEFF base'!BH52</f>
        <v>0</v>
      </c>
      <c r="I61" s="236">
        <f>+'EEFF base'!BI52</f>
        <v>0</v>
      </c>
      <c r="J61" s="236">
        <f>+'EEFF base'!BJ52</f>
        <v>0</v>
      </c>
      <c r="K61" s="236">
        <f>+'EEFF base'!BK52</f>
        <v>0</v>
      </c>
      <c r="L61" s="236">
        <f>+'EEFF base'!BL52</f>
        <v>0</v>
      </c>
      <c r="M61" s="236">
        <f>+'EEFF base'!BM52</f>
        <v>0</v>
      </c>
      <c r="N61" s="236">
        <v>-31992887</v>
      </c>
      <c r="O61" s="236">
        <f>+'EEFF base'!BO52</f>
        <v>0</v>
      </c>
      <c r="P61" s="236">
        <f>+'EEFF base'!BP52</f>
        <v>0</v>
      </c>
      <c r="Q61" s="236">
        <f>+'EEFF base'!BQ52</f>
        <v>0</v>
      </c>
      <c r="R61" s="236">
        <f>+'EEFF base'!BR52</f>
        <v>0</v>
      </c>
      <c r="S61" s="236">
        <f>+'EEFF base'!BS52</f>
        <v>0</v>
      </c>
      <c r="T61" s="236">
        <f>+'EEFF base'!BT52</f>
        <v>0</v>
      </c>
      <c r="U61" s="236">
        <f>+'EEFF base'!BU52</f>
        <v>0</v>
      </c>
      <c r="V61" s="236">
        <f>+'EEFF base'!BV52</f>
        <v>0</v>
      </c>
      <c r="W61" s="236">
        <f>+'EEFF base'!BW52</f>
        <v>0</v>
      </c>
      <c r="X61" s="236">
        <f>+'EEFF base'!BX52</f>
        <v>0</v>
      </c>
      <c r="Y61" s="236">
        <f>+'EEFF base'!BY52</f>
        <v>0</v>
      </c>
      <c r="Z61" s="236">
        <f>+'EEFF base'!BZ52</f>
        <v>0</v>
      </c>
      <c r="AA61" s="236">
        <f t="shared" si="99"/>
        <v>0</v>
      </c>
      <c r="AB61" s="236">
        <f>+'EEFF base'!CB52</f>
        <v>0</v>
      </c>
      <c r="AC61" s="236">
        <f>+'EEFF base'!CC52</f>
        <v>0</v>
      </c>
      <c r="AD61" s="236">
        <f>+'EEFF base'!CD52</f>
        <v>0</v>
      </c>
      <c r="AE61" s="236">
        <f>+'EEFF base'!CE52</f>
        <v>0</v>
      </c>
      <c r="AF61" s="236">
        <f>+'EEFF base'!CF52</f>
        <v>0</v>
      </c>
      <c r="AG61" s="236">
        <f>+'EEFF base'!CG52</f>
        <v>0</v>
      </c>
      <c r="AH61" s="236">
        <f>+'EEFF base'!CH52</f>
        <v>0</v>
      </c>
      <c r="AI61" s="236">
        <f>+'EEFF base'!CI52</f>
        <v>0</v>
      </c>
      <c r="AJ61" s="236">
        <f>+'EEFF base'!CJ52</f>
        <v>0</v>
      </c>
      <c r="AK61" s="236">
        <f>+'EEFF base'!CK52</f>
        <v>0</v>
      </c>
      <c r="AL61" s="236">
        <f>+'EEFF base'!CL52</f>
        <v>0</v>
      </c>
      <c r="AM61" s="236">
        <f>+'EEFF base'!CM52</f>
        <v>0</v>
      </c>
      <c r="AN61" s="236">
        <f t="shared" si="100"/>
        <v>0</v>
      </c>
      <c r="AO61" s="236">
        <f>+'EEFF historicoss'!R58</f>
        <v>-6623056.6900000004</v>
      </c>
      <c r="AP61" s="236">
        <f>+'EEFF historicoss'!S58</f>
        <v>-16670478.460000001</v>
      </c>
      <c r="AQ61" s="236">
        <f>+'EEFF historicoss'!T58</f>
        <v>-4397849.5799999982</v>
      </c>
      <c r="AR61" s="236">
        <f>+'EEFF historicoss'!U58</f>
        <v>273777.51999999583</v>
      </c>
      <c r="AS61" s="236">
        <f>+'EEFF historicoss'!V58</f>
        <v>2302691.9199999981</v>
      </c>
      <c r="AT61" s="236">
        <f>+'EEFF historicoss'!W58</f>
        <v>2171597.8600000031</v>
      </c>
      <c r="AU61" s="236">
        <f>+'EEFF historicoss'!X58</f>
        <v>6841314.9499999993</v>
      </c>
      <c r="AV61" s="236">
        <f>+'EEFF historicoss'!Y58</f>
        <v>-2122133.35</v>
      </c>
      <c r="AW61" s="236">
        <f>+'EEFF historicoss'!Z58</f>
        <v>4026142.8000000021</v>
      </c>
      <c r="AX61" s="236">
        <f>+'EEFF historicoss'!AA58</f>
        <v>17254588.629999999</v>
      </c>
      <c r="AY61" s="236">
        <f>+'EEFF historicoss'!AB58</f>
        <v>-8302607.209999999</v>
      </c>
      <c r="AZ61" s="236">
        <f>+'EEFF historicoss'!AC58</f>
        <v>-427138.3300000045</v>
      </c>
      <c r="BA61" s="236">
        <f>+AZ61</f>
        <v>-427138.3300000045</v>
      </c>
      <c r="BB61" s="236">
        <f>+'EEFF historicoss'!AE58</f>
        <v>9168140.639999995</v>
      </c>
      <c r="BC61" s="236">
        <f>+'EEFF historicoss'!AF58</f>
        <v>-926269.76000000536</v>
      </c>
      <c r="BD61" s="236">
        <f>+'EEFF historicoss'!AG58</f>
        <v>-9827798.4100000076</v>
      </c>
      <c r="BE61" s="236">
        <f>+'EEFF historicoss'!AH58</f>
        <v>-28887358.390000012</v>
      </c>
      <c r="BF61" s="236">
        <f>+'EEFF historicoss'!AI58</f>
        <v>-33764308.030000016</v>
      </c>
      <c r="BG61" s="236">
        <f>+'EEFF historicoss'!AJ58</f>
        <v>-32770316.150000013</v>
      </c>
      <c r="BH61" s="236">
        <f>+'EEFF historicoss'!AK58</f>
        <v>-30331488.470000014</v>
      </c>
      <c r="BI61" s="236">
        <f>+'EEFF historicoss'!AL58</f>
        <v>-20259824.380000014</v>
      </c>
      <c r="BJ61" s="236">
        <f>+'EEFF historicoss'!AM58</f>
        <v>-22212356.630000014</v>
      </c>
      <c r="BK61" s="236">
        <f>+'EEFF historicoss'!AN58</f>
        <v>-9439197.7800000105</v>
      </c>
      <c r="BL61" s="236">
        <f>+'EEFF historicoss'!AO58</f>
        <v>-10290908.860000012</v>
      </c>
      <c r="BM61" s="236">
        <f>+'EEFF historicoss'!AP58</f>
        <v>-13002227.060000015</v>
      </c>
      <c r="BN61" s="236">
        <f>+BM61</f>
        <v>-13002227.060000015</v>
      </c>
      <c r="BO61" s="236">
        <f>+'EEFF historicoss'!AR58</f>
        <v>-2044664.3800000031</v>
      </c>
      <c r="BP61" s="236">
        <f>+'EEFF historicoss'!AS58</f>
        <v>7300594.2899999991</v>
      </c>
      <c r="BQ61" s="236">
        <f>+'EEFF historicoss'!AT58</f>
        <v>14002191.849999998</v>
      </c>
      <c r="BR61" s="236">
        <f>+'EEFF historicoss'!AU58</f>
        <v>30601500.169999994</v>
      </c>
      <c r="BS61" s="236">
        <f>+'EEFF historicoss'!AV58</f>
        <v>29870387.449999992</v>
      </c>
      <c r="BT61" s="236">
        <f>+'EEFF historicoss'!AW58</f>
        <v>42423055.869999997</v>
      </c>
      <c r="BU61" s="236">
        <f>+BT61+BU15</f>
        <v>44198743.771476217</v>
      </c>
      <c r="BV61" s="236">
        <f t="shared" ref="BV61:BZ61" si="315">+BU61+BV15</f>
        <v>44054066.805386573</v>
      </c>
      <c r="BW61" s="236">
        <f t="shared" si="315"/>
        <v>45938132.007677138</v>
      </c>
      <c r="BX61" s="236">
        <f t="shared" si="315"/>
        <v>48004676.013862565</v>
      </c>
      <c r="BY61" s="236">
        <f t="shared" si="315"/>
        <v>47379611.77737309</v>
      </c>
      <c r="BZ61" s="236">
        <f t="shared" si="315"/>
        <v>47482911.271715418</v>
      </c>
      <c r="CA61" s="236">
        <f>+BZ61</f>
        <v>47482911.271715418</v>
      </c>
      <c r="CB61" s="236">
        <f>+BZ61+CB15</f>
        <v>54410353.089185134</v>
      </c>
      <c r="CC61" s="236">
        <f t="shared" ref="CC61:CM61" si="316">+CB61+CC15</f>
        <v>59200938.705523744</v>
      </c>
      <c r="CD61" s="236">
        <f t="shared" si="316"/>
        <v>65177767.790180743</v>
      </c>
      <c r="CE61" s="236">
        <f t="shared" si="316"/>
        <v>72115064.590434805</v>
      </c>
      <c r="CF61" s="236">
        <f t="shared" si="316"/>
        <v>76915222.779871643</v>
      </c>
      <c r="CG61" s="236">
        <f t="shared" si="316"/>
        <v>82919876.412893638</v>
      </c>
      <c r="CH61" s="236">
        <f t="shared" si="316"/>
        <v>89881697.18742983</v>
      </c>
      <c r="CI61" s="236">
        <f t="shared" si="316"/>
        <v>94778900.364831612</v>
      </c>
      <c r="CJ61" s="236">
        <f t="shared" si="316"/>
        <v>100908891.66091391</v>
      </c>
      <c r="CK61" s="236">
        <f t="shared" si="316"/>
        <v>107893649.42031452</v>
      </c>
      <c r="CL61" s="236">
        <f t="shared" si="316"/>
        <v>112887924.50568126</v>
      </c>
      <c r="CM61" s="236">
        <f t="shared" si="316"/>
        <v>119071682.82841434</v>
      </c>
      <c r="CN61" s="236">
        <f>+CM61</f>
        <v>119071682.82841434</v>
      </c>
      <c r="CO61" s="236">
        <f t="shared" ref="CO61:CZ61" si="317">+CN61+CO15</f>
        <v>126083022.64863056</v>
      </c>
      <c r="CP61" s="236">
        <f t="shared" si="317"/>
        <v>131186471.21216905</v>
      </c>
      <c r="CQ61" s="236">
        <f t="shared" si="317"/>
        <v>137474843.24595904</v>
      </c>
      <c r="CR61" s="236">
        <f t="shared" si="317"/>
        <v>144512432.55678299</v>
      </c>
      <c r="CS61" s="236">
        <f t="shared" si="317"/>
        <v>149675246.13807964</v>
      </c>
      <c r="CT61" s="236">
        <f t="shared" si="317"/>
        <v>156134716.90248114</v>
      </c>
      <c r="CU61" s="236">
        <f t="shared" si="317"/>
        <v>163189349.8290123</v>
      </c>
      <c r="CV61" s="236">
        <f t="shared" si="317"/>
        <v>168422275.61536938</v>
      </c>
      <c r="CW61" s="236">
        <f t="shared" si="317"/>
        <v>174974067.45751768</v>
      </c>
      <c r="CX61" s="236">
        <f t="shared" si="317"/>
        <v>182030173.08862719</v>
      </c>
      <c r="CY61" s="236">
        <f t="shared" si="317"/>
        <v>187368280.9480592</v>
      </c>
      <c r="CZ61" s="236">
        <f t="shared" si="317"/>
        <v>194006924.51236302</v>
      </c>
      <c r="DA61" s="236">
        <f>+CZ61</f>
        <v>194006924.51236302</v>
      </c>
      <c r="DB61" s="236">
        <f>+CZ61+DB15</f>
        <v>201064720.2980907</v>
      </c>
      <c r="DC61" s="236">
        <f t="shared" ref="DC61:DM61" si="318">+DB61+DC15</f>
        <v>206500110.95668775</v>
      </c>
      <c r="DD61" s="236">
        <f t="shared" si="318"/>
        <v>213222862.85718724</v>
      </c>
      <c r="DE61" s="236">
        <f t="shared" si="318"/>
        <v>220282115.33983481</v>
      </c>
      <c r="DF61" s="236">
        <f t="shared" si="318"/>
        <v>225762687.22541672</v>
      </c>
      <c r="DG61" s="236">
        <f t="shared" si="318"/>
        <v>232573199.51128221</v>
      </c>
      <c r="DH61" s="236">
        <f t="shared" si="318"/>
        <v>239633723.25612679</v>
      </c>
      <c r="DI61" s="236">
        <f t="shared" si="318"/>
        <v>245185527.15478367</v>
      </c>
      <c r="DJ61" s="236">
        <f t="shared" si="318"/>
        <v>252084725.86555398</v>
      </c>
      <c r="DK61" s="236">
        <f t="shared" si="318"/>
        <v>259146722.31497693</v>
      </c>
      <c r="DL61" s="236">
        <f t="shared" si="318"/>
        <v>264769758.22670877</v>
      </c>
      <c r="DM61" s="236">
        <f t="shared" si="318"/>
        <v>271755826.03596294</v>
      </c>
      <c r="DN61" s="236">
        <f>+DM61</f>
        <v>271755826.03596294</v>
      </c>
      <c r="DO61" s="236">
        <f>+DM61+DO15</f>
        <v>278819602.02877617</v>
      </c>
      <c r="DP61" s="236">
        <f t="shared" ref="DP61:DZ61" si="319">+DO61+DP15</f>
        <v>284543655.00057787</v>
      </c>
      <c r="DQ61" s="236">
        <f t="shared" si="319"/>
        <v>291478506.24938202</v>
      </c>
      <c r="DR61" s="236">
        <f t="shared" si="319"/>
        <v>298543585.51970917</v>
      </c>
      <c r="DS61" s="236">
        <f t="shared" si="319"/>
        <v>304309085.45759088</v>
      </c>
      <c r="DT61" s="236">
        <f t="shared" si="319"/>
        <v>311252166.546395</v>
      </c>
      <c r="DU61" s="236">
        <f t="shared" si="319"/>
        <v>318318831.30089623</v>
      </c>
      <c r="DV61" s="236">
        <f t="shared" si="319"/>
        <v>324627113.7980063</v>
      </c>
      <c r="DW61" s="236">
        <f t="shared" si="319"/>
        <v>331627236.46681046</v>
      </c>
      <c r="DX61" s="236">
        <f t="shared" si="319"/>
        <v>338697460.318977</v>
      </c>
      <c r="DY61" s="236">
        <f t="shared" si="319"/>
        <v>345076974.829162</v>
      </c>
      <c r="DZ61" s="236">
        <f t="shared" si="319"/>
        <v>352081260.85796613</v>
      </c>
      <c r="EA61" s="236">
        <f>+DZ61</f>
        <v>352081260.85796613</v>
      </c>
      <c r="EB61" s="236">
        <f>+DZ61+EB15</f>
        <v>359152621.22464204</v>
      </c>
      <c r="EC61" s="236">
        <f t="shared" ref="EC61:EM61" si="320">+EB61+EC15</f>
        <v>365623861.66275668</v>
      </c>
      <c r="ED61" s="236">
        <f t="shared" si="320"/>
        <v>372630755.52156085</v>
      </c>
      <c r="EE61" s="236">
        <f t="shared" si="320"/>
        <v>379702428.74903816</v>
      </c>
      <c r="EF61" s="236">
        <f t="shared" si="320"/>
        <v>386224407.28537309</v>
      </c>
      <c r="EG61" s="236">
        <f t="shared" si="320"/>
        <v>393238484.08417726</v>
      </c>
      <c r="EH61" s="236">
        <f t="shared" si="320"/>
        <v>400310508.48193669</v>
      </c>
      <c r="EI61" s="236">
        <f t="shared" si="320"/>
        <v>406903719.03134656</v>
      </c>
      <c r="EJ61" s="236">
        <f t="shared" si="320"/>
        <v>413920495.16015071</v>
      </c>
      <c r="EK61" s="236">
        <f t="shared" si="320"/>
        <v>420993330.44187593</v>
      </c>
      <c r="EL61" s="236">
        <f t="shared" si="320"/>
        <v>427657773.00436074</v>
      </c>
      <c r="EM61" s="236">
        <f t="shared" si="320"/>
        <v>434678712.4931649</v>
      </c>
      <c r="EN61" s="236">
        <f>+EM61</f>
        <v>434678712.4931649</v>
      </c>
    </row>
    <row r="62" spans="1:144" s="236" customFormat="1" x14ac:dyDescent="0.25">
      <c r="A62" s="237" t="s">
        <v>283</v>
      </c>
      <c r="B62" s="246">
        <f>+SUM(B60:B61)</f>
        <v>0</v>
      </c>
      <c r="C62" s="246">
        <f t="shared" ref="C62:M62" si="321">+SUM(C60:C61)</f>
        <v>0</v>
      </c>
      <c r="D62" s="246">
        <f t="shared" si="321"/>
        <v>0</v>
      </c>
      <c r="E62" s="246">
        <f t="shared" si="321"/>
        <v>0</v>
      </c>
      <c r="F62" s="246">
        <f t="shared" si="321"/>
        <v>0</v>
      </c>
      <c r="G62" s="246">
        <f t="shared" si="321"/>
        <v>0</v>
      </c>
      <c r="H62" s="246">
        <f t="shared" si="321"/>
        <v>0</v>
      </c>
      <c r="I62" s="246">
        <f t="shared" si="321"/>
        <v>0</v>
      </c>
      <c r="J62" s="246">
        <f t="shared" si="321"/>
        <v>0</v>
      </c>
      <c r="K62" s="246">
        <f t="shared" si="321"/>
        <v>0</v>
      </c>
      <c r="L62" s="246">
        <f t="shared" si="321"/>
        <v>0</v>
      </c>
      <c r="M62" s="246">
        <f t="shared" si="321"/>
        <v>0</v>
      </c>
      <c r="N62" s="246">
        <f>+SUM(N60:N61)</f>
        <v>417410450</v>
      </c>
      <c r="O62" s="246">
        <f>+SUM(O60:O61)</f>
        <v>0</v>
      </c>
      <c r="P62" s="246">
        <f t="shared" ref="P62:Z62" si="322">+SUM(P60:P61)</f>
        <v>0</v>
      </c>
      <c r="Q62" s="246">
        <f t="shared" si="322"/>
        <v>0</v>
      </c>
      <c r="R62" s="246">
        <f t="shared" si="322"/>
        <v>0</v>
      </c>
      <c r="S62" s="246">
        <f t="shared" si="322"/>
        <v>0</v>
      </c>
      <c r="T62" s="246">
        <f t="shared" si="322"/>
        <v>0</v>
      </c>
      <c r="U62" s="246">
        <f t="shared" si="322"/>
        <v>0</v>
      </c>
      <c r="V62" s="246">
        <f t="shared" si="322"/>
        <v>0</v>
      </c>
      <c r="W62" s="246">
        <f t="shared" si="322"/>
        <v>0</v>
      </c>
      <c r="X62" s="246">
        <f t="shared" si="322"/>
        <v>0</v>
      </c>
      <c r="Y62" s="246">
        <f t="shared" si="322"/>
        <v>0</v>
      </c>
      <c r="Z62" s="246">
        <f t="shared" si="322"/>
        <v>0</v>
      </c>
      <c r="AA62" s="246">
        <f t="shared" si="99"/>
        <v>0</v>
      </c>
      <c r="AB62" s="246">
        <f t="shared" ref="AB62:AM62" si="323">+SUM(AB60:AB61)</f>
        <v>0</v>
      </c>
      <c r="AC62" s="246">
        <f t="shared" si="323"/>
        <v>0</v>
      </c>
      <c r="AD62" s="246">
        <f t="shared" si="323"/>
        <v>0</v>
      </c>
      <c r="AE62" s="246">
        <f t="shared" si="323"/>
        <v>0</v>
      </c>
      <c r="AF62" s="246">
        <f t="shared" si="323"/>
        <v>0</v>
      </c>
      <c r="AG62" s="246">
        <f t="shared" si="323"/>
        <v>0</v>
      </c>
      <c r="AH62" s="246">
        <f t="shared" si="323"/>
        <v>0</v>
      </c>
      <c r="AI62" s="246">
        <f t="shared" si="323"/>
        <v>0</v>
      </c>
      <c r="AJ62" s="246">
        <f t="shared" si="323"/>
        <v>0</v>
      </c>
      <c r="AK62" s="246">
        <f t="shared" si="323"/>
        <v>0</v>
      </c>
      <c r="AL62" s="246">
        <f t="shared" si="323"/>
        <v>0</v>
      </c>
      <c r="AM62" s="246">
        <f t="shared" si="323"/>
        <v>506726013.77999997</v>
      </c>
      <c r="AN62" s="246">
        <f>+AN61+AN60</f>
        <v>506726013.77999997</v>
      </c>
      <c r="AO62" s="246">
        <f t="shared" ref="AO62:AY62" si="324">+SUM(AO60:AO61)</f>
        <v>542343812.33999968</v>
      </c>
      <c r="AP62" s="246">
        <f t="shared" si="324"/>
        <v>531047993.85000008</v>
      </c>
      <c r="AQ62" s="246">
        <f t="shared" si="324"/>
        <v>524654915.78000027</v>
      </c>
      <c r="AR62" s="246">
        <f t="shared" si="324"/>
        <v>523380980.43000054</v>
      </c>
      <c r="AS62" s="246">
        <f t="shared" si="324"/>
        <v>531409437.55000031</v>
      </c>
      <c r="AT62" s="246">
        <f t="shared" si="324"/>
        <v>533794165.81000018</v>
      </c>
      <c r="AU62" s="246">
        <f t="shared" si="324"/>
        <v>538674236.07000053</v>
      </c>
      <c r="AV62" s="246">
        <f t="shared" si="324"/>
        <v>534914308.55000043</v>
      </c>
      <c r="AW62" s="246">
        <f t="shared" si="324"/>
        <v>540611406.44000041</v>
      </c>
      <c r="AX62" s="246">
        <f t="shared" si="324"/>
        <v>560652782.0600003</v>
      </c>
      <c r="AY62" s="246">
        <f t="shared" si="324"/>
        <v>550860587.85000038</v>
      </c>
      <c r="AZ62" s="246">
        <f>+SUM(AZ60:AZ61)</f>
        <v>556743314.74000049</v>
      </c>
      <c r="BA62" s="246">
        <f>+AZ62</f>
        <v>556743314.74000049</v>
      </c>
      <c r="BB62" s="246">
        <f>+SUM(BB60:BB61)</f>
        <v>471385063.55000001</v>
      </c>
      <c r="BC62" s="246">
        <f t="shared" ref="BC62:BM62" si="325">+SUM(BC60:BC61)</f>
        <v>462556914.53000003</v>
      </c>
      <c r="BD62" s="246">
        <f t="shared" si="325"/>
        <v>454990244.14999998</v>
      </c>
      <c r="BE62" s="246">
        <f t="shared" si="325"/>
        <v>437345263.13999999</v>
      </c>
      <c r="BF62" s="246">
        <f t="shared" si="325"/>
        <v>433962613.16999996</v>
      </c>
      <c r="BG62" s="246">
        <f t="shared" si="325"/>
        <v>436792035.16999996</v>
      </c>
      <c r="BH62" s="246">
        <f t="shared" si="325"/>
        <v>441466750.44999999</v>
      </c>
      <c r="BI62" s="246">
        <f t="shared" si="325"/>
        <v>454319369.25999999</v>
      </c>
      <c r="BJ62" s="246">
        <f t="shared" si="325"/>
        <v>455802243.07999998</v>
      </c>
      <c r="BK62" s="246">
        <f t="shared" si="325"/>
        <v>472313005.07999998</v>
      </c>
      <c r="BL62" s="246">
        <f t="shared" si="325"/>
        <v>475779189.69999999</v>
      </c>
      <c r="BM62" s="246">
        <f t="shared" si="325"/>
        <v>477977183.56999999</v>
      </c>
      <c r="BN62" s="246">
        <f>+BM62</f>
        <v>477977183.56999999</v>
      </c>
      <c r="BO62" s="246">
        <f t="shared" ref="BO62:BZ62" si="326">+SUM(BO60:BO61)</f>
        <v>481235234.80000001</v>
      </c>
      <c r="BP62" s="246">
        <f t="shared" si="326"/>
        <v>496197256.92000002</v>
      </c>
      <c r="BQ62" s="246">
        <f t="shared" si="326"/>
        <v>509437907.80000001</v>
      </c>
      <c r="BR62" s="246">
        <f t="shared" si="326"/>
        <v>534366703.04000002</v>
      </c>
      <c r="BS62" s="246">
        <f t="shared" si="326"/>
        <v>542945123.03999996</v>
      </c>
      <c r="BT62" s="246">
        <f t="shared" ref="BT62" si="327">+SUM(BT60:BT61)</f>
        <v>564912006.76999998</v>
      </c>
      <c r="BU62" s="246">
        <f t="shared" si="326"/>
        <v>566687694.67147624</v>
      </c>
      <c r="BV62" s="246">
        <f t="shared" si="326"/>
        <v>566543017.70538652</v>
      </c>
      <c r="BW62" s="246">
        <f t="shared" si="326"/>
        <v>568427082.90767717</v>
      </c>
      <c r="BX62" s="246">
        <f t="shared" si="326"/>
        <v>570493626.91386259</v>
      </c>
      <c r="BY62" s="246">
        <f t="shared" si="326"/>
        <v>569868562.67737305</v>
      </c>
      <c r="BZ62" s="246">
        <f t="shared" si="326"/>
        <v>569971862.17171538</v>
      </c>
      <c r="CA62" s="246">
        <f>+BZ62</f>
        <v>569971862.17171538</v>
      </c>
      <c r="CB62" s="246">
        <f t="shared" ref="CB62:CM62" si="328">+SUM(CB60:CB61)</f>
        <v>576899303.98918509</v>
      </c>
      <c r="CC62" s="246">
        <f t="shared" si="328"/>
        <v>581689889.60552371</v>
      </c>
      <c r="CD62" s="246">
        <f t="shared" si="328"/>
        <v>587666718.69018078</v>
      </c>
      <c r="CE62" s="246">
        <f t="shared" si="328"/>
        <v>594604015.49043477</v>
      </c>
      <c r="CF62" s="246">
        <f t="shared" si="328"/>
        <v>599404173.67987156</v>
      </c>
      <c r="CG62" s="246">
        <f t="shared" si="328"/>
        <v>605408827.31289363</v>
      </c>
      <c r="CH62" s="246">
        <f t="shared" si="328"/>
        <v>612370648.08742976</v>
      </c>
      <c r="CI62" s="246">
        <f t="shared" si="328"/>
        <v>617267851.26483154</v>
      </c>
      <c r="CJ62" s="246">
        <f t="shared" si="328"/>
        <v>623397842.56091392</v>
      </c>
      <c r="CK62" s="246">
        <f t="shared" si="328"/>
        <v>630382600.32031453</v>
      </c>
      <c r="CL62" s="246">
        <f t="shared" si="328"/>
        <v>635376875.40568125</v>
      </c>
      <c r="CM62" s="246">
        <f t="shared" si="328"/>
        <v>641560633.7284143</v>
      </c>
      <c r="CN62" s="246">
        <f>+CM62</f>
        <v>641560633.7284143</v>
      </c>
      <c r="CO62" s="246">
        <f t="shared" ref="CO62" si="329">+SUM(CO60:CO61)</f>
        <v>648571973.54863048</v>
      </c>
      <c r="CP62" s="246">
        <f t="shared" ref="CP62:CZ62" si="330">+SUM(CP60:CP61)</f>
        <v>653675422.11216903</v>
      </c>
      <c r="CQ62" s="246">
        <f t="shared" si="330"/>
        <v>659963794.14595902</v>
      </c>
      <c r="CR62" s="246">
        <f t="shared" si="330"/>
        <v>667001383.45678294</v>
      </c>
      <c r="CS62" s="246">
        <f t="shared" si="330"/>
        <v>672164197.03807962</v>
      </c>
      <c r="CT62" s="246">
        <f t="shared" si="330"/>
        <v>678623667.80248117</v>
      </c>
      <c r="CU62" s="246">
        <f t="shared" si="330"/>
        <v>685678300.72901225</v>
      </c>
      <c r="CV62" s="246">
        <f t="shared" si="330"/>
        <v>690911226.51536942</v>
      </c>
      <c r="CW62" s="246">
        <f t="shared" si="330"/>
        <v>697463018.35751772</v>
      </c>
      <c r="CX62" s="246">
        <f t="shared" si="330"/>
        <v>704519123.9886272</v>
      </c>
      <c r="CY62" s="246">
        <f t="shared" si="330"/>
        <v>709857231.84805918</v>
      </c>
      <c r="CZ62" s="246">
        <f t="shared" si="330"/>
        <v>716495875.41236305</v>
      </c>
      <c r="DA62" s="246">
        <f>+CZ62</f>
        <v>716495875.41236305</v>
      </c>
      <c r="DB62" s="246">
        <f t="shared" ref="DB62:DM62" si="331">+SUM(DB60:DB61)</f>
        <v>723553671.19809067</v>
      </c>
      <c r="DC62" s="246">
        <f t="shared" si="331"/>
        <v>728989061.85668778</v>
      </c>
      <c r="DD62" s="246">
        <f t="shared" si="331"/>
        <v>735711813.75718725</v>
      </c>
      <c r="DE62" s="246">
        <f t="shared" si="331"/>
        <v>742771066.23983479</v>
      </c>
      <c r="DF62" s="246">
        <f t="shared" si="331"/>
        <v>748251638.12541676</v>
      </c>
      <c r="DG62" s="246">
        <f t="shared" si="331"/>
        <v>755062150.41128218</v>
      </c>
      <c r="DH62" s="246">
        <f t="shared" si="331"/>
        <v>762122674.15612674</v>
      </c>
      <c r="DI62" s="246">
        <f t="shared" si="331"/>
        <v>767674478.05478358</v>
      </c>
      <c r="DJ62" s="246">
        <f t="shared" si="331"/>
        <v>774573676.76555395</v>
      </c>
      <c r="DK62" s="246">
        <f t="shared" si="331"/>
        <v>781635673.21497691</v>
      </c>
      <c r="DL62" s="246">
        <f t="shared" si="331"/>
        <v>787258709.12670875</v>
      </c>
      <c r="DM62" s="246">
        <f t="shared" si="331"/>
        <v>794244776.93596292</v>
      </c>
      <c r="DN62" s="246">
        <f>+DM62</f>
        <v>794244776.93596292</v>
      </c>
      <c r="DO62" s="246">
        <f t="shared" ref="DO62:DZ62" si="332">+SUM(DO60:DO61)</f>
        <v>801308552.92877614</v>
      </c>
      <c r="DP62" s="246">
        <f t="shared" si="332"/>
        <v>807032605.90057778</v>
      </c>
      <c r="DQ62" s="246">
        <f t="shared" si="332"/>
        <v>813967457.149382</v>
      </c>
      <c r="DR62" s="246">
        <f t="shared" si="332"/>
        <v>821032536.41970921</v>
      </c>
      <c r="DS62" s="246">
        <f t="shared" si="332"/>
        <v>826798036.35759091</v>
      </c>
      <c r="DT62" s="246">
        <f t="shared" si="332"/>
        <v>833741117.44639492</v>
      </c>
      <c r="DU62" s="246">
        <f t="shared" si="332"/>
        <v>840807782.20089626</v>
      </c>
      <c r="DV62" s="246">
        <f t="shared" si="332"/>
        <v>847116064.69800627</v>
      </c>
      <c r="DW62" s="246">
        <f t="shared" si="332"/>
        <v>854116187.36681044</v>
      </c>
      <c r="DX62" s="246">
        <f t="shared" si="332"/>
        <v>861186411.21897697</v>
      </c>
      <c r="DY62" s="246">
        <f t="shared" si="332"/>
        <v>867565925.72916198</v>
      </c>
      <c r="DZ62" s="246">
        <f t="shared" si="332"/>
        <v>874570211.75796604</v>
      </c>
      <c r="EA62" s="246">
        <f>+DZ62</f>
        <v>874570211.75796604</v>
      </c>
      <c r="EB62" s="246">
        <f t="shared" ref="EB62:EM62" si="333">+SUM(EB60:EB61)</f>
        <v>881641572.12464201</v>
      </c>
      <c r="EC62" s="246">
        <f t="shared" si="333"/>
        <v>888112812.56275666</v>
      </c>
      <c r="ED62" s="246">
        <f t="shared" si="333"/>
        <v>895119706.42156076</v>
      </c>
      <c r="EE62" s="246">
        <f t="shared" si="333"/>
        <v>902191379.64903808</v>
      </c>
      <c r="EF62" s="246">
        <f t="shared" si="333"/>
        <v>908713358.18537307</v>
      </c>
      <c r="EG62" s="246">
        <f t="shared" si="333"/>
        <v>915727434.98417723</v>
      </c>
      <c r="EH62" s="246">
        <f t="shared" si="333"/>
        <v>922799459.38193667</v>
      </c>
      <c r="EI62" s="246">
        <f t="shared" si="333"/>
        <v>929392669.93134654</v>
      </c>
      <c r="EJ62" s="246">
        <f t="shared" si="333"/>
        <v>936409446.06015062</v>
      </c>
      <c r="EK62" s="246">
        <f t="shared" si="333"/>
        <v>943482281.34187591</v>
      </c>
      <c r="EL62" s="246">
        <f t="shared" si="333"/>
        <v>950146723.90436077</v>
      </c>
      <c r="EM62" s="246">
        <f t="shared" si="333"/>
        <v>957167663.39316487</v>
      </c>
      <c r="EN62" s="246">
        <f>+EM62</f>
        <v>957167663.39316487</v>
      </c>
    </row>
    <row r="63" spans="1:144" s="236" customFormat="1" ht="14.4" thickBot="1" x14ac:dyDescent="0.3">
      <c r="A63" s="244" t="s">
        <v>88</v>
      </c>
      <c r="B63" s="245">
        <f>+B62+B57</f>
        <v>523645234.56000006</v>
      </c>
      <c r="C63" s="245">
        <f t="shared" ref="C63:M63" si="334">+C62+C57</f>
        <v>522697177.5</v>
      </c>
      <c r="D63" s="245">
        <f t="shared" si="334"/>
        <v>518295910.01000011</v>
      </c>
      <c r="E63" s="245">
        <f t="shared" si="334"/>
        <v>518048824.07000005</v>
      </c>
      <c r="F63" s="245">
        <f t="shared" si="334"/>
        <v>520169305.67000008</v>
      </c>
      <c r="G63" s="245">
        <f t="shared" si="334"/>
        <v>500287263.41000015</v>
      </c>
      <c r="H63" s="245">
        <f t="shared" si="334"/>
        <v>501510744.59000015</v>
      </c>
      <c r="I63" s="245">
        <f t="shared" si="334"/>
        <v>519402842.41000021</v>
      </c>
      <c r="J63" s="245">
        <f t="shared" si="334"/>
        <v>521866392.45000029</v>
      </c>
      <c r="K63" s="245">
        <f t="shared" si="334"/>
        <v>508262529.90000021</v>
      </c>
      <c r="L63" s="245">
        <f t="shared" si="334"/>
        <v>507562171.13000023</v>
      </c>
      <c r="M63" s="245">
        <f t="shared" si="334"/>
        <v>506105555.01000029</v>
      </c>
      <c r="N63" s="245">
        <f>+N62+N57</f>
        <v>923516005.01000023</v>
      </c>
      <c r="O63" s="245">
        <f>+O62+O57</f>
        <v>497469086.88000011</v>
      </c>
      <c r="P63" s="245">
        <f t="shared" ref="P63:Z63" si="335">+P62+P57</f>
        <v>490977056.96000016</v>
      </c>
      <c r="Q63" s="245">
        <f t="shared" si="335"/>
        <v>506578886.22000015</v>
      </c>
      <c r="R63" s="245">
        <f t="shared" si="335"/>
        <v>504098075.59000003</v>
      </c>
      <c r="S63" s="245">
        <f t="shared" si="335"/>
        <v>507701566.89000005</v>
      </c>
      <c r="T63" s="245">
        <f t="shared" si="335"/>
        <v>508864017.84000003</v>
      </c>
      <c r="U63" s="245">
        <f t="shared" si="335"/>
        <v>510332672.38000005</v>
      </c>
      <c r="V63" s="245">
        <f t="shared" si="335"/>
        <v>519498146.75999999</v>
      </c>
      <c r="W63" s="245">
        <f t="shared" si="335"/>
        <v>520036174.15999997</v>
      </c>
      <c r="X63" s="245">
        <f t="shared" si="335"/>
        <v>517274114.36000001</v>
      </c>
      <c r="Y63" s="245">
        <f t="shared" si="335"/>
        <v>522880460.25</v>
      </c>
      <c r="Z63" s="245">
        <f t="shared" si="335"/>
        <v>519005909.29000002</v>
      </c>
      <c r="AA63" s="245">
        <f t="shared" si="99"/>
        <v>519005909.29000002</v>
      </c>
      <c r="AB63" s="245">
        <f t="shared" ref="AB63:AN63" si="336">+AB62+AB57</f>
        <v>503142401.62</v>
      </c>
      <c r="AC63" s="245">
        <f t="shared" si="336"/>
        <v>511193292.09999996</v>
      </c>
      <c r="AD63" s="245">
        <f t="shared" si="336"/>
        <v>504453733.22000003</v>
      </c>
      <c r="AE63" s="245">
        <f t="shared" si="336"/>
        <v>511669971.65999997</v>
      </c>
      <c r="AF63" s="245">
        <f t="shared" si="336"/>
        <v>515709796.88999999</v>
      </c>
      <c r="AG63" s="245">
        <f t="shared" si="336"/>
        <v>517414398.00999975</v>
      </c>
      <c r="AH63" s="245">
        <f t="shared" si="336"/>
        <v>526684724.51999986</v>
      </c>
      <c r="AI63" s="245">
        <f t="shared" si="336"/>
        <v>529412883.61999983</v>
      </c>
      <c r="AJ63" s="245">
        <f t="shared" si="336"/>
        <v>523597496.96999991</v>
      </c>
      <c r="AK63" s="245">
        <f t="shared" si="336"/>
        <v>512682774.87999982</v>
      </c>
      <c r="AL63" s="245">
        <f t="shared" si="336"/>
        <v>510846664.91999978</v>
      </c>
      <c r="AM63" s="245">
        <f t="shared" si="336"/>
        <v>1006838702.3899997</v>
      </c>
      <c r="AN63" s="245">
        <f t="shared" si="336"/>
        <v>1006838702.3899997</v>
      </c>
      <c r="AO63" s="245">
        <f t="shared" ref="AO63:AY63" si="337">+AO62+AO57</f>
        <v>1034645761.5999997</v>
      </c>
      <c r="AP63" s="245">
        <f t="shared" si="337"/>
        <v>1028138647.1900001</v>
      </c>
      <c r="AQ63" s="245">
        <f t="shared" si="337"/>
        <v>1021257188.8200003</v>
      </c>
      <c r="AR63" s="245">
        <f t="shared" si="337"/>
        <v>1027426811.4300005</v>
      </c>
      <c r="AS63" s="245">
        <f t="shared" si="337"/>
        <v>1034775969.8400004</v>
      </c>
      <c r="AT63" s="245">
        <f t="shared" si="337"/>
        <v>1045234037.6700003</v>
      </c>
      <c r="AU63" s="245">
        <f t="shared" si="337"/>
        <v>1052010247.4200007</v>
      </c>
      <c r="AV63" s="245">
        <f t="shared" si="337"/>
        <v>1050743377.5300006</v>
      </c>
      <c r="AW63" s="245">
        <f t="shared" si="337"/>
        <v>1056005296.5900006</v>
      </c>
      <c r="AX63" s="245">
        <f t="shared" si="337"/>
        <v>1069743118.7000005</v>
      </c>
      <c r="AY63" s="245">
        <f t="shared" si="337"/>
        <v>1066406722.3000007</v>
      </c>
      <c r="AZ63" s="245">
        <f>+AZ62+AZ57</f>
        <v>1069794273.7900008</v>
      </c>
      <c r="BA63" s="245">
        <f>+AZ63</f>
        <v>1069794273.7900008</v>
      </c>
      <c r="BB63" s="245">
        <f>+BB62+BB57</f>
        <v>1226252834.02</v>
      </c>
      <c r="BC63" s="245">
        <f t="shared" ref="BC63:BM63" si="338">+BC62+BC57</f>
        <v>1209093692.05</v>
      </c>
      <c r="BD63" s="245">
        <f t="shared" si="338"/>
        <v>1203216861.04</v>
      </c>
      <c r="BE63" s="245">
        <f t="shared" si="338"/>
        <v>1200147249.8899999</v>
      </c>
      <c r="BF63" s="245">
        <f t="shared" si="338"/>
        <v>1193361842.7599998</v>
      </c>
      <c r="BG63" s="245">
        <f t="shared" si="338"/>
        <v>1200356187.52</v>
      </c>
      <c r="BH63" s="245">
        <f t="shared" si="338"/>
        <v>1198780331.8100002</v>
      </c>
      <c r="BI63" s="245">
        <f t="shared" si="338"/>
        <v>1180498045.99</v>
      </c>
      <c r="BJ63" s="245">
        <f t="shared" si="338"/>
        <v>1174787431.1199999</v>
      </c>
      <c r="BK63" s="245">
        <f t="shared" si="338"/>
        <v>1194106075.0899999</v>
      </c>
      <c r="BL63" s="245">
        <f t="shared" si="338"/>
        <v>1180929374.8599999</v>
      </c>
      <c r="BM63" s="245">
        <f t="shared" si="338"/>
        <v>1189080750.1399999</v>
      </c>
      <c r="BN63" s="245">
        <f>+BM63</f>
        <v>1189080750.1399999</v>
      </c>
      <c r="BO63" s="245">
        <f t="shared" ref="BO63:BT63" si="339">+BO62+BO57</f>
        <v>1185192302.24</v>
      </c>
      <c r="BP63" s="245">
        <f t="shared" si="339"/>
        <v>1189325503.6300001</v>
      </c>
      <c r="BQ63" s="245">
        <f t="shared" si="339"/>
        <v>1203445272.1700001</v>
      </c>
      <c r="BR63" s="245">
        <f t="shared" si="339"/>
        <v>1212847153.55</v>
      </c>
      <c r="BS63" s="245">
        <f t="shared" si="339"/>
        <v>1223298754.48</v>
      </c>
      <c r="BT63" s="245">
        <f t="shared" si="339"/>
        <v>1247244146.8499999</v>
      </c>
      <c r="BU63" s="245">
        <f t="shared" ref="BU63:BZ63" si="340">+BU62+BU57</f>
        <v>1300471971.5272589</v>
      </c>
      <c r="BV63" s="245">
        <f t="shared" si="340"/>
        <v>1285649708.8599367</v>
      </c>
      <c r="BW63" s="245">
        <f t="shared" si="340"/>
        <v>1273485690.4833724</v>
      </c>
      <c r="BX63" s="245">
        <f t="shared" si="340"/>
        <v>1294057374.7148919</v>
      </c>
      <c r="BY63" s="245">
        <f t="shared" si="340"/>
        <v>1258982360.309907</v>
      </c>
      <c r="BZ63" s="245">
        <f t="shared" si="340"/>
        <v>1262382377.428652</v>
      </c>
      <c r="CA63" s="245">
        <f>+BZ63</f>
        <v>1262382377.428652</v>
      </c>
      <c r="CB63" s="245">
        <f t="shared" ref="CB63:CM63" si="341">+CB62+CB57</f>
        <v>1308808397.855722</v>
      </c>
      <c r="CC63" s="245">
        <f t="shared" si="341"/>
        <v>1309125133.5908213</v>
      </c>
      <c r="CD63" s="245">
        <f t="shared" si="341"/>
        <v>1270580868.8454785</v>
      </c>
      <c r="CE63" s="245">
        <f t="shared" si="341"/>
        <v>1275872035.7172</v>
      </c>
      <c r="CF63" s="245">
        <f t="shared" si="341"/>
        <v>1274354230.5306981</v>
      </c>
      <c r="CG63" s="245">
        <f t="shared" si="341"/>
        <v>1272835072.3307199</v>
      </c>
      <c r="CH63" s="245">
        <f t="shared" si="341"/>
        <v>1278113202.5167236</v>
      </c>
      <c r="CI63" s="245">
        <f t="shared" si="341"/>
        <v>1276690647.9781866</v>
      </c>
      <c r="CJ63" s="245">
        <f t="shared" si="341"/>
        <v>1275293342.0012691</v>
      </c>
      <c r="CK63" s="245">
        <f t="shared" si="341"/>
        <v>1280594409.1721373</v>
      </c>
      <c r="CL63" s="245">
        <f t="shared" si="341"/>
        <v>1279267094.1615653</v>
      </c>
      <c r="CM63" s="245">
        <f t="shared" si="341"/>
        <v>1277972312.6112981</v>
      </c>
      <c r="CN63" s="245">
        <f>+CM63</f>
        <v>1277972312.6112981</v>
      </c>
      <c r="CO63" s="245">
        <f t="shared" ref="CO63" si="342">+CO62+CO57</f>
        <v>1283299961.8429821</v>
      </c>
      <c r="CP63" s="245">
        <f t="shared" ref="CP63:CZ63" si="343">+CP62+CP57</f>
        <v>1282112922.8705816</v>
      </c>
      <c r="CQ63" s="245">
        <f t="shared" si="343"/>
        <v>1280876570.8713717</v>
      </c>
      <c r="CR63" s="245">
        <f t="shared" si="343"/>
        <v>1286230469.5936632</v>
      </c>
      <c r="CS63" s="245">
        <f t="shared" si="343"/>
        <v>1285100392.599021</v>
      </c>
      <c r="CT63" s="245">
        <f t="shared" si="343"/>
        <v>1285783693.9904227</v>
      </c>
      <c r="CU63" s="245">
        <f t="shared" si="343"/>
        <v>1292738274.7084212</v>
      </c>
      <c r="CV63" s="245">
        <f t="shared" si="343"/>
        <v>1293240121.3588395</v>
      </c>
      <c r="CW63" s="245">
        <f t="shared" si="343"/>
        <v>1294015743.8279879</v>
      </c>
      <c r="CX63" s="245">
        <f t="shared" si="343"/>
        <v>1300971797.2505651</v>
      </c>
      <c r="CY63" s="245">
        <f t="shared" si="343"/>
        <v>1301660018.9740582</v>
      </c>
      <c r="CZ63" s="245">
        <f t="shared" si="343"/>
        <v>1302522493.1653619</v>
      </c>
      <c r="DA63" s="245">
        <f>+CZ63</f>
        <v>1302522493.1653619</v>
      </c>
      <c r="DB63" s="245">
        <f t="shared" ref="DB63:DM63" si="344">+DB62+DB57</f>
        <v>1309480236.742557</v>
      </c>
      <c r="DC63" s="245">
        <f t="shared" si="344"/>
        <v>1310265741.2652154</v>
      </c>
      <c r="DD63" s="245">
        <f t="shared" si="344"/>
        <v>1311212323.7927151</v>
      </c>
      <c r="DE63" s="245">
        <f t="shared" si="344"/>
        <v>1318171524.0668302</v>
      </c>
      <c r="DF63" s="245">
        <f t="shared" si="344"/>
        <v>1319002209.816473</v>
      </c>
      <c r="DG63" s="245">
        <f t="shared" si="344"/>
        <v>1320036552.7293386</v>
      </c>
      <c r="DH63" s="245">
        <f t="shared" si="344"/>
        <v>1326997024.2656507</v>
      </c>
      <c r="DI63" s="245">
        <f t="shared" si="344"/>
        <v>1327898942.0283687</v>
      </c>
      <c r="DJ63" s="245">
        <f t="shared" si="344"/>
        <v>1329021971.3661392</v>
      </c>
      <c r="DK63" s="245">
        <f t="shared" si="344"/>
        <v>1335983915.6070297</v>
      </c>
      <c r="DL63" s="245">
        <f t="shared" si="344"/>
        <v>1336957065.3828225</v>
      </c>
      <c r="DM63" s="245">
        <f t="shared" si="344"/>
        <v>1343514625.1120768</v>
      </c>
      <c r="DN63" s="245">
        <f>+DM63</f>
        <v>1343514625.1120768</v>
      </c>
      <c r="DO63" s="245">
        <f t="shared" ref="DO63:DZ63" si="345">+DO62+DO57</f>
        <v>1350478348.8963575</v>
      </c>
      <c r="DP63" s="245">
        <f t="shared" si="345"/>
        <v>1351552515.7322204</v>
      </c>
      <c r="DQ63" s="245">
        <f t="shared" si="345"/>
        <v>1358058859.0210247</v>
      </c>
      <c r="DR63" s="245">
        <f t="shared" si="345"/>
        <v>1365023886.0828195</v>
      </c>
      <c r="DS63" s="245">
        <f t="shared" si="345"/>
        <v>1366139499.8847623</v>
      </c>
      <c r="DT63" s="245">
        <f t="shared" si="345"/>
        <v>1372654073.0135663</v>
      </c>
      <c r="DU63" s="245">
        <f t="shared" si="345"/>
        <v>1379551663.3928475</v>
      </c>
      <c r="DV63" s="245">
        <f t="shared" si="345"/>
        <v>1381210059.7540185</v>
      </c>
      <c r="DW63" s="245">
        <f t="shared" si="345"/>
        <v>1387885992.3128228</v>
      </c>
      <c r="DX63" s="245">
        <f t="shared" si="345"/>
        <v>1394916721.8549893</v>
      </c>
      <c r="DY63" s="245">
        <f t="shared" si="345"/>
        <v>1396646350.2292354</v>
      </c>
      <c r="DZ63" s="245">
        <f t="shared" si="345"/>
        <v>1403326446.1480393</v>
      </c>
      <c r="EA63" s="245">
        <f>+DZ63</f>
        <v>1403326446.1480393</v>
      </c>
      <c r="EB63" s="245">
        <f t="shared" ref="EB63:EM63" si="346">+EB62+EB57</f>
        <v>1410358312.2047155</v>
      </c>
      <c r="EC63" s="245">
        <f t="shared" si="346"/>
        <v>1412179666.5068913</v>
      </c>
      <c r="ED63" s="245">
        <f t="shared" si="346"/>
        <v>1418862370.2556953</v>
      </c>
      <c r="EE63" s="245">
        <f t="shared" si="346"/>
        <v>1425894549.1731727</v>
      </c>
      <c r="EF63" s="245">
        <f t="shared" si="346"/>
        <v>1427766641.5735688</v>
      </c>
      <c r="EG63" s="245">
        <f t="shared" si="346"/>
        <v>1434456528.262373</v>
      </c>
      <c r="EH63" s="245">
        <f t="shared" si="346"/>
        <v>1441489058.3501325</v>
      </c>
      <c r="EI63" s="245">
        <f t="shared" si="346"/>
        <v>1443432382.7636034</v>
      </c>
      <c r="EJ63" s="245">
        <f t="shared" si="346"/>
        <v>1450124968.7824075</v>
      </c>
      <c r="EK63" s="245">
        <f t="shared" si="346"/>
        <v>1457158309.7541327</v>
      </c>
      <c r="EL63" s="245">
        <f t="shared" si="346"/>
        <v>1459172866.1806788</v>
      </c>
      <c r="EM63" s="245">
        <f t="shared" si="346"/>
        <v>1465869615.5594831</v>
      </c>
      <c r="EN63" s="245">
        <f>+EM63</f>
        <v>1465869615.5594831</v>
      </c>
    </row>
    <row r="64" spans="1:144" ht="14.4" thickTop="1" x14ac:dyDescent="0.25">
      <c r="B64" s="236">
        <f t="shared" ref="B64:BM64" si="347">+B63-B40</f>
        <v>-560913558.56999981</v>
      </c>
      <c r="C64" s="236">
        <f t="shared" si="347"/>
        <v>-540525457.47999978</v>
      </c>
      <c r="D64" s="236">
        <f t="shared" si="347"/>
        <v>-538297625.25999987</v>
      </c>
      <c r="E64" s="236">
        <f t="shared" si="347"/>
        <v>-522580775.23999953</v>
      </c>
      <c r="F64" s="236">
        <f t="shared" si="347"/>
        <v>-515997495.64999926</v>
      </c>
      <c r="G64" s="236">
        <f t="shared" si="347"/>
        <v>-507035948.38999909</v>
      </c>
      <c r="H64" s="236">
        <f t="shared" si="347"/>
        <v>-514183538.90999913</v>
      </c>
      <c r="I64" s="236">
        <f t="shared" si="347"/>
        <v>-542383038.12999916</v>
      </c>
      <c r="J64" s="236">
        <f t="shared" si="347"/>
        <v>-542202850.09999907</v>
      </c>
      <c r="K64" s="236">
        <f t="shared" si="347"/>
        <v>-544257579.83999884</v>
      </c>
      <c r="L64" s="236">
        <f t="shared" si="347"/>
        <v>-542311631.78999841</v>
      </c>
      <c r="M64" s="236">
        <f t="shared" si="347"/>
        <v>-538456364.05999851</v>
      </c>
      <c r="N64" s="236">
        <f t="shared" si="347"/>
        <v>-121045914.05999851</v>
      </c>
      <c r="O64" s="236">
        <f t="shared" si="347"/>
        <v>-552078297.86999941</v>
      </c>
      <c r="P64" s="236">
        <f t="shared" si="347"/>
        <v>-545330504.59999931</v>
      </c>
      <c r="Q64" s="236">
        <f t="shared" si="347"/>
        <v>-524381325.78999913</v>
      </c>
      <c r="R64" s="236">
        <f t="shared" si="347"/>
        <v>-543206572.23999894</v>
      </c>
      <c r="S64" s="236">
        <f t="shared" si="347"/>
        <v>-531485222.04999906</v>
      </c>
      <c r="T64" s="236">
        <f t="shared" si="347"/>
        <v>-531293097.76999938</v>
      </c>
      <c r="U64" s="236">
        <f t="shared" si="347"/>
        <v>-524262103.47999901</v>
      </c>
      <c r="V64" s="236">
        <f t="shared" si="347"/>
        <v>-522259190.46999896</v>
      </c>
      <c r="W64" s="236">
        <f t="shared" si="347"/>
        <v>-513765982.26999891</v>
      </c>
      <c r="X64" s="236">
        <f t="shared" si="347"/>
        <v>-504529962.09999859</v>
      </c>
      <c r="Y64" s="236">
        <f t="shared" si="347"/>
        <v>-497790192.79999888</v>
      </c>
      <c r="Z64" s="236">
        <f t="shared" si="347"/>
        <v>-498908217.79999882</v>
      </c>
      <c r="AA64" s="236">
        <f t="shared" si="347"/>
        <v>-498908217.79999882</v>
      </c>
      <c r="AB64" s="236">
        <f t="shared" si="347"/>
        <v>-540901976.00000036</v>
      </c>
      <c r="AC64" s="236">
        <f t="shared" si="347"/>
        <v>-531893070.78000087</v>
      </c>
      <c r="AD64" s="236">
        <f t="shared" si="347"/>
        <v>-516618946.71000063</v>
      </c>
      <c r="AE64" s="236">
        <f t="shared" si="347"/>
        <v>-515521934.23000073</v>
      </c>
      <c r="AF64" s="236">
        <f t="shared" si="347"/>
        <v>-517531704.45000052</v>
      </c>
      <c r="AG64" s="236">
        <f t="shared" si="347"/>
        <v>-517985830.32000065</v>
      </c>
      <c r="AH64" s="236">
        <f t="shared" si="347"/>
        <v>-523517639.38000047</v>
      </c>
      <c r="AI64" s="236">
        <f t="shared" si="347"/>
        <v>-520280028.2700004</v>
      </c>
      <c r="AJ64" s="236">
        <f t="shared" si="347"/>
        <v>-520445849.4000001</v>
      </c>
      <c r="AK64" s="236">
        <f t="shared" si="347"/>
        <v>-509576996.15000015</v>
      </c>
      <c r="AL64" s="236">
        <f t="shared" si="347"/>
        <v>-495179693.64000016</v>
      </c>
      <c r="AM64" s="236">
        <f t="shared" si="347"/>
        <v>0</v>
      </c>
      <c r="AN64" s="236">
        <f t="shared" si="347"/>
        <v>0</v>
      </c>
      <c r="AO64" s="236">
        <f t="shared" ref="AO64:BA64" si="348">+AO63-AO40</f>
        <v>0</v>
      </c>
      <c r="AP64" s="236">
        <f t="shared" si="348"/>
        <v>0</v>
      </c>
      <c r="AQ64" s="236">
        <f t="shared" si="348"/>
        <v>0</v>
      </c>
      <c r="AR64" s="236">
        <f t="shared" si="348"/>
        <v>0</v>
      </c>
      <c r="AS64" s="236">
        <f t="shared" si="348"/>
        <v>0</v>
      </c>
      <c r="AT64" s="236">
        <f t="shared" si="348"/>
        <v>0</v>
      </c>
      <c r="AU64" s="236">
        <f t="shared" si="348"/>
        <v>0</v>
      </c>
      <c r="AV64" s="236">
        <f t="shared" si="348"/>
        <v>0</v>
      </c>
      <c r="AW64" s="236">
        <f t="shared" si="348"/>
        <v>0</v>
      </c>
      <c r="AX64" s="236">
        <f t="shared" si="348"/>
        <v>0</v>
      </c>
      <c r="AY64" s="236">
        <f t="shared" si="348"/>
        <v>0</v>
      </c>
      <c r="AZ64" s="236">
        <f t="shared" si="348"/>
        <v>0</v>
      </c>
      <c r="BA64" s="236">
        <f t="shared" si="348"/>
        <v>0</v>
      </c>
      <c r="BB64" s="236">
        <f t="shared" si="347"/>
        <v>0</v>
      </c>
      <c r="BC64" s="236">
        <f t="shared" si="347"/>
        <v>0</v>
      </c>
      <c r="BD64" s="236">
        <f t="shared" si="347"/>
        <v>0</v>
      </c>
      <c r="BE64" s="236">
        <f t="shared" si="347"/>
        <v>0</v>
      </c>
      <c r="BF64" s="236">
        <f t="shared" si="347"/>
        <v>0</v>
      </c>
      <c r="BG64" s="236">
        <f t="shared" si="347"/>
        <v>0</v>
      </c>
      <c r="BH64" s="236">
        <f t="shared" si="347"/>
        <v>0</v>
      </c>
      <c r="BI64" s="236">
        <f t="shared" si="347"/>
        <v>0</v>
      </c>
      <c r="BJ64" s="236">
        <f>+BJ63-BJ40</f>
        <v>0</v>
      </c>
      <c r="BK64" s="236">
        <f t="shared" si="347"/>
        <v>0</v>
      </c>
      <c r="BL64" s="236">
        <f t="shared" si="347"/>
        <v>0</v>
      </c>
      <c r="BM64" s="236">
        <f t="shared" si="347"/>
        <v>0</v>
      </c>
      <c r="BN64" s="236">
        <f t="shared" ref="BN64:CS64" si="349">+BN63-BN40</f>
        <v>0</v>
      </c>
      <c r="BO64" s="236">
        <f t="shared" si="349"/>
        <v>0</v>
      </c>
      <c r="BP64" s="236">
        <f t="shared" si="349"/>
        <v>0</v>
      </c>
      <c r="BQ64" s="236">
        <f t="shared" si="349"/>
        <v>0</v>
      </c>
      <c r="BR64" s="236">
        <f t="shared" si="349"/>
        <v>0</v>
      </c>
      <c r="BS64" s="236">
        <f t="shared" si="349"/>
        <v>0</v>
      </c>
      <c r="BT64" s="236">
        <f t="shared" ref="BT64" si="350">+BT63-BT40</f>
        <v>0</v>
      </c>
      <c r="BU64" s="236">
        <f t="shared" si="349"/>
        <v>0</v>
      </c>
      <c r="BV64" s="236">
        <f t="shared" si="349"/>
        <v>0</v>
      </c>
      <c r="BW64" s="236">
        <f t="shared" si="349"/>
        <v>0</v>
      </c>
      <c r="BX64" s="236">
        <f t="shared" si="349"/>
        <v>0</v>
      </c>
      <c r="BY64" s="236">
        <f t="shared" si="349"/>
        <v>0</v>
      </c>
      <c r="BZ64" s="236">
        <f t="shared" si="349"/>
        <v>0</v>
      </c>
      <c r="CA64" s="236">
        <f t="shared" si="349"/>
        <v>0</v>
      </c>
      <c r="CB64" s="236">
        <f t="shared" si="349"/>
        <v>0</v>
      </c>
      <c r="CC64" s="236">
        <f t="shared" si="349"/>
        <v>0</v>
      </c>
      <c r="CD64" s="236">
        <f t="shared" si="349"/>
        <v>0</v>
      </c>
      <c r="CE64" s="236">
        <f t="shared" si="349"/>
        <v>0</v>
      </c>
      <c r="CF64" s="236">
        <f t="shared" si="349"/>
        <v>0</v>
      </c>
      <c r="CG64" s="236">
        <f t="shared" si="349"/>
        <v>0</v>
      </c>
      <c r="CH64" s="236">
        <f t="shared" si="349"/>
        <v>0</v>
      </c>
      <c r="CI64" s="236">
        <f t="shared" si="349"/>
        <v>0</v>
      </c>
      <c r="CJ64" s="236">
        <f t="shared" si="349"/>
        <v>0</v>
      </c>
      <c r="CK64" s="236">
        <f t="shared" si="349"/>
        <v>0</v>
      </c>
      <c r="CL64" s="236">
        <f t="shared" si="349"/>
        <v>0</v>
      </c>
      <c r="CM64" s="236">
        <f t="shared" si="349"/>
        <v>0</v>
      </c>
      <c r="CN64" s="236">
        <f t="shared" si="349"/>
        <v>0</v>
      </c>
      <c r="CO64" s="236">
        <f t="shared" ref="CO64" si="351">+CO63-CO40</f>
        <v>0</v>
      </c>
      <c r="CP64" s="236">
        <f t="shared" si="349"/>
        <v>0</v>
      </c>
      <c r="CQ64" s="236">
        <f t="shared" si="349"/>
        <v>0</v>
      </c>
      <c r="CR64" s="236">
        <f t="shared" si="349"/>
        <v>0</v>
      </c>
      <c r="CS64" s="236">
        <f t="shared" si="349"/>
        <v>0</v>
      </c>
      <c r="CT64" s="236">
        <f t="shared" ref="CT64:DY64" si="352">+CT63-CT40</f>
        <v>0</v>
      </c>
      <c r="CU64" s="236">
        <f t="shared" si="352"/>
        <v>0</v>
      </c>
      <c r="CV64" s="236">
        <f t="shared" si="352"/>
        <v>0</v>
      </c>
      <c r="CW64" s="236">
        <f t="shared" si="352"/>
        <v>0</v>
      </c>
      <c r="CX64" s="236">
        <f t="shared" si="352"/>
        <v>0</v>
      </c>
      <c r="CY64" s="236">
        <f t="shared" si="352"/>
        <v>0</v>
      </c>
      <c r="CZ64" s="236">
        <f t="shared" si="352"/>
        <v>0</v>
      </c>
      <c r="DA64" s="236">
        <f t="shared" si="352"/>
        <v>0</v>
      </c>
      <c r="DB64" s="236">
        <f t="shared" si="352"/>
        <v>0</v>
      </c>
      <c r="DC64" s="236">
        <f t="shared" si="352"/>
        <v>0</v>
      </c>
      <c r="DD64" s="236">
        <f t="shared" si="352"/>
        <v>0</v>
      </c>
      <c r="DE64" s="236">
        <f t="shared" si="352"/>
        <v>0</v>
      </c>
      <c r="DF64" s="236">
        <f t="shared" si="352"/>
        <v>0</v>
      </c>
      <c r="DG64" s="236">
        <f t="shared" si="352"/>
        <v>0</v>
      </c>
      <c r="DH64" s="236">
        <f t="shared" si="352"/>
        <v>0</v>
      </c>
      <c r="DI64" s="236">
        <f t="shared" si="352"/>
        <v>0</v>
      </c>
      <c r="DJ64" s="236">
        <f t="shared" si="352"/>
        <v>0</v>
      </c>
      <c r="DK64" s="236">
        <f t="shared" si="352"/>
        <v>0</v>
      </c>
      <c r="DL64" s="236">
        <f t="shared" si="352"/>
        <v>0</v>
      </c>
      <c r="DM64" s="236">
        <f t="shared" si="352"/>
        <v>0</v>
      </c>
      <c r="DN64" s="236">
        <f t="shared" si="352"/>
        <v>0</v>
      </c>
      <c r="DO64" s="236">
        <f t="shared" si="352"/>
        <v>0</v>
      </c>
      <c r="DP64" s="236">
        <f t="shared" si="352"/>
        <v>0</v>
      </c>
      <c r="DQ64" s="236">
        <f t="shared" si="352"/>
        <v>0</v>
      </c>
      <c r="DR64" s="236">
        <f t="shared" si="352"/>
        <v>0</v>
      </c>
      <c r="DS64" s="236">
        <f t="shared" si="352"/>
        <v>0</v>
      </c>
      <c r="DT64" s="236">
        <f t="shared" si="352"/>
        <v>0</v>
      </c>
      <c r="DU64" s="236">
        <f t="shared" si="352"/>
        <v>0</v>
      </c>
      <c r="DV64" s="236">
        <f t="shared" si="352"/>
        <v>0</v>
      </c>
      <c r="DW64" s="236">
        <f t="shared" si="352"/>
        <v>0</v>
      </c>
      <c r="DX64" s="236">
        <f t="shared" si="352"/>
        <v>0</v>
      </c>
      <c r="DY64" s="236">
        <f t="shared" si="352"/>
        <v>0</v>
      </c>
      <c r="DZ64" s="236">
        <f>+DZ63-DZ40</f>
        <v>0</v>
      </c>
      <c r="EA64" s="236">
        <f t="shared" ref="EA64:EL64" si="353">+EA63-EA40</f>
        <v>0</v>
      </c>
      <c r="EB64" s="236">
        <f t="shared" si="353"/>
        <v>0</v>
      </c>
      <c r="EC64" s="236">
        <f t="shared" si="353"/>
        <v>0</v>
      </c>
      <c r="ED64" s="236">
        <f t="shared" si="353"/>
        <v>0</v>
      </c>
      <c r="EE64" s="236">
        <f t="shared" si="353"/>
        <v>0</v>
      </c>
      <c r="EF64" s="236">
        <f t="shared" si="353"/>
        <v>0</v>
      </c>
      <c r="EG64" s="236">
        <f t="shared" si="353"/>
        <v>0</v>
      </c>
      <c r="EH64" s="236">
        <f t="shared" si="353"/>
        <v>0</v>
      </c>
      <c r="EI64" s="236">
        <f t="shared" si="353"/>
        <v>0</v>
      </c>
      <c r="EJ64" s="236">
        <f t="shared" si="353"/>
        <v>0</v>
      </c>
      <c r="EK64" s="236">
        <f t="shared" si="353"/>
        <v>0</v>
      </c>
      <c r="EL64" s="236">
        <f t="shared" si="353"/>
        <v>0</v>
      </c>
      <c r="EM64" s="236">
        <f>+EM63-EM40</f>
        <v>0</v>
      </c>
      <c r="EN64" s="236">
        <f>+EN63-EN40</f>
        <v>0</v>
      </c>
    </row>
    <row r="66" spans="1:144" x14ac:dyDescent="0.25"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O66" s="236"/>
      <c r="BP66" s="236"/>
      <c r="BQ66" s="236"/>
    </row>
    <row r="67" spans="1:144" x14ac:dyDescent="0.25"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</row>
    <row r="70" spans="1:144" s="230" customFormat="1" x14ac:dyDescent="0.25">
      <c r="B70" s="231">
        <f>+B1</f>
        <v>43951</v>
      </c>
      <c r="C70" s="231">
        <f t="shared" ref="C70:N70" si="354">+C1</f>
        <v>43982</v>
      </c>
      <c r="D70" s="231">
        <f t="shared" si="354"/>
        <v>44012</v>
      </c>
      <c r="E70" s="231">
        <f t="shared" si="354"/>
        <v>44043</v>
      </c>
      <c r="F70" s="231">
        <f t="shared" si="354"/>
        <v>44074</v>
      </c>
      <c r="G70" s="231">
        <f t="shared" si="354"/>
        <v>44104</v>
      </c>
      <c r="H70" s="231">
        <f t="shared" si="354"/>
        <v>44135</v>
      </c>
      <c r="I70" s="231">
        <f t="shared" si="354"/>
        <v>44165</v>
      </c>
      <c r="J70" s="231">
        <f t="shared" si="354"/>
        <v>44196</v>
      </c>
      <c r="K70" s="231">
        <f t="shared" si="354"/>
        <v>44227</v>
      </c>
      <c r="L70" s="231">
        <f t="shared" si="354"/>
        <v>44255</v>
      </c>
      <c r="M70" s="231">
        <f t="shared" si="354"/>
        <v>44286</v>
      </c>
      <c r="N70" s="230">
        <f t="shared" si="354"/>
        <v>2020</v>
      </c>
      <c r="O70" s="231">
        <f>+O1</f>
        <v>44316</v>
      </c>
      <c r="P70" s="231">
        <f t="shared" ref="P70:CA70" si="355">+P1</f>
        <v>44347</v>
      </c>
      <c r="Q70" s="231">
        <f t="shared" si="355"/>
        <v>44377</v>
      </c>
      <c r="R70" s="231">
        <f t="shared" si="355"/>
        <v>44408</v>
      </c>
      <c r="S70" s="231">
        <f t="shared" si="355"/>
        <v>44439</v>
      </c>
      <c r="T70" s="231">
        <f t="shared" si="355"/>
        <v>44469</v>
      </c>
      <c r="U70" s="231">
        <f t="shared" si="355"/>
        <v>44500</v>
      </c>
      <c r="V70" s="231">
        <f t="shared" si="355"/>
        <v>44530</v>
      </c>
      <c r="W70" s="231">
        <f t="shared" si="355"/>
        <v>44561</v>
      </c>
      <c r="X70" s="231">
        <f t="shared" si="355"/>
        <v>44592</v>
      </c>
      <c r="Y70" s="231">
        <f t="shared" si="355"/>
        <v>44620</v>
      </c>
      <c r="Z70" s="231">
        <f t="shared" si="355"/>
        <v>44651</v>
      </c>
      <c r="AA70" s="230">
        <f t="shared" si="355"/>
        <v>2021</v>
      </c>
      <c r="AB70" s="231">
        <f t="shared" si="355"/>
        <v>44681</v>
      </c>
      <c r="AC70" s="231">
        <f t="shared" si="355"/>
        <v>44712</v>
      </c>
      <c r="AD70" s="231">
        <f t="shared" si="355"/>
        <v>44742</v>
      </c>
      <c r="AE70" s="231">
        <f t="shared" si="355"/>
        <v>44773</v>
      </c>
      <c r="AF70" s="231">
        <f t="shared" si="355"/>
        <v>44804</v>
      </c>
      <c r="AG70" s="231">
        <f t="shared" si="355"/>
        <v>44834</v>
      </c>
      <c r="AH70" s="231">
        <f t="shared" si="355"/>
        <v>44865</v>
      </c>
      <c r="AI70" s="231">
        <f t="shared" si="355"/>
        <v>44895</v>
      </c>
      <c r="AJ70" s="231">
        <f t="shared" si="355"/>
        <v>44926</v>
      </c>
      <c r="AK70" s="231">
        <f t="shared" si="355"/>
        <v>44957</v>
      </c>
      <c r="AL70" s="231">
        <f t="shared" si="355"/>
        <v>44985</v>
      </c>
      <c r="AM70" s="231">
        <f t="shared" si="355"/>
        <v>45016</v>
      </c>
      <c r="AN70" s="230">
        <f t="shared" si="355"/>
        <v>2022</v>
      </c>
      <c r="AO70" s="231">
        <f t="shared" ref="AO70:BA70" si="356">+AO1</f>
        <v>45046</v>
      </c>
      <c r="AP70" s="231">
        <f t="shared" si="356"/>
        <v>45077</v>
      </c>
      <c r="AQ70" s="231">
        <f t="shared" si="356"/>
        <v>45107</v>
      </c>
      <c r="AR70" s="231">
        <f t="shared" si="356"/>
        <v>45138</v>
      </c>
      <c r="AS70" s="231">
        <f t="shared" si="356"/>
        <v>45169</v>
      </c>
      <c r="AT70" s="231">
        <f t="shared" si="356"/>
        <v>45199</v>
      </c>
      <c r="AU70" s="231">
        <f t="shared" si="356"/>
        <v>45230</v>
      </c>
      <c r="AV70" s="231">
        <f t="shared" si="356"/>
        <v>45260</v>
      </c>
      <c r="AW70" s="231">
        <f t="shared" si="356"/>
        <v>45291</v>
      </c>
      <c r="AX70" s="231">
        <f t="shared" si="356"/>
        <v>45322</v>
      </c>
      <c r="AY70" s="231">
        <f t="shared" si="356"/>
        <v>45351</v>
      </c>
      <c r="AZ70" s="231">
        <f t="shared" si="356"/>
        <v>45382</v>
      </c>
      <c r="BA70" s="231">
        <f t="shared" si="356"/>
        <v>2023</v>
      </c>
      <c r="BB70" s="231">
        <f t="shared" si="355"/>
        <v>45412</v>
      </c>
      <c r="BC70" s="231">
        <f t="shared" si="355"/>
        <v>45443</v>
      </c>
      <c r="BD70" s="231">
        <f t="shared" si="355"/>
        <v>45473</v>
      </c>
      <c r="BE70" s="231">
        <f t="shared" si="355"/>
        <v>45504</v>
      </c>
      <c r="BF70" s="231">
        <f t="shared" si="355"/>
        <v>45535</v>
      </c>
      <c r="BG70" s="231">
        <f t="shared" si="355"/>
        <v>45565</v>
      </c>
      <c r="BH70" s="231">
        <f t="shared" si="355"/>
        <v>45596</v>
      </c>
      <c r="BI70" s="231">
        <f t="shared" si="355"/>
        <v>45626</v>
      </c>
      <c r="BJ70" s="231">
        <f t="shared" si="355"/>
        <v>45657</v>
      </c>
      <c r="BK70" s="231">
        <f t="shared" si="355"/>
        <v>45688</v>
      </c>
      <c r="BL70" s="231">
        <f t="shared" si="355"/>
        <v>45716</v>
      </c>
      <c r="BM70" s="231">
        <f t="shared" si="355"/>
        <v>45747</v>
      </c>
      <c r="BN70" s="230">
        <f t="shared" si="355"/>
        <v>2024</v>
      </c>
      <c r="BO70" s="231">
        <f>+BO1</f>
        <v>45777</v>
      </c>
      <c r="BP70" s="231">
        <f>+BP1</f>
        <v>45808</v>
      </c>
      <c r="BQ70" s="231">
        <f>+BQ1</f>
        <v>45838</v>
      </c>
      <c r="BR70" s="231">
        <f t="shared" si="355"/>
        <v>45869</v>
      </c>
      <c r="BS70" s="231">
        <f t="shared" si="355"/>
        <v>45900</v>
      </c>
      <c r="BT70" s="231">
        <f t="shared" ref="BT70" si="357">+BT1</f>
        <v>45930</v>
      </c>
      <c r="BU70" s="231">
        <f t="shared" si="355"/>
        <v>45961</v>
      </c>
      <c r="BV70" s="231">
        <f t="shared" si="355"/>
        <v>45991</v>
      </c>
      <c r="BW70" s="231">
        <f t="shared" si="355"/>
        <v>46022</v>
      </c>
      <c r="BX70" s="231">
        <f t="shared" si="355"/>
        <v>46053</v>
      </c>
      <c r="BY70" s="231">
        <f t="shared" si="355"/>
        <v>46081</v>
      </c>
      <c r="BZ70" s="231">
        <f t="shared" si="355"/>
        <v>46112</v>
      </c>
      <c r="CA70" s="230">
        <f t="shared" si="355"/>
        <v>2025</v>
      </c>
      <c r="CB70" s="231">
        <f t="shared" ref="CB70:EM70" si="358">+CB1</f>
        <v>46142</v>
      </c>
      <c r="CC70" s="231">
        <f t="shared" si="358"/>
        <v>46173</v>
      </c>
      <c r="CD70" s="231">
        <f t="shared" si="358"/>
        <v>46203</v>
      </c>
      <c r="CE70" s="231">
        <f t="shared" si="358"/>
        <v>46234</v>
      </c>
      <c r="CF70" s="231">
        <f t="shared" si="358"/>
        <v>46265</v>
      </c>
      <c r="CG70" s="231">
        <f t="shared" si="358"/>
        <v>46295</v>
      </c>
      <c r="CH70" s="231">
        <f t="shared" si="358"/>
        <v>46326</v>
      </c>
      <c r="CI70" s="231">
        <f t="shared" si="358"/>
        <v>46356</v>
      </c>
      <c r="CJ70" s="231">
        <f t="shared" si="358"/>
        <v>46387</v>
      </c>
      <c r="CK70" s="231">
        <f t="shared" si="358"/>
        <v>46418</v>
      </c>
      <c r="CL70" s="231">
        <f t="shared" si="358"/>
        <v>46446</v>
      </c>
      <c r="CM70" s="231">
        <f t="shared" si="358"/>
        <v>46477</v>
      </c>
      <c r="CN70" s="230">
        <f t="shared" si="358"/>
        <v>2026</v>
      </c>
      <c r="CO70" s="231">
        <f t="shared" ref="CO70" si="359">+CO1</f>
        <v>46507</v>
      </c>
      <c r="CP70" s="231">
        <f t="shared" si="358"/>
        <v>46538</v>
      </c>
      <c r="CQ70" s="231">
        <f t="shared" si="358"/>
        <v>46568</v>
      </c>
      <c r="CR70" s="231">
        <f t="shared" si="358"/>
        <v>46599</v>
      </c>
      <c r="CS70" s="231">
        <f t="shared" si="358"/>
        <v>46630</v>
      </c>
      <c r="CT70" s="231">
        <f t="shared" si="358"/>
        <v>46660</v>
      </c>
      <c r="CU70" s="231">
        <f t="shared" si="358"/>
        <v>46691</v>
      </c>
      <c r="CV70" s="231">
        <f t="shared" si="358"/>
        <v>46721</v>
      </c>
      <c r="CW70" s="231">
        <f t="shared" si="358"/>
        <v>46752</v>
      </c>
      <c r="CX70" s="231">
        <f t="shared" si="358"/>
        <v>46783</v>
      </c>
      <c r="CY70" s="231">
        <f t="shared" si="358"/>
        <v>46812</v>
      </c>
      <c r="CZ70" s="231">
        <f t="shared" si="358"/>
        <v>46843</v>
      </c>
      <c r="DA70" s="230">
        <f t="shared" si="358"/>
        <v>2027</v>
      </c>
      <c r="DB70" s="231">
        <f t="shared" si="358"/>
        <v>46873</v>
      </c>
      <c r="DC70" s="231">
        <f t="shared" si="358"/>
        <v>46904</v>
      </c>
      <c r="DD70" s="231">
        <f t="shared" si="358"/>
        <v>46934</v>
      </c>
      <c r="DE70" s="231">
        <f t="shared" si="358"/>
        <v>46965</v>
      </c>
      <c r="DF70" s="231">
        <f t="shared" si="358"/>
        <v>46996</v>
      </c>
      <c r="DG70" s="231">
        <f t="shared" si="358"/>
        <v>47026</v>
      </c>
      <c r="DH70" s="231">
        <f t="shared" si="358"/>
        <v>47057</v>
      </c>
      <c r="DI70" s="231">
        <f t="shared" si="358"/>
        <v>47087</v>
      </c>
      <c r="DJ70" s="231">
        <f t="shared" si="358"/>
        <v>47118</v>
      </c>
      <c r="DK70" s="231">
        <f t="shared" si="358"/>
        <v>47149</v>
      </c>
      <c r="DL70" s="231">
        <f t="shared" si="358"/>
        <v>47177</v>
      </c>
      <c r="DM70" s="231">
        <f t="shared" si="358"/>
        <v>47208</v>
      </c>
      <c r="DN70" s="230">
        <f t="shared" si="358"/>
        <v>2028</v>
      </c>
      <c r="DO70" s="231">
        <f t="shared" si="358"/>
        <v>47238</v>
      </c>
      <c r="DP70" s="231">
        <f t="shared" si="358"/>
        <v>47269</v>
      </c>
      <c r="DQ70" s="231">
        <f t="shared" si="358"/>
        <v>47299</v>
      </c>
      <c r="DR70" s="231">
        <f t="shared" si="358"/>
        <v>47330</v>
      </c>
      <c r="DS70" s="231">
        <f t="shared" si="358"/>
        <v>47361</v>
      </c>
      <c r="DT70" s="231">
        <f t="shared" si="358"/>
        <v>47391</v>
      </c>
      <c r="DU70" s="231">
        <f t="shared" si="358"/>
        <v>47422</v>
      </c>
      <c r="DV70" s="231">
        <f t="shared" si="358"/>
        <v>47452</v>
      </c>
      <c r="DW70" s="231">
        <f t="shared" si="358"/>
        <v>47483</v>
      </c>
      <c r="DX70" s="231">
        <f t="shared" si="358"/>
        <v>47514</v>
      </c>
      <c r="DY70" s="231">
        <f t="shared" si="358"/>
        <v>47542</v>
      </c>
      <c r="DZ70" s="231">
        <f t="shared" si="358"/>
        <v>47573</v>
      </c>
      <c r="EA70" s="230">
        <f t="shared" si="358"/>
        <v>2029</v>
      </c>
      <c r="EB70" s="231">
        <f t="shared" si="358"/>
        <v>47603</v>
      </c>
      <c r="EC70" s="231">
        <f t="shared" si="358"/>
        <v>47634</v>
      </c>
      <c r="ED70" s="231">
        <f t="shared" si="358"/>
        <v>47664</v>
      </c>
      <c r="EE70" s="231">
        <f t="shared" si="358"/>
        <v>47695</v>
      </c>
      <c r="EF70" s="231">
        <f t="shared" si="358"/>
        <v>47726</v>
      </c>
      <c r="EG70" s="231">
        <f t="shared" si="358"/>
        <v>47756</v>
      </c>
      <c r="EH70" s="231">
        <f t="shared" si="358"/>
        <v>47787</v>
      </c>
      <c r="EI70" s="231">
        <f t="shared" si="358"/>
        <v>47817</v>
      </c>
      <c r="EJ70" s="231">
        <f t="shared" si="358"/>
        <v>47848</v>
      </c>
      <c r="EK70" s="231">
        <f t="shared" si="358"/>
        <v>47879</v>
      </c>
      <c r="EL70" s="231">
        <f t="shared" si="358"/>
        <v>47907</v>
      </c>
      <c r="EM70" s="231">
        <f t="shared" si="358"/>
        <v>47938</v>
      </c>
      <c r="EN70" s="230">
        <f>+EN1</f>
        <v>2030</v>
      </c>
    </row>
    <row r="71" spans="1:144" ht="19.8" x14ac:dyDescent="0.3">
      <c r="A71" s="227" t="s">
        <v>407</v>
      </c>
    </row>
    <row r="72" spans="1:144" x14ac:dyDescent="0.25">
      <c r="A72" s="228" t="s">
        <v>408</v>
      </c>
    </row>
    <row r="73" spans="1:144" x14ac:dyDescent="0.25">
      <c r="A73" s="216"/>
    </row>
    <row r="74" spans="1:144" s="247" customFormat="1" x14ac:dyDescent="0.25">
      <c r="A74" s="217" t="s">
        <v>29</v>
      </c>
      <c r="B74" s="247">
        <f t="shared" ref="B74:M74" si="360">+B11</f>
        <v>-6222182.8899999969</v>
      </c>
      <c r="C74" s="247">
        <f t="shared" si="360"/>
        <v>-7010136.2499999963</v>
      </c>
      <c r="D74" s="247">
        <f t="shared" si="360"/>
        <v>5272731.0700000059</v>
      </c>
      <c r="E74" s="247">
        <f t="shared" si="360"/>
        <v>3278578.5099999947</v>
      </c>
      <c r="F74" s="247">
        <f t="shared" si="360"/>
        <v>-1360263.8699999838</v>
      </c>
      <c r="G74" s="247">
        <f t="shared" si="360"/>
        <v>7826551.8500000509</v>
      </c>
      <c r="H74" s="247">
        <f t="shared" si="360"/>
        <v>15992348.88000004</v>
      </c>
      <c r="I74" s="247">
        <f t="shared" si="360"/>
        <v>2644135.2099999883</v>
      </c>
      <c r="J74" s="247">
        <f t="shared" si="360"/>
        <v>2467352.259999942</v>
      </c>
      <c r="K74" s="247">
        <f t="shared" si="360"/>
        <v>-7213277.0999999959</v>
      </c>
      <c r="L74" s="247">
        <f t="shared" si="360"/>
        <v>5680639.6400000332</v>
      </c>
      <c r="M74" s="247">
        <f t="shared" si="360"/>
        <v>2702895.9700001474</v>
      </c>
      <c r="N74" s="247">
        <f>+SUM(B74:M74)</f>
        <v>24059373.280000228</v>
      </c>
      <c r="O74" s="247">
        <f t="shared" ref="O74:Z74" si="361">+O11</f>
        <v>4473266.0399999879</v>
      </c>
      <c r="P74" s="247">
        <f t="shared" si="361"/>
        <v>-3743219.7800000189</v>
      </c>
      <c r="Q74" s="247">
        <f t="shared" si="361"/>
        <v>-533201.79999998747</v>
      </c>
      <c r="R74" s="247">
        <f t="shared" si="361"/>
        <v>25003873.699999966</v>
      </c>
      <c r="S74" s="247">
        <f t="shared" si="361"/>
        <v>-4293223.0200000079</v>
      </c>
      <c r="T74" s="247">
        <f t="shared" si="361"/>
        <v>5082614.9700000435</v>
      </c>
      <c r="U74" s="247">
        <f t="shared" si="361"/>
        <v>1239126.8700000253</v>
      </c>
      <c r="V74" s="247">
        <f t="shared" si="361"/>
        <v>4768970.7699999921</v>
      </c>
      <c r="W74" s="247">
        <f t="shared" si="361"/>
        <v>5508448.3700000104</v>
      </c>
      <c r="X74" s="247">
        <f t="shared" si="361"/>
        <v>-3779776.5900000054</v>
      </c>
      <c r="Y74" s="247">
        <f t="shared" si="361"/>
        <v>1864153.2900000149</v>
      </c>
      <c r="Z74" s="247">
        <f t="shared" si="361"/>
        <v>1521364.6499999538</v>
      </c>
      <c r="AA74" s="247">
        <f>+SUM(O74:Z74)</f>
        <v>37112397.469999976</v>
      </c>
      <c r="AB74" s="247">
        <f t="shared" ref="AB74:AM74" si="362">+AB11</f>
        <v>4278030.9099999974</v>
      </c>
      <c r="AC74" s="247">
        <f t="shared" si="362"/>
        <v>-6283062.239999962</v>
      </c>
      <c r="AD74" s="247">
        <f t="shared" si="362"/>
        <v>-2380306.4399999981</v>
      </c>
      <c r="AE74" s="247">
        <f t="shared" si="362"/>
        <v>5594082.0899999654</v>
      </c>
      <c r="AF74" s="247">
        <f t="shared" si="362"/>
        <v>10232019.259999961</v>
      </c>
      <c r="AG74" s="247">
        <f t="shared" si="362"/>
        <v>2195487.3200000105</v>
      </c>
      <c r="AH74" s="247">
        <f t="shared" si="362"/>
        <v>5891493.8699999554</v>
      </c>
      <c r="AI74" s="247">
        <f t="shared" si="362"/>
        <v>5370797.5299999835</v>
      </c>
      <c r="AJ74" s="247">
        <f t="shared" si="362"/>
        <v>14082612.989999982</v>
      </c>
      <c r="AK74" s="247">
        <f t="shared" si="362"/>
        <v>-8898976.2199999709</v>
      </c>
      <c r="AL74" s="247">
        <f t="shared" si="362"/>
        <v>-9253547.6300000288</v>
      </c>
      <c r="AM74" s="247">
        <f t="shared" si="362"/>
        <v>12101327.76999994</v>
      </c>
      <c r="AN74" s="247">
        <f>+SUM(AB74:AM74)</f>
        <v>32929959.209999837</v>
      </c>
      <c r="AO74" s="247">
        <f t="shared" ref="AO74:AY74" si="363">+AO11</f>
        <v>-4210285.28</v>
      </c>
      <c r="AP74" s="247">
        <f t="shared" si="363"/>
        <v>-7467877.8899999987</v>
      </c>
      <c r="AQ74" s="247">
        <f t="shared" si="363"/>
        <v>-1483800.5099999984</v>
      </c>
      <c r="AR74" s="247">
        <f t="shared" si="363"/>
        <v>3299934.8799999952</v>
      </c>
      <c r="AS74" s="247">
        <f t="shared" si="363"/>
        <v>5623142.9399999976</v>
      </c>
      <c r="AT74" s="247">
        <f t="shared" si="363"/>
        <v>6024034.9100000029</v>
      </c>
      <c r="AU74" s="247">
        <f t="shared" si="363"/>
        <v>10201275.279999997</v>
      </c>
      <c r="AV74" s="247">
        <f t="shared" si="363"/>
        <v>1665908.3200000012</v>
      </c>
      <c r="AW74" s="247">
        <f t="shared" si="363"/>
        <v>6860514.7100000018</v>
      </c>
      <c r="AX74" s="247">
        <f t="shared" si="363"/>
        <v>20760976.420000002</v>
      </c>
      <c r="AY74" s="247">
        <f t="shared" si="363"/>
        <v>-5976718.9600000009</v>
      </c>
      <c r="AZ74" s="247">
        <f>+AZ11</f>
        <v>3350897.449999996</v>
      </c>
      <c r="BA74" s="247">
        <f>+SUM(AO74:AZ74)</f>
        <v>38648002.269999996</v>
      </c>
      <c r="BB74" s="247">
        <f>+BB11</f>
        <v>12360028.649999995</v>
      </c>
      <c r="BC74" s="247">
        <f t="shared" ref="BC74:BL74" si="364">+BC11</f>
        <v>-7437587.5100000007</v>
      </c>
      <c r="BD74" s="247">
        <f t="shared" si="364"/>
        <v>-5988109.4300000016</v>
      </c>
      <c r="BE74" s="247">
        <f t="shared" si="364"/>
        <v>-16800643.420000002</v>
      </c>
      <c r="BF74" s="247">
        <f t="shared" si="364"/>
        <v>-1027741.3500000017</v>
      </c>
      <c r="BG74" s="247">
        <f t="shared" si="364"/>
        <v>4257778.7700000014</v>
      </c>
      <c r="BH74" s="247">
        <f t="shared" si="364"/>
        <v>5991495.8200000012</v>
      </c>
      <c r="BI74" s="247">
        <f t="shared" si="364"/>
        <v>13384809.390000001</v>
      </c>
      <c r="BJ74" s="247">
        <f t="shared" si="364"/>
        <v>1171953.8899999999</v>
      </c>
      <c r="BK74" s="247">
        <f t="shared" si="364"/>
        <v>15792741.660000004</v>
      </c>
      <c r="BL74" s="247">
        <f t="shared" si="364"/>
        <v>2129682.0999999978</v>
      </c>
      <c r="BM74" s="247">
        <f>+BM11</f>
        <v>529853.14999999711</v>
      </c>
      <c r="BN74" s="247">
        <f>+SUM(BB74:BM74)</f>
        <v>24364261.719999995</v>
      </c>
      <c r="BO74" s="247">
        <f t="shared" ref="BO74:BT74" si="365">+BO11</f>
        <v>793575.7099999967</v>
      </c>
      <c r="BP74" s="247">
        <f t="shared" si="365"/>
        <v>12183861.050000003</v>
      </c>
      <c r="BQ74" s="247">
        <f t="shared" si="365"/>
        <v>9362895.5299999975</v>
      </c>
      <c r="BR74" s="247">
        <f t="shared" si="365"/>
        <v>20460839.100000001</v>
      </c>
      <c r="BS74" s="247">
        <f t="shared" si="365"/>
        <v>1667070.4199999981</v>
      </c>
      <c r="BT74" s="247">
        <f t="shared" si="365"/>
        <v>16109180.990000002</v>
      </c>
      <c r="BU74" s="247">
        <f t="shared" ref="BU74:BZ74" si="366">+BU11</f>
        <v>3395638.2165773539</v>
      </c>
      <c r="BV74" s="247">
        <f t="shared" si="366"/>
        <v>4394695.7847787393</v>
      </c>
      <c r="BW74" s="247">
        <f t="shared" si="366"/>
        <v>4512039.1866709543</v>
      </c>
      <c r="BX74" s="247">
        <f t="shared" si="366"/>
        <v>3917872.3566585658</v>
      </c>
      <c r="BY74" s="247">
        <f t="shared" si="366"/>
        <v>3160359.6882005511</v>
      </c>
      <c r="BZ74" s="247">
        <f t="shared" si="366"/>
        <v>2577154.7636363199</v>
      </c>
      <c r="CA74" s="247">
        <f>+SUM(BO74:BZ74)</f>
        <v>82535182.796522483</v>
      </c>
      <c r="CB74" s="247">
        <f t="shared" ref="CB74:CM74" si="367">+CB11</f>
        <v>9271772.2351827826</v>
      </c>
      <c r="CC74" s="247">
        <f t="shared" si="367"/>
        <v>9271772.2351827826</v>
      </c>
      <c r="CD74" s="247">
        <f t="shared" si="367"/>
        <v>9271772.2351827826</v>
      </c>
      <c r="CE74" s="247">
        <f t="shared" si="367"/>
        <v>9271772.2351827826</v>
      </c>
      <c r="CF74" s="247">
        <f t="shared" si="367"/>
        <v>9271772.2351827826</v>
      </c>
      <c r="CG74" s="247">
        <f t="shared" si="367"/>
        <v>9271772.2351827826</v>
      </c>
      <c r="CH74" s="247">
        <f t="shared" si="367"/>
        <v>9271772.2351827826</v>
      </c>
      <c r="CI74" s="247">
        <f t="shared" si="367"/>
        <v>9271772.2351827826</v>
      </c>
      <c r="CJ74" s="247">
        <f t="shared" si="367"/>
        <v>9271772.2351827826</v>
      </c>
      <c r="CK74" s="247">
        <f t="shared" si="367"/>
        <v>9271772.2351827826</v>
      </c>
      <c r="CL74" s="247">
        <f t="shared" si="367"/>
        <v>9271772.2351827826</v>
      </c>
      <c r="CM74" s="247">
        <f t="shared" si="367"/>
        <v>9271772.2351827826</v>
      </c>
      <c r="CN74" s="247">
        <f>+SUM(CB74:CM74)</f>
        <v>111261266.82219337</v>
      </c>
      <c r="CO74" s="247">
        <f t="shared" ref="CO74" si="368">+CO11</f>
        <v>9271772.2351827826</v>
      </c>
      <c r="CP74" s="247">
        <f t="shared" ref="CP74:CZ74" si="369">+CP11</f>
        <v>9271772.2351827826</v>
      </c>
      <c r="CQ74" s="247">
        <f t="shared" si="369"/>
        <v>9271772.2351827826</v>
      </c>
      <c r="CR74" s="247">
        <f t="shared" si="369"/>
        <v>9271772.2351827826</v>
      </c>
      <c r="CS74" s="247">
        <f t="shared" si="369"/>
        <v>9271772.2351827826</v>
      </c>
      <c r="CT74" s="247">
        <f t="shared" si="369"/>
        <v>9271772.2351827826</v>
      </c>
      <c r="CU74" s="247">
        <f t="shared" si="369"/>
        <v>9271772.2351827826</v>
      </c>
      <c r="CV74" s="247">
        <f t="shared" si="369"/>
        <v>9271772.2351827826</v>
      </c>
      <c r="CW74" s="247">
        <f t="shared" si="369"/>
        <v>9271772.2351827826</v>
      </c>
      <c r="CX74" s="247">
        <f t="shared" si="369"/>
        <v>9271772.2351827826</v>
      </c>
      <c r="CY74" s="247">
        <f t="shared" si="369"/>
        <v>9271772.2351827826</v>
      </c>
      <c r="CZ74" s="247">
        <f t="shared" si="369"/>
        <v>9271772.2351827826</v>
      </c>
      <c r="DA74" s="247">
        <f>+SUM(CO74:CZ74)</f>
        <v>111261266.82219337</v>
      </c>
      <c r="DB74" s="247">
        <f t="shared" ref="DB74:DM74" si="370">+DB11</f>
        <v>9271772.2351827826</v>
      </c>
      <c r="DC74" s="247">
        <f t="shared" si="370"/>
        <v>9271772.2351827826</v>
      </c>
      <c r="DD74" s="247">
        <f t="shared" si="370"/>
        <v>9271772.2351827826</v>
      </c>
      <c r="DE74" s="247">
        <f t="shared" si="370"/>
        <v>9271772.2351827826</v>
      </c>
      <c r="DF74" s="247">
        <f t="shared" si="370"/>
        <v>9271772.2351827826</v>
      </c>
      <c r="DG74" s="247">
        <f t="shared" si="370"/>
        <v>9271772.2351827826</v>
      </c>
      <c r="DH74" s="247">
        <f t="shared" si="370"/>
        <v>9271772.2351827826</v>
      </c>
      <c r="DI74" s="247">
        <f t="shared" si="370"/>
        <v>9271772.2351827826</v>
      </c>
      <c r="DJ74" s="247">
        <f t="shared" si="370"/>
        <v>9271772.2351827826</v>
      </c>
      <c r="DK74" s="247">
        <f t="shared" si="370"/>
        <v>9271772.2351827826</v>
      </c>
      <c r="DL74" s="247">
        <f t="shared" si="370"/>
        <v>9271772.2351827826</v>
      </c>
      <c r="DM74" s="247">
        <f t="shared" si="370"/>
        <v>9271772.2351827826</v>
      </c>
      <c r="DN74" s="247">
        <f>+SUM(DB74:DM74)</f>
        <v>111261266.82219337</v>
      </c>
      <c r="DO74" s="247">
        <f t="shared" ref="DO74:DZ74" si="371">+DO11</f>
        <v>9271772.2351827826</v>
      </c>
      <c r="DP74" s="247">
        <f t="shared" si="371"/>
        <v>9271772.2351827826</v>
      </c>
      <c r="DQ74" s="247">
        <f t="shared" si="371"/>
        <v>9271772.2351827826</v>
      </c>
      <c r="DR74" s="247">
        <f t="shared" si="371"/>
        <v>9271772.2351827826</v>
      </c>
      <c r="DS74" s="247">
        <f t="shared" si="371"/>
        <v>9271772.2351827826</v>
      </c>
      <c r="DT74" s="247">
        <f t="shared" si="371"/>
        <v>9271772.2351827826</v>
      </c>
      <c r="DU74" s="247">
        <f t="shared" si="371"/>
        <v>9271772.2351827826</v>
      </c>
      <c r="DV74" s="247">
        <f t="shared" si="371"/>
        <v>9271772.2351827826</v>
      </c>
      <c r="DW74" s="247">
        <f t="shared" si="371"/>
        <v>9271772.2351827826</v>
      </c>
      <c r="DX74" s="247">
        <f t="shared" si="371"/>
        <v>9271772.2351827826</v>
      </c>
      <c r="DY74" s="247">
        <f t="shared" si="371"/>
        <v>9271772.2351827826</v>
      </c>
      <c r="DZ74" s="247">
        <f t="shared" si="371"/>
        <v>9271772.2351827826</v>
      </c>
      <c r="EA74" s="247">
        <f>+SUM(DO74:DZ74)</f>
        <v>111261266.82219337</v>
      </c>
      <c r="EB74" s="247">
        <f t="shared" ref="EB74:EM74" si="372">+EB11</f>
        <v>9271772.2351827826</v>
      </c>
      <c r="EC74" s="247">
        <f t="shared" si="372"/>
        <v>9271772.2351827826</v>
      </c>
      <c r="ED74" s="247">
        <f t="shared" si="372"/>
        <v>9271772.2351827826</v>
      </c>
      <c r="EE74" s="247">
        <f t="shared" si="372"/>
        <v>9271772.2351827826</v>
      </c>
      <c r="EF74" s="247">
        <f t="shared" si="372"/>
        <v>9271772.2351827826</v>
      </c>
      <c r="EG74" s="247">
        <f t="shared" si="372"/>
        <v>9271772.2351827826</v>
      </c>
      <c r="EH74" s="247">
        <f t="shared" si="372"/>
        <v>9271772.2351827826</v>
      </c>
      <c r="EI74" s="247">
        <f t="shared" si="372"/>
        <v>9271772.2351827826</v>
      </c>
      <c r="EJ74" s="247">
        <f t="shared" si="372"/>
        <v>9271772.2351827826</v>
      </c>
      <c r="EK74" s="247">
        <f t="shared" si="372"/>
        <v>9271772.2351827826</v>
      </c>
      <c r="EL74" s="247">
        <f t="shared" si="372"/>
        <v>9271772.2351827826</v>
      </c>
      <c r="EM74" s="247">
        <f t="shared" si="372"/>
        <v>9271772.2351827826</v>
      </c>
      <c r="EN74" s="247">
        <f t="shared" ref="EN74:EN82" si="373">+SUM(EB74:EM74)</f>
        <v>111261266.82219337</v>
      </c>
    </row>
    <row r="75" spans="1:144" s="235" customFormat="1" x14ac:dyDescent="0.25">
      <c r="A75" s="218" t="s">
        <v>409</v>
      </c>
      <c r="B75" s="235">
        <f>+-'EEFF base'!BB55</f>
        <v>3439801.1700003147</v>
      </c>
      <c r="C75" s="235">
        <f>+-'EEFF base'!BC55</f>
        <v>3514026.2599999905</v>
      </c>
      <c r="D75" s="235">
        <f>+-'EEFF base'!BD55</f>
        <v>3442901.3200000525</v>
      </c>
      <c r="E75" s="235">
        <f>+-'EEFF base'!BE55</f>
        <v>3448561.8699998856</v>
      </c>
      <c r="F75" s="235">
        <f>+-'EEFF base'!BF55</f>
        <v>3467655.9600000381</v>
      </c>
      <c r="G75" s="235">
        <f>+-'EEFF base'!BG55</f>
        <v>3441464.4900000095</v>
      </c>
      <c r="H75" s="235">
        <f>+-'EEFF base'!BH55</f>
        <v>3269006.0299999714</v>
      </c>
      <c r="I75" s="235">
        <f>+-'EEFF base'!BI55</f>
        <v>3213057.3599998951</v>
      </c>
      <c r="J75" s="235">
        <f>+-'EEFF base'!BJ55</f>
        <v>3027957.6300001144</v>
      </c>
      <c r="K75" s="235">
        <f>+-'EEFF base'!BK55</f>
        <v>3243631.0599999428</v>
      </c>
      <c r="L75" s="235">
        <f>+-'EEFF base'!BL55</f>
        <v>3947288.5699999332</v>
      </c>
      <c r="M75" s="235">
        <f>+-'EEFF base'!BM55</f>
        <v>3630368.5699999332</v>
      </c>
      <c r="N75" s="235">
        <f t="shared" ref="N75:N82" si="374">+SUM(B75:M75)</f>
        <v>41085720.290000081</v>
      </c>
      <c r="O75" s="235">
        <f>+-'EEFF base'!BO55</f>
        <v>3789420.8700006008</v>
      </c>
      <c r="P75" s="235">
        <f>+-'EEFF base'!BP55</f>
        <v>3422723.9000000954</v>
      </c>
      <c r="Q75" s="235">
        <f>+-'EEFF base'!BQ55</f>
        <v>3314435.9800000191</v>
      </c>
      <c r="R75" s="235">
        <f>+-'EEFF base'!BR55</f>
        <v>3253124.6800000668</v>
      </c>
      <c r="S75" s="235">
        <f>+-'EEFF base'!BS55</f>
        <v>3191665.3099999428</v>
      </c>
      <c r="T75" s="235">
        <f>+-'EEFF base'!BT55</f>
        <v>3218554.1600000858</v>
      </c>
      <c r="U75" s="235">
        <f>+-'EEFF base'!BU55</f>
        <v>3402175.25</v>
      </c>
      <c r="V75" s="235">
        <f>+-'EEFF base'!BV55</f>
        <v>3357466.7999999523</v>
      </c>
      <c r="W75" s="235">
        <f>+-'EEFF base'!BW55</f>
        <v>3443727.2400000095</v>
      </c>
      <c r="X75" s="235">
        <f>+-'EEFF base'!BX55</f>
        <v>3485092.6099998951</v>
      </c>
      <c r="Y75" s="235">
        <f>+-'EEFF base'!BY55</f>
        <v>2889230.1400001049</v>
      </c>
      <c r="Z75" s="235">
        <f>+-'EEFF base'!BZ55</f>
        <v>2955975.8299999237</v>
      </c>
      <c r="AA75" s="235">
        <f t="shared" ref="AA75:AA82" si="375">+SUM(O75:Z75)</f>
        <v>39723592.770000696</v>
      </c>
      <c r="AB75" s="235">
        <f>+-'EEFF base'!CB55</f>
        <v>3300585.840003252</v>
      </c>
      <c r="AC75" s="235">
        <f>+-'EEFF base'!CC55</f>
        <v>3251776.4300000668</v>
      </c>
      <c r="AD75" s="235">
        <f>+-'EEFF base'!CD55</f>
        <v>3426214.4900000095</v>
      </c>
      <c r="AE75" s="235">
        <f>+-'EEFF base'!CE55</f>
        <v>3533787.3699998856</v>
      </c>
      <c r="AF75" s="235">
        <f>+-'EEFF base'!CF55</f>
        <v>3638869.3199999332</v>
      </c>
      <c r="AG75" s="235">
        <f>+-'EEFF base'!CG55</f>
        <v>3571866.9500000477</v>
      </c>
      <c r="AH75" s="235">
        <f>+-'EEFF base'!CH55</f>
        <v>4834282.1800000668</v>
      </c>
      <c r="AI75" s="235">
        <f>+-'EEFF base'!CI55</f>
        <v>3427250.3800001144</v>
      </c>
      <c r="AJ75" s="235">
        <f>+-'EEFF base'!CJ55</f>
        <v>-281889.75</v>
      </c>
      <c r="AK75" s="235">
        <f>+-'EEFF base'!CK55</f>
        <v>3887489.8399999142</v>
      </c>
      <c r="AL75" s="235">
        <f>+-'EEFF base'!CL55</f>
        <v>3629451.1199998856</v>
      </c>
      <c r="AM75" s="235">
        <f>+-'EEFF base'!CM55</f>
        <v>3679861.5799999237</v>
      </c>
      <c r="AN75" s="235">
        <f t="shared" ref="AN75:AN93" si="376">+SUM(AB75:AM75)</f>
        <v>39899545.750003099</v>
      </c>
      <c r="AO75" s="235">
        <f>+-'EEFF base'!CO55</f>
        <v>3706524.8200008869</v>
      </c>
      <c r="AP75" s="235">
        <f>+-'EEFF base'!CP55</f>
        <v>3729769.5199999809</v>
      </c>
      <c r="AQ75" s="235">
        <f>+-'EEFF base'!CQ55</f>
        <v>3815325.1099998951</v>
      </c>
      <c r="AR75" s="235">
        <f>+-'EEFF base'!CR55</f>
        <v>3791902.7899999619</v>
      </c>
      <c r="AS75" s="235">
        <f>+-'EEFF base'!CS55</f>
        <v>3158744.4700000286</v>
      </c>
      <c r="AT75" s="235">
        <f>+-'EEFF base'!CT55</f>
        <v>3507685.2799999714</v>
      </c>
      <c r="AU75" s="235">
        <f>+-'EEFF base'!CU55</f>
        <v>3828330.9700000286</v>
      </c>
      <c r="AV75" s="235">
        <f>+-'EEFF base'!CV55</f>
        <v>2477186.1199998856</v>
      </c>
      <c r="AW75" s="235">
        <f>+-'EEFF base'!CW55</f>
        <v>3382877.4600000381</v>
      </c>
      <c r="AX75" s="235">
        <f>+-'EEFF base'!CX55</f>
        <v>3193115.6099998951</v>
      </c>
      <c r="AY75" s="235">
        <f>+-'EEFF base'!CY55</f>
        <v>3426306.5999999046</v>
      </c>
      <c r="AZ75" s="235">
        <f>+-'EEFF base'!CZ55</f>
        <v>3613799.7599999905</v>
      </c>
      <c r="BA75" s="235">
        <f t="shared" ref="BA75:BA92" si="377">+SUM(AO75:AZ75)</f>
        <v>41631568.510000467</v>
      </c>
      <c r="BB75" s="235">
        <f>+'EEFF historicoss'!AE63</f>
        <v>0</v>
      </c>
      <c r="BC75" s="235">
        <f>+'EEFF historicoss'!AF63</f>
        <v>3935423.2099997997</v>
      </c>
      <c r="BD75" s="235">
        <f>+'EEFF historicoss'!AG63</f>
        <v>4099675.6300001144</v>
      </c>
      <c r="BE75" s="235">
        <f>+'EEFF historicoss'!AH63</f>
        <v>4191210.7300000191</v>
      </c>
      <c r="BF75" s="235">
        <f>+'EEFF historicoss'!AI63</f>
        <v>3704057.2300000191</v>
      </c>
      <c r="BG75" s="235">
        <f>+'EEFF historicoss'!AJ63</f>
        <v>3167041.5099999905</v>
      </c>
      <c r="BH75" s="235">
        <f>+'EEFF historicoss'!AK63</f>
        <v>4308871.9099998474</v>
      </c>
      <c r="BI75" s="235">
        <f>+'EEFF historicoss'!AL63</f>
        <v>3609250.0100002289</v>
      </c>
      <c r="BJ75" s="235">
        <f>+'EEFF historicoss'!AM63</f>
        <v>5312632.4299998283</v>
      </c>
      <c r="BK75" s="235">
        <f>+'EEFF historicoss'!AN63</f>
        <v>4904382.9500000477</v>
      </c>
      <c r="BL75" s="235">
        <f>+'EEFF historicoss'!AO63</f>
        <v>6153036.5399999619</v>
      </c>
      <c r="BM75" s="235">
        <f>+'EEFF historicoss'!AP63</f>
        <v>6743289.2000000477</v>
      </c>
      <c r="BN75" s="247">
        <f>+SUM(BB75:BM75)</f>
        <v>50128871.349999905</v>
      </c>
      <c r="BO75" s="235">
        <f>+'EEFF historicoss'!AR63</f>
        <v>7314608.2400000095</v>
      </c>
      <c r="BP75" s="235">
        <f>+'EEFF historicoss'!AS63</f>
        <v>7622435.0299999714</v>
      </c>
      <c r="BQ75" s="235">
        <f>+'EEFF historicoss'!AT63</f>
        <v>8543137.0999999046</v>
      </c>
      <c r="BR75" s="235">
        <f>+'EEFF historicoss'!AU63</f>
        <v>10307029.5400002</v>
      </c>
      <c r="BS75" s="235">
        <f>+'EEFF historicoss'!AV63</f>
        <v>11315522.220000029</v>
      </c>
      <c r="BT75" s="235">
        <f>+'EEFF historicoss'!AW63</f>
        <v>11506282.75999999</v>
      </c>
      <c r="BU75" s="235">
        <f t="shared" ref="BU75:BZ75" si="378">+BT75</f>
        <v>11506282.75999999</v>
      </c>
      <c r="BV75" s="235">
        <f t="shared" si="378"/>
        <v>11506282.75999999</v>
      </c>
      <c r="BW75" s="235">
        <f t="shared" si="378"/>
        <v>11506282.75999999</v>
      </c>
      <c r="BX75" s="235">
        <f t="shared" si="378"/>
        <v>11506282.75999999</v>
      </c>
      <c r="BY75" s="235">
        <f t="shared" si="378"/>
        <v>11506282.75999999</v>
      </c>
      <c r="BZ75" s="235">
        <f t="shared" si="378"/>
        <v>11506282.75999999</v>
      </c>
      <c r="CA75" s="235">
        <f t="shared" ref="CA75:CA93" si="379">+SUM(BO75:BZ75)</f>
        <v>125646711.45000005</v>
      </c>
      <c r="CB75" s="235">
        <f>+BO75</f>
        <v>7314608.2400000095</v>
      </c>
      <c r="CC75" s="235">
        <f t="shared" ref="CC75:CM75" si="380">+BP75</f>
        <v>7622435.0299999714</v>
      </c>
      <c r="CD75" s="235">
        <f t="shared" si="380"/>
        <v>8543137.0999999046</v>
      </c>
      <c r="CE75" s="235">
        <f t="shared" si="380"/>
        <v>10307029.5400002</v>
      </c>
      <c r="CF75" s="235">
        <f t="shared" si="380"/>
        <v>11315522.220000029</v>
      </c>
      <c r="CG75" s="235">
        <f t="shared" si="380"/>
        <v>11506282.75999999</v>
      </c>
      <c r="CH75" s="235">
        <f t="shared" si="380"/>
        <v>11506282.75999999</v>
      </c>
      <c r="CI75" s="235">
        <f t="shared" si="380"/>
        <v>11506282.75999999</v>
      </c>
      <c r="CJ75" s="235">
        <f t="shared" si="380"/>
        <v>11506282.75999999</v>
      </c>
      <c r="CK75" s="235">
        <f t="shared" si="380"/>
        <v>11506282.75999999</v>
      </c>
      <c r="CL75" s="235">
        <f t="shared" si="380"/>
        <v>11506282.75999999</v>
      </c>
      <c r="CM75" s="235">
        <f t="shared" si="380"/>
        <v>11506282.75999999</v>
      </c>
      <c r="CN75" s="235">
        <f t="shared" ref="CN75:CN81" si="381">+SUM(CB75:CM75)</f>
        <v>125646711.45000005</v>
      </c>
      <c r="CO75" s="235">
        <f t="shared" ref="CO75:CZ75" si="382">+CB75</f>
        <v>7314608.2400000095</v>
      </c>
      <c r="CP75" s="235">
        <f t="shared" si="382"/>
        <v>7622435.0299999714</v>
      </c>
      <c r="CQ75" s="235">
        <f t="shared" si="382"/>
        <v>8543137.0999999046</v>
      </c>
      <c r="CR75" s="235">
        <f t="shared" si="382"/>
        <v>10307029.5400002</v>
      </c>
      <c r="CS75" s="235">
        <f t="shared" si="382"/>
        <v>11315522.220000029</v>
      </c>
      <c r="CT75" s="235">
        <f t="shared" si="382"/>
        <v>11506282.75999999</v>
      </c>
      <c r="CU75" s="235">
        <f t="shared" si="382"/>
        <v>11506282.75999999</v>
      </c>
      <c r="CV75" s="235">
        <f t="shared" si="382"/>
        <v>11506282.75999999</v>
      </c>
      <c r="CW75" s="235">
        <f t="shared" si="382"/>
        <v>11506282.75999999</v>
      </c>
      <c r="CX75" s="235">
        <f t="shared" si="382"/>
        <v>11506282.75999999</v>
      </c>
      <c r="CY75" s="235">
        <f t="shared" si="382"/>
        <v>11506282.75999999</v>
      </c>
      <c r="CZ75" s="235">
        <f t="shared" si="382"/>
        <v>11506282.75999999</v>
      </c>
      <c r="DA75" s="235">
        <f t="shared" ref="DA75:DA81" si="383">+SUM(CO75:CZ75)</f>
        <v>125646711.45000005</v>
      </c>
      <c r="DB75" s="235">
        <f t="shared" ref="DB75:DM75" si="384">+CO75</f>
        <v>7314608.2400000095</v>
      </c>
      <c r="DC75" s="235">
        <f t="shared" si="384"/>
        <v>7622435.0299999714</v>
      </c>
      <c r="DD75" s="235">
        <f t="shared" si="384"/>
        <v>8543137.0999999046</v>
      </c>
      <c r="DE75" s="235">
        <f t="shared" si="384"/>
        <v>10307029.5400002</v>
      </c>
      <c r="DF75" s="235">
        <f t="shared" si="384"/>
        <v>11315522.220000029</v>
      </c>
      <c r="DG75" s="235">
        <f t="shared" si="384"/>
        <v>11506282.75999999</v>
      </c>
      <c r="DH75" s="235">
        <f t="shared" si="384"/>
        <v>11506282.75999999</v>
      </c>
      <c r="DI75" s="235">
        <f t="shared" si="384"/>
        <v>11506282.75999999</v>
      </c>
      <c r="DJ75" s="235">
        <f t="shared" si="384"/>
        <v>11506282.75999999</v>
      </c>
      <c r="DK75" s="235">
        <f t="shared" si="384"/>
        <v>11506282.75999999</v>
      </c>
      <c r="DL75" s="235">
        <f t="shared" si="384"/>
        <v>11506282.75999999</v>
      </c>
      <c r="DM75" s="235">
        <f t="shared" si="384"/>
        <v>11506282.75999999</v>
      </c>
      <c r="DN75" s="235">
        <f t="shared" ref="DN75:DN81" si="385">+SUM(DB75:DM75)</f>
        <v>125646711.45000005</v>
      </c>
      <c r="DO75" s="235">
        <f t="shared" ref="DO75:DZ75" si="386">+DB75</f>
        <v>7314608.2400000095</v>
      </c>
      <c r="DP75" s="235">
        <f t="shared" si="386"/>
        <v>7622435.0299999714</v>
      </c>
      <c r="DQ75" s="235">
        <f t="shared" si="386"/>
        <v>8543137.0999999046</v>
      </c>
      <c r="DR75" s="235">
        <f t="shared" si="386"/>
        <v>10307029.5400002</v>
      </c>
      <c r="DS75" s="235">
        <f t="shared" si="386"/>
        <v>11315522.220000029</v>
      </c>
      <c r="DT75" s="235">
        <f t="shared" si="386"/>
        <v>11506282.75999999</v>
      </c>
      <c r="DU75" s="235">
        <f t="shared" si="386"/>
        <v>11506282.75999999</v>
      </c>
      <c r="DV75" s="235">
        <f t="shared" si="386"/>
        <v>11506282.75999999</v>
      </c>
      <c r="DW75" s="235">
        <f t="shared" si="386"/>
        <v>11506282.75999999</v>
      </c>
      <c r="DX75" s="235">
        <f t="shared" si="386"/>
        <v>11506282.75999999</v>
      </c>
      <c r="DY75" s="235">
        <f t="shared" si="386"/>
        <v>11506282.75999999</v>
      </c>
      <c r="DZ75" s="235">
        <f t="shared" si="386"/>
        <v>11506282.75999999</v>
      </c>
      <c r="EA75" s="235">
        <f t="shared" ref="EA75:EA81" si="387">+SUM(DO75:DZ75)</f>
        <v>125646711.45000005</v>
      </c>
      <c r="EB75" s="235">
        <f t="shared" ref="EB75:EM75" si="388">+DO75</f>
        <v>7314608.2400000095</v>
      </c>
      <c r="EC75" s="235">
        <f t="shared" si="388"/>
        <v>7622435.0299999714</v>
      </c>
      <c r="ED75" s="235">
        <f t="shared" si="388"/>
        <v>8543137.0999999046</v>
      </c>
      <c r="EE75" s="235">
        <f t="shared" si="388"/>
        <v>10307029.5400002</v>
      </c>
      <c r="EF75" s="235">
        <f t="shared" si="388"/>
        <v>11315522.220000029</v>
      </c>
      <c r="EG75" s="235">
        <f t="shared" si="388"/>
        <v>11506282.75999999</v>
      </c>
      <c r="EH75" s="235">
        <f t="shared" si="388"/>
        <v>11506282.75999999</v>
      </c>
      <c r="EI75" s="235">
        <f t="shared" si="388"/>
        <v>11506282.75999999</v>
      </c>
      <c r="EJ75" s="235">
        <f t="shared" si="388"/>
        <v>11506282.75999999</v>
      </c>
      <c r="EK75" s="235">
        <f t="shared" si="388"/>
        <v>11506282.75999999</v>
      </c>
      <c r="EL75" s="235">
        <f t="shared" si="388"/>
        <v>11506282.75999999</v>
      </c>
      <c r="EM75" s="235">
        <f t="shared" si="388"/>
        <v>11506282.75999999</v>
      </c>
      <c r="EN75" s="235">
        <f t="shared" si="373"/>
        <v>125646711.45000005</v>
      </c>
    </row>
    <row r="76" spans="1:144" s="235" customFormat="1" x14ac:dyDescent="0.25">
      <c r="A76" s="218" t="s">
        <v>410</v>
      </c>
      <c r="B76" s="235">
        <f t="shared" ref="B76:M76" si="389">+B115</f>
        <v>0</v>
      </c>
      <c r="C76" s="235">
        <f t="shared" si="389"/>
        <v>0</v>
      </c>
      <c r="D76" s="235">
        <f t="shared" si="389"/>
        <v>0</v>
      </c>
      <c r="E76" s="235">
        <f t="shared" si="389"/>
        <v>0</v>
      </c>
      <c r="F76" s="235">
        <f t="shared" si="389"/>
        <v>0</v>
      </c>
      <c r="G76" s="235">
        <f t="shared" si="389"/>
        <v>0</v>
      </c>
      <c r="H76" s="235">
        <f t="shared" si="389"/>
        <v>0</v>
      </c>
      <c r="I76" s="235">
        <f t="shared" si="389"/>
        <v>0</v>
      </c>
      <c r="J76" s="235">
        <f t="shared" si="389"/>
        <v>0</v>
      </c>
      <c r="K76" s="235">
        <f t="shared" si="389"/>
        <v>0</v>
      </c>
      <c r="L76" s="235">
        <f t="shared" si="389"/>
        <v>0</v>
      </c>
      <c r="M76" s="235">
        <f t="shared" si="389"/>
        <v>0</v>
      </c>
      <c r="N76" s="235">
        <f t="shared" si="374"/>
        <v>0</v>
      </c>
      <c r="O76" s="235">
        <f t="shared" ref="O76:Z76" si="390">+O115</f>
        <v>0</v>
      </c>
      <c r="P76" s="235">
        <f t="shared" si="390"/>
        <v>0</v>
      </c>
      <c r="Q76" s="235">
        <f t="shared" si="390"/>
        <v>0</v>
      </c>
      <c r="R76" s="235">
        <f t="shared" si="390"/>
        <v>0</v>
      </c>
      <c r="S76" s="235">
        <f t="shared" si="390"/>
        <v>0</v>
      </c>
      <c r="T76" s="235">
        <f t="shared" si="390"/>
        <v>0</v>
      </c>
      <c r="U76" s="235">
        <f t="shared" si="390"/>
        <v>0</v>
      </c>
      <c r="V76" s="235">
        <f t="shared" si="390"/>
        <v>0</v>
      </c>
      <c r="W76" s="235">
        <f t="shared" si="390"/>
        <v>0</v>
      </c>
      <c r="X76" s="235">
        <f t="shared" si="390"/>
        <v>0</v>
      </c>
      <c r="Y76" s="235">
        <f t="shared" si="390"/>
        <v>0</v>
      </c>
      <c r="Z76" s="235">
        <f t="shared" si="390"/>
        <v>0</v>
      </c>
      <c r="AA76" s="235">
        <f t="shared" si="375"/>
        <v>0</v>
      </c>
      <c r="AB76" s="235">
        <f t="shared" ref="AB76:AM76" si="391">+AB115</f>
        <v>-219244042.02000028</v>
      </c>
      <c r="AC76" s="235">
        <f t="shared" si="391"/>
        <v>20929104.409999788</v>
      </c>
      <c r="AD76" s="235">
        <f t="shared" si="391"/>
        <v>3998989.4400000572</v>
      </c>
      <c r="AE76" s="235">
        <f t="shared" si="391"/>
        <v>-2319571.9399999976</v>
      </c>
      <c r="AF76" s="235">
        <f t="shared" si="391"/>
        <v>-6828745.159999907</v>
      </c>
      <c r="AG76" s="235">
        <f t="shared" si="391"/>
        <v>-5803951.0200000703</v>
      </c>
      <c r="AH76" s="235">
        <f t="shared" si="391"/>
        <v>-6176348.4500000179</v>
      </c>
      <c r="AI76" s="235">
        <f t="shared" si="391"/>
        <v>5962158.8900000155</v>
      </c>
      <c r="AJ76" s="235">
        <f t="shared" si="391"/>
        <v>-14358455.450000018</v>
      </c>
      <c r="AK76" s="235">
        <f t="shared" si="391"/>
        <v>4994596.0900000334</v>
      </c>
      <c r="AL76" s="235">
        <f t="shared" si="391"/>
        <v>9291096.7599998713</v>
      </c>
      <c r="AM76" s="235">
        <f t="shared" si="391"/>
        <v>1361369.0899999142</v>
      </c>
      <c r="AN76" s="235">
        <f t="shared" si="376"/>
        <v>-208193799.36000061</v>
      </c>
      <c r="AO76" s="235">
        <f>+AO115</f>
        <v>-9609231.8499993384</v>
      </c>
      <c r="AP76" s="235">
        <f t="shared" ref="AP76:AZ76" si="392">+AP115</f>
        <v>7427200.3499997258</v>
      </c>
      <c r="AQ76" s="235">
        <f t="shared" si="392"/>
        <v>226540.42999979854</v>
      </c>
      <c r="AR76" s="235">
        <f t="shared" si="392"/>
        <v>1249502.3399998546</v>
      </c>
      <c r="AS76" s="235">
        <f t="shared" si="392"/>
        <v>-11099683.980000138</v>
      </c>
      <c r="AT76" s="235">
        <f t="shared" si="392"/>
        <v>-1505474.3999999762</v>
      </c>
      <c r="AU76" s="235">
        <f t="shared" si="392"/>
        <v>2211403.2999998927</v>
      </c>
      <c r="AV76" s="235">
        <f t="shared" si="392"/>
        <v>-1622589.7099998891</v>
      </c>
      <c r="AW76" s="235">
        <f t="shared" si="392"/>
        <v>-8977613.1799999177</v>
      </c>
      <c r="AX76" s="235">
        <f t="shared" si="392"/>
        <v>-20134813.929999858</v>
      </c>
      <c r="AY76" s="235">
        <f t="shared" si="392"/>
        <v>5996511.4199998677</v>
      </c>
      <c r="AZ76" s="235">
        <f t="shared" si="392"/>
        <v>-10708083.980000019</v>
      </c>
      <c r="BA76" s="235">
        <f t="shared" si="377"/>
        <v>-46546333.189999998</v>
      </c>
      <c r="BB76" s="235">
        <f>+BB115</f>
        <v>-8759708.8799993396</v>
      </c>
      <c r="BC76" s="235">
        <f t="shared" ref="BC76:BL76" si="393">+BC115</f>
        <v>13215094.649999976</v>
      </c>
      <c r="BD76" s="235">
        <f t="shared" si="393"/>
        <v>779589.38999998569</v>
      </c>
      <c r="BE76" s="235">
        <f t="shared" si="393"/>
        <v>17109145.180000037</v>
      </c>
      <c r="BF76" s="235">
        <f t="shared" si="393"/>
        <v>7507941.9699999094</v>
      </c>
      <c r="BG76" s="235">
        <f t="shared" si="393"/>
        <v>-2569554.2299999595</v>
      </c>
      <c r="BH76" s="235">
        <f t="shared" si="393"/>
        <v>69195938.180000007</v>
      </c>
      <c r="BI76" s="235">
        <f t="shared" si="393"/>
        <v>-7062314.75</v>
      </c>
      <c r="BJ76" s="235">
        <f t="shared" si="393"/>
        <v>-7035829.0900000036</v>
      </c>
      <c r="BK76" s="235">
        <f t="shared" si="393"/>
        <v>-13260703.960000038</v>
      </c>
      <c r="BL76" s="235">
        <f t="shared" si="393"/>
        <v>9894733.0000000894</v>
      </c>
      <c r="BM76" s="235">
        <f>+BM115</f>
        <v>25254055.909999937</v>
      </c>
      <c r="BN76" s="235">
        <f t="shared" ref="BN76:BN92" si="394">+SUM(BB76:BM76)</f>
        <v>104268387.3700006</v>
      </c>
      <c r="BO76" s="235">
        <f t="shared" ref="BO76:BT76" si="395">+BO115</f>
        <v>2789934.9800000191</v>
      </c>
      <c r="BP76" s="235">
        <f t="shared" si="395"/>
        <v>-15711080.110000074</v>
      </c>
      <c r="BQ76" s="235">
        <f t="shared" si="395"/>
        <v>5137315.0400000811</v>
      </c>
      <c r="BR76" s="235">
        <f t="shared" si="395"/>
        <v>-24176346.150000006</v>
      </c>
      <c r="BS76" s="235">
        <f t="shared" si="395"/>
        <v>1313749.0399999917</v>
      </c>
      <c r="BT76" s="235">
        <f t="shared" si="395"/>
        <v>-12012215.449999988</v>
      </c>
      <c r="BU76" s="235">
        <f t="shared" ref="BU76:BZ76" si="396">+BU115</f>
        <v>31407359.842997342</v>
      </c>
      <c r="BV76" s="235">
        <f t="shared" si="396"/>
        <v>-21918536.800072223</v>
      </c>
      <c r="BW76" s="235">
        <f t="shared" si="396"/>
        <v>16444828.500091553</v>
      </c>
      <c r="BX76" s="235">
        <f t="shared" si="396"/>
        <v>-22486685.892555416</v>
      </c>
      <c r="BY76" s="235">
        <f t="shared" si="396"/>
        <v>38784073.693292171</v>
      </c>
      <c r="BZ76" s="235">
        <f t="shared" si="396"/>
        <v>-3918106.4877307713</v>
      </c>
      <c r="CA76" s="235">
        <f>+SUM(BO76:BZ76)</f>
        <v>-4345709.7939773202</v>
      </c>
      <c r="CB76" s="235">
        <f>+CB115</f>
        <v>-50230858.781591088</v>
      </c>
      <c r="CC76" s="235">
        <f t="shared" ref="CC76:CM76" si="397">+CC115</f>
        <v>0</v>
      </c>
      <c r="CD76" s="235">
        <f t="shared" si="397"/>
        <v>0</v>
      </c>
      <c r="CE76" s="235">
        <f t="shared" si="397"/>
        <v>0</v>
      </c>
      <c r="CF76" s="235">
        <f t="shared" si="397"/>
        <v>0</v>
      </c>
      <c r="CG76" s="235">
        <f t="shared" si="397"/>
        <v>0</v>
      </c>
      <c r="CH76" s="235">
        <f t="shared" si="397"/>
        <v>0</v>
      </c>
      <c r="CI76" s="235">
        <f t="shared" si="397"/>
        <v>0</v>
      </c>
      <c r="CJ76" s="235">
        <f t="shared" si="397"/>
        <v>0</v>
      </c>
      <c r="CK76" s="235">
        <f t="shared" si="397"/>
        <v>0</v>
      </c>
      <c r="CL76" s="235">
        <f t="shared" si="397"/>
        <v>0</v>
      </c>
      <c r="CM76" s="235">
        <f t="shared" si="397"/>
        <v>0</v>
      </c>
      <c r="CN76" s="235">
        <f>+SUM(CB76:CM76)</f>
        <v>-50230858.781591088</v>
      </c>
      <c r="CO76" s="235">
        <f>+CO115</f>
        <v>0</v>
      </c>
      <c r="CP76" s="235">
        <f t="shared" ref="CP76:CZ76" si="398">+CP115</f>
        <v>0</v>
      </c>
      <c r="CQ76" s="235">
        <f t="shared" si="398"/>
        <v>0</v>
      </c>
      <c r="CR76" s="235">
        <f t="shared" si="398"/>
        <v>0</v>
      </c>
      <c r="CS76" s="235">
        <f t="shared" si="398"/>
        <v>0</v>
      </c>
      <c r="CT76" s="235">
        <f t="shared" si="398"/>
        <v>0</v>
      </c>
      <c r="CU76" s="235">
        <f t="shared" si="398"/>
        <v>0</v>
      </c>
      <c r="CV76" s="235">
        <f t="shared" si="398"/>
        <v>0</v>
      </c>
      <c r="CW76" s="235">
        <f t="shared" si="398"/>
        <v>0</v>
      </c>
      <c r="CX76" s="235">
        <f t="shared" si="398"/>
        <v>0</v>
      </c>
      <c r="CY76" s="235">
        <f t="shared" si="398"/>
        <v>0</v>
      </c>
      <c r="CZ76" s="235">
        <f t="shared" si="398"/>
        <v>0</v>
      </c>
      <c r="DA76" s="235">
        <f>+SUM(CO76:CZ76)</f>
        <v>0</v>
      </c>
      <c r="DB76" s="235">
        <f t="shared" ref="DB76:DM76" si="399">+DB115</f>
        <v>0</v>
      </c>
      <c r="DC76" s="235">
        <f t="shared" si="399"/>
        <v>0</v>
      </c>
      <c r="DD76" s="235">
        <f t="shared" si="399"/>
        <v>0</v>
      </c>
      <c r="DE76" s="235">
        <f t="shared" si="399"/>
        <v>0</v>
      </c>
      <c r="DF76" s="235">
        <f t="shared" si="399"/>
        <v>0</v>
      </c>
      <c r="DG76" s="235">
        <f t="shared" si="399"/>
        <v>0</v>
      </c>
      <c r="DH76" s="235">
        <f t="shared" si="399"/>
        <v>0</v>
      </c>
      <c r="DI76" s="235">
        <f t="shared" si="399"/>
        <v>0</v>
      </c>
      <c r="DJ76" s="235">
        <f t="shared" si="399"/>
        <v>0</v>
      </c>
      <c r="DK76" s="235">
        <f t="shared" si="399"/>
        <v>0</v>
      </c>
      <c r="DL76" s="235">
        <f t="shared" si="399"/>
        <v>0</v>
      </c>
      <c r="DM76" s="235">
        <f t="shared" si="399"/>
        <v>0</v>
      </c>
      <c r="DN76" s="235">
        <f>+SUM(DB76:DM76)</f>
        <v>0</v>
      </c>
      <c r="DO76" s="235">
        <f t="shared" ref="DO76:DZ76" si="400">+DO115</f>
        <v>0</v>
      </c>
      <c r="DP76" s="235">
        <f t="shared" si="400"/>
        <v>0</v>
      </c>
      <c r="DQ76" s="235">
        <f t="shared" si="400"/>
        <v>0</v>
      </c>
      <c r="DR76" s="235">
        <f t="shared" si="400"/>
        <v>0</v>
      </c>
      <c r="DS76" s="235">
        <f t="shared" si="400"/>
        <v>0</v>
      </c>
      <c r="DT76" s="235">
        <f t="shared" si="400"/>
        <v>0</v>
      </c>
      <c r="DU76" s="235">
        <f t="shared" si="400"/>
        <v>0</v>
      </c>
      <c r="DV76" s="235">
        <f t="shared" si="400"/>
        <v>0</v>
      </c>
      <c r="DW76" s="235">
        <f t="shared" si="400"/>
        <v>0</v>
      </c>
      <c r="DX76" s="235">
        <f t="shared" si="400"/>
        <v>0</v>
      </c>
      <c r="DY76" s="235">
        <f t="shared" si="400"/>
        <v>0</v>
      </c>
      <c r="DZ76" s="235">
        <f t="shared" si="400"/>
        <v>0</v>
      </c>
      <c r="EA76" s="235">
        <f>+SUM(DO76:DZ76)</f>
        <v>0</v>
      </c>
      <c r="EB76" s="235">
        <f t="shared" ref="EB76:EM76" si="401">+EB115</f>
        <v>0</v>
      </c>
      <c r="EC76" s="235">
        <f t="shared" si="401"/>
        <v>0</v>
      </c>
      <c r="ED76" s="235">
        <f t="shared" si="401"/>
        <v>0</v>
      </c>
      <c r="EE76" s="235">
        <f t="shared" si="401"/>
        <v>0</v>
      </c>
      <c r="EF76" s="235">
        <f t="shared" si="401"/>
        <v>0</v>
      </c>
      <c r="EG76" s="235">
        <f t="shared" si="401"/>
        <v>0</v>
      </c>
      <c r="EH76" s="235">
        <f t="shared" si="401"/>
        <v>0</v>
      </c>
      <c r="EI76" s="235">
        <f t="shared" si="401"/>
        <v>0</v>
      </c>
      <c r="EJ76" s="235">
        <f t="shared" si="401"/>
        <v>0</v>
      </c>
      <c r="EK76" s="235">
        <f t="shared" si="401"/>
        <v>0</v>
      </c>
      <c r="EL76" s="235">
        <f t="shared" si="401"/>
        <v>0</v>
      </c>
      <c r="EM76" s="235">
        <f t="shared" si="401"/>
        <v>0</v>
      </c>
      <c r="EN76" s="235">
        <f t="shared" si="373"/>
        <v>0</v>
      </c>
    </row>
    <row r="77" spans="1:144" s="235" customFormat="1" x14ac:dyDescent="0.25">
      <c r="A77" s="218" t="s">
        <v>411</v>
      </c>
      <c r="B77" s="235">
        <f t="shared" ref="B77:M77" si="402">+B14</f>
        <v>-207031</v>
      </c>
      <c r="C77" s="235">
        <f t="shared" si="402"/>
        <v>-624231.34</v>
      </c>
      <c r="D77" s="235">
        <f t="shared" si="402"/>
        <v>-1568732.5799999998</v>
      </c>
      <c r="E77" s="235">
        <f t="shared" si="402"/>
        <v>-955367.73</v>
      </c>
      <c r="F77" s="235">
        <f t="shared" si="402"/>
        <v>-947133.42999999993</v>
      </c>
      <c r="G77" s="235">
        <f t="shared" si="402"/>
        <v>-1453193.9500000002</v>
      </c>
      <c r="H77" s="235">
        <f t="shared" si="402"/>
        <v>-2210380.08</v>
      </c>
      <c r="I77" s="235">
        <f t="shared" si="402"/>
        <v>-1727330.3499999996</v>
      </c>
      <c r="J77" s="235">
        <f t="shared" si="402"/>
        <v>-1962639.98</v>
      </c>
      <c r="K77" s="235">
        <f t="shared" si="402"/>
        <v>-1170217.6399999999</v>
      </c>
      <c r="L77" s="235">
        <f t="shared" si="402"/>
        <v>-1082999.1199999996</v>
      </c>
      <c r="M77" s="235">
        <f t="shared" si="402"/>
        <v>-1273625.17</v>
      </c>
      <c r="N77" s="235">
        <f t="shared" si="374"/>
        <v>-15182882.370000001</v>
      </c>
      <c r="O77" s="235">
        <f t="shared" ref="O77:Z77" si="403">+O14</f>
        <v>-1669968.82</v>
      </c>
      <c r="P77" s="235">
        <f t="shared" si="403"/>
        <v>-1198664.7500000002</v>
      </c>
      <c r="Q77" s="235">
        <f t="shared" si="403"/>
        <v>-1098324.04</v>
      </c>
      <c r="R77" s="235">
        <f t="shared" si="403"/>
        <v>-2370662.4199999995</v>
      </c>
      <c r="S77" s="235">
        <f t="shared" si="403"/>
        <v>-986214.6</v>
      </c>
      <c r="T77" s="235">
        <f t="shared" si="403"/>
        <v>-1480099.5300000003</v>
      </c>
      <c r="U77" s="235">
        <f t="shared" si="403"/>
        <v>-1597686.6500000001</v>
      </c>
      <c r="V77" s="235">
        <f t="shared" si="403"/>
        <v>-1620671.6200000003</v>
      </c>
      <c r="W77" s="235">
        <f t="shared" si="403"/>
        <v>-1046683.02</v>
      </c>
      <c r="X77" s="235">
        <f t="shared" si="403"/>
        <v>-650654.26000000013</v>
      </c>
      <c r="Y77" s="235">
        <f t="shared" si="403"/>
        <v>-1014102.9800000002</v>
      </c>
      <c r="Z77" s="235">
        <f t="shared" si="403"/>
        <v>-1093909.9700000004</v>
      </c>
      <c r="AA77" s="235">
        <f t="shared" si="375"/>
        <v>-15827642.660000002</v>
      </c>
      <c r="AB77" s="235">
        <f t="shared" ref="AB77:AM77" si="404">+AB14</f>
        <v>-1194803.4300000002</v>
      </c>
      <c r="AC77" s="235">
        <f t="shared" si="404"/>
        <v>-986983.62999999989</v>
      </c>
      <c r="AD77" s="235">
        <f t="shared" si="404"/>
        <v>-1023626.3999999999</v>
      </c>
      <c r="AE77" s="235">
        <f t="shared" si="404"/>
        <v>-1530247.1300000001</v>
      </c>
      <c r="AF77" s="235">
        <f t="shared" si="404"/>
        <v>-1850078.78</v>
      </c>
      <c r="AG77" s="235">
        <f t="shared" si="404"/>
        <v>-1825250.7099999997</v>
      </c>
      <c r="AH77" s="235">
        <f t="shared" si="404"/>
        <v>-2441202.9100000006</v>
      </c>
      <c r="AI77" s="235">
        <f t="shared" si="404"/>
        <v>-1816652.1199999996</v>
      </c>
      <c r="AJ77" s="235">
        <f t="shared" si="404"/>
        <v>-2174496.5799999996</v>
      </c>
      <c r="AK77" s="235">
        <f t="shared" si="404"/>
        <v>-1151196.9800000004</v>
      </c>
      <c r="AL77" s="235">
        <f t="shared" si="404"/>
        <v>-1150123.9400000002</v>
      </c>
      <c r="AM77" s="235">
        <f t="shared" si="404"/>
        <v>-1816464.95</v>
      </c>
      <c r="AN77" s="235">
        <f t="shared" si="376"/>
        <v>-18961127.559999999</v>
      </c>
      <c r="AO77" s="235">
        <f>+AO14</f>
        <v>-984960.49</v>
      </c>
      <c r="AP77" s="235">
        <f t="shared" ref="AP77:AZ77" si="405">+AP14</f>
        <v>-1029388.33</v>
      </c>
      <c r="AQ77" s="235">
        <f t="shared" si="405"/>
        <v>-1386067.02</v>
      </c>
      <c r="AR77" s="235">
        <f t="shared" si="405"/>
        <v>-1659345.75</v>
      </c>
      <c r="AS77" s="235">
        <f t="shared" si="405"/>
        <v>-1821794.29</v>
      </c>
      <c r="AT77" s="235">
        <f t="shared" si="405"/>
        <v>-2086413.84</v>
      </c>
      <c r="AU77" s="235">
        <f t="shared" si="405"/>
        <v>-1967310.83</v>
      </c>
      <c r="AV77" s="235">
        <f t="shared" si="405"/>
        <v>-2086132.3</v>
      </c>
      <c r="AW77" s="235">
        <f t="shared" si="405"/>
        <v>-1713209.02</v>
      </c>
      <c r="AX77" s="235">
        <f t="shared" si="405"/>
        <v>-1926358</v>
      </c>
      <c r="AY77" s="235">
        <f t="shared" si="405"/>
        <v>-1022615.69</v>
      </c>
      <c r="AZ77" s="235">
        <f t="shared" si="405"/>
        <v>-1887531.99</v>
      </c>
      <c r="BA77" s="235">
        <f t="shared" si="377"/>
        <v>-19571127.550000001</v>
      </c>
      <c r="BB77" s="235">
        <f>+BB14</f>
        <v>-1794189.6</v>
      </c>
      <c r="BC77" s="235">
        <f t="shared" ref="BC77:BL77" si="406">+BC14</f>
        <v>-1099608.99</v>
      </c>
      <c r="BD77" s="235">
        <f t="shared" si="406"/>
        <v>-1466793.75</v>
      </c>
      <c r="BE77" s="235">
        <f t="shared" si="406"/>
        <v>-1221670.54</v>
      </c>
      <c r="BF77" s="235">
        <f t="shared" si="406"/>
        <v>-1274221</v>
      </c>
      <c r="BG77" s="235">
        <f t="shared" si="406"/>
        <v>-1503925.92</v>
      </c>
      <c r="BH77" s="235">
        <f t="shared" si="406"/>
        <v>-1327577.01</v>
      </c>
      <c r="BI77" s="235">
        <f t="shared" si="406"/>
        <v>-1826703.19</v>
      </c>
      <c r="BJ77" s="235">
        <f t="shared" si="406"/>
        <v>-1861510.74</v>
      </c>
      <c r="BK77" s="235">
        <f t="shared" si="406"/>
        <v>-1710650.3</v>
      </c>
      <c r="BL77" s="235">
        <f t="shared" si="406"/>
        <v>-1778091.3</v>
      </c>
      <c r="BM77" s="235">
        <f>+BM14</f>
        <v>-2005693.5</v>
      </c>
      <c r="BN77" s="235">
        <f t="shared" si="394"/>
        <v>-18870635.84</v>
      </c>
      <c r="BO77" s="235">
        <f t="shared" ref="BO77:BT77" si="407">+BO14</f>
        <v>-1657161</v>
      </c>
      <c r="BP77" s="235">
        <f t="shared" si="407"/>
        <v>-1669831</v>
      </c>
      <c r="BQ77" s="235">
        <f t="shared" si="407"/>
        <v>-1573809.6</v>
      </c>
      <c r="BR77" s="235">
        <f t="shared" si="407"/>
        <v>-2668229.71</v>
      </c>
      <c r="BS77" s="235">
        <f t="shared" si="407"/>
        <v>-1232903.27</v>
      </c>
      <c r="BT77" s="235">
        <f t="shared" si="407"/>
        <v>-2132452.96</v>
      </c>
      <c r="BU77" s="235">
        <f t="shared" ref="BU77:BZ77" si="408">+BU14</f>
        <v>-1458230.5469758189</v>
      </c>
      <c r="BV77" s="235">
        <f t="shared" si="408"/>
        <v>-1649129.5107213967</v>
      </c>
      <c r="BW77" s="235">
        <f t="shared" si="408"/>
        <v>-1516057.225023038</v>
      </c>
      <c r="BX77" s="235">
        <f t="shared" si="408"/>
        <v>-1692940.6950065743</v>
      </c>
      <c r="BY77" s="235">
        <f t="shared" si="408"/>
        <v>-1366984.5902019278</v>
      </c>
      <c r="BZ77" s="235">
        <f t="shared" si="408"/>
        <v>-1392186.8140929097</v>
      </c>
      <c r="CA77" s="235">
        <f t="shared" si="379"/>
        <v>-20009916.922021665</v>
      </c>
      <c r="CB77" s="235">
        <f t="shared" ref="CB77:CM77" si="409">+CB14</f>
        <v>-2192545.6563786333</v>
      </c>
      <c r="CC77" s="235">
        <f t="shared" si="409"/>
        <v>-2192545.6563786333</v>
      </c>
      <c r="CD77" s="235">
        <f t="shared" si="409"/>
        <v>-2192545.6563786333</v>
      </c>
      <c r="CE77" s="235">
        <f t="shared" si="409"/>
        <v>-2192545.6563786333</v>
      </c>
      <c r="CF77" s="235">
        <f t="shared" si="409"/>
        <v>-2192545.6563786333</v>
      </c>
      <c r="CG77" s="235">
        <f t="shared" si="409"/>
        <v>-2192545.6563786333</v>
      </c>
      <c r="CH77" s="235">
        <f t="shared" si="409"/>
        <v>-2192545.6563786333</v>
      </c>
      <c r="CI77" s="235">
        <f t="shared" si="409"/>
        <v>-2192545.6563786333</v>
      </c>
      <c r="CJ77" s="235">
        <f t="shared" si="409"/>
        <v>-2192545.6563786333</v>
      </c>
      <c r="CK77" s="235">
        <f t="shared" si="409"/>
        <v>-2192545.6563786333</v>
      </c>
      <c r="CL77" s="235">
        <f t="shared" si="409"/>
        <v>-2192545.6563786333</v>
      </c>
      <c r="CM77" s="235">
        <f t="shared" si="409"/>
        <v>-2192545.6563786333</v>
      </c>
      <c r="CN77" s="235">
        <f>+SUM(CB77:CM77)</f>
        <v>-26310547.876543608</v>
      </c>
      <c r="CO77" s="235">
        <f t="shared" ref="CO77" si="410">+CO14</f>
        <v>-2192545.6563786333</v>
      </c>
      <c r="CP77" s="235">
        <f t="shared" ref="CP77:CZ77" si="411">+CP14</f>
        <v>-2192545.6563786333</v>
      </c>
      <c r="CQ77" s="235">
        <f t="shared" si="411"/>
        <v>-2192545.6563786333</v>
      </c>
      <c r="CR77" s="235">
        <f t="shared" si="411"/>
        <v>-2192545.6563786333</v>
      </c>
      <c r="CS77" s="235">
        <f t="shared" si="411"/>
        <v>-2192545.6563786333</v>
      </c>
      <c r="CT77" s="235">
        <f t="shared" si="411"/>
        <v>-2192545.6563786333</v>
      </c>
      <c r="CU77" s="235">
        <f t="shared" si="411"/>
        <v>-2192545.6563786333</v>
      </c>
      <c r="CV77" s="235">
        <f t="shared" si="411"/>
        <v>-2192545.6563786333</v>
      </c>
      <c r="CW77" s="235">
        <f t="shared" si="411"/>
        <v>-2192545.6563786333</v>
      </c>
      <c r="CX77" s="235">
        <f t="shared" si="411"/>
        <v>-2192545.6563786333</v>
      </c>
      <c r="CY77" s="235">
        <f t="shared" si="411"/>
        <v>-2192545.6563786333</v>
      </c>
      <c r="CZ77" s="235">
        <f t="shared" si="411"/>
        <v>-2192545.6563786333</v>
      </c>
      <c r="DA77" s="235">
        <f>+SUM(CO77:CZ77)</f>
        <v>-26310547.876543608</v>
      </c>
      <c r="DB77" s="235">
        <f t="shared" ref="DB77:DM77" si="412">+DB14</f>
        <v>-2192545.6563786333</v>
      </c>
      <c r="DC77" s="235">
        <f t="shared" si="412"/>
        <v>-2192545.6563786333</v>
      </c>
      <c r="DD77" s="235">
        <f t="shared" si="412"/>
        <v>-2192545.6563786333</v>
      </c>
      <c r="DE77" s="235">
        <f t="shared" si="412"/>
        <v>-2192545.6563786333</v>
      </c>
      <c r="DF77" s="235">
        <f t="shared" si="412"/>
        <v>-2192545.6563786333</v>
      </c>
      <c r="DG77" s="235">
        <f t="shared" si="412"/>
        <v>-2192545.6563786333</v>
      </c>
      <c r="DH77" s="235">
        <f t="shared" si="412"/>
        <v>-2192545.6563786333</v>
      </c>
      <c r="DI77" s="235">
        <f t="shared" si="412"/>
        <v>-2192545.6563786333</v>
      </c>
      <c r="DJ77" s="235">
        <f t="shared" si="412"/>
        <v>-2192545.6563786333</v>
      </c>
      <c r="DK77" s="235">
        <f t="shared" si="412"/>
        <v>-2192545.6563786333</v>
      </c>
      <c r="DL77" s="235">
        <f t="shared" si="412"/>
        <v>-2192545.6563786333</v>
      </c>
      <c r="DM77" s="235">
        <f t="shared" si="412"/>
        <v>-2192545.6563786333</v>
      </c>
      <c r="DN77" s="235">
        <f>+SUM(DB77:DM77)</f>
        <v>-26310547.876543608</v>
      </c>
      <c r="DO77" s="235">
        <f t="shared" ref="DO77:DZ77" si="413">+DO14</f>
        <v>-2192545.6563786333</v>
      </c>
      <c r="DP77" s="235">
        <f t="shared" si="413"/>
        <v>-2192545.6563786333</v>
      </c>
      <c r="DQ77" s="235">
        <f t="shared" si="413"/>
        <v>-2192545.6563786333</v>
      </c>
      <c r="DR77" s="235">
        <f t="shared" si="413"/>
        <v>-2192545.6563786333</v>
      </c>
      <c r="DS77" s="235">
        <f t="shared" si="413"/>
        <v>-2192545.6563786333</v>
      </c>
      <c r="DT77" s="235">
        <f t="shared" si="413"/>
        <v>-2192545.6563786333</v>
      </c>
      <c r="DU77" s="235">
        <f t="shared" si="413"/>
        <v>-2192545.6563786333</v>
      </c>
      <c r="DV77" s="235">
        <f t="shared" si="413"/>
        <v>-2192545.6563786333</v>
      </c>
      <c r="DW77" s="235">
        <f t="shared" si="413"/>
        <v>-2192545.6563786333</v>
      </c>
      <c r="DX77" s="235">
        <f t="shared" si="413"/>
        <v>-2192545.6563786333</v>
      </c>
      <c r="DY77" s="235">
        <f t="shared" si="413"/>
        <v>-2192545.6563786333</v>
      </c>
      <c r="DZ77" s="235">
        <f t="shared" si="413"/>
        <v>-2192545.6563786333</v>
      </c>
      <c r="EA77" s="235">
        <f>+SUM(DO77:DZ77)</f>
        <v>-26310547.876543608</v>
      </c>
      <c r="EB77" s="235">
        <f t="shared" ref="EB77:EM77" si="414">+EB14</f>
        <v>-2192545.6563786333</v>
      </c>
      <c r="EC77" s="235">
        <f t="shared" si="414"/>
        <v>-2192545.6563786333</v>
      </c>
      <c r="ED77" s="235">
        <f t="shared" si="414"/>
        <v>-2192545.6563786333</v>
      </c>
      <c r="EE77" s="235">
        <f t="shared" si="414"/>
        <v>-2192545.6563786333</v>
      </c>
      <c r="EF77" s="235">
        <f t="shared" si="414"/>
        <v>-2192545.6563786333</v>
      </c>
      <c r="EG77" s="235">
        <f t="shared" si="414"/>
        <v>-2192545.6563786333</v>
      </c>
      <c r="EH77" s="235">
        <f t="shared" si="414"/>
        <v>-2192545.6563786333</v>
      </c>
      <c r="EI77" s="235">
        <f t="shared" si="414"/>
        <v>-2192545.6563786333</v>
      </c>
      <c r="EJ77" s="235">
        <f t="shared" si="414"/>
        <v>-2192545.6563786333</v>
      </c>
      <c r="EK77" s="235">
        <f t="shared" si="414"/>
        <v>-2192545.6563786333</v>
      </c>
      <c r="EL77" s="235">
        <f t="shared" si="414"/>
        <v>-2192545.6563786333</v>
      </c>
      <c r="EM77" s="235">
        <f t="shared" si="414"/>
        <v>-2192545.6563786333</v>
      </c>
      <c r="EN77" s="235">
        <f t="shared" si="373"/>
        <v>-26310547.876543608</v>
      </c>
    </row>
    <row r="78" spans="1:144" s="248" customFormat="1" x14ac:dyDescent="0.25">
      <c r="A78" s="229" t="s">
        <v>412</v>
      </c>
      <c r="B78" s="248">
        <f>+SUM(B74:B77)</f>
        <v>-2989412.7199996822</v>
      </c>
      <c r="C78" s="248">
        <f>+SUM(C74:C77)</f>
        <v>-4120341.3300000057</v>
      </c>
      <c r="D78" s="248">
        <f t="shared" ref="D78:M78" si="415">+SUM(D74:D77)</f>
        <v>7146899.8100000583</v>
      </c>
      <c r="E78" s="248">
        <f t="shared" si="415"/>
        <v>5771772.6499998793</v>
      </c>
      <c r="F78" s="248">
        <f t="shared" si="415"/>
        <v>1160258.6600000544</v>
      </c>
      <c r="G78" s="248">
        <f t="shared" si="415"/>
        <v>9814822.3900000602</v>
      </c>
      <c r="H78" s="248">
        <f t="shared" si="415"/>
        <v>17050974.830000013</v>
      </c>
      <c r="I78" s="248">
        <f t="shared" si="415"/>
        <v>4129862.2199998833</v>
      </c>
      <c r="J78" s="248">
        <f t="shared" si="415"/>
        <v>3532669.9100000565</v>
      </c>
      <c r="K78" s="248">
        <f t="shared" si="415"/>
        <v>-5139863.6800000528</v>
      </c>
      <c r="L78" s="248">
        <f t="shared" si="415"/>
        <v>8544929.0899999682</v>
      </c>
      <c r="M78" s="248">
        <f t="shared" si="415"/>
        <v>5059639.3700000811</v>
      </c>
      <c r="N78" s="248">
        <f t="shared" si="374"/>
        <v>49962211.200000308</v>
      </c>
      <c r="O78" s="248">
        <f>+SUM(O74:O77)</f>
        <v>6592718.0900005884</v>
      </c>
      <c r="P78" s="248">
        <f>+SUM(P74:P77)</f>
        <v>-1519160.6299999238</v>
      </c>
      <c r="Q78" s="248">
        <f t="shared" ref="Q78:Z78" si="416">+SUM(Q74:Q77)</f>
        <v>1682910.1400000313</v>
      </c>
      <c r="R78" s="248">
        <f t="shared" si="416"/>
        <v>25886335.960000034</v>
      </c>
      <c r="S78" s="248">
        <f t="shared" si="416"/>
        <v>-2087772.3100000652</v>
      </c>
      <c r="T78" s="248">
        <f t="shared" si="416"/>
        <v>6821069.6000001291</v>
      </c>
      <c r="U78" s="248">
        <f t="shared" si="416"/>
        <v>3043615.4700000249</v>
      </c>
      <c r="V78" s="248">
        <f t="shared" si="416"/>
        <v>6505765.9499999443</v>
      </c>
      <c r="W78" s="248">
        <f t="shared" si="416"/>
        <v>7905492.5900000203</v>
      </c>
      <c r="X78" s="248">
        <f t="shared" si="416"/>
        <v>-945338.24000011047</v>
      </c>
      <c r="Y78" s="248">
        <f t="shared" si="416"/>
        <v>3739280.4500001194</v>
      </c>
      <c r="Z78" s="248">
        <f t="shared" si="416"/>
        <v>3383430.5099998768</v>
      </c>
      <c r="AA78" s="248">
        <f t="shared" si="375"/>
        <v>61008347.580000676</v>
      </c>
      <c r="AB78" s="248">
        <f t="shared" ref="AB78:AM78" si="417">+SUM(AB74:AB77)</f>
        <v>-212860228.69999704</v>
      </c>
      <c r="AC78" s="248">
        <f t="shared" si="417"/>
        <v>16910834.969999894</v>
      </c>
      <c r="AD78" s="248">
        <f t="shared" si="417"/>
        <v>4021271.0900000692</v>
      </c>
      <c r="AE78" s="248">
        <f t="shared" si="417"/>
        <v>5278050.3899998544</v>
      </c>
      <c r="AF78" s="248">
        <f t="shared" si="417"/>
        <v>5192064.6399999866</v>
      </c>
      <c r="AG78" s="248">
        <f t="shared" si="417"/>
        <v>-1861847.4600000118</v>
      </c>
      <c r="AH78" s="248">
        <f t="shared" si="417"/>
        <v>2108224.6900000046</v>
      </c>
      <c r="AI78" s="248">
        <f t="shared" si="417"/>
        <v>12943554.680000113</v>
      </c>
      <c r="AJ78" s="248">
        <f t="shared" si="417"/>
        <v>-2732228.7900000359</v>
      </c>
      <c r="AK78" s="248">
        <f t="shared" si="417"/>
        <v>-1168087.2700000238</v>
      </c>
      <c r="AL78" s="248">
        <f t="shared" si="417"/>
        <v>2516876.3099997276</v>
      </c>
      <c r="AM78" s="248">
        <f t="shared" si="417"/>
        <v>15326093.489999779</v>
      </c>
      <c r="AN78" s="248">
        <f t="shared" si="376"/>
        <v>-154325421.95999765</v>
      </c>
      <c r="AO78" s="248">
        <f>+SUM(AO74:AO77)</f>
        <v>-11097952.799998453</v>
      </c>
      <c r="AP78" s="248">
        <f t="shared" ref="AP78:AY78" si="418">+SUM(AP74:AP77)</f>
        <v>2659703.6499997079</v>
      </c>
      <c r="AQ78" s="248">
        <f t="shared" si="418"/>
        <v>1171998.0099996952</v>
      </c>
      <c r="AR78" s="248">
        <f t="shared" si="418"/>
        <v>6681994.2599998116</v>
      </c>
      <c r="AS78" s="248">
        <f t="shared" si="418"/>
        <v>-4139590.8600001121</v>
      </c>
      <c r="AT78" s="248">
        <f t="shared" si="418"/>
        <v>5939831.9499999993</v>
      </c>
      <c r="AU78" s="248">
        <f t="shared" si="418"/>
        <v>14273698.719999919</v>
      </c>
      <c r="AV78" s="248">
        <f t="shared" si="418"/>
        <v>434372.42999999761</v>
      </c>
      <c r="AW78" s="248">
        <f t="shared" si="418"/>
        <v>-447430.02999987872</v>
      </c>
      <c r="AX78" s="248">
        <f t="shared" si="418"/>
        <v>1892920.1000000387</v>
      </c>
      <c r="AY78" s="248">
        <f t="shared" si="418"/>
        <v>2423483.3699997715</v>
      </c>
      <c r="AZ78" s="248">
        <f>+SUM(AZ74:AZ77)</f>
        <v>-5630918.7600000333</v>
      </c>
      <c r="BA78" s="248">
        <f t="shared" si="377"/>
        <v>14162110.040000463</v>
      </c>
      <c r="BB78" s="248">
        <f>+SUM(BB74:BB77)</f>
        <v>1806130.1700006551</v>
      </c>
      <c r="BC78" s="248">
        <f t="shared" ref="BC78:BL78" si="419">+SUM(BC74:BC77)</f>
        <v>8613321.359999774</v>
      </c>
      <c r="BD78" s="248">
        <f t="shared" si="419"/>
        <v>-2575638.1599999014</v>
      </c>
      <c r="BE78" s="248">
        <f t="shared" si="419"/>
        <v>3278041.9500000542</v>
      </c>
      <c r="BF78" s="248">
        <f t="shared" si="419"/>
        <v>8910036.849999927</v>
      </c>
      <c r="BG78" s="248">
        <f t="shared" si="419"/>
        <v>3351340.1300000325</v>
      </c>
      <c r="BH78" s="248">
        <f t="shared" si="419"/>
        <v>78168728.899999842</v>
      </c>
      <c r="BI78" s="248">
        <f t="shared" si="419"/>
        <v>8105041.46000023</v>
      </c>
      <c r="BJ78" s="248">
        <f t="shared" si="419"/>
        <v>-2412753.5100001758</v>
      </c>
      <c r="BK78" s="248">
        <f t="shared" si="419"/>
        <v>5725770.3500000136</v>
      </c>
      <c r="BL78" s="248">
        <f t="shared" si="419"/>
        <v>16399360.340000048</v>
      </c>
      <c r="BM78" s="248">
        <f>+SUM(BM74:BM77)</f>
        <v>30521504.759999983</v>
      </c>
      <c r="BN78" s="248">
        <f t="shared" si="394"/>
        <v>159890884.60000047</v>
      </c>
      <c r="BO78" s="248">
        <f t="shared" ref="BO78:BZ78" si="420">+SUM(BO74:BO77)</f>
        <v>9240957.9300000258</v>
      </c>
      <c r="BP78" s="248">
        <f t="shared" si="420"/>
        <v>2425384.969999902</v>
      </c>
      <c r="BQ78" s="248">
        <f t="shared" si="420"/>
        <v>21469538.069999982</v>
      </c>
      <c r="BR78" s="248">
        <f>+SUM(BR74:BR77)</f>
        <v>3923292.7800001958</v>
      </c>
      <c r="BS78" s="248">
        <f>+SUM(BS74:BS77)</f>
        <v>13063438.410000019</v>
      </c>
      <c r="BT78" s="248">
        <f>+SUM(BT74:BT77)</f>
        <v>13470795.340000004</v>
      </c>
      <c r="BU78" s="248">
        <f t="shared" si="420"/>
        <v>44851050.272598863</v>
      </c>
      <c r="BV78" s="248">
        <f t="shared" si="420"/>
        <v>-7666687.7660148889</v>
      </c>
      <c r="BW78" s="248">
        <f t="shared" si="420"/>
        <v>30947093.22173946</v>
      </c>
      <c r="BX78" s="248">
        <f t="shared" si="420"/>
        <v>-8755471.470903432</v>
      </c>
      <c r="BY78" s="248">
        <f t="shared" si="420"/>
        <v>52083731.55129078</v>
      </c>
      <c r="BZ78" s="248">
        <f t="shared" si="420"/>
        <v>8773144.2218126301</v>
      </c>
      <c r="CA78" s="248">
        <f>+SUM(BO78:BZ78)</f>
        <v>183826267.53052354</v>
      </c>
      <c r="CB78" s="248">
        <f t="shared" ref="CB78:CM78" si="421">+SUM(CB74:CB77)</f>
        <v>-35837023.962786928</v>
      </c>
      <c r="CC78" s="248">
        <f t="shared" si="421"/>
        <v>14701661.608804122</v>
      </c>
      <c r="CD78" s="248">
        <f t="shared" si="421"/>
        <v>15622363.678804055</v>
      </c>
      <c r="CE78" s="248">
        <f t="shared" si="421"/>
        <v>17386256.11880435</v>
      </c>
      <c r="CF78" s="248">
        <f t="shared" si="421"/>
        <v>18394748.798804179</v>
      </c>
      <c r="CG78" s="248">
        <f t="shared" si="421"/>
        <v>18585509.338804141</v>
      </c>
      <c r="CH78" s="248">
        <f t="shared" si="421"/>
        <v>18585509.338804141</v>
      </c>
      <c r="CI78" s="248">
        <f t="shared" si="421"/>
        <v>18585509.338804141</v>
      </c>
      <c r="CJ78" s="248">
        <f t="shared" si="421"/>
        <v>18585509.338804141</v>
      </c>
      <c r="CK78" s="248">
        <f t="shared" si="421"/>
        <v>18585509.338804141</v>
      </c>
      <c r="CL78" s="248">
        <f t="shared" si="421"/>
        <v>18585509.338804141</v>
      </c>
      <c r="CM78" s="248">
        <f t="shared" si="421"/>
        <v>18585509.338804141</v>
      </c>
      <c r="CN78" s="248">
        <f>+SUM(CB78:CM78)</f>
        <v>160366571.61405873</v>
      </c>
      <c r="CO78" s="248">
        <f t="shared" ref="CO78" si="422">+SUM(CO74:CO77)</f>
        <v>14393834.81880416</v>
      </c>
      <c r="CP78" s="248">
        <f t="shared" ref="CP78:CZ78" si="423">+SUM(CP74:CP77)</f>
        <v>14701661.608804122</v>
      </c>
      <c r="CQ78" s="248">
        <f t="shared" si="423"/>
        <v>15622363.678804055</v>
      </c>
      <c r="CR78" s="248">
        <f t="shared" si="423"/>
        <v>17386256.11880435</v>
      </c>
      <c r="CS78" s="248">
        <f t="shared" si="423"/>
        <v>18394748.798804179</v>
      </c>
      <c r="CT78" s="248">
        <f t="shared" si="423"/>
        <v>18585509.338804141</v>
      </c>
      <c r="CU78" s="248">
        <f t="shared" si="423"/>
        <v>18585509.338804141</v>
      </c>
      <c r="CV78" s="248">
        <f t="shared" si="423"/>
        <v>18585509.338804141</v>
      </c>
      <c r="CW78" s="248">
        <f t="shared" si="423"/>
        <v>18585509.338804141</v>
      </c>
      <c r="CX78" s="248">
        <f t="shared" si="423"/>
        <v>18585509.338804141</v>
      </c>
      <c r="CY78" s="248">
        <f t="shared" si="423"/>
        <v>18585509.338804141</v>
      </c>
      <c r="CZ78" s="248">
        <f t="shared" si="423"/>
        <v>18585509.338804141</v>
      </c>
      <c r="DA78" s="248">
        <f>+SUM(CO78:CZ78)</f>
        <v>210597430.39564979</v>
      </c>
      <c r="DB78" s="248">
        <f t="shared" ref="DB78:DM78" si="424">+SUM(DB74:DB77)</f>
        <v>14393834.81880416</v>
      </c>
      <c r="DC78" s="248">
        <f t="shared" si="424"/>
        <v>14701661.608804122</v>
      </c>
      <c r="DD78" s="248">
        <f t="shared" si="424"/>
        <v>15622363.678804055</v>
      </c>
      <c r="DE78" s="248">
        <f t="shared" si="424"/>
        <v>17386256.11880435</v>
      </c>
      <c r="DF78" s="248">
        <f t="shared" si="424"/>
        <v>18394748.798804179</v>
      </c>
      <c r="DG78" s="248">
        <f t="shared" si="424"/>
        <v>18585509.338804141</v>
      </c>
      <c r="DH78" s="248">
        <f t="shared" si="424"/>
        <v>18585509.338804141</v>
      </c>
      <c r="DI78" s="248">
        <f t="shared" si="424"/>
        <v>18585509.338804141</v>
      </c>
      <c r="DJ78" s="248">
        <f t="shared" si="424"/>
        <v>18585509.338804141</v>
      </c>
      <c r="DK78" s="248">
        <f t="shared" si="424"/>
        <v>18585509.338804141</v>
      </c>
      <c r="DL78" s="248">
        <f t="shared" si="424"/>
        <v>18585509.338804141</v>
      </c>
      <c r="DM78" s="248">
        <f t="shared" si="424"/>
        <v>18585509.338804141</v>
      </c>
      <c r="DN78" s="248">
        <f>+SUM(DB78:DM78)</f>
        <v>210597430.39564979</v>
      </c>
      <c r="DO78" s="248">
        <f t="shared" ref="DO78:DZ78" si="425">+SUM(DO74:DO77)</f>
        <v>14393834.81880416</v>
      </c>
      <c r="DP78" s="248">
        <f t="shared" si="425"/>
        <v>14701661.608804122</v>
      </c>
      <c r="DQ78" s="248">
        <f t="shared" si="425"/>
        <v>15622363.678804055</v>
      </c>
      <c r="DR78" s="248">
        <f t="shared" si="425"/>
        <v>17386256.11880435</v>
      </c>
      <c r="DS78" s="248">
        <f t="shared" si="425"/>
        <v>18394748.798804179</v>
      </c>
      <c r="DT78" s="248">
        <f t="shared" si="425"/>
        <v>18585509.338804141</v>
      </c>
      <c r="DU78" s="248">
        <f t="shared" si="425"/>
        <v>18585509.338804141</v>
      </c>
      <c r="DV78" s="248">
        <f t="shared" si="425"/>
        <v>18585509.338804141</v>
      </c>
      <c r="DW78" s="248">
        <f t="shared" si="425"/>
        <v>18585509.338804141</v>
      </c>
      <c r="DX78" s="248">
        <f t="shared" si="425"/>
        <v>18585509.338804141</v>
      </c>
      <c r="DY78" s="248">
        <f t="shared" si="425"/>
        <v>18585509.338804141</v>
      </c>
      <c r="DZ78" s="248">
        <f t="shared" si="425"/>
        <v>18585509.338804141</v>
      </c>
      <c r="EA78" s="248">
        <f>+SUM(DO78:DZ78)</f>
        <v>210597430.39564979</v>
      </c>
      <c r="EB78" s="248">
        <f t="shared" ref="EB78:EM78" si="426">+SUM(EB74:EB77)</f>
        <v>14393834.81880416</v>
      </c>
      <c r="EC78" s="248">
        <f t="shared" si="426"/>
        <v>14701661.608804122</v>
      </c>
      <c r="ED78" s="248">
        <f t="shared" si="426"/>
        <v>15622363.678804055</v>
      </c>
      <c r="EE78" s="248">
        <f t="shared" si="426"/>
        <v>17386256.11880435</v>
      </c>
      <c r="EF78" s="248">
        <f t="shared" si="426"/>
        <v>18394748.798804179</v>
      </c>
      <c r="EG78" s="248">
        <f t="shared" si="426"/>
        <v>18585509.338804141</v>
      </c>
      <c r="EH78" s="248">
        <f t="shared" si="426"/>
        <v>18585509.338804141</v>
      </c>
      <c r="EI78" s="248">
        <f t="shared" si="426"/>
        <v>18585509.338804141</v>
      </c>
      <c r="EJ78" s="248">
        <f t="shared" si="426"/>
        <v>18585509.338804141</v>
      </c>
      <c r="EK78" s="248">
        <f t="shared" si="426"/>
        <v>18585509.338804141</v>
      </c>
      <c r="EL78" s="248">
        <f t="shared" si="426"/>
        <v>18585509.338804141</v>
      </c>
      <c r="EM78" s="248">
        <f t="shared" si="426"/>
        <v>18585509.338804141</v>
      </c>
      <c r="EN78" s="248">
        <f t="shared" si="373"/>
        <v>210597430.39564979</v>
      </c>
    </row>
    <row r="79" spans="1:144" s="235" customFormat="1" x14ac:dyDescent="0.25">
      <c r="A79" s="218" t="s">
        <v>413</v>
      </c>
      <c r="B79" s="235" t="e">
        <f>+SUM(#REF!)-SUM(B36:B38)</f>
        <v>#REF!</v>
      </c>
      <c r="C79" s="235">
        <f t="shared" ref="C79:M79" si="427">+SUM(B35:B38)-SUM(C35:C38)</f>
        <v>4342319.9900001287</v>
      </c>
      <c r="D79" s="235">
        <f t="shared" si="427"/>
        <v>2550474.7299998999</v>
      </c>
      <c r="E79" s="235">
        <f t="shared" si="427"/>
        <v>4642658.2100000381</v>
      </c>
      <c r="F79" s="235">
        <f t="shared" si="427"/>
        <v>4767083.2700001001</v>
      </c>
      <c r="G79" s="235">
        <f t="shared" si="427"/>
        <v>4869293.7100000381</v>
      </c>
      <c r="H79" s="235">
        <f t="shared" si="427"/>
        <v>5457775.7899999619</v>
      </c>
      <c r="I79" s="235">
        <f t="shared" si="427"/>
        <v>-33207326.309999943</v>
      </c>
      <c r="J79" s="235">
        <f t="shared" si="427"/>
        <v>-9210208.4500000477</v>
      </c>
      <c r="K79" s="235">
        <f t="shared" si="427"/>
        <v>5671561.8899999857</v>
      </c>
      <c r="L79" s="235">
        <f t="shared" si="427"/>
        <v>5335962.7100000381</v>
      </c>
      <c r="M79" s="235">
        <f t="shared" si="427"/>
        <v>6488666.4599999189</v>
      </c>
      <c r="N79" s="235" t="e">
        <f t="shared" si="374"/>
        <v>#REF!</v>
      </c>
      <c r="O79" s="235">
        <f>+SUM(A36:A38)-SUM(O36:O38)</f>
        <v>-89750096.639999986</v>
      </c>
      <c r="P79" s="235">
        <f t="shared" ref="P79:Z79" si="428">+SUM(O35:O38)-SUM(P35:P38)</f>
        <v>4614783.5599999428</v>
      </c>
      <c r="Q79" s="235">
        <f t="shared" si="428"/>
        <v>3725291.1100001335</v>
      </c>
      <c r="R79" s="235">
        <f t="shared" si="428"/>
        <v>6435317.8299999237</v>
      </c>
      <c r="S79" s="235">
        <f t="shared" si="428"/>
        <v>5253352.5199999809</v>
      </c>
      <c r="T79" s="235">
        <f t="shared" si="428"/>
        <v>6814041.2699998617</v>
      </c>
      <c r="U79" s="235">
        <f t="shared" si="428"/>
        <v>6243979.0900001526</v>
      </c>
      <c r="V79" s="235">
        <f t="shared" si="428"/>
        <v>6093397.9799998999</v>
      </c>
      <c r="W79" s="235">
        <f t="shared" si="428"/>
        <v>5389783.6300001144</v>
      </c>
      <c r="X79" s="235">
        <f t="shared" si="428"/>
        <v>5235891.2200000286</v>
      </c>
      <c r="Y79" s="235">
        <f t="shared" si="428"/>
        <v>5463026.2200000286</v>
      </c>
      <c r="Z79" s="235">
        <f t="shared" si="428"/>
        <v>4935752.7600001097</v>
      </c>
      <c r="AA79" s="235">
        <f t="shared" si="375"/>
        <v>-29545479.449999809</v>
      </c>
      <c r="AB79" s="235">
        <f>+SUM(AA36:AA38)-SUM(AB36:AB38)</f>
        <v>-31577412.560000017</v>
      </c>
      <c r="AC79" s="235">
        <f t="shared" ref="AC79:AM79" si="429">+SUM(AB35:AB38)-SUM(AC35:AC38)</f>
        <v>1480163.0799999237</v>
      </c>
      <c r="AD79" s="235">
        <f t="shared" si="429"/>
        <v>-789095.51999998093</v>
      </c>
      <c r="AE79" s="235">
        <f t="shared" si="429"/>
        <v>5544630.9199999571</v>
      </c>
      <c r="AF79" s="235">
        <f t="shared" si="429"/>
        <v>5411335.0299999714</v>
      </c>
      <c r="AG79" s="235">
        <f t="shared" si="429"/>
        <v>5705761.0700000525</v>
      </c>
      <c r="AH79" s="235">
        <f t="shared" si="429"/>
        <v>2018681.3700000048</v>
      </c>
      <c r="AI79" s="235">
        <f t="shared" si="429"/>
        <v>4683730.120000124</v>
      </c>
      <c r="AJ79" s="235">
        <f t="shared" si="429"/>
        <v>15043234.470000029</v>
      </c>
      <c r="AK79" s="235">
        <f t="shared" si="429"/>
        <v>3227482.5699999332</v>
      </c>
      <c r="AL79" s="235">
        <f t="shared" si="429"/>
        <v>3297508.3500000238</v>
      </c>
      <c r="AM79" s="235">
        <f t="shared" si="429"/>
        <v>628115.84000003338</v>
      </c>
      <c r="AN79" s="235">
        <f t="shared" si="376"/>
        <v>14674134.740000054</v>
      </c>
      <c r="AO79" s="235">
        <f t="shared" ref="AO79:AZ79" si="430">+SUM(AN36:AN38)-SUM(AO36:AO38)</f>
        <v>-27831090.169999987</v>
      </c>
      <c r="AP79" s="235">
        <f t="shared" si="430"/>
        <v>-39079.170000016689</v>
      </c>
      <c r="AQ79" s="235">
        <f t="shared" si="430"/>
        <v>155078.37000000477</v>
      </c>
      <c r="AR79" s="235">
        <f t="shared" si="430"/>
        <v>2281320.7099999934</v>
      </c>
      <c r="AS79" s="235">
        <f t="shared" si="430"/>
        <v>2980739.0199999958</v>
      </c>
      <c r="AT79" s="235">
        <f t="shared" si="430"/>
        <v>-1886912.9499999881</v>
      </c>
      <c r="AU79" s="235">
        <f t="shared" si="430"/>
        <v>1436495.3999999911</v>
      </c>
      <c r="AV79" s="235">
        <f t="shared" si="430"/>
        <v>-4306842.8800000101</v>
      </c>
      <c r="AW79" s="235">
        <f t="shared" si="430"/>
        <v>52913.850000023842</v>
      </c>
      <c r="AX79" s="235">
        <f t="shared" si="430"/>
        <v>1021508.7599999905</v>
      </c>
      <c r="AY79" s="235">
        <f t="shared" si="430"/>
        <v>273712.68999999762</v>
      </c>
      <c r="AZ79" s="235">
        <f t="shared" si="430"/>
        <v>-2482580.1899999976</v>
      </c>
      <c r="BA79" s="235">
        <f t="shared" si="377"/>
        <v>-28344736.560000002</v>
      </c>
      <c r="BB79" s="235">
        <f t="shared" ref="BB79:BL79" si="431">+SUM(BA36:BA38)-SUM(BB36:BB38)</f>
        <v>-156198160.47</v>
      </c>
      <c r="BC79" s="235">
        <f t="shared" si="431"/>
        <v>-2138469.9799999893</v>
      </c>
      <c r="BD79" s="235">
        <f t="shared" si="431"/>
        <v>2788700.869999975</v>
      </c>
      <c r="BE79" s="235">
        <f t="shared" si="431"/>
        <v>785102.51000005007</v>
      </c>
      <c r="BF79" s="235">
        <f t="shared" si="431"/>
        <v>2196835.7799999714</v>
      </c>
      <c r="BG79" s="235">
        <f t="shared" si="431"/>
        <v>2129425.8100000024</v>
      </c>
      <c r="BH79" s="235">
        <f t="shared" si="431"/>
        <v>-29192275.589999974</v>
      </c>
      <c r="BI79" s="235">
        <f t="shared" si="431"/>
        <v>6953143.5</v>
      </c>
      <c r="BJ79" s="235">
        <f t="shared" si="431"/>
        <v>1078393.2799999714</v>
      </c>
      <c r="BK79" s="235">
        <f t="shared" si="431"/>
        <v>-1232614.5399999619</v>
      </c>
      <c r="BL79" s="235">
        <f t="shared" si="431"/>
        <v>-1212206.2400000095</v>
      </c>
      <c r="BM79" s="235">
        <f t="shared" ref="BM79:BZ79" si="432">+SUM(BL36:BL38)-SUM(BM36:BM38)</f>
        <v>-19782984.25</v>
      </c>
      <c r="BN79" s="235">
        <f t="shared" si="394"/>
        <v>-193825109.31999996</v>
      </c>
      <c r="BO79" s="235">
        <f t="shared" si="432"/>
        <v>6289234.3399999738</v>
      </c>
      <c r="BP79" s="235">
        <f t="shared" si="432"/>
        <v>-646311.07999998331</v>
      </c>
      <c r="BQ79" s="235">
        <f t="shared" si="432"/>
        <v>-43887.97000002861</v>
      </c>
      <c r="BR79" s="235">
        <f t="shared" si="432"/>
        <v>1012307.4300000072</v>
      </c>
      <c r="BS79" s="235">
        <f t="shared" si="432"/>
        <v>-1201383.9599999785</v>
      </c>
      <c r="BT79" s="235">
        <f t="shared" si="432"/>
        <v>24718143.279999971</v>
      </c>
      <c r="BU79" s="235">
        <f t="shared" si="432"/>
        <v>0</v>
      </c>
      <c r="BV79" s="235">
        <f t="shared" si="432"/>
        <v>0</v>
      </c>
      <c r="BW79" s="235">
        <f t="shared" si="432"/>
        <v>0</v>
      </c>
      <c r="BX79" s="235">
        <f t="shared" si="432"/>
        <v>0</v>
      </c>
      <c r="BY79" s="235">
        <f t="shared" si="432"/>
        <v>0</v>
      </c>
      <c r="BZ79" s="235">
        <f t="shared" si="432"/>
        <v>0</v>
      </c>
      <c r="CA79" s="235">
        <f t="shared" si="379"/>
        <v>30128102.039999962</v>
      </c>
      <c r="CB79" s="235">
        <f t="shared" ref="CB79:CM79" si="433">+SUM(CA36:CA38)-SUM(CB36:CB38)</f>
        <v>0</v>
      </c>
      <c r="CC79" s="235">
        <f t="shared" si="433"/>
        <v>0</v>
      </c>
      <c r="CD79" s="235">
        <f t="shared" si="433"/>
        <v>0</v>
      </c>
      <c r="CE79" s="235">
        <f t="shared" si="433"/>
        <v>0</v>
      </c>
      <c r="CF79" s="235">
        <f t="shared" si="433"/>
        <v>0</v>
      </c>
      <c r="CG79" s="235">
        <f t="shared" si="433"/>
        <v>0</v>
      </c>
      <c r="CH79" s="235">
        <f t="shared" si="433"/>
        <v>0</v>
      </c>
      <c r="CI79" s="235">
        <f t="shared" si="433"/>
        <v>0</v>
      </c>
      <c r="CJ79" s="235">
        <f t="shared" si="433"/>
        <v>0</v>
      </c>
      <c r="CK79" s="235">
        <f t="shared" si="433"/>
        <v>0</v>
      </c>
      <c r="CL79" s="235">
        <f t="shared" si="433"/>
        <v>0</v>
      </c>
      <c r="CM79" s="235">
        <f t="shared" si="433"/>
        <v>0</v>
      </c>
      <c r="CN79" s="235">
        <f t="shared" si="381"/>
        <v>0</v>
      </c>
      <c r="CO79" s="235">
        <f t="shared" ref="CO79:DM79" si="434">+SUM(CN36:CN38)-SUM(CO36:CO38)</f>
        <v>0</v>
      </c>
      <c r="CP79" s="235">
        <f t="shared" si="434"/>
        <v>0</v>
      </c>
      <c r="CQ79" s="235">
        <f t="shared" si="434"/>
        <v>0</v>
      </c>
      <c r="CR79" s="235">
        <f t="shared" si="434"/>
        <v>0</v>
      </c>
      <c r="CS79" s="235">
        <f t="shared" si="434"/>
        <v>0</v>
      </c>
      <c r="CT79" s="235">
        <f t="shared" si="434"/>
        <v>0</v>
      </c>
      <c r="CU79" s="235">
        <f t="shared" si="434"/>
        <v>0</v>
      </c>
      <c r="CV79" s="235">
        <f t="shared" si="434"/>
        <v>0</v>
      </c>
      <c r="CW79" s="235">
        <f t="shared" si="434"/>
        <v>0</v>
      </c>
      <c r="CX79" s="235">
        <f t="shared" si="434"/>
        <v>0</v>
      </c>
      <c r="CY79" s="235">
        <f t="shared" si="434"/>
        <v>0</v>
      </c>
      <c r="CZ79" s="235">
        <f t="shared" si="434"/>
        <v>0</v>
      </c>
      <c r="DA79" s="235">
        <f t="shared" si="434"/>
        <v>0</v>
      </c>
      <c r="DB79" s="235">
        <f t="shared" si="434"/>
        <v>0</v>
      </c>
      <c r="DC79" s="235">
        <f t="shared" si="434"/>
        <v>0</v>
      </c>
      <c r="DD79" s="235">
        <f t="shared" si="434"/>
        <v>0</v>
      </c>
      <c r="DE79" s="235">
        <f t="shared" si="434"/>
        <v>0</v>
      </c>
      <c r="DF79" s="235">
        <f t="shared" si="434"/>
        <v>0</v>
      </c>
      <c r="DG79" s="235">
        <f t="shared" si="434"/>
        <v>0</v>
      </c>
      <c r="DH79" s="235">
        <f t="shared" si="434"/>
        <v>0</v>
      </c>
      <c r="DI79" s="235">
        <f t="shared" si="434"/>
        <v>0</v>
      </c>
      <c r="DJ79" s="235">
        <f t="shared" si="434"/>
        <v>0</v>
      </c>
      <c r="DK79" s="235">
        <f t="shared" si="434"/>
        <v>0</v>
      </c>
      <c r="DL79" s="235">
        <f t="shared" si="434"/>
        <v>0</v>
      </c>
      <c r="DM79" s="235">
        <f t="shared" si="434"/>
        <v>0</v>
      </c>
      <c r="DN79" s="235">
        <f t="shared" si="385"/>
        <v>0</v>
      </c>
      <c r="DO79" s="235">
        <f t="shared" ref="DO79:DZ79" si="435">+SUM(DN36:DN38)-SUM(DO36:DO38)</f>
        <v>0</v>
      </c>
      <c r="DP79" s="235">
        <f t="shared" si="435"/>
        <v>0</v>
      </c>
      <c r="DQ79" s="235">
        <f t="shared" si="435"/>
        <v>0</v>
      </c>
      <c r="DR79" s="235">
        <f t="shared" si="435"/>
        <v>0</v>
      </c>
      <c r="DS79" s="235">
        <f t="shared" si="435"/>
        <v>0</v>
      </c>
      <c r="DT79" s="235">
        <f t="shared" si="435"/>
        <v>0</v>
      </c>
      <c r="DU79" s="235">
        <f t="shared" si="435"/>
        <v>0</v>
      </c>
      <c r="DV79" s="235">
        <f t="shared" si="435"/>
        <v>0</v>
      </c>
      <c r="DW79" s="235">
        <f t="shared" si="435"/>
        <v>0</v>
      </c>
      <c r="DX79" s="235">
        <f t="shared" si="435"/>
        <v>0</v>
      </c>
      <c r="DY79" s="235">
        <f t="shared" si="435"/>
        <v>0</v>
      </c>
      <c r="DZ79" s="235">
        <f t="shared" si="435"/>
        <v>0</v>
      </c>
      <c r="EA79" s="235">
        <f t="shared" si="387"/>
        <v>0</v>
      </c>
      <c r="EB79" s="235">
        <f t="shared" ref="EB79:EM79" si="436">+SUM(EA36:EA38)-SUM(EB36:EB38)</f>
        <v>0</v>
      </c>
      <c r="EC79" s="235">
        <f t="shared" si="436"/>
        <v>0</v>
      </c>
      <c r="ED79" s="235">
        <f t="shared" si="436"/>
        <v>0</v>
      </c>
      <c r="EE79" s="235">
        <f t="shared" si="436"/>
        <v>0</v>
      </c>
      <c r="EF79" s="235">
        <f t="shared" si="436"/>
        <v>0</v>
      </c>
      <c r="EG79" s="235">
        <f t="shared" si="436"/>
        <v>0</v>
      </c>
      <c r="EH79" s="235">
        <f t="shared" si="436"/>
        <v>0</v>
      </c>
      <c r="EI79" s="235">
        <f t="shared" si="436"/>
        <v>0</v>
      </c>
      <c r="EJ79" s="235">
        <f t="shared" si="436"/>
        <v>0</v>
      </c>
      <c r="EK79" s="235">
        <f t="shared" si="436"/>
        <v>0</v>
      </c>
      <c r="EL79" s="235">
        <f t="shared" si="436"/>
        <v>0</v>
      </c>
      <c r="EM79" s="235">
        <f t="shared" si="436"/>
        <v>0</v>
      </c>
      <c r="EN79" s="235">
        <f t="shared" si="373"/>
        <v>0</v>
      </c>
    </row>
    <row r="80" spans="1:144" s="235" customFormat="1" x14ac:dyDescent="0.25">
      <c r="A80" s="218" t="s">
        <v>414</v>
      </c>
      <c r="B80" s="235" t="e">
        <f>+SUM(B54:B55)-SUM(#REF!)</f>
        <v>#REF!</v>
      </c>
      <c r="C80" s="235">
        <f t="shared" ref="C80:M80" si="437">+SUM(C54:C55)-SUM(B54:B55)</f>
        <v>778714.22999999672</v>
      </c>
      <c r="D80" s="235">
        <f t="shared" si="437"/>
        <v>-241976.60000000149</v>
      </c>
      <c r="E80" s="235">
        <f t="shared" si="437"/>
        <v>-81040.759999997914</v>
      </c>
      <c r="F80" s="235">
        <f t="shared" si="437"/>
        <v>765415.20000000298</v>
      </c>
      <c r="G80" s="235">
        <f t="shared" si="437"/>
        <v>153572.8599999994</v>
      </c>
      <c r="H80" s="235">
        <f t="shared" si="437"/>
        <v>-315240.93999999762</v>
      </c>
      <c r="I80" s="235">
        <f t="shared" si="437"/>
        <v>-91359.310000002384</v>
      </c>
      <c r="J80" s="235">
        <f t="shared" si="437"/>
        <v>2257377.5</v>
      </c>
      <c r="K80" s="235">
        <f t="shared" si="437"/>
        <v>-203396.46999999881</v>
      </c>
      <c r="L80" s="235">
        <f t="shared" si="437"/>
        <v>401846.59000000358</v>
      </c>
      <c r="M80" s="235">
        <f t="shared" si="437"/>
        <v>-405712.81000000238</v>
      </c>
      <c r="N80" s="235" t="e">
        <f t="shared" si="374"/>
        <v>#REF!</v>
      </c>
      <c r="O80" s="235">
        <f>+SUM(O54:O55)-SUM(A54:A55)</f>
        <v>47342309.219999999</v>
      </c>
      <c r="P80" s="235">
        <f t="shared" ref="P80:Z80" si="438">+SUM(P54:P55)-SUM(O54:O55)</f>
        <v>540939.28000000119</v>
      </c>
      <c r="Q80" s="235">
        <f t="shared" si="438"/>
        <v>4107575.6499999985</v>
      </c>
      <c r="R80" s="235">
        <f t="shared" si="438"/>
        <v>407478.29999999702</v>
      </c>
      <c r="S80" s="235">
        <f t="shared" si="438"/>
        <v>218191.29999999702</v>
      </c>
      <c r="T80" s="235">
        <f t="shared" si="438"/>
        <v>-2229178.1199999973</v>
      </c>
      <c r="U80" s="235">
        <f t="shared" si="438"/>
        <v>593100.34000000358</v>
      </c>
      <c r="V80" s="235">
        <f t="shared" si="438"/>
        <v>551185.86999999732</v>
      </c>
      <c r="W80" s="235">
        <f t="shared" si="438"/>
        <v>-1783894.9200000018</v>
      </c>
      <c r="X80" s="235">
        <f t="shared" si="438"/>
        <v>497491.3200000003</v>
      </c>
      <c r="Y80" s="235">
        <f t="shared" si="438"/>
        <v>169756.00999999791</v>
      </c>
      <c r="Z80" s="235">
        <f t="shared" si="438"/>
        <v>633310.84000000358</v>
      </c>
      <c r="AA80" s="235">
        <f t="shared" si="375"/>
        <v>51048265.089999996</v>
      </c>
      <c r="AB80" s="235">
        <f t="shared" ref="AB80:AM80" si="439">+SUM(AB54:AB55)-SUM(AA54:AA55)</f>
        <v>-95779.329999998212</v>
      </c>
      <c r="AC80" s="235">
        <f t="shared" si="439"/>
        <v>-473852.38000000268</v>
      </c>
      <c r="AD80" s="235">
        <f t="shared" si="439"/>
        <v>475617.21999999881</v>
      </c>
      <c r="AE80" s="235">
        <f t="shared" si="439"/>
        <v>397468.77000000328</v>
      </c>
      <c r="AF80" s="235">
        <f t="shared" si="439"/>
        <v>575.39999999850988</v>
      </c>
      <c r="AG80" s="235">
        <f t="shared" si="439"/>
        <v>1905401.4299999997</v>
      </c>
      <c r="AH80" s="235">
        <f t="shared" si="439"/>
        <v>-413680.04999999702</v>
      </c>
      <c r="AI80" s="235">
        <f t="shared" si="439"/>
        <v>-2312380.3900000006</v>
      </c>
      <c r="AJ80" s="235">
        <f t="shared" si="439"/>
        <v>491183.21999999881</v>
      </c>
      <c r="AK80" s="235">
        <f t="shared" si="439"/>
        <v>-220321.04999999702</v>
      </c>
      <c r="AL80" s="235">
        <f t="shared" si="439"/>
        <v>-182432.99000000209</v>
      </c>
      <c r="AM80" s="235">
        <f t="shared" si="439"/>
        <v>-1118038.6000000015</v>
      </c>
      <c r="AN80" s="235">
        <f t="shared" si="376"/>
        <v>-1546238.75</v>
      </c>
      <c r="AO80" s="235">
        <f>+SUM(AO54:AO55)-SUM(AN54:AN55)+AO52-AN52</f>
        <v>975162.03000000725</v>
      </c>
      <c r="AP80" s="235">
        <f t="shared" ref="AP80:AZ80" si="440">+SUM(AP54:AP55)-SUM(AO54:AO55)</f>
        <v>722785.31000000238</v>
      </c>
      <c r="AQ80" s="235">
        <f t="shared" si="440"/>
        <v>1370345.3699999973</v>
      </c>
      <c r="AR80" s="235">
        <f t="shared" si="440"/>
        <v>-1839795.5399999991</v>
      </c>
      <c r="AS80" s="235">
        <f t="shared" si="440"/>
        <v>-769278.66000000387</v>
      </c>
      <c r="AT80" s="235">
        <f t="shared" si="440"/>
        <v>113471.00999999791</v>
      </c>
      <c r="AU80" s="235">
        <f t="shared" si="440"/>
        <v>-592598.82999999821</v>
      </c>
      <c r="AV80" s="235">
        <f t="shared" si="440"/>
        <v>438140.54999999702</v>
      </c>
      <c r="AW80" s="235">
        <f t="shared" si="440"/>
        <v>4063036.799999997</v>
      </c>
      <c r="AX80" s="235">
        <f t="shared" si="440"/>
        <v>738863.50999999791</v>
      </c>
      <c r="AY80" s="235">
        <f t="shared" si="440"/>
        <v>718013.25</v>
      </c>
      <c r="AZ80" s="235">
        <f t="shared" si="440"/>
        <v>322395.36999999732</v>
      </c>
      <c r="BA80" s="235">
        <f t="shared" si="377"/>
        <v>6260540.1699999925</v>
      </c>
      <c r="BB80" s="235">
        <f>+SUM(BB54:BB55)-SUM(BA54:BA55)+BB52-BA52</f>
        <v>252421043.31</v>
      </c>
      <c r="BC80" s="235">
        <f t="shared" ref="BC80:BL80" si="441">+SUM(BC54:BC55)-SUM(BB54:BB55)</f>
        <v>510791.60000000149</v>
      </c>
      <c r="BD80" s="235">
        <f t="shared" si="441"/>
        <v>622818.96999999881</v>
      </c>
      <c r="BE80" s="235">
        <f t="shared" si="441"/>
        <v>-1663582.090000011</v>
      </c>
      <c r="BF80" s="235">
        <f t="shared" si="441"/>
        <v>-1584386.0599999949</v>
      </c>
      <c r="BG80" s="235">
        <f t="shared" si="441"/>
        <v>-3550766.8199999928</v>
      </c>
      <c r="BH80" s="235">
        <f t="shared" si="441"/>
        <v>-198889.46000000089</v>
      </c>
      <c r="BI80" s="235">
        <f t="shared" si="441"/>
        <v>201433.78000000119</v>
      </c>
      <c r="BJ80" s="235">
        <f t="shared" si="441"/>
        <v>1314408.9499999955</v>
      </c>
      <c r="BK80" s="235">
        <f t="shared" si="441"/>
        <v>-176166.1400000006</v>
      </c>
      <c r="BL80" s="235">
        <f t="shared" si="441"/>
        <v>508002.54999999702</v>
      </c>
      <c r="BM80" s="235">
        <f t="shared" ref="BM80:BZ80" si="442">+SUM(BM54:BM55)-SUM(BL54:BL55)</f>
        <v>1160032.5800000057</v>
      </c>
      <c r="BN80" s="235">
        <f t="shared" si="394"/>
        <v>249564741.16999999</v>
      </c>
      <c r="BO80" s="235">
        <f t="shared" si="442"/>
        <v>535465.50999999791</v>
      </c>
      <c r="BP80" s="235">
        <f t="shared" si="442"/>
        <v>356891.44999999553</v>
      </c>
      <c r="BQ80" s="235">
        <f t="shared" si="442"/>
        <v>1457579.2800000086</v>
      </c>
      <c r="BR80" s="235">
        <f t="shared" si="442"/>
        <v>515493.79999998957</v>
      </c>
      <c r="BS80" s="235">
        <f t="shared" si="442"/>
        <v>352496.12000000477</v>
      </c>
      <c r="BT80" s="235">
        <f t="shared" si="442"/>
        <v>1079574.5300000012</v>
      </c>
      <c r="BU80" s="235">
        <f t="shared" si="442"/>
        <v>0</v>
      </c>
      <c r="BV80" s="235">
        <f t="shared" si="442"/>
        <v>0</v>
      </c>
      <c r="BW80" s="235">
        <f t="shared" si="442"/>
        <v>0</v>
      </c>
      <c r="BX80" s="235">
        <f t="shared" si="442"/>
        <v>0</v>
      </c>
      <c r="BY80" s="235">
        <f t="shared" si="442"/>
        <v>0</v>
      </c>
      <c r="BZ80" s="235">
        <f t="shared" si="442"/>
        <v>0</v>
      </c>
      <c r="CA80" s="235">
        <f t="shared" si="379"/>
        <v>4297500.6899999976</v>
      </c>
      <c r="CB80" s="235">
        <f t="shared" ref="CB80:CM80" si="443">+SUM(CB54:CB55)-SUM(CA54:CA55)</f>
        <v>0</v>
      </c>
      <c r="CC80" s="235">
        <f t="shared" si="443"/>
        <v>0</v>
      </c>
      <c r="CD80" s="235">
        <f t="shared" si="443"/>
        <v>0</v>
      </c>
      <c r="CE80" s="235">
        <f t="shared" si="443"/>
        <v>0</v>
      </c>
      <c r="CF80" s="235">
        <f t="shared" si="443"/>
        <v>0</v>
      </c>
      <c r="CG80" s="235">
        <f t="shared" si="443"/>
        <v>0</v>
      </c>
      <c r="CH80" s="235">
        <f t="shared" si="443"/>
        <v>0</v>
      </c>
      <c r="CI80" s="235">
        <f t="shared" si="443"/>
        <v>0</v>
      </c>
      <c r="CJ80" s="235">
        <f t="shared" si="443"/>
        <v>0</v>
      </c>
      <c r="CK80" s="235">
        <f t="shared" si="443"/>
        <v>0</v>
      </c>
      <c r="CL80" s="235">
        <f t="shared" si="443"/>
        <v>0</v>
      </c>
      <c r="CM80" s="235">
        <f t="shared" si="443"/>
        <v>0</v>
      </c>
      <c r="CN80" s="235">
        <f t="shared" si="381"/>
        <v>0</v>
      </c>
      <c r="CO80" s="235">
        <f t="shared" ref="CO80:CZ80" si="444">+SUM(CO54:CO55)-SUM(CN54:CN55)</f>
        <v>0</v>
      </c>
      <c r="CP80" s="235">
        <f t="shared" si="444"/>
        <v>0</v>
      </c>
      <c r="CQ80" s="235">
        <f t="shared" si="444"/>
        <v>0</v>
      </c>
      <c r="CR80" s="235">
        <f t="shared" si="444"/>
        <v>0</v>
      </c>
      <c r="CS80" s="235">
        <f t="shared" si="444"/>
        <v>0</v>
      </c>
      <c r="CT80" s="235">
        <f t="shared" si="444"/>
        <v>0</v>
      </c>
      <c r="CU80" s="235">
        <f t="shared" si="444"/>
        <v>0</v>
      </c>
      <c r="CV80" s="235">
        <f t="shared" si="444"/>
        <v>0</v>
      </c>
      <c r="CW80" s="235">
        <f t="shared" si="444"/>
        <v>0</v>
      </c>
      <c r="CX80" s="235">
        <f t="shared" si="444"/>
        <v>0</v>
      </c>
      <c r="CY80" s="235">
        <f t="shared" si="444"/>
        <v>0</v>
      </c>
      <c r="CZ80" s="235">
        <f t="shared" si="444"/>
        <v>0</v>
      </c>
      <c r="DA80" s="235">
        <f t="shared" si="383"/>
        <v>0</v>
      </c>
      <c r="DB80" s="235">
        <f t="shared" ref="DB80:DM80" si="445">+SUM(DB54:DB55)-SUM(DA54:DA55)</f>
        <v>0</v>
      </c>
      <c r="DC80" s="235">
        <f t="shared" si="445"/>
        <v>0</v>
      </c>
      <c r="DD80" s="235">
        <f t="shared" si="445"/>
        <v>0</v>
      </c>
      <c r="DE80" s="235">
        <f t="shared" si="445"/>
        <v>0</v>
      </c>
      <c r="DF80" s="235">
        <f t="shared" si="445"/>
        <v>0</v>
      </c>
      <c r="DG80" s="235">
        <f t="shared" si="445"/>
        <v>0</v>
      </c>
      <c r="DH80" s="235">
        <f t="shared" si="445"/>
        <v>0</v>
      </c>
      <c r="DI80" s="235">
        <f t="shared" si="445"/>
        <v>0</v>
      </c>
      <c r="DJ80" s="235">
        <f t="shared" si="445"/>
        <v>0</v>
      </c>
      <c r="DK80" s="235">
        <f t="shared" si="445"/>
        <v>0</v>
      </c>
      <c r="DL80" s="235">
        <f t="shared" si="445"/>
        <v>0</v>
      </c>
      <c r="DM80" s="235">
        <f t="shared" si="445"/>
        <v>0</v>
      </c>
      <c r="DN80" s="235">
        <f t="shared" si="385"/>
        <v>0</v>
      </c>
      <c r="DO80" s="235">
        <f t="shared" ref="DO80:DZ80" si="446">+SUM(DO54:DO55)-SUM(DN54:DN55)</f>
        <v>0</v>
      </c>
      <c r="DP80" s="235">
        <f t="shared" si="446"/>
        <v>0</v>
      </c>
      <c r="DQ80" s="235">
        <f t="shared" si="446"/>
        <v>0</v>
      </c>
      <c r="DR80" s="235">
        <f t="shared" si="446"/>
        <v>0</v>
      </c>
      <c r="DS80" s="235">
        <f t="shared" si="446"/>
        <v>0</v>
      </c>
      <c r="DT80" s="235">
        <f t="shared" si="446"/>
        <v>0</v>
      </c>
      <c r="DU80" s="235">
        <f t="shared" si="446"/>
        <v>0</v>
      </c>
      <c r="DV80" s="235">
        <f t="shared" si="446"/>
        <v>0</v>
      </c>
      <c r="DW80" s="235">
        <f t="shared" si="446"/>
        <v>0</v>
      </c>
      <c r="DX80" s="235">
        <f t="shared" si="446"/>
        <v>0</v>
      </c>
      <c r="DY80" s="235">
        <f t="shared" si="446"/>
        <v>0</v>
      </c>
      <c r="DZ80" s="235">
        <f t="shared" si="446"/>
        <v>0</v>
      </c>
      <c r="EA80" s="235">
        <f t="shared" si="387"/>
        <v>0</v>
      </c>
      <c r="EB80" s="235">
        <f t="shared" ref="EB80:EM80" si="447">+SUM(EB54:EB55)-SUM(EA54:EA55)</f>
        <v>0</v>
      </c>
      <c r="EC80" s="235">
        <f t="shared" si="447"/>
        <v>0</v>
      </c>
      <c r="ED80" s="235">
        <f t="shared" si="447"/>
        <v>0</v>
      </c>
      <c r="EE80" s="235">
        <f t="shared" si="447"/>
        <v>0</v>
      </c>
      <c r="EF80" s="235">
        <f t="shared" si="447"/>
        <v>0</v>
      </c>
      <c r="EG80" s="235">
        <f t="shared" si="447"/>
        <v>0</v>
      </c>
      <c r="EH80" s="235">
        <f t="shared" si="447"/>
        <v>0</v>
      </c>
      <c r="EI80" s="235">
        <f t="shared" si="447"/>
        <v>0</v>
      </c>
      <c r="EJ80" s="235">
        <f t="shared" si="447"/>
        <v>0</v>
      </c>
      <c r="EK80" s="235">
        <f t="shared" si="447"/>
        <v>0</v>
      </c>
      <c r="EL80" s="235">
        <f t="shared" si="447"/>
        <v>0</v>
      </c>
      <c r="EM80" s="235">
        <f t="shared" si="447"/>
        <v>0</v>
      </c>
      <c r="EN80" s="235">
        <f t="shared" si="373"/>
        <v>0</v>
      </c>
    </row>
    <row r="81" spans="1:144" s="235" customFormat="1" x14ac:dyDescent="0.25">
      <c r="A81" s="218" t="s">
        <v>415</v>
      </c>
      <c r="B81" s="235" t="e">
        <f>+#REF!-B35-B75</f>
        <v>#REF!</v>
      </c>
      <c r="C81" s="235">
        <f t="shared" ref="C81:M81" si="448">+B35-C35-C75</f>
        <v>-1342204.189999938</v>
      </c>
      <c r="D81" s="235">
        <f t="shared" si="448"/>
        <v>-1123824.2000000477</v>
      </c>
      <c r="E81" s="235">
        <f t="shared" si="448"/>
        <v>-1140861.0299998522</v>
      </c>
      <c r="F81" s="235">
        <f t="shared" si="448"/>
        <v>-1200170.0800000429</v>
      </c>
      <c r="G81" s="235">
        <f t="shared" si="448"/>
        <v>-1122873.3899999857</v>
      </c>
      <c r="H81" s="235">
        <f t="shared" si="448"/>
        <v>-656173.88999998569</v>
      </c>
      <c r="I81" s="235">
        <f t="shared" si="448"/>
        <v>-19932776.269999862</v>
      </c>
      <c r="J81" s="235">
        <f t="shared" si="448"/>
        <v>-7749117.6100001335</v>
      </c>
      <c r="K81" s="235">
        <f t="shared" si="448"/>
        <v>-113020.72999989986</v>
      </c>
      <c r="L81" s="235">
        <f t="shared" si="448"/>
        <v>-1310816.8599998951</v>
      </c>
      <c r="M81" s="235">
        <f t="shared" si="448"/>
        <v>-1127863.5399999619</v>
      </c>
      <c r="N81" s="235" t="e">
        <f t="shared" si="374"/>
        <v>#REF!</v>
      </c>
      <c r="O81" s="235" t="e">
        <f>+A35-O35-O75</f>
        <v>#VALUE!</v>
      </c>
      <c r="P81" s="235">
        <f t="shared" ref="P81:Z81" si="449">+O35-P35-P75</f>
        <v>-690669.96000003815</v>
      </c>
      <c r="Q81" s="235">
        <f t="shared" si="449"/>
        <v>-464122.76999998093</v>
      </c>
      <c r="R81" s="235">
        <f t="shared" si="449"/>
        <v>-317375.10000002384</v>
      </c>
      <c r="S81" s="235">
        <f t="shared" si="449"/>
        <v>-865737.12999999523</v>
      </c>
      <c r="T81" s="235">
        <f t="shared" si="449"/>
        <v>-129594.73000013828</v>
      </c>
      <c r="U81" s="235">
        <f t="shared" si="449"/>
        <v>-599257.67999994755</v>
      </c>
      <c r="V81" s="235">
        <f t="shared" si="449"/>
        <v>-523790.70999991894</v>
      </c>
      <c r="W81" s="235">
        <f t="shared" si="449"/>
        <v>-742972.91999995708</v>
      </c>
      <c r="X81" s="235">
        <f t="shared" si="449"/>
        <v>-867146.99999988079</v>
      </c>
      <c r="Y81" s="235">
        <f t="shared" si="449"/>
        <v>-204966.42000007629</v>
      </c>
      <c r="Z81" s="235">
        <f t="shared" si="449"/>
        <v>-488099.44999992847</v>
      </c>
      <c r="AA81" s="235" t="e">
        <f t="shared" si="375"/>
        <v>#VALUE!</v>
      </c>
      <c r="AB81" s="235">
        <f t="shared" ref="AB81:AM81" si="450">+AA35-AB35-AB75</f>
        <v>-846990.37000381947</v>
      </c>
      <c r="AC81" s="235">
        <f t="shared" si="450"/>
        <v>-561701.04000008106</v>
      </c>
      <c r="AD81" s="235">
        <f t="shared" si="450"/>
        <v>-1190733.3700000048</v>
      </c>
      <c r="AE81" s="235">
        <f t="shared" si="450"/>
        <v>-1469072.439999938</v>
      </c>
      <c r="AF81" s="235">
        <f t="shared" si="450"/>
        <v>-1674857.5499999523</v>
      </c>
      <c r="AG81" s="235">
        <f t="shared" si="450"/>
        <v>-1421186.9800000191</v>
      </c>
      <c r="AH81" s="235">
        <f t="shared" si="450"/>
        <v>-4411344.4800000191</v>
      </c>
      <c r="AI81" s="235">
        <f t="shared" si="450"/>
        <v>-1704316.7700001001</v>
      </c>
      <c r="AJ81" s="235">
        <f t="shared" si="450"/>
        <v>7179907.4400000572</v>
      </c>
      <c r="AK81" s="235">
        <f t="shared" si="450"/>
        <v>-2624687.7599998713</v>
      </c>
      <c r="AL81" s="235">
        <f t="shared" si="450"/>
        <v>-2321915.3499999046</v>
      </c>
      <c r="AM81" s="235">
        <f t="shared" si="450"/>
        <v>-3216515.9499999285</v>
      </c>
      <c r="AN81" s="235">
        <f t="shared" si="376"/>
        <v>-14263414.620003581</v>
      </c>
      <c r="AO81" s="235">
        <f t="shared" ref="AO81:AZ81" si="451">+AN35-AO35-AO75</f>
        <v>-2389274.3700004816</v>
      </c>
      <c r="AP81" s="235">
        <f t="shared" si="451"/>
        <v>-2300391.25</v>
      </c>
      <c r="AQ81" s="235">
        <f t="shared" si="451"/>
        <v>-2335433.379999876</v>
      </c>
      <c r="AR81" s="235">
        <f t="shared" si="451"/>
        <v>-2367648.7300000191</v>
      </c>
      <c r="AS81" s="235">
        <f t="shared" si="451"/>
        <v>-1647603.6200000048</v>
      </c>
      <c r="AT81" s="235">
        <f t="shared" si="451"/>
        <v>-2166207.0899999142</v>
      </c>
      <c r="AU81" s="235">
        <f t="shared" si="451"/>
        <v>-2485117.0099999905</v>
      </c>
      <c r="AV81" s="235">
        <f t="shared" si="451"/>
        <v>432437.08000016212</v>
      </c>
      <c r="AW81" s="235">
        <f t="shared" si="451"/>
        <v>-1500611.7900000811</v>
      </c>
      <c r="AX81" s="235">
        <f t="shared" si="451"/>
        <v>-1380366.8199999332</v>
      </c>
      <c r="AY81" s="235">
        <f t="shared" si="451"/>
        <v>-2265681.3199999332</v>
      </c>
      <c r="AZ81" s="235">
        <f t="shared" si="451"/>
        <v>-2102852.9600000381</v>
      </c>
      <c r="BA81" s="235">
        <f t="shared" si="377"/>
        <v>-22508751.26000011</v>
      </c>
      <c r="BB81" s="235">
        <f t="shared" ref="BB81:BL81" si="452">+BA35-BB35-BB75</f>
        <v>1056666.379999876</v>
      </c>
      <c r="BC81" s="235">
        <f t="shared" si="452"/>
        <v>-2762915.7899998426</v>
      </c>
      <c r="BD81" s="235">
        <f t="shared" si="452"/>
        <v>-2982097.2600001097</v>
      </c>
      <c r="BE81" s="235">
        <f t="shared" si="452"/>
        <v>-3585553.9600000381</v>
      </c>
      <c r="BF81" s="235">
        <f t="shared" si="452"/>
        <v>-2928358.2799999714</v>
      </c>
      <c r="BG81" s="235">
        <f t="shared" si="452"/>
        <v>-3308390.4800000191</v>
      </c>
      <c r="BH81" s="235">
        <f t="shared" si="452"/>
        <v>-24410088.119999886</v>
      </c>
      <c r="BI81" s="235">
        <f t="shared" si="452"/>
        <v>-4919899.4000002146</v>
      </c>
      <c r="BJ81" s="235">
        <f t="shared" si="452"/>
        <v>-7378807.8599997759</v>
      </c>
      <c r="BK81" s="235">
        <f t="shared" si="452"/>
        <v>-7323202.6100001335</v>
      </c>
      <c r="BL81" s="235">
        <f t="shared" si="452"/>
        <v>-9433420.8099999428</v>
      </c>
      <c r="BM81" s="235">
        <f t="shared" ref="BM81:BZ81" si="453">+BL35-BM35-BM75</f>
        <v>-10537428.290000081</v>
      </c>
      <c r="BN81" s="235">
        <f t="shared" si="394"/>
        <v>-78513496.480000138</v>
      </c>
      <c r="BO81" s="235">
        <f>+BN35-BO35-BO75</f>
        <v>-19246135.529999971</v>
      </c>
      <c r="BP81" s="235">
        <f t="shared" si="453"/>
        <v>-12442200.399999976</v>
      </c>
      <c r="BQ81" s="235">
        <f t="shared" si="453"/>
        <v>-14813332.159999847</v>
      </c>
      <c r="BR81" s="235">
        <f t="shared" si="453"/>
        <v>-18477970.580000281</v>
      </c>
      <c r="BS81" s="235">
        <f>+BR35-BS35-BS75</f>
        <v>-20694909.899999976</v>
      </c>
      <c r="BT81" s="235">
        <f>+BS35-BT35-BT75</f>
        <v>-20909053.620000005</v>
      </c>
      <c r="BU81" s="235">
        <f t="shared" si="453"/>
        <v>-3309490.1250312328</v>
      </c>
      <c r="BV81" s="235">
        <f t="shared" si="453"/>
        <v>-3309490.1250312328</v>
      </c>
      <c r="BW81" s="235">
        <f t="shared" si="453"/>
        <v>-3309490.1250312328</v>
      </c>
      <c r="BX81" s="235">
        <f t="shared" si="453"/>
        <v>-3309490.1250312328</v>
      </c>
      <c r="BY81" s="235">
        <f t="shared" si="453"/>
        <v>-3309490.1250312328</v>
      </c>
      <c r="BZ81" s="235">
        <f t="shared" si="453"/>
        <v>-3309490.1250312328</v>
      </c>
      <c r="CA81" s="235">
        <f t="shared" si="379"/>
        <v>-126440542.94018745</v>
      </c>
      <c r="CB81" s="235">
        <f t="shared" ref="CB81:CM81" si="454">+CA35-CB35-CB75</f>
        <v>-9769570.8188509941</v>
      </c>
      <c r="CC81" s="235">
        <f t="shared" si="454"/>
        <v>-9769570.8188509941</v>
      </c>
      <c r="CD81" s="235">
        <f t="shared" si="454"/>
        <v>-9769570.8188509941</v>
      </c>
      <c r="CE81" s="235">
        <f t="shared" si="454"/>
        <v>-9769570.8188509941</v>
      </c>
      <c r="CF81" s="235">
        <f t="shared" si="454"/>
        <v>-9769570.8188509941</v>
      </c>
      <c r="CG81" s="235">
        <f t="shared" si="454"/>
        <v>-9769570.8188509941</v>
      </c>
      <c r="CH81" s="235">
        <f t="shared" si="454"/>
        <v>-9769570.8188509941</v>
      </c>
      <c r="CI81" s="235">
        <f t="shared" si="454"/>
        <v>-9769570.8188509941</v>
      </c>
      <c r="CJ81" s="235">
        <f t="shared" si="454"/>
        <v>-9769570.8188509941</v>
      </c>
      <c r="CK81" s="235">
        <f t="shared" si="454"/>
        <v>-9769570.8188509941</v>
      </c>
      <c r="CL81" s="235">
        <f t="shared" si="454"/>
        <v>-9769570.8188509941</v>
      </c>
      <c r="CM81" s="235">
        <f t="shared" si="454"/>
        <v>-9769570.8188509941</v>
      </c>
      <c r="CN81" s="235">
        <f t="shared" si="381"/>
        <v>-117234849.82621193</v>
      </c>
      <c r="CO81" s="235">
        <f t="shared" ref="CO81:CZ81" si="455">+CN35-CO35-CO75</f>
        <v>-10470559.287500024</v>
      </c>
      <c r="CP81" s="235">
        <f t="shared" si="455"/>
        <v>-10470559.287500024</v>
      </c>
      <c r="CQ81" s="235">
        <f t="shared" si="455"/>
        <v>-10470559.287500024</v>
      </c>
      <c r="CR81" s="235">
        <f t="shared" si="455"/>
        <v>-10470559.287500024</v>
      </c>
      <c r="CS81" s="235">
        <f t="shared" si="455"/>
        <v>-10470559.287500024</v>
      </c>
      <c r="CT81" s="235">
        <f t="shared" si="455"/>
        <v>-10470559.287500024</v>
      </c>
      <c r="CU81" s="235">
        <f t="shared" si="455"/>
        <v>-10470559.287500024</v>
      </c>
      <c r="CV81" s="235">
        <f t="shared" si="455"/>
        <v>-10470559.287500024</v>
      </c>
      <c r="CW81" s="235">
        <f t="shared" si="455"/>
        <v>-10470559.287500024</v>
      </c>
      <c r="CX81" s="235">
        <f t="shared" si="455"/>
        <v>-10470559.287500024</v>
      </c>
      <c r="CY81" s="235">
        <f t="shared" si="455"/>
        <v>-10470559.287500024</v>
      </c>
      <c r="CZ81" s="235">
        <f t="shared" si="455"/>
        <v>-10470559.287500024</v>
      </c>
      <c r="DA81" s="235">
        <f t="shared" si="383"/>
        <v>-125646711.45000029</v>
      </c>
      <c r="DB81" s="235">
        <f t="shared" ref="DB81:DM81" si="456">+DA35-DB35-DB75</f>
        <v>10470559.287500024</v>
      </c>
      <c r="DC81" s="235">
        <f t="shared" si="456"/>
        <v>10470559.287500024</v>
      </c>
      <c r="DD81" s="235">
        <f t="shared" si="456"/>
        <v>10470559.287500024</v>
      </c>
      <c r="DE81" s="235">
        <f t="shared" si="456"/>
        <v>10470559.287500024</v>
      </c>
      <c r="DF81" s="235">
        <f t="shared" si="456"/>
        <v>10470559.287500024</v>
      </c>
      <c r="DG81" s="235">
        <f t="shared" si="456"/>
        <v>10470559.287500024</v>
      </c>
      <c r="DH81" s="235">
        <f t="shared" si="456"/>
        <v>10470559.287500024</v>
      </c>
      <c r="DI81" s="235">
        <f t="shared" si="456"/>
        <v>10470559.287500024</v>
      </c>
      <c r="DJ81" s="235">
        <f t="shared" si="456"/>
        <v>10470559.287500024</v>
      </c>
      <c r="DK81" s="235">
        <f t="shared" si="456"/>
        <v>10470559.287500024</v>
      </c>
      <c r="DL81" s="235">
        <f t="shared" si="456"/>
        <v>10470559.287500024</v>
      </c>
      <c r="DM81" s="235">
        <f t="shared" si="456"/>
        <v>10470559.287500024</v>
      </c>
      <c r="DN81" s="235">
        <f t="shared" si="385"/>
        <v>125646711.45000029</v>
      </c>
      <c r="DO81" s="235">
        <f t="shared" ref="DO81:DZ81" si="457">+DN35-DO35-DO75</f>
        <v>-10470559.287500024</v>
      </c>
      <c r="DP81" s="235">
        <f t="shared" si="457"/>
        <v>-10470559.287500024</v>
      </c>
      <c r="DQ81" s="235">
        <f t="shared" si="457"/>
        <v>-10470559.287500024</v>
      </c>
      <c r="DR81" s="235">
        <f t="shared" si="457"/>
        <v>-10470559.287500024</v>
      </c>
      <c r="DS81" s="235">
        <f t="shared" si="457"/>
        <v>-10470559.287500024</v>
      </c>
      <c r="DT81" s="235">
        <f t="shared" si="457"/>
        <v>-10470559.287500024</v>
      </c>
      <c r="DU81" s="235">
        <f t="shared" si="457"/>
        <v>-10470559.287500024</v>
      </c>
      <c r="DV81" s="235">
        <f t="shared" si="457"/>
        <v>-10470559.287500024</v>
      </c>
      <c r="DW81" s="235">
        <f t="shared" si="457"/>
        <v>-10470559.287500024</v>
      </c>
      <c r="DX81" s="235">
        <f t="shared" si="457"/>
        <v>-10470559.287500024</v>
      </c>
      <c r="DY81" s="235">
        <f t="shared" si="457"/>
        <v>-10470559.287500024</v>
      </c>
      <c r="DZ81" s="235">
        <f t="shared" si="457"/>
        <v>-10470559.287500024</v>
      </c>
      <c r="EA81" s="235">
        <f t="shared" si="387"/>
        <v>-125646711.45000029</v>
      </c>
      <c r="EB81" s="235">
        <f t="shared" ref="EB81:EM81" si="458">+EA35-EB35-EB75</f>
        <v>-10470559.287500024</v>
      </c>
      <c r="EC81" s="235">
        <f t="shared" si="458"/>
        <v>-10470559.287500024</v>
      </c>
      <c r="ED81" s="235">
        <f t="shared" si="458"/>
        <v>-10470559.287500024</v>
      </c>
      <c r="EE81" s="235">
        <f t="shared" si="458"/>
        <v>-10470559.287500024</v>
      </c>
      <c r="EF81" s="235">
        <f t="shared" si="458"/>
        <v>-10470559.287500024</v>
      </c>
      <c r="EG81" s="235">
        <f t="shared" si="458"/>
        <v>-10470559.287500024</v>
      </c>
      <c r="EH81" s="235">
        <f t="shared" si="458"/>
        <v>-10470559.287500024</v>
      </c>
      <c r="EI81" s="235">
        <f t="shared" si="458"/>
        <v>-10470559.287500024</v>
      </c>
      <c r="EJ81" s="235">
        <f t="shared" si="458"/>
        <v>-10470559.287500024</v>
      </c>
      <c r="EK81" s="235">
        <f t="shared" si="458"/>
        <v>-10470559.287500024</v>
      </c>
      <c r="EL81" s="235">
        <f t="shared" si="458"/>
        <v>-10470559.287500024</v>
      </c>
      <c r="EM81" s="235">
        <f t="shared" si="458"/>
        <v>-10470559.287500024</v>
      </c>
      <c r="EN81" s="235">
        <f t="shared" si="373"/>
        <v>-125646711.45000029</v>
      </c>
    </row>
    <row r="82" spans="1:144" s="249" customFormat="1" ht="14.4" thickBot="1" x14ac:dyDescent="0.3">
      <c r="A82" s="219" t="s">
        <v>416</v>
      </c>
      <c r="B82" s="249" t="e">
        <f>+SUM(B78:B81)</f>
        <v>#REF!</v>
      </c>
      <c r="C82" s="249">
        <f>+SUM(C78:C81)</f>
        <v>-341511.29999981821</v>
      </c>
      <c r="D82" s="249">
        <f t="shared" ref="D82:M82" si="459">+SUM(D78:D81)</f>
        <v>8331573.739999909</v>
      </c>
      <c r="E82" s="249">
        <f t="shared" si="459"/>
        <v>9192529.0700000674</v>
      </c>
      <c r="F82" s="249">
        <f t="shared" si="459"/>
        <v>5492587.0500001144</v>
      </c>
      <c r="G82" s="249">
        <f t="shared" si="459"/>
        <v>13714815.570000112</v>
      </c>
      <c r="H82" s="249">
        <f t="shared" si="459"/>
        <v>21537335.789999992</v>
      </c>
      <c r="I82" s="249">
        <f t="shared" si="459"/>
        <v>-49101599.669999927</v>
      </c>
      <c r="J82" s="249">
        <f t="shared" si="459"/>
        <v>-11169278.650000125</v>
      </c>
      <c r="K82" s="249">
        <f t="shared" si="459"/>
        <v>215281.01000003424</v>
      </c>
      <c r="L82" s="249">
        <f t="shared" si="459"/>
        <v>12971921.530000115</v>
      </c>
      <c r="M82" s="249">
        <f t="shared" si="459"/>
        <v>10014729.480000036</v>
      </c>
      <c r="N82" s="249" t="e">
        <f t="shared" si="374"/>
        <v>#REF!</v>
      </c>
      <c r="O82" s="249" t="e">
        <f>+SUM(O78:O81)</f>
        <v>#VALUE!</v>
      </c>
      <c r="P82" s="249">
        <f>+SUM(P78:P81)</f>
        <v>2945892.2499999823</v>
      </c>
      <c r="Q82" s="249">
        <f t="shared" ref="Q82:Z82" si="460">+SUM(Q78:Q81)</f>
        <v>9051654.1300001815</v>
      </c>
      <c r="R82" s="249">
        <f t="shared" si="460"/>
        <v>32411756.989999931</v>
      </c>
      <c r="S82" s="249">
        <f t="shared" si="460"/>
        <v>2518034.3799999175</v>
      </c>
      <c r="T82" s="249">
        <f t="shared" si="460"/>
        <v>11276338.019999854</v>
      </c>
      <c r="U82" s="249">
        <f t="shared" si="460"/>
        <v>9281437.2200002335</v>
      </c>
      <c r="V82" s="249">
        <f t="shared" si="460"/>
        <v>12626559.089999922</v>
      </c>
      <c r="W82" s="249">
        <f t="shared" si="460"/>
        <v>10768408.380000176</v>
      </c>
      <c r="X82" s="249">
        <f t="shared" si="460"/>
        <v>3920897.300000038</v>
      </c>
      <c r="Y82" s="249">
        <f t="shared" si="460"/>
        <v>9167096.2600000687</v>
      </c>
      <c r="Z82" s="249">
        <f t="shared" si="460"/>
        <v>8464394.6600000616</v>
      </c>
      <c r="AA82" s="249" t="e">
        <f t="shared" si="375"/>
        <v>#VALUE!</v>
      </c>
      <c r="AB82" s="249">
        <f t="shared" ref="AB82:AM82" si="461">+SUM(AB78:AB81)</f>
        <v>-245380410.96000087</v>
      </c>
      <c r="AC82" s="249">
        <f t="shared" si="461"/>
        <v>17355444.629999734</v>
      </c>
      <c r="AD82" s="249">
        <f t="shared" si="461"/>
        <v>2517059.4200000823</v>
      </c>
      <c r="AE82" s="249">
        <f t="shared" si="461"/>
        <v>9751077.6399998777</v>
      </c>
      <c r="AF82" s="249">
        <f t="shared" si="461"/>
        <v>8929117.5200000033</v>
      </c>
      <c r="AG82" s="249">
        <f t="shared" si="461"/>
        <v>4328128.060000021</v>
      </c>
      <c r="AH82" s="249">
        <f t="shared" si="461"/>
        <v>-698118.47000000672</v>
      </c>
      <c r="AI82" s="249">
        <f t="shared" si="461"/>
        <v>13610587.640000135</v>
      </c>
      <c r="AJ82" s="249">
        <f t="shared" si="461"/>
        <v>19982096.340000048</v>
      </c>
      <c r="AK82" s="249">
        <f t="shared" si="461"/>
        <v>-785613.5099999588</v>
      </c>
      <c r="AL82" s="249">
        <f t="shared" si="461"/>
        <v>3310036.3199998448</v>
      </c>
      <c r="AM82" s="249">
        <f t="shared" si="461"/>
        <v>11619654.779999882</v>
      </c>
      <c r="AN82" s="249">
        <f t="shared" si="376"/>
        <v>-155460940.5900012</v>
      </c>
      <c r="AO82" s="249">
        <f>+SUM(AO78:AO81)</f>
        <v>-40343155.309998915</v>
      </c>
      <c r="AP82" s="249">
        <f t="shared" ref="AP82:AY82" si="462">+SUM(AP78:AP81)</f>
        <v>1043018.5399996936</v>
      </c>
      <c r="AQ82" s="249">
        <f t="shared" si="462"/>
        <v>361988.3699998213</v>
      </c>
      <c r="AR82" s="249">
        <f t="shared" si="462"/>
        <v>4755870.6999997869</v>
      </c>
      <c r="AS82" s="249">
        <f t="shared" si="462"/>
        <v>-3575734.1200001249</v>
      </c>
      <c r="AT82" s="249">
        <f t="shared" si="462"/>
        <v>2000182.9200000949</v>
      </c>
      <c r="AU82" s="249">
        <f t="shared" si="462"/>
        <v>12632478.279999921</v>
      </c>
      <c r="AV82" s="249">
        <f t="shared" si="462"/>
        <v>-3001892.8199998531</v>
      </c>
      <c r="AW82" s="249">
        <f t="shared" si="462"/>
        <v>2167908.8300000611</v>
      </c>
      <c r="AX82" s="249">
        <f t="shared" si="462"/>
        <v>2272925.5500000939</v>
      </c>
      <c r="AY82" s="249">
        <f t="shared" si="462"/>
        <v>1149527.9899998358</v>
      </c>
      <c r="AZ82" s="249">
        <f>+SUM(AZ78:AZ81)</f>
        <v>-9893956.5400000717</v>
      </c>
      <c r="BA82" s="249">
        <f t="shared" si="377"/>
        <v>-30430837.609999664</v>
      </c>
      <c r="BB82" s="249">
        <f>+SUM(BB78:BB81)</f>
        <v>99085679.390000522</v>
      </c>
      <c r="BC82" s="249">
        <f t="shared" ref="BC82:BL82" si="463">+SUM(BC78:BC81)</f>
        <v>4222727.1899999436</v>
      </c>
      <c r="BD82" s="249">
        <f t="shared" si="463"/>
        <v>-2146215.5800000373</v>
      </c>
      <c r="BE82" s="249">
        <f t="shared" si="463"/>
        <v>-1185991.5899999449</v>
      </c>
      <c r="BF82" s="249">
        <f t="shared" si="463"/>
        <v>6594128.2899999321</v>
      </c>
      <c r="BG82" s="249">
        <f t="shared" si="463"/>
        <v>-1378391.3599999771</v>
      </c>
      <c r="BH82" s="249">
        <f t="shared" si="463"/>
        <v>24367475.729999982</v>
      </c>
      <c r="BI82" s="249">
        <f t="shared" si="463"/>
        <v>10339719.340000017</v>
      </c>
      <c r="BJ82" s="249">
        <f t="shared" si="463"/>
        <v>-7398759.1399999848</v>
      </c>
      <c r="BK82" s="249">
        <f t="shared" si="463"/>
        <v>-3006212.9400000824</v>
      </c>
      <c r="BL82" s="249">
        <f t="shared" si="463"/>
        <v>6261735.840000093</v>
      </c>
      <c r="BM82" s="249">
        <f>+SUM(BM78:BM81)</f>
        <v>1361124.7999999076</v>
      </c>
      <c r="BN82" s="249">
        <f t="shared" si="394"/>
        <v>137117019.97000033</v>
      </c>
      <c r="BO82" s="249">
        <f t="shared" ref="BO82:BZ82" si="464">+SUM(BO78:BO81)</f>
        <v>-3180477.7499999739</v>
      </c>
      <c r="BP82" s="249">
        <f t="shared" si="464"/>
        <v>-10306235.060000062</v>
      </c>
      <c r="BQ82" s="249">
        <f t="shared" si="464"/>
        <v>8069897.2200001143</v>
      </c>
      <c r="BR82" s="249">
        <f>+SUM(BR78:BR81)</f>
        <v>-13026876.57000009</v>
      </c>
      <c r="BS82" s="249">
        <f>+SUM(BS78:BS81)</f>
        <v>-8480359.3299999312</v>
      </c>
      <c r="BT82" s="249">
        <f>+SUM(BT78:BT81)</f>
        <v>18359459.529999971</v>
      </c>
      <c r="BU82" s="249">
        <f t="shared" si="464"/>
        <v>41541560.14756763</v>
      </c>
      <c r="BV82" s="249">
        <f t="shared" si="464"/>
        <v>-10976177.891046122</v>
      </c>
      <c r="BW82" s="249">
        <f t="shared" si="464"/>
        <v>27637603.096708227</v>
      </c>
      <c r="BX82" s="249">
        <f t="shared" si="464"/>
        <v>-12064961.595934665</v>
      </c>
      <c r="BY82" s="249">
        <f t="shared" si="464"/>
        <v>48774241.426259547</v>
      </c>
      <c r="BZ82" s="249">
        <f t="shared" si="464"/>
        <v>5463654.0967813972</v>
      </c>
      <c r="CA82" s="249">
        <f>+SUM(BO82:BZ82)</f>
        <v>91811327.320336044</v>
      </c>
      <c r="CB82" s="249">
        <f t="shared" ref="CB82:CM82" si="465">+SUM(CB78:CB81)</f>
        <v>-45606594.781637922</v>
      </c>
      <c r="CC82" s="249">
        <f t="shared" si="465"/>
        <v>4932090.7899531275</v>
      </c>
      <c r="CD82" s="249">
        <f t="shared" si="465"/>
        <v>5852792.8599530607</v>
      </c>
      <c r="CE82" s="249">
        <f t="shared" si="465"/>
        <v>7616685.2999533564</v>
      </c>
      <c r="CF82" s="249">
        <f t="shared" si="465"/>
        <v>8625177.9799531847</v>
      </c>
      <c r="CG82" s="249">
        <f t="shared" si="465"/>
        <v>8815938.5199531466</v>
      </c>
      <c r="CH82" s="249">
        <f t="shared" si="465"/>
        <v>8815938.5199531466</v>
      </c>
      <c r="CI82" s="249">
        <f t="shared" si="465"/>
        <v>8815938.5199531466</v>
      </c>
      <c r="CJ82" s="249">
        <f t="shared" si="465"/>
        <v>8815938.5199531466</v>
      </c>
      <c r="CK82" s="249">
        <f t="shared" si="465"/>
        <v>8815938.5199531466</v>
      </c>
      <c r="CL82" s="249">
        <f t="shared" si="465"/>
        <v>8815938.5199531466</v>
      </c>
      <c r="CM82" s="249">
        <f t="shared" si="465"/>
        <v>8815938.5199531466</v>
      </c>
      <c r="CN82" s="249">
        <f>+SUM(CB82:CM82)</f>
        <v>43131721.787846833</v>
      </c>
      <c r="CO82" s="249">
        <f t="shared" ref="CO82" si="466">+SUM(CO78:CO81)</f>
        <v>3923275.5313041359</v>
      </c>
      <c r="CP82" s="249">
        <f t="shared" ref="CP82:CZ82" si="467">+SUM(CP78:CP81)</f>
        <v>4231102.3213040978</v>
      </c>
      <c r="CQ82" s="249">
        <f t="shared" si="467"/>
        <v>5151804.391304031</v>
      </c>
      <c r="CR82" s="249">
        <f t="shared" si="467"/>
        <v>6915696.8313043267</v>
      </c>
      <c r="CS82" s="249">
        <f t="shared" si="467"/>
        <v>7924189.511304155</v>
      </c>
      <c r="CT82" s="249">
        <f t="shared" si="467"/>
        <v>8114950.0513041168</v>
      </c>
      <c r="CU82" s="249">
        <f t="shared" si="467"/>
        <v>8114950.0513041168</v>
      </c>
      <c r="CV82" s="249">
        <f t="shared" si="467"/>
        <v>8114950.0513041168</v>
      </c>
      <c r="CW82" s="249">
        <f t="shared" si="467"/>
        <v>8114950.0513041168</v>
      </c>
      <c r="CX82" s="249">
        <f t="shared" si="467"/>
        <v>8114950.0513041168</v>
      </c>
      <c r="CY82" s="249">
        <f t="shared" si="467"/>
        <v>8114950.0513041168</v>
      </c>
      <c r="CZ82" s="249">
        <f t="shared" si="467"/>
        <v>8114950.0513041168</v>
      </c>
      <c r="DA82" s="249">
        <f>+SUM(CO82:CZ82)</f>
        <v>84950718.945649564</v>
      </c>
      <c r="DB82" s="249">
        <f t="shared" ref="DB82:DM82" si="468">+SUM(DB78:DB81)</f>
        <v>24864394.106304184</v>
      </c>
      <c r="DC82" s="249">
        <f t="shared" si="468"/>
        <v>25172220.896304145</v>
      </c>
      <c r="DD82" s="249">
        <f t="shared" si="468"/>
        <v>26092922.966304079</v>
      </c>
      <c r="DE82" s="249">
        <f t="shared" si="468"/>
        <v>27856815.406304374</v>
      </c>
      <c r="DF82" s="249">
        <f t="shared" si="468"/>
        <v>28865308.086304203</v>
      </c>
      <c r="DG82" s="249">
        <f t="shared" si="468"/>
        <v>29056068.626304165</v>
      </c>
      <c r="DH82" s="249">
        <f t="shared" si="468"/>
        <v>29056068.626304165</v>
      </c>
      <c r="DI82" s="249">
        <f t="shared" si="468"/>
        <v>29056068.626304165</v>
      </c>
      <c r="DJ82" s="249">
        <f t="shared" si="468"/>
        <v>29056068.626304165</v>
      </c>
      <c r="DK82" s="249">
        <f t="shared" si="468"/>
        <v>29056068.626304165</v>
      </c>
      <c r="DL82" s="249">
        <f t="shared" si="468"/>
        <v>29056068.626304165</v>
      </c>
      <c r="DM82" s="249">
        <f t="shared" si="468"/>
        <v>29056068.626304165</v>
      </c>
      <c r="DN82" s="249">
        <f>+SUM(DB82:DM82)</f>
        <v>336244141.84565008</v>
      </c>
      <c r="DO82" s="249">
        <f t="shared" ref="DO82:DZ82" si="469">+SUM(DO78:DO81)</f>
        <v>3923275.5313041359</v>
      </c>
      <c r="DP82" s="249">
        <f t="shared" si="469"/>
        <v>4231102.3213040978</v>
      </c>
      <c r="DQ82" s="249">
        <f t="shared" si="469"/>
        <v>5151804.391304031</v>
      </c>
      <c r="DR82" s="249">
        <f t="shared" si="469"/>
        <v>6915696.8313043267</v>
      </c>
      <c r="DS82" s="249">
        <f t="shared" si="469"/>
        <v>7924189.511304155</v>
      </c>
      <c r="DT82" s="249">
        <f t="shared" si="469"/>
        <v>8114950.0513041168</v>
      </c>
      <c r="DU82" s="249">
        <f t="shared" si="469"/>
        <v>8114950.0513041168</v>
      </c>
      <c r="DV82" s="249">
        <f t="shared" si="469"/>
        <v>8114950.0513041168</v>
      </c>
      <c r="DW82" s="249">
        <f t="shared" si="469"/>
        <v>8114950.0513041168</v>
      </c>
      <c r="DX82" s="249">
        <f t="shared" si="469"/>
        <v>8114950.0513041168</v>
      </c>
      <c r="DY82" s="249">
        <f t="shared" si="469"/>
        <v>8114950.0513041168</v>
      </c>
      <c r="DZ82" s="249">
        <f t="shared" si="469"/>
        <v>8114950.0513041168</v>
      </c>
      <c r="EA82" s="249">
        <f>+SUM(DO82:DZ82)</f>
        <v>84950718.945649564</v>
      </c>
      <c r="EB82" s="249">
        <f t="shared" ref="EB82:EM82" si="470">+SUM(EB78:EB81)</f>
        <v>3923275.5313041359</v>
      </c>
      <c r="EC82" s="249">
        <f t="shared" si="470"/>
        <v>4231102.3213040978</v>
      </c>
      <c r="ED82" s="249">
        <f t="shared" si="470"/>
        <v>5151804.391304031</v>
      </c>
      <c r="EE82" s="249">
        <f t="shared" si="470"/>
        <v>6915696.8313043267</v>
      </c>
      <c r="EF82" s="249">
        <f t="shared" si="470"/>
        <v>7924189.511304155</v>
      </c>
      <c r="EG82" s="249">
        <f t="shared" si="470"/>
        <v>8114950.0513041168</v>
      </c>
      <c r="EH82" s="249">
        <f t="shared" si="470"/>
        <v>8114950.0513041168</v>
      </c>
      <c r="EI82" s="249">
        <f t="shared" si="470"/>
        <v>8114950.0513041168</v>
      </c>
      <c r="EJ82" s="249">
        <f t="shared" si="470"/>
        <v>8114950.0513041168</v>
      </c>
      <c r="EK82" s="249">
        <f t="shared" si="470"/>
        <v>8114950.0513041168</v>
      </c>
      <c r="EL82" s="249">
        <f t="shared" si="470"/>
        <v>8114950.0513041168</v>
      </c>
      <c r="EM82" s="249">
        <f t="shared" si="470"/>
        <v>8114950.0513041168</v>
      </c>
      <c r="EN82" s="249">
        <f t="shared" si="373"/>
        <v>84950718.945649564</v>
      </c>
    </row>
    <row r="83" spans="1:144" s="235" customFormat="1" ht="14.4" thickTop="1" x14ac:dyDescent="0.25">
      <c r="A83" s="218"/>
    </row>
    <row r="84" spans="1:144" s="235" customFormat="1" x14ac:dyDescent="0.25">
      <c r="A84" s="220" t="s">
        <v>417</v>
      </c>
      <c r="B84" s="235" t="e">
        <f>+B44-#REF!+B52-#REF!+B53-#REF!</f>
        <v>#REF!</v>
      </c>
      <c r="C84" s="235">
        <f t="shared" ref="C84:M84" si="471">+C44-B44+C52-B52+C53-B53</f>
        <v>7077086.6800000072</v>
      </c>
      <c r="D84" s="235">
        <f t="shared" si="471"/>
        <v>6677322.6100000143</v>
      </c>
      <c r="E84" s="235">
        <f t="shared" si="471"/>
        <v>1432557.5899999738</v>
      </c>
      <c r="F84" s="235">
        <f t="shared" si="471"/>
        <v>2048259.3700000048</v>
      </c>
      <c r="G84" s="235">
        <f t="shared" si="471"/>
        <v>-6430826.9300000072</v>
      </c>
      <c r="H84" s="235">
        <f t="shared" si="471"/>
        <v>2305439.7200000286</v>
      </c>
      <c r="I84" s="235">
        <f t="shared" si="471"/>
        <v>743339.62999999523</v>
      </c>
      <c r="J84" s="235">
        <f t="shared" si="471"/>
        <v>1355334.8199999928</v>
      </c>
      <c r="K84" s="235">
        <f t="shared" si="471"/>
        <v>-8813049.4499999881</v>
      </c>
      <c r="L84" s="235">
        <f t="shared" si="471"/>
        <v>5689165.530000031</v>
      </c>
      <c r="M84" s="235">
        <f t="shared" si="471"/>
        <v>-5547721.1999999881</v>
      </c>
      <c r="N84" s="235" t="e">
        <f t="shared" ref="N84:N90" si="472">+SUM(B84:M84)</f>
        <v>#REF!</v>
      </c>
      <c r="O84" s="235" t="e">
        <f>+O44-A44+O52-A52+O53-A53</f>
        <v>#VALUE!</v>
      </c>
      <c r="P84" s="235">
        <f t="shared" ref="P84:Z84" si="473">+P44-O44+P52-O52+P53-O53</f>
        <v>2371495.8799999952</v>
      </c>
      <c r="Q84" s="235">
        <f t="shared" si="473"/>
        <v>9936842.4399999678</v>
      </c>
      <c r="R84" s="235">
        <f t="shared" si="473"/>
        <v>-1819643.9599999785</v>
      </c>
      <c r="S84" s="235">
        <f t="shared" si="473"/>
        <v>-828423.77000004053</v>
      </c>
      <c r="T84" s="235">
        <f t="shared" si="473"/>
        <v>-398704.93999999762</v>
      </c>
      <c r="U84" s="235">
        <f t="shared" si="473"/>
        <v>-1495545.3700000048</v>
      </c>
      <c r="V84" s="235">
        <f t="shared" si="473"/>
        <v>-45205.760000050068</v>
      </c>
      <c r="W84" s="235">
        <f t="shared" si="473"/>
        <v>-1693581.8999999762</v>
      </c>
      <c r="X84" s="235">
        <f t="shared" si="473"/>
        <v>-2440574.4399999976</v>
      </c>
      <c r="Y84" s="235">
        <f t="shared" si="473"/>
        <v>-573461.50999999046</v>
      </c>
      <c r="Z84" s="235">
        <f t="shared" si="473"/>
        <v>-578991.01000005007</v>
      </c>
      <c r="AA84" s="235" t="e">
        <f t="shared" ref="AA84:AA90" si="474">+SUM(O84:Z84)</f>
        <v>#VALUE!</v>
      </c>
      <c r="AB84" s="235">
        <f t="shared" ref="AB84:AM84" si="475">+AB44-AA44+AB52-AA52+AB53-AA53</f>
        <v>-708392.6400000453</v>
      </c>
      <c r="AC84" s="235">
        <f t="shared" si="475"/>
        <v>1929269.2799999714</v>
      </c>
      <c r="AD84" s="235">
        <f t="shared" si="475"/>
        <v>-1103654.6999999881</v>
      </c>
      <c r="AE84" s="235">
        <f t="shared" si="475"/>
        <v>-1909098.1000000238</v>
      </c>
      <c r="AF84" s="235">
        <f t="shared" si="475"/>
        <v>-2823735.9300000072</v>
      </c>
      <c r="AG84" s="235">
        <f t="shared" si="475"/>
        <v>-667324.07999998331</v>
      </c>
      <c r="AH84" s="235">
        <f t="shared" si="475"/>
        <v>-1954004.2099999785</v>
      </c>
      <c r="AI84" s="235">
        <f t="shared" si="475"/>
        <v>524801.13999998569</v>
      </c>
      <c r="AJ84" s="235">
        <f t="shared" si="475"/>
        <v>-122744.56000000238</v>
      </c>
      <c r="AK84" s="235">
        <f t="shared" si="475"/>
        <v>-1493260.3500000238</v>
      </c>
      <c r="AL84" s="235">
        <f t="shared" si="475"/>
        <v>-216099.80000001192</v>
      </c>
      <c r="AM84" s="235">
        <f t="shared" si="475"/>
        <v>-6847247.7900000215</v>
      </c>
      <c r="AN84" s="235">
        <f t="shared" si="376"/>
        <v>-15391491.740000129</v>
      </c>
      <c r="AO84" s="235">
        <f>+AO44-AN44+AO53-AN53</f>
        <v>-2236441.0300000012</v>
      </c>
      <c r="AP84" s="235">
        <f t="shared" ref="AP84:AZ84" si="476">+AP44-AO44+AP52-AO52+AP53-AO53</f>
        <v>-322939.40000000596</v>
      </c>
      <c r="AQ84" s="235">
        <f t="shared" si="476"/>
        <v>864843.37000000477</v>
      </c>
      <c r="AR84" s="235">
        <f t="shared" si="476"/>
        <v>-351896.30000001192</v>
      </c>
      <c r="AS84" s="235">
        <f t="shared" si="476"/>
        <v>884606.23000001907</v>
      </c>
      <c r="AT84" s="235">
        <f t="shared" si="476"/>
        <v>-487860.84000000358</v>
      </c>
      <c r="AU84" s="235">
        <f t="shared" si="476"/>
        <v>-236686.05000001192</v>
      </c>
      <c r="AV84" s="235">
        <f t="shared" si="476"/>
        <v>1719587</v>
      </c>
      <c r="AW84" s="235">
        <f t="shared" si="476"/>
        <v>-5718884.3400000036</v>
      </c>
      <c r="AX84" s="235">
        <f t="shared" si="476"/>
        <v>180490.11000001431</v>
      </c>
      <c r="AY84" s="235">
        <f t="shared" si="476"/>
        <v>287002.8599999845</v>
      </c>
      <c r="AZ84" s="235">
        <f t="shared" si="476"/>
        <v>-1625544.880000025</v>
      </c>
      <c r="BA84" s="235">
        <f>+SUM(AO84:AZ84)</f>
        <v>-7043723.2700000405</v>
      </c>
      <c r="BB84" s="235">
        <f>+BB44-BA44+BB53-BA53</f>
        <v>-519348.87999996543</v>
      </c>
      <c r="BC84" s="235">
        <f t="shared" ref="BC84:BL84" si="477">+BC44-BB44+BC52-BB52+BC53-BB53</f>
        <v>-1358875.1899999976</v>
      </c>
      <c r="BD84" s="235">
        <f t="shared" si="477"/>
        <v>-2120356.650000006</v>
      </c>
      <c r="BE84" s="235">
        <f t="shared" si="477"/>
        <v>-563493.36000001431</v>
      </c>
      <c r="BF84" s="235">
        <f t="shared" si="477"/>
        <v>-1048239.7299999893</v>
      </c>
      <c r="BG84" s="235">
        <f t="shared" si="477"/>
        <v>2180685.8499999642</v>
      </c>
      <c r="BH84" s="235">
        <f t="shared" si="477"/>
        <v>-26137689.789999962</v>
      </c>
      <c r="BI84" s="235">
        <f t="shared" si="477"/>
        <v>-7351898.7799999714</v>
      </c>
      <c r="BJ84" s="235">
        <f t="shared" si="477"/>
        <v>174519.29999998212</v>
      </c>
      <c r="BK84" s="235">
        <f t="shared" si="477"/>
        <v>2875997.880000025</v>
      </c>
      <c r="BL84" s="235">
        <f t="shared" si="477"/>
        <v>-15216663.360000014</v>
      </c>
      <c r="BM84" s="235">
        <f t="shared" ref="BM84:BZ84" si="478">+BM44-BL44+BM52-BL52+BM53-BL53</f>
        <v>2526916.4699999988</v>
      </c>
      <c r="BN84" s="235">
        <f>+SUM(BB84:BM84)</f>
        <v>-46558446.23999995</v>
      </c>
      <c r="BO84" s="235">
        <f t="shared" si="478"/>
        <v>-785982.88999998569</v>
      </c>
      <c r="BP84" s="235">
        <f t="shared" si="478"/>
        <v>2147318.8600000143</v>
      </c>
      <c r="BQ84" s="235">
        <f t="shared" si="478"/>
        <v>-2383030.3300000429</v>
      </c>
      <c r="BR84" s="235">
        <f t="shared" si="478"/>
        <v>4747686.2400000095</v>
      </c>
      <c r="BS84" s="235">
        <f t="shared" si="478"/>
        <v>-6282240.3199999928</v>
      </c>
      <c r="BT84" s="235">
        <f t="shared" si="478"/>
        <v>2395305.4099999666</v>
      </c>
      <c r="BU84" s="235">
        <f t="shared" si="478"/>
        <v>30424528.996671289</v>
      </c>
      <c r="BV84" s="235">
        <f t="shared" si="478"/>
        <v>-30770346.400000006</v>
      </c>
      <c r="BW84" s="235">
        <f t="shared" si="478"/>
        <v>-686583.81000000238</v>
      </c>
      <c r="BX84" s="235">
        <f t="shared" si="478"/>
        <v>-409569.10853242874</v>
      </c>
      <c r="BY84" s="235">
        <f t="shared" si="478"/>
        <v>-4473849.881239295</v>
      </c>
      <c r="BZ84" s="235">
        <f t="shared" si="478"/>
        <v>-711446.06000000238</v>
      </c>
      <c r="CA84" s="235">
        <f>+SUM(BO84:BZ84)</f>
        <v>-6788209.2931004763</v>
      </c>
      <c r="CB84" s="235">
        <f t="shared" ref="CB84:CM84" si="479">+CB44-CA44+CB52-CA52+CB53-CA53</f>
        <v>-411502.73853242397</v>
      </c>
      <c r="CC84" s="235">
        <f t="shared" si="479"/>
        <v>-4473849.881239295</v>
      </c>
      <c r="CD84" s="235">
        <f t="shared" si="479"/>
        <v>-44521093.830000013</v>
      </c>
      <c r="CE84" s="235">
        <f t="shared" si="479"/>
        <v>-1646129.9285324216</v>
      </c>
      <c r="CF84" s="235">
        <f t="shared" si="479"/>
        <v>-6317963.3759388328</v>
      </c>
      <c r="CG84" s="235">
        <f t="shared" si="479"/>
        <v>-7523811.8330000043</v>
      </c>
      <c r="CH84" s="235">
        <f t="shared" si="479"/>
        <v>-1683690.588532418</v>
      </c>
      <c r="CI84" s="235">
        <f t="shared" si="479"/>
        <v>-6319757.7159388363</v>
      </c>
      <c r="CJ84" s="235">
        <f t="shared" si="479"/>
        <v>-7527297.2730000019</v>
      </c>
      <c r="CK84" s="235">
        <f t="shared" si="479"/>
        <v>-1683690.588532418</v>
      </c>
      <c r="CL84" s="235">
        <f t="shared" si="479"/>
        <v>-6321590.0959388316</v>
      </c>
      <c r="CM84" s="235">
        <f t="shared" si="479"/>
        <v>-7478539.8729999959</v>
      </c>
      <c r="CN84" s="235">
        <f t="shared" ref="CN84:CN90" si="480">+SUM(CB84:CM84)</f>
        <v>-95908917.722185493</v>
      </c>
      <c r="CO84" s="235">
        <f t="shared" ref="CO84:CZ84" si="481">+CO44-CN44+CO52-CN52+CO53-CN53</f>
        <v>-1683690.588532418</v>
      </c>
      <c r="CP84" s="235">
        <f t="shared" si="481"/>
        <v>-6290487.5359388292</v>
      </c>
      <c r="CQ84" s="235">
        <f t="shared" si="481"/>
        <v>-7524724.0329999924</v>
      </c>
      <c r="CR84" s="235">
        <f t="shared" si="481"/>
        <v>-1683690.588532418</v>
      </c>
      <c r="CS84" s="235">
        <f t="shared" si="481"/>
        <v>-6292890.5759388357</v>
      </c>
      <c r="CT84" s="235">
        <f t="shared" si="481"/>
        <v>-5776169.3729999959</v>
      </c>
      <c r="CU84" s="235">
        <f t="shared" si="481"/>
        <v>-100052.20853242278</v>
      </c>
      <c r="CV84" s="235">
        <f t="shared" si="481"/>
        <v>-4731079.1359388381</v>
      </c>
      <c r="CW84" s="235">
        <f t="shared" si="481"/>
        <v>-5776169.3729999959</v>
      </c>
      <c r="CX84" s="235">
        <f t="shared" si="481"/>
        <v>-100052.20853242278</v>
      </c>
      <c r="CY84" s="235">
        <f t="shared" si="481"/>
        <v>-4649886.1359388381</v>
      </c>
      <c r="CZ84" s="235">
        <f t="shared" si="481"/>
        <v>-5776169.3729999959</v>
      </c>
      <c r="DA84" s="235">
        <f t="shared" ref="DA84:DA90" si="482">+SUM(CO84:CZ84)</f>
        <v>-50385061.129885003</v>
      </c>
      <c r="DB84" s="235">
        <f t="shared" ref="DB84:DM84" si="483">+DB44-DA44+DB52-DA52+DB53-DA53</f>
        <v>-100052.20853242278</v>
      </c>
      <c r="DC84" s="235">
        <f t="shared" si="483"/>
        <v>-4649886.1359388381</v>
      </c>
      <c r="DD84" s="235">
        <f t="shared" si="483"/>
        <v>-5776169.3729999959</v>
      </c>
      <c r="DE84" s="235">
        <f t="shared" si="483"/>
        <v>-100052.20853242278</v>
      </c>
      <c r="DF84" s="235">
        <f t="shared" si="483"/>
        <v>-4649886.1359388381</v>
      </c>
      <c r="DG84" s="235">
        <f t="shared" si="483"/>
        <v>-5776169.3729999959</v>
      </c>
      <c r="DH84" s="235">
        <f t="shared" si="483"/>
        <v>-100052.20853242278</v>
      </c>
      <c r="DI84" s="235">
        <f t="shared" si="483"/>
        <v>-4649886.1359388381</v>
      </c>
      <c r="DJ84" s="235">
        <f t="shared" si="483"/>
        <v>-5776169.3729999959</v>
      </c>
      <c r="DK84" s="235">
        <f t="shared" si="483"/>
        <v>-100052.20853242278</v>
      </c>
      <c r="DL84" s="235">
        <f t="shared" si="483"/>
        <v>-4649886.1359388381</v>
      </c>
      <c r="DM84" s="235">
        <f t="shared" si="483"/>
        <v>-428508.07999999821</v>
      </c>
      <c r="DN84" s="235">
        <f t="shared" ref="DN84:DN90" si="484">+SUM(DB84:DM84)</f>
        <v>-36756769.57688503</v>
      </c>
      <c r="DO84" s="235">
        <f t="shared" ref="DO84:DZ84" si="485">+DO44-DN44+DO52-DN52+DO53-DN53</f>
        <v>-100052.20853242278</v>
      </c>
      <c r="DP84" s="235">
        <f t="shared" si="485"/>
        <v>-4649886.1359388381</v>
      </c>
      <c r="DQ84" s="235">
        <f t="shared" si="485"/>
        <v>-428507.96000000089</v>
      </c>
      <c r="DR84" s="235">
        <f t="shared" si="485"/>
        <v>-100052.20853242278</v>
      </c>
      <c r="DS84" s="235">
        <f t="shared" si="485"/>
        <v>-4649886.1359388307</v>
      </c>
      <c r="DT84" s="235">
        <f t="shared" si="485"/>
        <v>-428507.96000000089</v>
      </c>
      <c r="DU84" s="235">
        <f t="shared" si="485"/>
        <v>-169074.37522026896</v>
      </c>
      <c r="DV84" s="235">
        <f t="shared" si="485"/>
        <v>-4649886.1359388307</v>
      </c>
      <c r="DW84" s="235">
        <f t="shared" si="485"/>
        <v>-324190.1099999994</v>
      </c>
      <c r="DX84" s="235">
        <f t="shared" si="485"/>
        <v>-39494.310000002384</v>
      </c>
      <c r="DY84" s="235">
        <f t="shared" si="485"/>
        <v>-4649886.1359388381</v>
      </c>
      <c r="DZ84" s="235">
        <f t="shared" si="485"/>
        <v>-324190.1099999994</v>
      </c>
      <c r="EA84" s="235">
        <f t="shared" ref="EA84:EA90" si="486">+SUM(DO84:DZ84)</f>
        <v>-20513613.786040455</v>
      </c>
      <c r="EB84" s="235">
        <f t="shared" ref="EB84:EM84" si="487">+EB44-EA44+EB52-EA52+EB53-EA53</f>
        <v>-39494.310000002384</v>
      </c>
      <c r="EC84" s="235">
        <f t="shared" si="487"/>
        <v>-4649886.1359388381</v>
      </c>
      <c r="ED84" s="235">
        <f t="shared" si="487"/>
        <v>-324190.1099999994</v>
      </c>
      <c r="EE84" s="235">
        <f t="shared" si="487"/>
        <v>-39494.310000002384</v>
      </c>
      <c r="EF84" s="235">
        <f t="shared" si="487"/>
        <v>-4649886.1359388381</v>
      </c>
      <c r="EG84" s="235">
        <f t="shared" si="487"/>
        <v>-324190.1099999994</v>
      </c>
      <c r="EH84" s="235">
        <f t="shared" si="487"/>
        <v>-39494.310000002384</v>
      </c>
      <c r="EI84" s="235">
        <f t="shared" si="487"/>
        <v>-4649886.1359388381</v>
      </c>
      <c r="EJ84" s="235">
        <f t="shared" si="487"/>
        <v>-324190.1099999994</v>
      </c>
      <c r="EK84" s="235">
        <f t="shared" si="487"/>
        <v>-39494.309999998659</v>
      </c>
      <c r="EL84" s="235">
        <f t="shared" si="487"/>
        <v>-4649886.1359388344</v>
      </c>
      <c r="EM84" s="235">
        <f t="shared" si="487"/>
        <v>-324190.1099999994</v>
      </c>
      <c r="EN84" s="235">
        <f t="shared" ref="EN84:EN90" si="488">+SUM(EB84:EM84)</f>
        <v>-20054282.223755352</v>
      </c>
    </row>
    <row r="85" spans="1:144" s="235" customFormat="1" x14ac:dyDescent="0.25">
      <c r="A85" s="221" t="s">
        <v>418</v>
      </c>
      <c r="N85" s="235">
        <f t="shared" si="472"/>
        <v>0</v>
      </c>
      <c r="AA85" s="235">
        <f t="shared" si="474"/>
        <v>0</v>
      </c>
      <c r="AN85" s="235">
        <f t="shared" si="376"/>
        <v>0</v>
      </c>
      <c r="BA85" s="235">
        <f t="shared" si="377"/>
        <v>0</v>
      </c>
      <c r="BN85" s="235">
        <f t="shared" si="394"/>
        <v>0</v>
      </c>
      <c r="CA85" s="235">
        <f t="shared" si="379"/>
        <v>0</v>
      </c>
      <c r="CN85" s="235">
        <f t="shared" si="480"/>
        <v>0</v>
      </c>
      <c r="DA85" s="235">
        <f t="shared" si="482"/>
        <v>0</v>
      </c>
      <c r="DN85" s="235">
        <f t="shared" si="484"/>
        <v>0</v>
      </c>
      <c r="EA85" s="235">
        <f t="shared" si="486"/>
        <v>0</v>
      </c>
      <c r="EN85" s="235">
        <f t="shared" si="488"/>
        <v>0</v>
      </c>
    </row>
    <row r="86" spans="1:144" s="235" customFormat="1" x14ac:dyDescent="0.25">
      <c r="A86" s="221" t="s">
        <v>419</v>
      </c>
      <c r="B86" s="235">
        <f t="shared" ref="B86:M86" si="489">+B12</f>
        <v>-1408386.6800000002</v>
      </c>
      <c r="C86" s="235">
        <f t="shared" si="489"/>
        <v>-1451912.43</v>
      </c>
      <c r="D86" s="235">
        <f t="shared" si="489"/>
        <v>-1475919.9199999997</v>
      </c>
      <c r="E86" s="235">
        <f t="shared" si="489"/>
        <v>-1457324.68</v>
      </c>
      <c r="F86" s="235">
        <f t="shared" si="489"/>
        <v>-1489910.0100000002</v>
      </c>
      <c r="G86" s="235">
        <f t="shared" si="489"/>
        <v>-1457887.9699999997</v>
      </c>
      <c r="H86" s="235">
        <f t="shared" si="489"/>
        <v>-1560561.6099999996</v>
      </c>
      <c r="I86" s="235">
        <f t="shared" si="489"/>
        <v>-1756350.1999999997</v>
      </c>
      <c r="J86" s="235">
        <f t="shared" si="489"/>
        <v>-1298692.1499999994</v>
      </c>
      <c r="K86" s="235">
        <f t="shared" si="489"/>
        <v>-1312431.97</v>
      </c>
      <c r="L86" s="235">
        <f t="shared" si="489"/>
        <v>-1574335.2599999998</v>
      </c>
      <c r="M86" s="235">
        <f t="shared" si="489"/>
        <v>-888575.34000000195</v>
      </c>
      <c r="N86" s="235">
        <f t="shared" si="472"/>
        <v>-17132288.220000003</v>
      </c>
      <c r="O86" s="235">
        <f t="shared" ref="O86:Z86" si="490">+O12</f>
        <v>-669568.18999999983</v>
      </c>
      <c r="P86" s="235">
        <f t="shared" si="490"/>
        <v>-1292726.2899999996</v>
      </c>
      <c r="Q86" s="235">
        <f t="shared" si="490"/>
        <v>-1633036.1999999997</v>
      </c>
      <c r="R86" s="235">
        <f t="shared" si="490"/>
        <v>-1371028.33</v>
      </c>
      <c r="S86" s="235">
        <f t="shared" si="490"/>
        <v>-940949.41999999946</v>
      </c>
      <c r="T86" s="235">
        <f t="shared" si="490"/>
        <v>-1441283.8199999996</v>
      </c>
      <c r="U86" s="235">
        <f t="shared" si="490"/>
        <v>-1429872.6599999997</v>
      </c>
      <c r="V86" s="235">
        <f t="shared" si="490"/>
        <v>-1487990.1099999989</v>
      </c>
      <c r="W86" s="235">
        <f t="shared" si="490"/>
        <v>-1114199.3499999996</v>
      </c>
      <c r="X86" s="235">
        <f t="shared" si="490"/>
        <v>-2235575.6499999985</v>
      </c>
      <c r="Y86" s="235">
        <f t="shared" si="490"/>
        <v>-1329944.96</v>
      </c>
      <c r="Z86" s="235">
        <f t="shared" si="490"/>
        <v>-3004782.0499999993</v>
      </c>
      <c r="AA86" s="235">
        <f t="shared" si="474"/>
        <v>-17950957.029999997</v>
      </c>
      <c r="AB86" s="235">
        <f t="shared" ref="AB86:AM86" si="491">+AB12</f>
        <v>-1418932.7599999998</v>
      </c>
      <c r="AC86" s="235">
        <f t="shared" si="491"/>
        <v>-1469377.7499999998</v>
      </c>
      <c r="AD86" s="235">
        <f t="shared" si="491"/>
        <v>-1142671.3199999996</v>
      </c>
      <c r="AE86" s="235">
        <f t="shared" si="491"/>
        <v>-1493808.41</v>
      </c>
      <c r="AF86" s="235">
        <f t="shared" si="491"/>
        <v>-1618544.2599999998</v>
      </c>
      <c r="AG86" s="235">
        <f t="shared" si="491"/>
        <v>-1428467.5399999996</v>
      </c>
      <c r="AH86" s="235">
        <f t="shared" si="491"/>
        <v>-1445640.8399999999</v>
      </c>
      <c r="AI86" s="235">
        <f t="shared" si="491"/>
        <v>-1397630.4200000002</v>
      </c>
      <c r="AJ86" s="235">
        <f t="shared" si="491"/>
        <v>-1450597.73</v>
      </c>
      <c r="AK86" s="235">
        <f t="shared" si="491"/>
        <v>-1466376.1200000015</v>
      </c>
      <c r="AL86" s="235">
        <f t="shared" si="491"/>
        <v>-1304373.3199999998</v>
      </c>
      <c r="AM86" s="235">
        <f t="shared" si="491"/>
        <v>-1434984.24</v>
      </c>
      <c r="AN86" s="235">
        <f t="shared" si="376"/>
        <v>-17071404.710000001</v>
      </c>
      <c r="AO86" s="235">
        <f>+AO12</f>
        <v>-1427810.92</v>
      </c>
      <c r="AP86" s="235">
        <f t="shared" ref="AP86:AZ86" si="492">+AP12</f>
        <v>-1550155.5499999998</v>
      </c>
      <c r="AQ86" s="235">
        <f t="shared" si="492"/>
        <v>-1527982.05</v>
      </c>
      <c r="AR86" s="235">
        <f t="shared" si="492"/>
        <v>-1366811.6099999999</v>
      </c>
      <c r="AS86" s="235">
        <f t="shared" si="492"/>
        <v>-1498656.73</v>
      </c>
      <c r="AT86" s="235">
        <f t="shared" si="492"/>
        <v>-1766023.21</v>
      </c>
      <c r="AU86" s="235">
        <f t="shared" si="492"/>
        <v>-1392649.5</v>
      </c>
      <c r="AV86" s="235">
        <f t="shared" si="492"/>
        <v>-1701909.3699999999</v>
      </c>
      <c r="AW86" s="235">
        <f t="shared" si="492"/>
        <v>-1121162.8900000001</v>
      </c>
      <c r="AX86" s="235">
        <f t="shared" si="492"/>
        <v>-1580029.7899999998</v>
      </c>
      <c r="AY86" s="235">
        <f t="shared" si="492"/>
        <v>-1303272.56</v>
      </c>
      <c r="AZ86" s="235">
        <f t="shared" si="492"/>
        <v>-1890503.79</v>
      </c>
      <c r="BA86" s="235">
        <f t="shared" si="377"/>
        <v>-18126967.969999999</v>
      </c>
      <c r="BB86" s="235">
        <f>+BB12</f>
        <v>-1397698.41</v>
      </c>
      <c r="BC86" s="235">
        <f t="shared" ref="BC86:BL86" si="493">+BC12</f>
        <v>-1557213.9</v>
      </c>
      <c r="BD86" s="235">
        <f t="shared" si="493"/>
        <v>-1446625.4700000002</v>
      </c>
      <c r="BE86" s="235">
        <f t="shared" si="493"/>
        <v>-1037246.02</v>
      </c>
      <c r="BF86" s="235">
        <f t="shared" si="493"/>
        <v>-2574987.29</v>
      </c>
      <c r="BG86" s="235">
        <f t="shared" si="493"/>
        <v>-1759860.97</v>
      </c>
      <c r="BH86" s="235">
        <f t="shared" si="493"/>
        <v>-2225091.13</v>
      </c>
      <c r="BI86" s="235">
        <f t="shared" si="493"/>
        <v>-1486442.11</v>
      </c>
      <c r="BJ86" s="235">
        <f t="shared" si="493"/>
        <v>-1262975.3999999999</v>
      </c>
      <c r="BK86" s="235">
        <f t="shared" si="493"/>
        <v>-1308932.51</v>
      </c>
      <c r="BL86" s="235">
        <f t="shared" si="493"/>
        <v>-1203301.8800000001</v>
      </c>
      <c r="BM86" s="235">
        <f>+BM12</f>
        <v>-1235477.8500000001</v>
      </c>
      <c r="BN86" s="235">
        <f t="shared" si="394"/>
        <v>-18495852.939999998</v>
      </c>
      <c r="BO86" s="235">
        <f t="shared" ref="BO86:BT86" si="494">+BO12</f>
        <v>-1181079.0900000001</v>
      </c>
      <c r="BP86" s="235">
        <f t="shared" si="494"/>
        <v>-1168771.3800000001</v>
      </c>
      <c r="BQ86" s="235">
        <f t="shared" si="494"/>
        <v>-1087488.3700000001</v>
      </c>
      <c r="BR86" s="235">
        <f t="shared" si="494"/>
        <v>-1193301.0699999998</v>
      </c>
      <c r="BS86" s="235">
        <f t="shared" si="494"/>
        <v>-1165279.8699999999</v>
      </c>
      <c r="BT86" s="235">
        <f t="shared" si="494"/>
        <v>-1112472.3400000001</v>
      </c>
      <c r="BU86" s="235">
        <f t="shared" ref="BU86:BZ86" si="495">+BU12</f>
        <v>-161719.76812531415</v>
      </c>
      <c r="BV86" s="235">
        <f t="shared" si="495"/>
        <v>-2890243.2401469867</v>
      </c>
      <c r="BW86" s="235">
        <f t="shared" si="495"/>
        <v>-1111916.7593573492</v>
      </c>
      <c r="BX86" s="235">
        <f t="shared" si="495"/>
        <v>-158387.65546656543</v>
      </c>
      <c r="BY86" s="235">
        <f t="shared" si="495"/>
        <v>-2418439.3344880976</v>
      </c>
      <c r="BZ86" s="235">
        <f t="shared" si="495"/>
        <v>-1081668.455201081</v>
      </c>
      <c r="CA86" s="235">
        <f t="shared" si="379"/>
        <v>-14730767.332785394</v>
      </c>
      <c r="CB86" s="235">
        <f t="shared" ref="CB86:CM86" si="496">+CB12</f>
        <v>-151784.76133443517</v>
      </c>
      <c r="CC86" s="235">
        <f t="shared" si="496"/>
        <v>-2288640.9624655424</v>
      </c>
      <c r="CD86" s="235">
        <f t="shared" si="496"/>
        <v>-1102397.4941471494</v>
      </c>
      <c r="CE86" s="235">
        <f t="shared" si="496"/>
        <v>-141929.77855008849</v>
      </c>
      <c r="CF86" s="235">
        <f t="shared" si="496"/>
        <v>-2279068.3893673145</v>
      </c>
      <c r="CG86" s="235">
        <f t="shared" si="496"/>
        <v>-1074572.9457821497</v>
      </c>
      <c r="CH86" s="235">
        <f t="shared" si="496"/>
        <v>-117405.80426795485</v>
      </c>
      <c r="CI86" s="235">
        <f t="shared" si="496"/>
        <v>-2182023.4014023631</v>
      </c>
      <c r="CJ86" s="235">
        <f t="shared" si="496"/>
        <v>-949235.28272184893</v>
      </c>
      <c r="CK86" s="235">
        <f t="shared" si="496"/>
        <v>-94468.819403547503</v>
      </c>
      <c r="CL86" s="235">
        <f t="shared" si="496"/>
        <v>-2084951.4934374127</v>
      </c>
      <c r="CM86" s="235">
        <f t="shared" si="496"/>
        <v>-895468.2560710815</v>
      </c>
      <c r="CN86" s="235">
        <f t="shared" si="480"/>
        <v>-13361947.388950888</v>
      </c>
      <c r="CO86" s="235">
        <f t="shared" ref="CO86" si="497">+CO12</f>
        <v>-67886.758587931981</v>
      </c>
      <c r="CP86" s="235">
        <f t="shared" ref="CP86:CZ86" si="498">+CP12</f>
        <v>-1975778.0152656594</v>
      </c>
      <c r="CQ86" s="235">
        <f t="shared" si="498"/>
        <v>-790854.54501414951</v>
      </c>
      <c r="CR86" s="235">
        <f t="shared" si="498"/>
        <v>-41637.267980194629</v>
      </c>
      <c r="CS86" s="235">
        <f t="shared" si="498"/>
        <v>-1916412.9975075109</v>
      </c>
      <c r="CT86" s="235">
        <f t="shared" si="498"/>
        <v>-619755.81440266676</v>
      </c>
      <c r="CU86" s="235">
        <f t="shared" si="498"/>
        <v>-24593.652272988089</v>
      </c>
      <c r="CV86" s="235">
        <f t="shared" si="498"/>
        <v>-1846300.7924470766</v>
      </c>
      <c r="CW86" s="235">
        <f t="shared" si="498"/>
        <v>-527434.73665583343</v>
      </c>
      <c r="CX86" s="235">
        <f t="shared" si="498"/>
        <v>-23120.947694629187</v>
      </c>
      <c r="CY86" s="235">
        <f t="shared" si="498"/>
        <v>-1741118.7193721258</v>
      </c>
      <c r="CZ86" s="235">
        <f t="shared" si="498"/>
        <v>-440583.01450033346</v>
      </c>
      <c r="DA86" s="235">
        <f t="shared" si="482"/>
        <v>-10015477.2617011</v>
      </c>
      <c r="DB86" s="235">
        <f t="shared" ref="DB86:DM86" si="499">+DB12</f>
        <v>-21430.793076483671</v>
      </c>
      <c r="DC86" s="235">
        <f t="shared" si="499"/>
        <v>-1643835.9202070928</v>
      </c>
      <c r="DD86" s="235">
        <f t="shared" si="499"/>
        <v>-356474.67830466677</v>
      </c>
      <c r="DE86" s="235">
        <f t="shared" si="499"/>
        <v>-19974.096156585194</v>
      </c>
      <c r="DF86" s="235">
        <f t="shared" si="499"/>
        <v>-1598654.693222224</v>
      </c>
      <c r="DG86" s="235">
        <f t="shared" si="499"/>
        <v>-268714.29293866677</v>
      </c>
      <c r="DH86" s="235">
        <f t="shared" si="499"/>
        <v>-18702.833959552481</v>
      </c>
      <c r="DI86" s="235">
        <f t="shared" si="499"/>
        <v>-1527422.680147273</v>
      </c>
      <c r="DJ86" s="235">
        <f t="shared" si="499"/>
        <v>-180027.86803383339</v>
      </c>
      <c r="DK86" s="235">
        <f t="shared" si="499"/>
        <v>-17230.129381193579</v>
      </c>
      <c r="DL86" s="235">
        <f t="shared" si="499"/>
        <v>-1456190.667072322</v>
      </c>
      <c r="DM86" s="235">
        <f t="shared" si="499"/>
        <v>-93158.769549999997</v>
      </c>
      <c r="DN86" s="235">
        <f t="shared" si="484"/>
        <v>-7201817.4220498949</v>
      </c>
      <c r="DO86" s="235">
        <f t="shared" ref="DO86:DZ86" si="500">+DO12</f>
        <v>-15450.585990944834</v>
      </c>
      <c r="DP86" s="235">
        <f t="shared" si="500"/>
        <v>-1355173.6070024583</v>
      </c>
      <c r="DQ86" s="235">
        <f t="shared" si="500"/>
        <v>-144375.33000000002</v>
      </c>
      <c r="DR86" s="235">
        <f t="shared" si="500"/>
        <v>-14147.308476991277</v>
      </c>
      <c r="DS86" s="235">
        <f t="shared" si="500"/>
        <v>-1313726.6409224202</v>
      </c>
      <c r="DT86" s="235">
        <f t="shared" si="500"/>
        <v>-136145.49</v>
      </c>
      <c r="DU86" s="235">
        <f t="shared" si="500"/>
        <v>-12561.824302900217</v>
      </c>
      <c r="DV86" s="235">
        <f t="shared" si="500"/>
        <v>-770944.08169408934</v>
      </c>
      <c r="DW86" s="235">
        <f t="shared" si="500"/>
        <v>-79103.91</v>
      </c>
      <c r="DX86" s="235">
        <f t="shared" si="500"/>
        <v>-9002.726637627331</v>
      </c>
      <c r="DY86" s="235">
        <f t="shared" si="500"/>
        <v>-699712.06861913844</v>
      </c>
      <c r="DZ86" s="235">
        <f t="shared" si="500"/>
        <v>-74940.55</v>
      </c>
      <c r="EA86" s="235">
        <f t="shared" si="486"/>
        <v>-4625284.1236465694</v>
      </c>
      <c r="EB86" s="235">
        <f t="shared" ref="EB86:EM86" si="501">+EB12</f>
        <v>-7866.2121282213293</v>
      </c>
      <c r="EC86" s="235">
        <f t="shared" si="501"/>
        <v>-607986.14068948547</v>
      </c>
      <c r="ED86" s="235">
        <f t="shared" si="501"/>
        <v>-72332.72</v>
      </c>
      <c r="EE86" s="235">
        <f t="shared" si="501"/>
        <v>-7553.3513268243287</v>
      </c>
      <c r="EF86" s="235">
        <f t="shared" si="501"/>
        <v>-557248.0424692363</v>
      </c>
      <c r="EG86" s="235">
        <f t="shared" si="501"/>
        <v>-65149.78</v>
      </c>
      <c r="EH86" s="235">
        <f t="shared" si="501"/>
        <v>-7202.1810447273283</v>
      </c>
      <c r="EI86" s="235">
        <f t="shared" si="501"/>
        <v>-486016.02939428529</v>
      </c>
      <c r="EJ86" s="235">
        <f t="shared" si="501"/>
        <v>-62450.45</v>
      </c>
      <c r="EK86" s="235">
        <f t="shared" si="501"/>
        <v>-6391.2970789243282</v>
      </c>
      <c r="EL86" s="235">
        <f t="shared" si="501"/>
        <v>-414784.01631933427</v>
      </c>
      <c r="EM86" s="235">
        <f t="shared" si="501"/>
        <v>-58287.09</v>
      </c>
      <c r="EN86" s="235">
        <f t="shared" si="488"/>
        <v>-2353267.3104510382</v>
      </c>
    </row>
    <row r="87" spans="1:144" s="235" customFormat="1" x14ac:dyDescent="0.25">
      <c r="A87" s="218" t="s">
        <v>423</v>
      </c>
      <c r="N87" s="235">
        <f t="shared" si="472"/>
        <v>0</v>
      </c>
      <c r="AA87" s="235">
        <f t="shared" si="474"/>
        <v>0</v>
      </c>
      <c r="AN87" s="235">
        <f t="shared" si="376"/>
        <v>0</v>
      </c>
      <c r="BA87" s="235">
        <f t="shared" si="377"/>
        <v>0</v>
      </c>
      <c r="BN87" s="235">
        <f t="shared" si="394"/>
        <v>0</v>
      </c>
      <c r="CA87" s="235">
        <f t="shared" si="379"/>
        <v>0</v>
      </c>
      <c r="CN87" s="235">
        <f t="shared" si="480"/>
        <v>0</v>
      </c>
      <c r="DA87" s="235">
        <f t="shared" si="482"/>
        <v>0</v>
      </c>
      <c r="DN87" s="235">
        <f t="shared" si="484"/>
        <v>0</v>
      </c>
      <c r="EA87" s="235">
        <f t="shared" si="486"/>
        <v>0</v>
      </c>
      <c r="EN87" s="235">
        <f t="shared" si="488"/>
        <v>0</v>
      </c>
    </row>
    <row r="88" spans="1:144" s="235" customFormat="1" x14ac:dyDescent="0.25">
      <c r="A88" s="218" t="s">
        <v>610</v>
      </c>
      <c r="N88" s="235">
        <f t="shared" si="472"/>
        <v>0</v>
      </c>
      <c r="AA88" s="235">
        <f t="shared" si="474"/>
        <v>0</v>
      </c>
      <c r="AN88" s="235">
        <f t="shared" si="376"/>
        <v>0</v>
      </c>
      <c r="AO88" s="235">
        <f>-(AN62++AO15-AO62)</f>
        <v>42240855.249999702</v>
      </c>
      <c r="AP88" s="235">
        <f t="shared" ref="AP88:AZ88" si="502">-(AO62++AP15-AP62)</f>
        <v>-1248396.7199996114</v>
      </c>
      <c r="AQ88" s="235">
        <f t="shared" si="502"/>
        <v>-1995228.4899998307</v>
      </c>
      <c r="AR88" s="235">
        <f t="shared" si="502"/>
        <v>-1547712.8699997067</v>
      </c>
      <c r="AS88" s="235">
        <f t="shared" si="502"/>
        <v>5725765.1999997497</v>
      </c>
      <c r="AT88" s="235">
        <f t="shared" si="502"/>
        <v>213130.39999985695</v>
      </c>
      <c r="AU88" s="235">
        <f t="shared" si="502"/>
        <v>-1961244.6899996996</v>
      </c>
      <c r="AV88" s="235">
        <f t="shared" si="502"/>
        <v>-1637794.1700000763</v>
      </c>
      <c r="AW88" s="235">
        <f t="shared" si="502"/>
        <v>1670955.0900000334</v>
      </c>
      <c r="AX88" s="235">
        <f t="shared" si="502"/>
        <v>2786786.9899998903</v>
      </c>
      <c r="AY88" s="235">
        <f t="shared" si="502"/>
        <v>-1489586.9999998808</v>
      </c>
      <c r="AZ88" s="235">
        <f t="shared" si="502"/>
        <v>6309865.2200001478</v>
      </c>
      <c r="BA88" s="235">
        <f t="shared" si="377"/>
        <v>49067394.210000575</v>
      </c>
      <c r="BB88" s="235">
        <f>-(BA62++BB15-BB62)</f>
        <v>-94526391.83000046</v>
      </c>
      <c r="BC88" s="235">
        <f t="shared" ref="BC88:BZ88" si="503">-(BB62++BC15-BC62)</f>
        <v>1266261.3799999952</v>
      </c>
      <c r="BD88" s="235">
        <f t="shared" si="503"/>
        <v>1334858.2699999213</v>
      </c>
      <c r="BE88" s="235">
        <f t="shared" si="503"/>
        <v>1414578.9700000286</v>
      </c>
      <c r="BF88" s="235">
        <f t="shared" si="503"/>
        <v>1494299.6699999571</v>
      </c>
      <c r="BG88" s="235">
        <f t="shared" si="503"/>
        <v>1835430.1200000048</v>
      </c>
      <c r="BH88" s="235">
        <f t="shared" si="503"/>
        <v>2235887.6000000238</v>
      </c>
      <c r="BI88" s="235">
        <f t="shared" si="503"/>
        <v>2780954.7200000286</v>
      </c>
      <c r="BJ88" s="235">
        <f t="shared" si="503"/>
        <v>3435406.0699999928</v>
      </c>
      <c r="BK88" s="235">
        <f t="shared" si="503"/>
        <v>3737603.1499999762</v>
      </c>
      <c r="BL88" s="235">
        <f t="shared" si="503"/>
        <v>4317895.6999999881</v>
      </c>
      <c r="BM88" s="235">
        <f t="shared" si="503"/>
        <v>4909312.0699999928</v>
      </c>
      <c r="BN88" s="235">
        <f t="shared" si="394"/>
        <v>-65763904.110000551</v>
      </c>
      <c r="BO88" s="235">
        <f t="shared" ref="BO88:BT88" si="504">-(BN62++BO15-BO62)</f>
        <v>5302715.6100000143</v>
      </c>
      <c r="BP88" s="235">
        <f t="shared" si="504"/>
        <v>5616763.4499999881</v>
      </c>
      <c r="BQ88" s="235">
        <f t="shared" si="504"/>
        <v>6539053.3199999928</v>
      </c>
      <c r="BR88" s="235">
        <f t="shared" si="504"/>
        <v>8329486.9200000167</v>
      </c>
      <c r="BS88" s="235">
        <f t="shared" si="504"/>
        <v>9309532.719999969</v>
      </c>
      <c r="BT88" s="235">
        <f t="shared" si="504"/>
        <v>9102628.0399999619</v>
      </c>
      <c r="BU88" s="235">
        <f t="shared" si="503"/>
        <v>0</v>
      </c>
      <c r="BV88" s="235">
        <f t="shared" si="503"/>
        <v>-1.1920928955078125E-7</v>
      </c>
      <c r="BW88" s="235">
        <f t="shared" si="503"/>
        <v>1.1920928955078125E-7</v>
      </c>
      <c r="BX88" s="235">
        <f t="shared" si="503"/>
        <v>0</v>
      </c>
      <c r="BY88" s="235">
        <f t="shared" si="503"/>
        <v>-1.1920928955078125E-7</v>
      </c>
      <c r="BZ88" s="235">
        <f t="shared" si="503"/>
        <v>0</v>
      </c>
      <c r="CA88" s="235">
        <f t="shared" si="379"/>
        <v>44200180.059999824</v>
      </c>
      <c r="CB88" s="235">
        <f t="shared" ref="CB88:CM88" si="505">-(CA62++CB15-CB62)</f>
        <v>0</v>
      </c>
      <c r="CC88" s="235">
        <f t="shared" si="505"/>
        <v>0</v>
      </c>
      <c r="CD88" s="235">
        <f t="shared" si="505"/>
        <v>1.1920928955078125E-7</v>
      </c>
      <c r="CE88" s="235">
        <f t="shared" si="505"/>
        <v>-1.1920928955078125E-7</v>
      </c>
      <c r="CF88" s="235">
        <f t="shared" si="505"/>
        <v>0</v>
      </c>
      <c r="CG88" s="235">
        <f t="shared" si="505"/>
        <v>1.1920928955078125E-7</v>
      </c>
      <c r="CH88" s="235">
        <f t="shared" si="505"/>
        <v>-1.1920928955078125E-7</v>
      </c>
      <c r="CI88" s="235">
        <f t="shared" si="505"/>
        <v>0</v>
      </c>
      <c r="CJ88" s="235">
        <f t="shared" si="505"/>
        <v>1.1920928955078125E-7</v>
      </c>
      <c r="CK88" s="235">
        <f t="shared" si="505"/>
        <v>0</v>
      </c>
      <c r="CL88" s="235">
        <f t="shared" si="505"/>
        <v>0</v>
      </c>
      <c r="CM88" s="235">
        <f t="shared" si="505"/>
        <v>0</v>
      </c>
      <c r="CN88" s="235">
        <f t="shared" si="480"/>
        <v>1.1920928955078125E-7</v>
      </c>
      <c r="CO88" s="235">
        <f t="shared" ref="CO88:CZ88" si="506">-(CN62++CO15-CO62)</f>
        <v>0</v>
      </c>
      <c r="CP88" s="235">
        <f t="shared" si="506"/>
        <v>1.1920928955078125E-7</v>
      </c>
      <c r="CQ88" s="235">
        <f t="shared" si="506"/>
        <v>0</v>
      </c>
      <c r="CR88" s="235">
        <f t="shared" si="506"/>
        <v>0</v>
      </c>
      <c r="CS88" s="235">
        <f t="shared" si="506"/>
        <v>0</v>
      </c>
      <c r="CT88" s="235">
        <f t="shared" si="506"/>
        <v>1.1920928955078125E-7</v>
      </c>
      <c r="CU88" s="235">
        <f t="shared" si="506"/>
        <v>-1.1920928955078125E-7</v>
      </c>
      <c r="CV88" s="235">
        <f t="shared" si="506"/>
        <v>1.1920928955078125E-7</v>
      </c>
      <c r="CW88" s="235">
        <f t="shared" si="506"/>
        <v>0</v>
      </c>
      <c r="CX88" s="235">
        <f t="shared" si="506"/>
        <v>0</v>
      </c>
      <c r="CY88" s="235">
        <f t="shared" si="506"/>
        <v>0</v>
      </c>
      <c r="CZ88" s="235">
        <f t="shared" si="506"/>
        <v>0</v>
      </c>
      <c r="DA88" s="235">
        <f t="shared" si="482"/>
        <v>2.384185791015625E-7</v>
      </c>
      <c r="DB88" s="235">
        <f t="shared" ref="DB88:DM88" si="507">-(DA62++DB15-DB62)</f>
        <v>0</v>
      </c>
      <c r="DC88" s="235">
        <f t="shared" si="507"/>
        <v>0</v>
      </c>
      <c r="DD88" s="235">
        <f t="shared" si="507"/>
        <v>0</v>
      </c>
      <c r="DE88" s="235">
        <f t="shared" si="507"/>
        <v>0</v>
      </c>
      <c r="DF88" s="235">
        <f t="shared" si="507"/>
        <v>0</v>
      </c>
      <c r="DG88" s="235">
        <f t="shared" si="507"/>
        <v>0</v>
      </c>
      <c r="DH88" s="235">
        <f t="shared" si="507"/>
        <v>0</v>
      </c>
      <c r="DI88" s="235">
        <f t="shared" si="507"/>
        <v>0</v>
      </c>
      <c r="DJ88" s="235">
        <f t="shared" si="507"/>
        <v>0</v>
      </c>
      <c r="DK88" s="235">
        <f t="shared" si="507"/>
        <v>0</v>
      </c>
      <c r="DL88" s="235">
        <f t="shared" si="507"/>
        <v>0</v>
      </c>
      <c r="DM88" s="235">
        <f t="shared" si="507"/>
        <v>0</v>
      </c>
      <c r="DN88" s="235">
        <f t="shared" si="484"/>
        <v>0</v>
      </c>
      <c r="DO88" s="235">
        <f t="shared" ref="DO88:DZ88" si="508">-(DN62++DO15-DO62)</f>
        <v>0</v>
      </c>
      <c r="DP88" s="235">
        <f t="shared" si="508"/>
        <v>0</v>
      </c>
      <c r="DQ88" s="235">
        <f t="shared" si="508"/>
        <v>1.1920928955078125E-7</v>
      </c>
      <c r="DR88" s="235">
        <f t="shared" si="508"/>
        <v>0</v>
      </c>
      <c r="DS88" s="235">
        <f t="shared" si="508"/>
        <v>0</v>
      </c>
      <c r="DT88" s="235">
        <f t="shared" si="508"/>
        <v>-1.1920928955078125E-7</v>
      </c>
      <c r="DU88" s="235">
        <f t="shared" si="508"/>
        <v>1.1920928955078125E-7</v>
      </c>
      <c r="DV88" s="235">
        <f t="shared" si="508"/>
        <v>0</v>
      </c>
      <c r="DW88" s="235">
        <f t="shared" si="508"/>
        <v>0</v>
      </c>
      <c r="DX88" s="235">
        <f t="shared" si="508"/>
        <v>0</v>
      </c>
      <c r="DY88" s="235">
        <f t="shared" si="508"/>
        <v>0</v>
      </c>
      <c r="DZ88" s="235">
        <f t="shared" si="508"/>
        <v>-1.1920928955078125E-7</v>
      </c>
      <c r="EA88" s="235">
        <f t="shared" si="486"/>
        <v>0</v>
      </c>
      <c r="EB88" s="235">
        <f t="shared" ref="EB88:EM88" si="509">-(EA62++EB15-EB62)</f>
        <v>0</v>
      </c>
      <c r="EC88" s="235">
        <f t="shared" si="509"/>
        <v>0</v>
      </c>
      <c r="ED88" s="235">
        <f t="shared" si="509"/>
        <v>0</v>
      </c>
      <c r="EE88" s="235">
        <f t="shared" si="509"/>
        <v>0</v>
      </c>
      <c r="EF88" s="235">
        <f t="shared" si="509"/>
        <v>1.1920928955078125E-7</v>
      </c>
      <c r="EG88" s="235">
        <f t="shared" si="509"/>
        <v>0</v>
      </c>
      <c r="EH88" s="235">
        <f t="shared" si="509"/>
        <v>0</v>
      </c>
      <c r="EI88" s="235">
        <f t="shared" si="509"/>
        <v>0</v>
      </c>
      <c r="EJ88" s="235">
        <f t="shared" si="509"/>
        <v>-1.1920928955078125E-7</v>
      </c>
      <c r="EK88" s="235">
        <f t="shared" si="509"/>
        <v>1.1920928955078125E-7</v>
      </c>
      <c r="EL88" s="235">
        <f t="shared" si="509"/>
        <v>0</v>
      </c>
      <c r="EM88" s="235">
        <f t="shared" si="509"/>
        <v>0</v>
      </c>
      <c r="EN88" s="235">
        <f t="shared" si="488"/>
        <v>1.1920928955078125E-7</v>
      </c>
    </row>
    <row r="89" spans="1:144" s="235" customFormat="1" x14ac:dyDescent="0.25">
      <c r="A89" s="218" t="s">
        <v>420</v>
      </c>
      <c r="N89" s="235">
        <f t="shared" si="472"/>
        <v>0</v>
      </c>
      <c r="AA89" s="235">
        <f t="shared" si="474"/>
        <v>0</v>
      </c>
      <c r="AN89" s="235">
        <f t="shared" si="376"/>
        <v>0</v>
      </c>
      <c r="BA89" s="235">
        <f t="shared" si="377"/>
        <v>0</v>
      </c>
      <c r="BN89" s="235">
        <f t="shared" si="394"/>
        <v>0</v>
      </c>
      <c r="CA89" s="235">
        <f t="shared" si="379"/>
        <v>0</v>
      </c>
      <c r="CN89" s="235">
        <f t="shared" si="480"/>
        <v>0</v>
      </c>
      <c r="DA89" s="235">
        <f t="shared" si="482"/>
        <v>0</v>
      </c>
      <c r="DN89" s="235">
        <f t="shared" si="484"/>
        <v>0</v>
      </c>
      <c r="EA89" s="235">
        <f t="shared" si="486"/>
        <v>0</v>
      </c>
      <c r="EN89" s="235">
        <f t="shared" si="488"/>
        <v>0</v>
      </c>
    </row>
    <row r="90" spans="1:144" s="248" customFormat="1" x14ac:dyDescent="0.25">
      <c r="A90" s="222" t="s">
        <v>421</v>
      </c>
      <c r="B90" s="248" t="e">
        <f>+SUM(B84:B89)</f>
        <v>#REF!</v>
      </c>
      <c r="C90" s="248">
        <f>+SUM(C84:C89)</f>
        <v>5625174.2500000075</v>
      </c>
      <c r="D90" s="248">
        <f t="shared" ref="D90:M90" si="510">+SUM(D84:D89)</f>
        <v>5201402.6900000144</v>
      </c>
      <c r="E90" s="248">
        <f t="shared" si="510"/>
        <v>-24767.090000026161</v>
      </c>
      <c r="F90" s="248">
        <f t="shared" si="510"/>
        <v>558349.36000000453</v>
      </c>
      <c r="G90" s="248">
        <f t="shared" si="510"/>
        <v>-7888714.9000000069</v>
      </c>
      <c r="H90" s="248">
        <f t="shared" si="510"/>
        <v>744878.11000002897</v>
      </c>
      <c r="I90" s="248">
        <f t="shared" si="510"/>
        <v>-1013010.5700000045</v>
      </c>
      <c r="J90" s="248">
        <f t="shared" si="510"/>
        <v>56642.669999993406</v>
      </c>
      <c r="K90" s="248">
        <f t="shared" si="510"/>
        <v>-10125481.419999989</v>
      </c>
      <c r="L90" s="248">
        <f t="shared" si="510"/>
        <v>4114830.2700000312</v>
      </c>
      <c r="M90" s="248">
        <f t="shared" si="510"/>
        <v>-6436296.5399999898</v>
      </c>
      <c r="N90" s="248" t="e">
        <f t="shared" si="472"/>
        <v>#REF!</v>
      </c>
      <c r="O90" s="248" t="e">
        <f>+SUM(O84:O89)</f>
        <v>#VALUE!</v>
      </c>
      <c r="P90" s="248">
        <f>+SUM(P84:P89)</f>
        <v>1078769.5899999957</v>
      </c>
      <c r="Q90" s="248">
        <f t="shared" ref="Q90:Z90" si="511">+SUM(Q84:Q89)</f>
        <v>8303806.2399999686</v>
      </c>
      <c r="R90" s="248">
        <f t="shared" si="511"/>
        <v>-3190672.2899999786</v>
      </c>
      <c r="S90" s="248">
        <f t="shared" si="511"/>
        <v>-1769373.19000004</v>
      </c>
      <c r="T90" s="248">
        <f t="shared" si="511"/>
        <v>-1839988.7599999972</v>
      </c>
      <c r="U90" s="248">
        <f t="shared" si="511"/>
        <v>-2925418.0300000045</v>
      </c>
      <c r="V90" s="248">
        <f t="shared" si="511"/>
        <v>-1533195.870000049</v>
      </c>
      <c r="W90" s="248">
        <f t="shared" si="511"/>
        <v>-2807781.2499999758</v>
      </c>
      <c r="X90" s="248">
        <f t="shared" si="511"/>
        <v>-4676150.0899999961</v>
      </c>
      <c r="Y90" s="248">
        <f t="shared" si="511"/>
        <v>-1903406.4699999904</v>
      </c>
      <c r="Z90" s="248">
        <f t="shared" si="511"/>
        <v>-3583773.0600000494</v>
      </c>
      <c r="AA90" s="248" t="e">
        <f t="shared" si="474"/>
        <v>#VALUE!</v>
      </c>
      <c r="AB90" s="248">
        <f t="shared" ref="AB90:AM90" si="512">+SUM(AB84:AB89)</f>
        <v>-2127325.4000000451</v>
      </c>
      <c r="AC90" s="248">
        <f t="shared" si="512"/>
        <v>459891.52999997162</v>
      </c>
      <c r="AD90" s="248">
        <f t="shared" si="512"/>
        <v>-2246326.0199999874</v>
      </c>
      <c r="AE90" s="248">
        <f t="shared" si="512"/>
        <v>-3402906.510000024</v>
      </c>
      <c r="AF90" s="248">
        <f t="shared" si="512"/>
        <v>-4442280.1900000069</v>
      </c>
      <c r="AG90" s="248">
        <f t="shared" si="512"/>
        <v>-2095791.6199999829</v>
      </c>
      <c r="AH90" s="248">
        <f t="shared" si="512"/>
        <v>-3399645.0499999784</v>
      </c>
      <c r="AI90" s="248">
        <f t="shared" si="512"/>
        <v>-872829.28000001446</v>
      </c>
      <c r="AJ90" s="248">
        <f t="shared" si="512"/>
        <v>-1573342.2900000024</v>
      </c>
      <c r="AK90" s="248">
        <f t="shared" si="512"/>
        <v>-2959636.4700000254</v>
      </c>
      <c r="AL90" s="248">
        <f t="shared" si="512"/>
        <v>-1520473.1200000118</v>
      </c>
      <c r="AM90" s="248">
        <f t="shared" si="512"/>
        <v>-8282232.0300000217</v>
      </c>
      <c r="AN90" s="248">
        <f t="shared" si="376"/>
        <v>-32462896.45000013</v>
      </c>
      <c r="AO90" s="248">
        <f>+SUM(AO84:AO89)</f>
        <v>38576603.299999699</v>
      </c>
      <c r="AP90" s="248">
        <f t="shared" ref="AP90:AY90" si="513">+SUM(AP84:AP89)</f>
        <v>-3121491.6699996172</v>
      </c>
      <c r="AQ90" s="248">
        <f t="shared" si="513"/>
        <v>-2658367.1699998258</v>
      </c>
      <c r="AR90" s="248">
        <f t="shared" si="513"/>
        <v>-3266420.7799997185</v>
      </c>
      <c r="AS90" s="248">
        <f t="shared" si="513"/>
        <v>5111714.6999997683</v>
      </c>
      <c r="AT90" s="248">
        <f t="shared" si="513"/>
        <v>-2040753.6500001466</v>
      </c>
      <c r="AU90" s="248">
        <f t="shared" si="513"/>
        <v>-3590580.2399997115</v>
      </c>
      <c r="AV90" s="248">
        <f t="shared" si="513"/>
        <v>-1620116.5400000762</v>
      </c>
      <c r="AW90" s="248">
        <f t="shared" si="513"/>
        <v>-5169092.1399999708</v>
      </c>
      <c r="AX90" s="248">
        <f t="shared" si="513"/>
        <v>1387247.3099999048</v>
      </c>
      <c r="AY90" s="248">
        <f t="shared" si="513"/>
        <v>-2505856.6999998963</v>
      </c>
      <c r="AZ90" s="248">
        <f>+SUM(AZ84:AZ89)</f>
        <v>2793816.5500001227</v>
      </c>
      <c r="BA90" s="248">
        <f t="shared" si="377"/>
        <v>23896702.970000535</v>
      </c>
      <c r="BB90" s="248">
        <f>+SUM(BB84:BB89)</f>
        <v>-96443439.120000422</v>
      </c>
      <c r="BC90" s="248">
        <f t="shared" ref="BC90:BL90" si="514">+SUM(BC84:BC89)</f>
        <v>-1649827.7100000023</v>
      </c>
      <c r="BD90" s="248">
        <f t="shared" si="514"/>
        <v>-2232123.8500000848</v>
      </c>
      <c r="BE90" s="248">
        <f t="shared" si="514"/>
        <v>-186160.40999998571</v>
      </c>
      <c r="BF90" s="248">
        <f t="shared" si="514"/>
        <v>-2128927.3500000322</v>
      </c>
      <c r="BG90" s="248">
        <f t="shared" si="514"/>
        <v>2256254.9999999693</v>
      </c>
      <c r="BH90" s="248">
        <f t="shared" si="514"/>
        <v>-26126893.319999937</v>
      </c>
      <c r="BI90" s="248">
        <f t="shared" si="514"/>
        <v>-6057386.1699999422</v>
      </c>
      <c r="BJ90" s="248">
        <f t="shared" si="514"/>
        <v>2346949.9699999751</v>
      </c>
      <c r="BK90" s="248">
        <f t="shared" si="514"/>
        <v>5304668.5200000014</v>
      </c>
      <c r="BL90" s="248">
        <f t="shared" si="514"/>
        <v>-12102069.540000027</v>
      </c>
      <c r="BM90" s="248">
        <f>+SUM(BM84:BM89)</f>
        <v>6200750.689999992</v>
      </c>
      <c r="BN90" s="248">
        <f t="shared" si="394"/>
        <v>-130818203.2900005</v>
      </c>
      <c r="BO90" s="248">
        <f t="shared" ref="BO90:BZ90" si="515">+SUM(BO84:BO89)</f>
        <v>3335653.6300000288</v>
      </c>
      <c r="BP90" s="248">
        <f t="shared" si="515"/>
        <v>6595310.9300000025</v>
      </c>
      <c r="BQ90" s="248">
        <f t="shared" si="515"/>
        <v>3068534.6199999498</v>
      </c>
      <c r="BR90" s="248">
        <f t="shared" si="515"/>
        <v>11883872.090000026</v>
      </c>
      <c r="BS90" s="248">
        <f t="shared" si="515"/>
        <v>1862012.529999976</v>
      </c>
      <c r="BT90" s="248">
        <f t="shared" ref="BT90" si="516">+SUM(BT84:BT89)</f>
        <v>10385461.109999929</v>
      </c>
      <c r="BU90" s="248">
        <f t="shared" si="515"/>
        <v>30262809.228545975</v>
      </c>
      <c r="BV90" s="248">
        <f t="shared" si="515"/>
        <v>-33660589.640147112</v>
      </c>
      <c r="BW90" s="248">
        <f t="shared" si="515"/>
        <v>-1798500.5693572324</v>
      </c>
      <c r="BX90" s="248">
        <f t="shared" si="515"/>
        <v>-567956.76399899414</v>
      </c>
      <c r="BY90" s="248">
        <f t="shared" si="515"/>
        <v>-6892289.2157275118</v>
      </c>
      <c r="BZ90" s="248">
        <f t="shared" si="515"/>
        <v>-1793114.5152010834</v>
      </c>
      <c r="CA90" s="248">
        <f>+SUM(BO90:BZ90)</f>
        <v>22681203.434113953</v>
      </c>
      <c r="CB90" s="248">
        <f>+SUM(CB84:CB89)</f>
        <v>-563287.49986685917</v>
      </c>
      <c r="CC90" s="248">
        <f>+SUM(CC84:CC89)</f>
        <v>-6762490.8437048374</v>
      </c>
      <c r="CD90" s="248">
        <f>+SUM(CD84:CD89)</f>
        <v>-45623491.324147046</v>
      </c>
      <c r="CE90" s="248">
        <f t="shared" ref="CE90:CM90" si="517">+SUM(CE84:CE89)</f>
        <v>-1788059.7070826292</v>
      </c>
      <c r="CF90" s="248">
        <f t="shared" si="517"/>
        <v>-8597031.7653061468</v>
      </c>
      <c r="CG90" s="248">
        <f t="shared" si="517"/>
        <v>-8598384.7787820343</v>
      </c>
      <c r="CH90" s="248">
        <f t="shared" si="517"/>
        <v>-1801096.392800492</v>
      </c>
      <c r="CI90" s="248">
        <f t="shared" si="517"/>
        <v>-8501781.1173411999</v>
      </c>
      <c r="CJ90" s="248">
        <f t="shared" si="517"/>
        <v>-8476532.5557217319</v>
      </c>
      <c r="CK90" s="248">
        <f t="shared" si="517"/>
        <v>-1778159.4079359656</v>
      </c>
      <c r="CL90" s="248">
        <f t="shared" si="517"/>
        <v>-8406541.5893762447</v>
      </c>
      <c r="CM90" s="248">
        <f t="shared" si="517"/>
        <v>-8374008.1290710773</v>
      </c>
      <c r="CN90" s="248">
        <f t="shared" si="480"/>
        <v>-109270865.11113626</v>
      </c>
      <c r="CO90" s="248">
        <f>+SUM(CO84:CO89)</f>
        <v>-1751577.34712035</v>
      </c>
      <c r="CP90" s="248">
        <f>+SUM(CP84:CP89)</f>
        <v>-8266265.5512043694</v>
      </c>
      <c r="CQ90" s="248">
        <f>+SUM(CQ84:CQ89)</f>
        <v>-8315578.5780141419</v>
      </c>
      <c r="CR90" s="248">
        <f t="shared" ref="CR90:CZ90" si="518">+SUM(CR84:CR89)</f>
        <v>-1725327.8565126127</v>
      </c>
      <c r="CS90" s="248">
        <f t="shared" si="518"/>
        <v>-8209303.5734463464</v>
      </c>
      <c r="CT90" s="248">
        <f t="shared" si="518"/>
        <v>-6395925.1874025436</v>
      </c>
      <c r="CU90" s="248">
        <f t="shared" si="518"/>
        <v>-124645.86080553007</v>
      </c>
      <c r="CV90" s="248">
        <f t="shared" si="518"/>
        <v>-6577379.928385796</v>
      </c>
      <c r="CW90" s="248">
        <f t="shared" si="518"/>
        <v>-6303604.1096558291</v>
      </c>
      <c r="CX90" s="248">
        <f t="shared" si="518"/>
        <v>-123173.15622705196</v>
      </c>
      <c r="CY90" s="248">
        <f t="shared" si="518"/>
        <v>-6391004.8553109635</v>
      </c>
      <c r="CZ90" s="248">
        <f t="shared" si="518"/>
        <v>-6216752.3875003289</v>
      </c>
      <c r="DA90" s="248">
        <f t="shared" si="482"/>
        <v>-60400538.391585857</v>
      </c>
      <c r="DB90" s="248">
        <f>+SUM(DB84:DB89)</f>
        <v>-121483.00160890646</v>
      </c>
      <c r="DC90" s="248">
        <f>+SUM(DC84:DC89)</f>
        <v>-6293722.0561459307</v>
      </c>
      <c r="DD90" s="248">
        <f>+SUM(DD84:DD89)</f>
        <v>-6132644.0513046626</v>
      </c>
      <c r="DE90" s="248">
        <f t="shared" ref="DE90:DM90" si="519">+SUM(DE84:DE89)</f>
        <v>-120026.30468900797</v>
      </c>
      <c r="DF90" s="248">
        <f t="shared" si="519"/>
        <v>-6248540.8291610619</v>
      </c>
      <c r="DG90" s="248">
        <f t="shared" si="519"/>
        <v>-6044883.6659386624</v>
      </c>
      <c r="DH90" s="248">
        <f t="shared" si="519"/>
        <v>-118755.04249197527</v>
      </c>
      <c r="DI90" s="248">
        <f t="shared" si="519"/>
        <v>-6177308.8160861116</v>
      </c>
      <c r="DJ90" s="248">
        <f t="shared" si="519"/>
        <v>-5956197.2410338297</v>
      </c>
      <c r="DK90" s="248">
        <f t="shared" si="519"/>
        <v>-117282.33791361636</v>
      </c>
      <c r="DL90" s="248">
        <f t="shared" si="519"/>
        <v>-6106076.8030111603</v>
      </c>
      <c r="DM90" s="248">
        <f t="shared" si="519"/>
        <v>-521666.84954999818</v>
      </c>
      <c r="DN90" s="248">
        <f t="shared" si="484"/>
        <v>-43958586.998934932</v>
      </c>
      <c r="DO90" s="248">
        <f>+SUM(DO84:DO89)</f>
        <v>-115502.79452336761</v>
      </c>
      <c r="DP90" s="248">
        <f>+SUM(DP84:DP89)</f>
        <v>-6005059.7429412967</v>
      </c>
      <c r="DQ90" s="248">
        <f>+SUM(DQ84:DQ89)</f>
        <v>-572883.28999988176</v>
      </c>
      <c r="DR90" s="248">
        <f t="shared" ref="DR90:DZ90" si="520">+SUM(DR84:DR89)</f>
        <v>-114199.51700941406</v>
      </c>
      <c r="DS90" s="248">
        <f t="shared" si="520"/>
        <v>-5963612.7768612504</v>
      </c>
      <c r="DT90" s="248">
        <f t="shared" si="520"/>
        <v>-564653.45000012009</v>
      </c>
      <c r="DU90" s="248">
        <f t="shared" si="520"/>
        <v>-181636.19952304996</v>
      </c>
      <c r="DV90" s="248">
        <f t="shared" si="520"/>
        <v>-5420830.2176329195</v>
      </c>
      <c r="DW90" s="248">
        <f t="shared" si="520"/>
        <v>-403294.01999999944</v>
      </c>
      <c r="DX90" s="248">
        <f t="shared" si="520"/>
        <v>-48497.036637629717</v>
      </c>
      <c r="DY90" s="248">
        <f t="shared" si="520"/>
        <v>-5349598.2045579767</v>
      </c>
      <c r="DZ90" s="248">
        <f t="shared" si="520"/>
        <v>-399130.6600001186</v>
      </c>
      <c r="EA90" s="248">
        <f t="shared" si="486"/>
        <v>-25138897.909687027</v>
      </c>
      <c r="EB90" s="248">
        <f>+SUM(EB84:EB89)</f>
        <v>-47360.522128223711</v>
      </c>
      <c r="EC90" s="248">
        <f>+SUM(EC84:EC89)</f>
        <v>-5257872.2766283238</v>
      </c>
      <c r="ED90" s="248">
        <f>+SUM(ED84:ED89)</f>
        <v>-396522.82999999938</v>
      </c>
      <c r="EE90" s="248">
        <f t="shared" ref="EE90:EM90" si="521">+SUM(EE84:EE89)</f>
        <v>-47047.66132682671</v>
      </c>
      <c r="EF90" s="248">
        <f t="shared" si="521"/>
        <v>-5207134.178407955</v>
      </c>
      <c r="EG90" s="248">
        <f t="shared" si="521"/>
        <v>-389339.88999999943</v>
      </c>
      <c r="EH90" s="248">
        <f t="shared" si="521"/>
        <v>-46696.491044729715</v>
      </c>
      <c r="EI90" s="248">
        <f t="shared" si="521"/>
        <v>-5135902.1653331239</v>
      </c>
      <c r="EJ90" s="248">
        <f t="shared" si="521"/>
        <v>-386640.56000011862</v>
      </c>
      <c r="EK90" s="248">
        <f t="shared" si="521"/>
        <v>-45885.607078803776</v>
      </c>
      <c r="EL90" s="248">
        <f t="shared" si="521"/>
        <v>-5064670.1522581689</v>
      </c>
      <c r="EM90" s="248">
        <f t="shared" si="521"/>
        <v>-382477.19999999937</v>
      </c>
      <c r="EN90" s="248">
        <f t="shared" si="488"/>
        <v>-22407549.534206271</v>
      </c>
    </row>
    <row r="91" spans="1:144" s="235" customFormat="1" x14ac:dyDescent="0.25">
      <c r="A91" s="218"/>
    </row>
    <row r="92" spans="1:144" s="249" customFormat="1" ht="14.4" thickBot="1" x14ac:dyDescent="0.3">
      <c r="A92" s="223" t="s">
        <v>422</v>
      </c>
      <c r="B92" s="249" t="e">
        <f>+B82+B90</f>
        <v>#REF!</v>
      </c>
      <c r="C92" s="249">
        <f>+C82+C90</f>
        <v>5283662.9500001892</v>
      </c>
      <c r="D92" s="249">
        <f t="shared" ref="D92:M92" si="522">+D82+D90</f>
        <v>13532976.429999923</v>
      </c>
      <c r="E92" s="249">
        <f t="shared" si="522"/>
        <v>9167761.9800000414</v>
      </c>
      <c r="F92" s="249">
        <f t="shared" si="522"/>
        <v>6050936.4100001194</v>
      </c>
      <c r="G92" s="249">
        <f t="shared" si="522"/>
        <v>5826100.6700001052</v>
      </c>
      <c r="H92" s="249">
        <f t="shared" si="522"/>
        <v>22282213.900000021</v>
      </c>
      <c r="I92" s="249">
        <f t="shared" si="522"/>
        <v>-50114610.239999935</v>
      </c>
      <c r="J92" s="249">
        <f t="shared" si="522"/>
        <v>-11112635.980000131</v>
      </c>
      <c r="K92" s="249">
        <f t="shared" si="522"/>
        <v>-9910200.4099999554</v>
      </c>
      <c r="L92" s="249">
        <f t="shared" si="522"/>
        <v>17086751.800000146</v>
      </c>
      <c r="M92" s="249">
        <f t="shared" si="522"/>
        <v>3578432.940000046</v>
      </c>
      <c r="N92" s="249" t="e">
        <f>+SUM(B92:M92)</f>
        <v>#REF!</v>
      </c>
      <c r="O92" s="249" t="e">
        <f>+O82+O90</f>
        <v>#VALUE!</v>
      </c>
      <c r="P92" s="249">
        <f>+P82+P90</f>
        <v>4024661.839999978</v>
      </c>
      <c r="Q92" s="249">
        <f t="shared" ref="Q92:Z92" si="523">+Q82+Q90</f>
        <v>17355460.37000015</v>
      </c>
      <c r="R92" s="249">
        <f t="shared" si="523"/>
        <v>29221084.699999951</v>
      </c>
      <c r="S92" s="249">
        <f t="shared" si="523"/>
        <v>748661.18999987748</v>
      </c>
      <c r="T92" s="249">
        <f t="shared" si="523"/>
        <v>9436349.2599998564</v>
      </c>
      <c r="U92" s="249">
        <f t="shared" si="523"/>
        <v>6356019.1900002286</v>
      </c>
      <c r="V92" s="249">
        <f t="shared" si="523"/>
        <v>11093363.219999872</v>
      </c>
      <c r="W92" s="249">
        <f t="shared" si="523"/>
        <v>7960627.1300002001</v>
      </c>
      <c r="X92" s="249">
        <f t="shared" si="523"/>
        <v>-755252.78999995813</v>
      </c>
      <c r="Y92" s="249">
        <f t="shared" si="523"/>
        <v>7263689.7900000783</v>
      </c>
      <c r="Z92" s="249">
        <f t="shared" si="523"/>
        <v>4880621.6000000127</v>
      </c>
      <c r="AA92" s="249" t="e">
        <f>+SUM(O92:Z92)</f>
        <v>#VALUE!</v>
      </c>
      <c r="AB92" s="249">
        <f>+AB82+AB90</f>
        <v>-247507736.36000091</v>
      </c>
      <c r="AC92" s="249">
        <f>+AC82+AC90</f>
        <v>17815336.159999706</v>
      </c>
      <c r="AD92" s="249">
        <f t="shared" ref="AD92:AM92" si="524">+AD82+AD90</f>
        <v>270733.4000000949</v>
      </c>
      <c r="AE92" s="249">
        <f t="shared" si="524"/>
        <v>6348171.1299998537</v>
      </c>
      <c r="AF92" s="249">
        <f t="shared" si="524"/>
        <v>4486837.3299999963</v>
      </c>
      <c r="AG92" s="249">
        <f t="shared" si="524"/>
        <v>2232336.4400000381</v>
      </c>
      <c r="AH92" s="249">
        <f t="shared" si="524"/>
        <v>-4097763.5199999851</v>
      </c>
      <c r="AI92" s="249">
        <f t="shared" si="524"/>
        <v>12737758.36000012</v>
      </c>
      <c r="AJ92" s="249">
        <f t="shared" si="524"/>
        <v>18408754.050000045</v>
      </c>
      <c r="AK92" s="249">
        <f t="shared" si="524"/>
        <v>-3745249.9799999841</v>
      </c>
      <c r="AL92" s="249">
        <f t="shared" si="524"/>
        <v>1789563.199999833</v>
      </c>
      <c r="AM92" s="249">
        <f t="shared" si="524"/>
        <v>3337422.7499998603</v>
      </c>
      <c r="AN92" s="249">
        <f t="shared" si="376"/>
        <v>-187923837.04000136</v>
      </c>
      <c r="AO92" s="249">
        <f>+AO82+AO90</f>
        <v>-1766552.0099992156</v>
      </c>
      <c r="AP92" s="249">
        <f t="shared" ref="AP92:AY92" si="525">+AP82+AP90</f>
        <v>-2078473.1299999235</v>
      </c>
      <c r="AQ92" s="249">
        <f t="shared" si="525"/>
        <v>-2296378.8000000045</v>
      </c>
      <c r="AR92" s="249">
        <f t="shared" si="525"/>
        <v>1489449.9200000684</v>
      </c>
      <c r="AS92" s="249">
        <f t="shared" si="525"/>
        <v>1535980.5799996434</v>
      </c>
      <c r="AT92" s="249">
        <f t="shared" si="525"/>
        <v>-40570.73000005167</v>
      </c>
      <c r="AU92" s="249">
        <f t="shared" si="525"/>
        <v>9041898.0400002096</v>
      </c>
      <c r="AV92" s="249">
        <f t="shared" si="525"/>
        <v>-4622009.3599999296</v>
      </c>
      <c r="AW92" s="249">
        <f t="shared" si="525"/>
        <v>-3001183.3099999097</v>
      </c>
      <c r="AX92" s="249">
        <f t="shared" si="525"/>
        <v>3660172.8599999985</v>
      </c>
      <c r="AY92" s="249">
        <f t="shared" si="525"/>
        <v>-1356328.7100000605</v>
      </c>
      <c r="AZ92" s="249">
        <f>+AZ82+AZ90</f>
        <v>-7100139.989999949</v>
      </c>
      <c r="BA92" s="249">
        <f t="shared" si="377"/>
        <v>-6534134.6399991252</v>
      </c>
      <c r="BB92" s="249">
        <f>+BB82+BB90</f>
        <v>2642240.2700001001</v>
      </c>
      <c r="BC92" s="249">
        <f t="shared" ref="BC92:BL92" si="526">+BC82+BC90</f>
        <v>2572899.4799999413</v>
      </c>
      <c r="BD92" s="249">
        <f t="shared" si="526"/>
        <v>-4378339.4300001226</v>
      </c>
      <c r="BE92" s="249">
        <f t="shared" si="526"/>
        <v>-1372151.9999999306</v>
      </c>
      <c r="BF92" s="249">
        <f t="shared" si="526"/>
        <v>4465200.9399998998</v>
      </c>
      <c r="BG92" s="249">
        <f t="shared" si="526"/>
        <v>877863.63999999221</v>
      </c>
      <c r="BH92" s="249">
        <f t="shared" si="526"/>
        <v>-1759417.5899999551</v>
      </c>
      <c r="BI92" s="249">
        <f t="shared" si="526"/>
        <v>4282333.1700000744</v>
      </c>
      <c r="BJ92" s="249">
        <f t="shared" si="526"/>
        <v>-5051809.1700000092</v>
      </c>
      <c r="BK92" s="249">
        <f t="shared" si="526"/>
        <v>2298455.579999919</v>
      </c>
      <c r="BL92" s="249">
        <f t="shared" si="526"/>
        <v>-5840333.6999999341</v>
      </c>
      <c r="BM92" s="249">
        <f>+BM82+BM90</f>
        <v>7561875.4899998996</v>
      </c>
      <c r="BN92" s="249">
        <f t="shared" si="394"/>
        <v>6298816.679999874</v>
      </c>
      <c r="BO92" s="249">
        <f t="shared" ref="BO92:BZ92" si="527">+BO82+BO90</f>
        <v>155175.88000005484</v>
      </c>
      <c r="BP92" s="249">
        <f t="shared" si="527"/>
        <v>-3710924.1300000595</v>
      </c>
      <c r="BQ92" s="249">
        <f t="shared" si="527"/>
        <v>11138431.840000063</v>
      </c>
      <c r="BR92" s="249">
        <f>+BR82+BR90</f>
        <v>-1143004.4800000638</v>
      </c>
      <c r="BS92" s="249">
        <f>+BS82+BS90</f>
        <v>-6618346.7999999551</v>
      </c>
      <c r="BT92" s="249">
        <f>+BT82+BT90</f>
        <v>28744920.6399999</v>
      </c>
      <c r="BU92" s="249">
        <f t="shared" si="527"/>
        <v>71804369.376113608</v>
      </c>
      <c r="BV92" s="249">
        <f t="shared" si="527"/>
        <v>-44636767.531193234</v>
      </c>
      <c r="BW92" s="249">
        <f t="shared" si="527"/>
        <v>25839102.527350996</v>
      </c>
      <c r="BX92" s="249">
        <f t="shared" si="527"/>
        <v>-12632918.359933659</v>
      </c>
      <c r="BY92" s="249">
        <f t="shared" si="527"/>
        <v>41881952.210532039</v>
      </c>
      <c r="BZ92" s="249">
        <f t="shared" si="527"/>
        <v>3670539.5815803139</v>
      </c>
      <c r="CA92" s="249">
        <f>+SUM(BO92:BZ92)</f>
        <v>114492530.75445001</v>
      </c>
      <c r="CB92" s="249">
        <f t="shared" ref="CB92:CM92" si="528">+CB82+CB90</f>
        <v>-46169882.28150478</v>
      </c>
      <c r="CC92" s="249">
        <f t="shared" si="528"/>
        <v>-1830400.0537517099</v>
      </c>
      <c r="CD92" s="249">
        <f t="shared" si="528"/>
        <v>-39770698.464193985</v>
      </c>
      <c r="CE92" s="249">
        <f t="shared" si="528"/>
        <v>5828625.5928707272</v>
      </c>
      <c r="CF92" s="249">
        <f t="shared" si="528"/>
        <v>28146.214647037908</v>
      </c>
      <c r="CG92" s="249">
        <f t="shared" si="528"/>
        <v>217553.74117111228</v>
      </c>
      <c r="CH92" s="249">
        <f t="shared" si="528"/>
        <v>7014842.1271526543</v>
      </c>
      <c r="CI92" s="249">
        <f t="shared" si="528"/>
        <v>314157.40261194669</v>
      </c>
      <c r="CJ92" s="249">
        <f t="shared" si="528"/>
        <v>339405.96423141472</v>
      </c>
      <c r="CK92" s="249">
        <f t="shared" si="528"/>
        <v>7037779.1120171808</v>
      </c>
      <c r="CL92" s="249">
        <f t="shared" si="528"/>
        <v>409396.93057690188</v>
      </c>
      <c r="CM92" s="249">
        <f t="shared" si="528"/>
        <v>441930.39088206924</v>
      </c>
      <c r="CN92" s="249">
        <f>+SUM(CB92:CM92)</f>
        <v>-66139143.323289432</v>
      </c>
      <c r="CO92" s="249">
        <f t="shared" ref="CO92" si="529">+CO82+CO90</f>
        <v>2171698.1841837857</v>
      </c>
      <c r="CP92" s="249">
        <f t="shared" ref="CP92:CZ92" si="530">+CP82+CP90</f>
        <v>-4035163.2299002716</v>
      </c>
      <c r="CQ92" s="249">
        <f t="shared" si="530"/>
        <v>-3163774.1867101109</v>
      </c>
      <c r="CR92" s="249">
        <f t="shared" si="530"/>
        <v>5190368.974791714</v>
      </c>
      <c r="CS92" s="249">
        <f t="shared" si="530"/>
        <v>-285114.06214219145</v>
      </c>
      <c r="CT92" s="249">
        <f t="shared" si="530"/>
        <v>1719024.8639015732</v>
      </c>
      <c r="CU92" s="249">
        <f t="shared" si="530"/>
        <v>7990304.1904985867</v>
      </c>
      <c r="CV92" s="249">
        <f t="shared" si="530"/>
        <v>1537570.1229183208</v>
      </c>
      <c r="CW92" s="249">
        <f t="shared" si="530"/>
        <v>1811345.9416482877</v>
      </c>
      <c r="CX92" s="249">
        <f t="shared" si="530"/>
        <v>7991776.8950770646</v>
      </c>
      <c r="CY92" s="249">
        <f t="shared" si="530"/>
        <v>1723945.1959931534</v>
      </c>
      <c r="CZ92" s="249">
        <f t="shared" si="530"/>
        <v>1898197.6638037879</v>
      </c>
      <c r="DA92" s="249">
        <f>+SUM(CO92:CZ92)</f>
        <v>24550180.5540637</v>
      </c>
      <c r="DB92" s="249">
        <f t="shared" ref="DB92:DM92" si="531">+DB82+DB90</f>
        <v>24742911.104695275</v>
      </c>
      <c r="DC92" s="249">
        <f t="shared" si="531"/>
        <v>18878498.840158217</v>
      </c>
      <c r="DD92" s="249">
        <f t="shared" si="531"/>
        <v>19960278.914999418</v>
      </c>
      <c r="DE92" s="249">
        <f t="shared" si="531"/>
        <v>27736789.101615366</v>
      </c>
      <c r="DF92" s="249">
        <f t="shared" si="531"/>
        <v>22616767.25714314</v>
      </c>
      <c r="DG92" s="249">
        <f t="shared" si="531"/>
        <v>23011184.960365504</v>
      </c>
      <c r="DH92" s="249">
        <f t="shared" si="531"/>
        <v>28937313.583812188</v>
      </c>
      <c r="DI92" s="249">
        <f t="shared" si="531"/>
        <v>22878759.810218051</v>
      </c>
      <c r="DJ92" s="249">
        <f t="shared" si="531"/>
        <v>23099871.385270335</v>
      </c>
      <c r="DK92" s="249">
        <f t="shared" si="531"/>
        <v>28938786.288390547</v>
      </c>
      <c r="DL92" s="249">
        <f t="shared" si="531"/>
        <v>22949991.823293004</v>
      </c>
      <c r="DM92" s="249">
        <f t="shared" si="531"/>
        <v>28534401.776754167</v>
      </c>
      <c r="DN92" s="249">
        <f>+SUM(DB92:DM92)</f>
        <v>292285554.84671521</v>
      </c>
      <c r="DO92" s="249">
        <f t="shared" ref="DO92:DZ92" si="532">+DO82+DO90</f>
        <v>3807772.7367807683</v>
      </c>
      <c r="DP92" s="249">
        <f t="shared" si="532"/>
        <v>-1773957.4216371989</v>
      </c>
      <c r="DQ92" s="249">
        <f t="shared" si="532"/>
        <v>4578921.1013041493</v>
      </c>
      <c r="DR92" s="249">
        <f t="shared" si="532"/>
        <v>6801497.3142949129</v>
      </c>
      <c r="DS92" s="249">
        <f t="shared" si="532"/>
        <v>1960576.7344429046</v>
      </c>
      <c r="DT92" s="249">
        <f t="shared" si="532"/>
        <v>7550296.6013039965</v>
      </c>
      <c r="DU92" s="249">
        <f t="shared" si="532"/>
        <v>7933313.8517810665</v>
      </c>
      <c r="DV92" s="249">
        <f t="shared" si="532"/>
        <v>2694119.8336711973</v>
      </c>
      <c r="DW92" s="249">
        <f t="shared" si="532"/>
        <v>7711656.0313041173</v>
      </c>
      <c r="DX92" s="249">
        <f t="shared" si="532"/>
        <v>8066453.0146664875</v>
      </c>
      <c r="DY92" s="249">
        <f t="shared" si="532"/>
        <v>2765351.8467461402</v>
      </c>
      <c r="DZ92" s="249">
        <f t="shared" si="532"/>
        <v>7715819.3913039984</v>
      </c>
      <c r="EA92" s="249">
        <f>+SUM(DO92:DZ92)</f>
        <v>59811821.035962544</v>
      </c>
      <c r="EB92" s="249">
        <f t="shared" ref="EB92:EM92" si="533">+EB82+EB90</f>
        <v>3875915.009175912</v>
      </c>
      <c r="EC92" s="249">
        <f t="shared" si="533"/>
        <v>-1026769.9553242261</v>
      </c>
      <c r="ED92" s="249">
        <f t="shared" si="533"/>
        <v>4755281.5613040319</v>
      </c>
      <c r="EE92" s="249">
        <f t="shared" si="533"/>
        <v>6868649.1699775001</v>
      </c>
      <c r="EF92" s="249">
        <f t="shared" si="533"/>
        <v>2717055.3328962</v>
      </c>
      <c r="EG92" s="249">
        <f t="shared" si="533"/>
        <v>7725610.1613041172</v>
      </c>
      <c r="EH92" s="249">
        <f t="shared" si="533"/>
        <v>8068253.5602593869</v>
      </c>
      <c r="EI92" s="249">
        <f t="shared" si="533"/>
        <v>2979047.885970993</v>
      </c>
      <c r="EJ92" s="249">
        <f t="shared" si="533"/>
        <v>7728309.491303998</v>
      </c>
      <c r="EK92" s="249">
        <f t="shared" si="533"/>
        <v>8069064.4442253131</v>
      </c>
      <c r="EL92" s="249">
        <f t="shared" si="533"/>
        <v>3050279.8990459479</v>
      </c>
      <c r="EM92" s="249">
        <f t="shared" si="533"/>
        <v>7732472.8513041176</v>
      </c>
      <c r="EN92" s="249">
        <f>+SUM(EB92:EM92)</f>
        <v>62543169.411443278</v>
      </c>
    </row>
    <row r="93" spans="1:144" s="235" customFormat="1" ht="14.4" thickTop="1" x14ac:dyDescent="0.25">
      <c r="A93" s="218"/>
      <c r="N93" s="235">
        <f>+SUM(B93:M93)</f>
        <v>0</v>
      </c>
      <c r="AA93" s="235">
        <f>+SUM(O93:Z93)</f>
        <v>0</v>
      </c>
      <c r="AN93" s="235">
        <f t="shared" si="376"/>
        <v>0</v>
      </c>
      <c r="CA93" s="235">
        <f t="shared" si="379"/>
        <v>0</v>
      </c>
      <c r="CN93" s="235">
        <f>+SUM(CB93:CM93)</f>
        <v>0</v>
      </c>
      <c r="DA93" s="235">
        <f>+SUM(CO93:CZ93)</f>
        <v>0</v>
      </c>
      <c r="DN93" s="235">
        <f>+SUM(DB93:DM93)</f>
        <v>0</v>
      </c>
      <c r="EA93" s="235">
        <f>+SUM(DO93:DZ93)</f>
        <v>0</v>
      </c>
      <c r="EN93" s="235">
        <f>+SUM(EB93:EM93)</f>
        <v>0</v>
      </c>
    </row>
    <row r="94" spans="1:144" s="235" customFormat="1" x14ac:dyDescent="0.25">
      <c r="A94" s="224" t="s">
        <v>255</v>
      </c>
      <c r="B94" s="235" t="e">
        <f>+B92+#REF!</f>
        <v>#REF!</v>
      </c>
      <c r="C94" s="235">
        <f t="shared" ref="C94:M94" si="534">+C92+B29</f>
        <v>17647027.260000169</v>
      </c>
      <c r="D94" s="235">
        <f t="shared" si="534"/>
        <v>28462401.33999984</v>
      </c>
      <c r="E94" s="235">
        <f t="shared" si="534"/>
        <v>36992302.230000049</v>
      </c>
      <c r="F94" s="235">
        <f t="shared" si="534"/>
        <v>28062109.630000036</v>
      </c>
      <c r="G94" s="235">
        <f t="shared" si="534"/>
        <v>32315082.359999903</v>
      </c>
      <c r="H94" s="235">
        <f t="shared" si="534"/>
        <v>38920053.119999543</v>
      </c>
      <c r="I94" s="235">
        <f t="shared" si="534"/>
        <v>-20710807.870000586</v>
      </c>
      <c r="J94" s="235">
        <f t="shared" si="534"/>
        <v>15901645.45999917</v>
      </c>
      <c r="K94" s="235">
        <f t="shared" si="534"/>
        <v>4320572.4699994251</v>
      </c>
      <c r="L94" s="235">
        <f t="shared" si="534"/>
        <v>30140934.839999378</v>
      </c>
      <c r="M94" s="235">
        <f t="shared" si="534"/>
        <v>14864268.519999197</v>
      </c>
      <c r="N94" s="235" t="e">
        <f>+N92+#REF!</f>
        <v>#REF!</v>
      </c>
      <c r="O94" s="235" t="e">
        <f>+O92+A29</f>
        <v>#VALUE!</v>
      </c>
      <c r="P94" s="235">
        <f t="shared" ref="P94:Z94" si="535">+P92+O29</f>
        <v>15162096.339999845</v>
      </c>
      <c r="Q94" s="235">
        <f t="shared" si="535"/>
        <v>26161953.659999959</v>
      </c>
      <c r="R94" s="235">
        <f t="shared" si="535"/>
        <v>41910676.839999735</v>
      </c>
      <c r="S94" s="235">
        <f t="shared" si="535"/>
        <v>13879865.959999584</v>
      </c>
      <c r="T94" s="235">
        <f t="shared" si="535"/>
        <v>17508704.249999598</v>
      </c>
      <c r="U94" s="235">
        <f t="shared" si="535"/>
        <v>16743463.690000024</v>
      </c>
      <c r="V94" s="235">
        <f t="shared" si="535"/>
        <v>18844996.309999671</v>
      </c>
      <c r="W94" s="235">
        <f t="shared" si="535"/>
        <v>19816327.699999969</v>
      </c>
      <c r="X94" s="235">
        <f t="shared" si="535"/>
        <v>14866400.459999744</v>
      </c>
      <c r="Y94" s="235">
        <f t="shared" si="535"/>
        <v>20711569.709999811</v>
      </c>
      <c r="Z94" s="235">
        <f t="shared" si="535"/>
        <v>16987790.769999728</v>
      </c>
      <c r="AA94" s="235" t="e">
        <f>+AA92+A29</f>
        <v>#VALUE!</v>
      </c>
      <c r="AB94" s="235">
        <f t="shared" ref="AB94:AM94" si="536">+AB92+AA29</f>
        <v>-235079876.31000113</v>
      </c>
      <c r="AC94" s="235">
        <f t="shared" si="536"/>
        <v>22989443.80999966</v>
      </c>
      <c r="AD94" s="235">
        <f t="shared" si="536"/>
        <v>20300620.220000155</v>
      </c>
      <c r="AE94" s="235">
        <f t="shared" si="536"/>
        <v>13685790.319999857</v>
      </c>
      <c r="AF94" s="235">
        <f t="shared" si="536"/>
        <v>12440873.690000013</v>
      </c>
      <c r="AG94" s="235">
        <f t="shared" si="536"/>
        <v>7955572.3599999398</v>
      </c>
      <c r="AH94" s="235">
        <f t="shared" si="536"/>
        <v>3219485.6699999026</v>
      </c>
      <c r="AI94" s="235">
        <f t="shared" si="536"/>
        <v>19061465.269999981</v>
      </c>
      <c r="AJ94" s="235">
        <f t="shared" si="536"/>
        <v>30353159.609999854</v>
      </c>
      <c r="AK94" s="235">
        <f t="shared" si="536"/>
        <v>9418194.3899996728</v>
      </c>
      <c r="AL94" s="235">
        <f t="shared" si="536"/>
        <v>10592651.57999938</v>
      </c>
      <c r="AM94" s="235">
        <f t="shared" si="536"/>
        <v>9933280.9399994276</v>
      </c>
      <c r="AN94" s="235">
        <f>+AN92+AA29</f>
        <v>-175495976.99000159</v>
      </c>
      <c r="AO94" s="235">
        <f t="shared" ref="AO94:AZ94" si="537">+AO92+AN29</f>
        <v>10399824.860000221</v>
      </c>
      <c r="AP94" s="235">
        <f t="shared" si="537"/>
        <v>8321351.7300000889</v>
      </c>
      <c r="AQ94" s="235">
        <f t="shared" si="537"/>
        <v>6024972.9300000314</v>
      </c>
      <c r="AR94" s="235">
        <f t="shared" si="537"/>
        <v>7514422.8500001039</v>
      </c>
      <c r="AS94" s="235">
        <f t="shared" si="537"/>
        <v>9050403.4299996234</v>
      </c>
      <c r="AT94" s="235">
        <f t="shared" si="537"/>
        <v>9009832.6999998763</v>
      </c>
      <c r="AU94" s="235">
        <f t="shared" si="537"/>
        <v>18051730.740000151</v>
      </c>
      <c r="AV94" s="235">
        <f t="shared" si="537"/>
        <v>13429721.380000059</v>
      </c>
      <c r="AW94" s="235">
        <f t="shared" si="537"/>
        <v>10428538.070000114</v>
      </c>
      <c r="AX94" s="235">
        <f t="shared" si="537"/>
        <v>14088710.930000037</v>
      </c>
      <c r="AY94" s="235">
        <f t="shared" si="537"/>
        <v>12732382.219999997</v>
      </c>
      <c r="AZ94" s="235">
        <f t="shared" si="537"/>
        <v>5632242.2300001094</v>
      </c>
      <c r="BA94" s="235">
        <f>+BA92+AN29</f>
        <v>5632242.2300003115</v>
      </c>
      <c r="BB94" s="235">
        <f t="shared" ref="BB94:BL94" si="538">+BB92+BA29</f>
        <v>8274482.5000001211</v>
      </c>
      <c r="BC94" s="235">
        <f t="shared" si="538"/>
        <v>10847381.979999941</v>
      </c>
      <c r="BD94" s="235">
        <f t="shared" si="538"/>
        <v>6469042.5499998778</v>
      </c>
      <c r="BE94" s="235">
        <f t="shared" si="538"/>
        <v>5096890.5500000697</v>
      </c>
      <c r="BF94" s="235">
        <f t="shared" si="538"/>
        <v>9562091.4899998996</v>
      </c>
      <c r="BG94" s="235">
        <f t="shared" si="538"/>
        <v>10439955.129999992</v>
      </c>
      <c r="BH94" s="235">
        <f t="shared" si="538"/>
        <v>8680537.5400000457</v>
      </c>
      <c r="BI94" s="235">
        <f t="shared" si="538"/>
        <v>12962870.710000074</v>
      </c>
      <c r="BJ94" s="235">
        <f t="shared" si="538"/>
        <v>7911061.5399999917</v>
      </c>
      <c r="BK94" s="235">
        <f t="shared" si="538"/>
        <v>10209517.119999919</v>
      </c>
      <c r="BL94" s="235">
        <f t="shared" si="538"/>
        <v>4369183.4200000651</v>
      </c>
      <c r="BM94" s="235">
        <f>+BM92+BL29</f>
        <v>11931058.9099999</v>
      </c>
      <c r="BN94" s="235">
        <f>+BN92+BA29</f>
        <v>11931058.909999896</v>
      </c>
      <c r="BO94" s="235">
        <f t="shared" ref="BO94:BZ94" si="539">+BO92+BN29</f>
        <v>12086234.790000055</v>
      </c>
      <c r="BP94" s="235">
        <f t="shared" si="539"/>
        <v>8375310.6599999396</v>
      </c>
      <c r="BQ94" s="235">
        <f t="shared" si="539"/>
        <v>19513742.500000063</v>
      </c>
      <c r="BR94" s="235">
        <f t="shared" si="539"/>
        <v>18370738.019999936</v>
      </c>
      <c r="BS94" s="235">
        <f t="shared" si="539"/>
        <v>11752391.220000044</v>
      </c>
      <c r="BT94" s="235">
        <f t="shared" si="539"/>
        <v>40497311.859999903</v>
      </c>
      <c r="BU94" s="235">
        <f t="shared" si="539"/>
        <v>112301681.23611361</v>
      </c>
      <c r="BV94" s="235">
        <f t="shared" si="539"/>
        <v>67664913.704920381</v>
      </c>
      <c r="BW94" s="235">
        <f t="shared" si="539"/>
        <v>93504016.232271373</v>
      </c>
      <c r="BX94" s="235">
        <f t="shared" si="539"/>
        <v>80871097.872337714</v>
      </c>
      <c r="BY94" s="235">
        <f t="shared" si="539"/>
        <v>122753050.08286975</v>
      </c>
      <c r="BZ94" s="235">
        <f t="shared" si="539"/>
        <v>126423589.66445006</v>
      </c>
      <c r="CA94" s="235">
        <f>+CA92+BN29</f>
        <v>126423589.66445</v>
      </c>
      <c r="CB94" s="235">
        <f t="shared" ref="CB94:CM94" si="540">+CB92+CA29</f>
        <v>80253707.382945284</v>
      </c>
      <c r="CC94" s="235">
        <f t="shared" si="540"/>
        <v>78423307.329193577</v>
      </c>
      <c r="CD94" s="235">
        <f t="shared" si="540"/>
        <v>38652608.864999592</v>
      </c>
      <c r="CE94" s="235">
        <f t="shared" si="540"/>
        <v>44481234.457870319</v>
      </c>
      <c r="CF94" s="235">
        <f t="shared" si="540"/>
        <v>44509380.672517359</v>
      </c>
      <c r="CG94" s="235">
        <f t="shared" si="540"/>
        <v>44726934.413688473</v>
      </c>
      <c r="CH94" s="235">
        <f t="shared" si="540"/>
        <v>51741776.540841125</v>
      </c>
      <c r="CI94" s="235">
        <f t="shared" si="540"/>
        <v>52055933.943453074</v>
      </c>
      <c r="CJ94" s="235">
        <f t="shared" si="540"/>
        <v>52395339.90768449</v>
      </c>
      <c r="CK94" s="235">
        <f t="shared" si="540"/>
        <v>59433119.019701675</v>
      </c>
      <c r="CL94" s="235">
        <f t="shared" si="540"/>
        <v>59842515.95027858</v>
      </c>
      <c r="CM94" s="235">
        <f t="shared" si="540"/>
        <v>60284446.341160648</v>
      </c>
      <c r="CN94" s="235">
        <f>+CN92+CA29</f>
        <v>60284446.341160633</v>
      </c>
      <c r="CO94" s="235">
        <f t="shared" ref="CO94:CZ94" si="541">+CO92+CN29</f>
        <v>62456144.525344431</v>
      </c>
      <c r="CP94" s="235">
        <f t="shared" si="541"/>
        <v>58420981.295444161</v>
      </c>
      <c r="CQ94" s="235">
        <f t="shared" si="541"/>
        <v>55257207.108734049</v>
      </c>
      <c r="CR94" s="235">
        <f t="shared" si="541"/>
        <v>60447576.083525762</v>
      </c>
      <c r="CS94" s="235">
        <f t="shared" si="541"/>
        <v>60162462.021383569</v>
      </c>
      <c r="CT94" s="235">
        <f t="shared" si="541"/>
        <v>61881486.885285139</v>
      </c>
      <c r="CU94" s="235">
        <f t="shared" si="541"/>
        <v>69871791.07578373</v>
      </c>
      <c r="CV94" s="235">
        <f t="shared" si="541"/>
        <v>71409361.198702052</v>
      </c>
      <c r="CW94" s="235">
        <f t="shared" si="541"/>
        <v>73220707.140350342</v>
      </c>
      <c r="CX94" s="235">
        <f t="shared" si="541"/>
        <v>81212484.035427406</v>
      </c>
      <c r="CY94" s="235">
        <f t="shared" si="541"/>
        <v>82936429.231420562</v>
      </c>
      <c r="CZ94" s="235">
        <f t="shared" si="541"/>
        <v>84834626.895224348</v>
      </c>
      <c r="DA94" s="235">
        <f>+DA92+CN29</f>
        <v>84834626.895224348</v>
      </c>
      <c r="DB94" s="235">
        <f t="shared" ref="DB94:DM94" si="542">+DB92+DA29</f>
        <v>109577537.99991962</v>
      </c>
      <c r="DC94" s="235">
        <f t="shared" si="542"/>
        <v>128456036.84007785</v>
      </c>
      <c r="DD94" s="235">
        <f t="shared" si="542"/>
        <v>148416315.75507727</v>
      </c>
      <c r="DE94" s="235">
        <f t="shared" si="542"/>
        <v>176153104.85669264</v>
      </c>
      <c r="DF94" s="235">
        <f t="shared" si="542"/>
        <v>198769872.11383578</v>
      </c>
      <c r="DG94" s="235">
        <f t="shared" si="542"/>
        <v>221781057.07420129</v>
      </c>
      <c r="DH94" s="235">
        <f t="shared" si="542"/>
        <v>250718370.65801346</v>
      </c>
      <c r="DI94" s="235">
        <f t="shared" si="542"/>
        <v>273597130.4682315</v>
      </c>
      <c r="DJ94" s="235">
        <f t="shared" si="542"/>
        <v>296697001.85350186</v>
      </c>
      <c r="DK94" s="235">
        <f t="shared" si="542"/>
        <v>325635788.14189243</v>
      </c>
      <c r="DL94" s="235">
        <f t="shared" si="542"/>
        <v>348585779.96518546</v>
      </c>
      <c r="DM94" s="235">
        <f t="shared" si="542"/>
        <v>377120181.7419396</v>
      </c>
      <c r="DN94" s="235">
        <f>+DN92+DA29</f>
        <v>377120181.74193954</v>
      </c>
      <c r="DO94" s="235">
        <f t="shared" ref="DO94:DZ94" si="543">+DO92+DN29</f>
        <v>380927954.47872037</v>
      </c>
      <c r="DP94" s="235">
        <f t="shared" si="543"/>
        <v>379153997.05708319</v>
      </c>
      <c r="DQ94" s="235">
        <f t="shared" si="543"/>
        <v>383732918.15838736</v>
      </c>
      <c r="DR94" s="235">
        <f t="shared" si="543"/>
        <v>390534415.4726823</v>
      </c>
      <c r="DS94" s="235">
        <f t="shared" si="543"/>
        <v>392494992.20712519</v>
      </c>
      <c r="DT94" s="235">
        <f t="shared" si="543"/>
        <v>400045288.80842918</v>
      </c>
      <c r="DU94" s="235">
        <f t="shared" si="543"/>
        <v>407978602.66021025</v>
      </c>
      <c r="DV94" s="235">
        <f t="shared" si="543"/>
        <v>410672722.49388146</v>
      </c>
      <c r="DW94" s="235">
        <f t="shared" si="543"/>
        <v>418384378.52518559</v>
      </c>
      <c r="DX94" s="235">
        <f t="shared" si="543"/>
        <v>426450831.53985208</v>
      </c>
      <c r="DY94" s="235">
        <f t="shared" si="543"/>
        <v>429216183.38659823</v>
      </c>
      <c r="DZ94" s="235">
        <f t="shared" si="543"/>
        <v>436932002.77790225</v>
      </c>
      <c r="EA94" s="235">
        <f>+EA92+DN29</f>
        <v>436932002.77790213</v>
      </c>
      <c r="EB94" s="235">
        <f t="shared" ref="EB94:EM94" si="544">+EB92+EA29</f>
        <v>440807917.78707814</v>
      </c>
      <c r="EC94" s="235">
        <f t="shared" si="544"/>
        <v>439781147.83175391</v>
      </c>
      <c r="ED94" s="235">
        <f t="shared" si="544"/>
        <v>444536429.39305794</v>
      </c>
      <c r="EE94" s="235">
        <f t="shared" si="544"/>
        <v>451405078.56303543</v>
      </c>
      <c r="EF94" s="235">
        <f t="shared" si="544"/>
        <v>454122133.8959316</v>
      </c>
      <c r="EG94" s="235">
        <f t="shared" si="544"/>
        <v>461847744.05723572</v>
      </c>
      <c r="EH94" s="235">
        <f t="shared" si="544"/>
        <v>469915997.61749512</v>
      </c>
      <c r="EI94" s="235">
        <f t="shared" si="544"/>
        <v>472895045.50346613</v>
      </c>
      <c r="EJ94" s="235">
        <f t="shared" si="544"/>
        <v>480623354.99477011</v>
      </c>
      <c r="EK94" s="235">
        <f t="shared" si="544"/>
        <v>488692419.43899542</v>
      </c>
      <c r="EL94" s="235">
        <f t="shared" si="544"/>
        <v>491742699.33804137</v>
      </c>
      <c r="EM94" s="235">
        <f t="shared" si="544"/>
        <v>499475172.18934548</v>
      </c>
      <c r="EN94" s="235">
        <f>+EN92+EA29</f>
        <v>499475172.18934554</v>
      </c>
    </row>
    <row r="95" spans="1:144" s="235" customFormat="1" x14ac:dyDescent="0.25">
      <c r="A95" s="250" t="s">
        <v>89</v>
      </c>
      <c r="AN95" s="235">
        <f>+SUM(AB95:AM95)</f>
        <v>0</v>
      </c>
      <c r="AO95" s="235">
        <f t="shared" ref="AO95:AZ95" si="545">+AO94-AO29</f>
        <v>2.0861625671386719E-7</v>
      </c>
      <c r="AP95" s="235">
        <f t="shared" si="545"/>
        <v>5.3085386753082275E-8</v>
      </c>
      <c r="AQ95" s="235">
        <f t="shared" si="545"/>
        <v>0</v>
      </c>
      <c r="AR95" s="235">
        <f t="shared" si="545"/>
        <v>1.2293457984924316E-7</v>
      </c>
      <c r="AS95" s="235">
        <f t="shared" si="545"/>
        <v>-3.0547380447387695E-7</v>
      </c>
      <c r="AT95" s="235">
        <f t="shared" si="545"/>
        <v>-6.7055225372314453E-8</v>
      </c>
      <c r="AU95" s="235">
        <f t="shared" si="545"/>
        <v>1.6391277313232422E-7</v>
      </c>
      <c r="AV95" s="235">
        <f t="shared" si="545"/>
        <v>3.5390257835388184E-8</v>
      </c>
      <c r="AW95" s="235">
        <f t="shared" si="545"/>
        <v>7.6368451118469238E-8</v>
      </c>
      <c r="AX95" s="235">
        <f t="shared" si="545"/>
        <v>-2.0489096641540527E-8</v>
      </c>
      <c r="AY95" s="235">
        <f t="shared" si="545"/>
        <v>-6.1467289924621582E-8</v>
      </c>
      <c r="AZ95" s="235">
        <f t="shared" si="545"/>
        <v>8.8475644588470459E-8</v>
      </c>
      <c r="BA95" s="235">
        <f t="shared" ref="BA95:BQ95" si="546">+BA94-BA29</f>
        <v>2.905726432800293E-7</v>
      </c>
      <c r="BB95" s="235">
        <f t="shared" si="546"/>
        <v>1.2107193470001221E-7</v>
      </c>
      <c r="BC95" s="235">
        <f t="shared" si="546"/>
        <v>-5.9604644775390625E-8</v>
      </c>
      <c r="BD95" s="235">
        <f t="shared" si="546"/>
        <v>-1.2200325727462769E-7</v>
      </c>
      <c r="BE95" s="235">
        <f t="shared" si="546"/>
        <v>6.9849193096160889E-8</v>
      </c>
      <c r="BF95" s="235">
        <f t="shared" si="546"/>
        <v>-1.0058283805847168E-7</v>
      </c>
      <c r="BG95" s="235">
        <f t="shared" si="546"/>
        <v>0</v>
      </c>
      <c r="BH95" s="235">
        <f t="shared" si="546"/>
        <v>4.6566128730773926E-8</v>
      </c>
      <c r="BI95" s="235">
        <f t="shared" si="546"/>
        <v>7.2643160820007324E-8</v>
      </c>
      <c r="BJ95" s="235">
        <f t="shared" si="546"/>
        <v>-8.3819031715393066E-9</v>
      </c>
      <c r="BK95" s="235">
        <f t="shared" si="546"/>
        <v>-8.0093741416931152E-8</v>
      </c>
      <c r="BL95" s="235">
        <f t="shared" si="546"/>
        <v>6.5192580223083496E-8</v>
      </c>
      <c r="BM95" s="235">
        <f t="shared" si="546"/>
        <v>-1.0058283805847168E-7</v>
      </c>
      <c r="BN95" s="235">
        <f t="shared" si="546"/>
        <v>-1.0430812835693359E-7</v>
      </c>
      <c r="BO95" s="235">
        <f t="shared" si="546"/>
        <v>5.5879354476928711E-8</v>
      </c>
      <c r="BP95" s="235">
        <f t="shared" si="546"/>
        <v>-6.0535967350006104E-8</v>
      </c>
      <c r="BQ95" s="235">
        <f t="shared" si="546"/>
        <v>6.3329935073852539E-8</v>
      </c>
      <c r="BR95" s="235">
        <f t="shared" ref="BR95:BZ95" si="547">+BR94-BR29</f>
        <v>-6.3329935073852539E-8</v>
      </c>
      <c r="BS95" s="235">
        <f t="shared" si="547"/>
        <v>4.2840838432312012E-8</v>
      </c>
      <c r="BT95" s="235">
        <f t="shared" ref="BT95" si="548">+BT94-BT29</f>
        <v>-9.6857547760009766E-8</v>
      </c>
      <c r="BU95" s="235">
        <f t="shared" si="547"/>
        <v>0</v>
      </c>
      <c r="BV95" s="235">
        <f t="shared" si="547"/>
        <v>0</v>
      </c>
      <c r="BW95" s="235">
        <f t="shared" si="547"/>
        <v>0</v>
      </c>
      <c r="BX95" s="235">
        <f t="shared" si="547"/>
        <v>0</v>
      </c>
      <c r="BY95" s="235">
        <f t="shared" si="547"/>
        <v>0</v>
      </c>
      <c r="BZ95" s="235">
        <f t="shared" si="547"/>
        <v>0</v>
      </c>
      <c r="CA95" s="235">
        <f>+SUM(BO95:BZ95)</f>
        <v>-5.8673322200775146E-8</v>
      </c>
      <c r="CB95" s="235">
        <f t="shared" ref="CB95:CM95" si="549">+CB94-CB29</f>
        <v>0</v>
      </c>
      <c r="CC95" s="235">
        <f t="shared" si="549"/>
        <v>0</v>
      </c>
      <c r="CD95" s="235">
        <f t="shared" si="549"/>
        <v>0</v>
      </c>
      <c r="CE95" s="235">
        <f t="shared" si="549"/>
        <v>0</v>
      </c>
      <c r="CF95" s="235">
        <f t="shared" si="549"/>
        <v>0</v>
      </c>
      <c r="CG95" s="235">
        <f t="shared" si="549"/>
        <v>0</v>
      </c>
      <c r="CH95" s="235">
        <f t="shared" si="549"/>
        <v>0</v>
      </c>
      <c r="CI95" s="235">
        <f t="shared" si="549"/>
        <v>0</v>
      </c>
      <c r="CJ95" s="235">
        <f t="shared" si="549"/>
        <v>0</v>
      </c>
      <c r="CK95" s="235">
        <f t="shared" si="549"/>
        <v>0</v>
      </c>
      <c r="CL95" s="235">
        <f t="shared" si="549"/>
        <v>0</v>
      </c>
      <c r="CM95" s="235">
        <f t="shared" si="549"/>
        <v>0</v>
      </c>
      <c r="CN95" s="235">
        <f>+SUM(CB95:CM95)</f>
        <v>0</v>
      </c>
      <c r="CO95" s="235">
        <f t="shared" ref="CO95" si="550">+CO94-CO29</f>
        <v>0</v>
      </c>
      <c r="CP95" s="235">
        <f t="shared" ref="CP95:CZ95" si="551">+CP94-CP29</f>
        <v>0</v>
      </c>
      <c r="CQ95" s="235">
        <f t="shared" si="551"/>
        <v>0</v>
      </c>
      <c r="CR95" s="235">
        <f t="shared" si="551"/>
        <v>0</v>
      </c>
      <c r="CS95" s="235">
        <f t="shared" si="551"/>
        <v>0</v>
      </c>
      <c r="CT95" s="235">
        <f t="shared" si="551"/>
        <v>0</v>
      </c>
      <c r="CU95" s="235">
        <f t="shared" si="551"/>
        <v>0</v>
      </c>
      <c r="CV95" s="235">
        <f t="shared" si="551"/>
        <v>0</v>
      </c>
      <c r="CW95" s="235">
        <f t="shared" si="551"/>
        <v>0</v>
      </c>
      <c r="CX95" s="235">
        <f t="shared" si="551"/>
        <v>0</v>
      </c>
      <c r="CY95" s="235">
        <f t="shared" si="551"/>
        <v>0</v>
      </c>
      <c r="CZ95" s="235">
        <f t="shared" si="551"/>
        <v>0</v>
      </c>
      <c r="DA95" s="235">
        <f>+SUM(CO95:CZ95)</f>
        <v>0</v>
      </c>
      <c r="DB95" s="235">
        <f t="shared" ref="DB95:DM95" si="552">+DB94-DB29</f>
        <v>0</v>
      </c>
      <c r="DC95" s="235">
        <f t="shared" si="552"/>
        <v>0</v>
      </c>
      <c r="DD95" s="235">
        <f t="shared" si="552"/>
        <v>0</v>
      </c>
      <c r="DE95" s="235">
        <f t="shared" si="552"/>
        <v>0</v>
      </c>
      <c r="DF95" s="235">
        <f t="shared" si="552"/>
        <v>0</v>
      </c>
      <c r="DG95" s="235">
        <f t="shared" si="552"/>
        <v>0</v>
      </c>
      <c r="DH95" s="235">
        <f t="shared" si="552"/>
        <v>0</v>
      </c>
      <c r="DI95" s="235">
        <f t="shared" si="552"/>
        <v>0</v>
      </c>
      <c r="DJ95" s="235">
        <f t="shared" si="552"/>
        <v>0</v>
      </c>
      <c r="DK95" s="235">
        <f t="shared" si="552"/>
        <v>0</v>
      </c>
      <c r="DL95" s="235">
        <f t="shared" si="552"/>
        <v>0</v>
      </c>
      <c r="DM95" s="235">
        <f t="shared" si="552"/>
        <v>0</v>
      </c>
      <c r="DN95" s="235">
        <f>+SUM(DB95:DM95)</f>
        <v>0</v>
      </c>
      <c r="DO95" s="235">
        <f t="shared" ref="DO95:DZ95" si="553">+DO94-DO29</f>
        <v>0</v>
      </c>
      <c r="DP95" s="235">
        <f t="shared" si="553"/>
        <v>0</v>
      </c>
      <c r="DQ95" s="235">
        <f t="shared" si="553"/>
        <v>0</v>
      </c>
      <c r="DR95" s="235">
        <f t="shared" si="553"/>
        <v>0</v>
      </c>
      <c r="DS95" s="235">
        <f t="shared" si="553"/>
        <v>0</v>
      </c>
      <c r="DT95" s="235">
        <f t="shared" si="553"/>
        <v>0</v>
      </c>
      <c r="DU95" s="235">
        <f t="shared" si="553"/>
        <v>0</v>
      </c>
      <c r="DV95" s="235">
        <f t="shared" si="553"/>
        <v>0</v>
      </c>
      <c r="DW95" s="235">
        <f t="shared" si="553"/>
        <v>0</v>
      </c>
      <c r="DX95" s="235">
        <f t="shared" si="553"/>
        <v>0</v>
      </c>
      <c r="DY95" s="235">
        <f t="shared" si="553"/>
        <v>0</v>
      </c>
      <c r="DZ95" s="235">
        <f t="shared" si="553"/>
        <v>0</v>
      </c>
      <c r="EA95" s="235">
        <f>+SUM(DO95:DZ95)</f>
        <v>0</v>
      </c>
      <c r="EB95" s="235">
        <f t="shared" ref="EB95:EM95" si="554">+EB94-EB29</f>
        <v>0</v>
      </c>
      <c r="EC95" s="235">
        <f t="shared" si="554"/>
        <v>0</v>
      </c>
      <c r="ED95" s="235">
        <f t="shared" si="554"/>
        <v>0</v>
      </c>
      <c r="EE95" s="235">
        <f t="shared" si="554"/>
        <v>0</v>
      </c>
      <c r="EF95" s="235">
        <f t="shared" si="554"/>
        <v>0</v>
      </c>
      <c r="EG95" s="235">
        <f t="shared" si="554"/>
        <v>0</v>
      </c>
      <c r="EH95" s="235">
        <f t="shared" si="554"/>
        <v>0</v>
      </c>
      <c r="EI95" s="235">
        <f t="shared" si="554"/>
        <v>0</v>
      </c>
      <c r="EJ95" s="235">
        <f t="shared" si="554"/>
        <v>0</v>
      </c>
      <c r="EK95" s="235">
        <f t="shared" si="554"/>
        <v>0</v>
      </c>
      <c r="EL95" s="235">
        <f t="shared" si="554"/>
        <v>0</v>
      </c>
      <c r="EM95" s="235">
        <f t="shared" si="554"/>
        <v>0</v>
      </c>
      <c r="EN95" s="235">
        <f>+SUM(EB95:EM95)</f>
        <v>0</v>
      </c>
    </row>
    <row r="96" spans="1:144" s="232" customFormat="1" x14ac:dyDescent="0.25">
      <c r="N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51"/>
      <c r="AS96" s="251"/>
      <c r="AT96" s="251"/>
      <c r="AU96" s="251"/>
      <c r="AV96" s="251"/>
      <c r="AW96" s="251"/>
      <c r="AX96" s="251"/>
      <c r="AY96" s="251"/>
      <c r="AZ96" s="251"/>
      <c r="BA96" s="251"/>
      <c r="BB96" s="251"/>
      <c r="BC96" s="251"/>
      <c r="BD96" s="251"/>
      <c r="BE96" s="251"/>
      <c r="BF96" s="251"/>
      <c r="BG96" s="251"/>
      <c r="BH96" s="251"/>
      <c r="BI96" s="251"/>
      <c r="BJ96" s="251"/>
      <c r="BK96" s="251"/>
      <c r="BL96" s="251"/>
      <c r="BM96" s="251"/>
      <c r="BN96" s="251"/>
      <c r="BO96" s="251"/>
      <c r="BP96" s="251"/>
      <c r="BQ96" s="251"/>
      <c r="BR96" s="251"/>
      <c r="BS96" s="251"/>
      <c r="BT96" s="251"/>
      <c r="BU96" s="251"/>
      <c r="BV96" s="251"/>
      <c r="BW96" s="251"/>
      <c r="BX96" s="251"/>
      <c r="BY96" s="251"/>
      <c r="BZ96" s="251"/>
      <c r="CA96" s="251"/>
      <c r="CB96" s="251"/>
      <c r="CC96" s="251"/>
      <c r="CD96" s="251"/>
      <c r="CE96" s="251"/>
      <c r="CF96" s="251"/>
      <c r="CG96" s="251"/>
      <c r="CH96" s="251"/>
      <c r="CI96" s="251"/>
      <c r="CJ96" s="251"/>
      <c r="CK96" s="251"/>
      <c r="CL96" s="251"/>
      <c r="CM96" s="251"/>
      <c r="CN96" s="251"/>
      <c r="CO96" s="251"/>
      <c r="CP96" s="251"/>
      <c r="CQ96" s="251"/>
      <c r="CR96" s="251"/>
      <c r="CS96" s="251"/>
      <c r="CT96" s="251"/>
      <c r="CU96" s="251"/>
      <c r="CV96" s="251"/>
      <c r="CW96" s="251"/>
      <c r="CX96" s="251"/>
      <c r="CY96" s="251"/>
      <c r="CZ96" s="251"/>
      <c r="DA96" s="251"/>
      <c r="DB96" s="251"/>
      <c r="DC96" s="251"/>
      <c r="DD96" s="251"/>
      <c r="DE96" s="251"/>
      <c r="DF96" s="251"/>
      <c r="DG96" s="251"/>
      <c r="DH96" s="251"/>
      <c r="DI96" s="251"/>
      <c r="DJ96" s="251"/>
      <c r="DK96" s="251"/>
      <c r="DL96" s="251"/>
      <c r="DM96" s="251"/>
      <c r="DN96" s="251"/>
      <c r="DO96" s="251"/>
      <c r="DP96" s="251"/>
      <c r="DQ96" s="251"/>
      <c r="DR96" s="251"/>
      <c r="DS96" s="251"/>
      <c r="DT96" s="251"/>
      <c r="DU96" s="251"/>
      <c r="DV96" s="251"/>
      <c r="DW96" s="251"/>
      <c r="DX96" s="251"/>
      <c r="DY96" s="251"/>
      <c r="DZ96" s="251"/>
      <c r="EA96" s="251"/>
      <c r="EB96" s="251"/>
      <c r="EC96" s="251"/>
      <c r="ED96" s="251"/>
      <c r="EE96" s="251"/>
      <c r="EF96" s="251"/>
      <c r="EG96" s="251"/>
      <c r="EH96" s="251"/>
      <c r="EI96" s="251"/>
      <c r="EJ96" s="251"/>
      <c r="EK96" s="251"/>
      <c r="EL96" s="251"/>
      <c r="EM96" s="251"/>
      <c r="EN96" s="251"/>
    </row>
    <row r="97" spans="1:183" x14ac:dyDescent="0.25">
      <c r="BB97" s="252"/>
      <c r="BC97" s="252"/>
      <c r="BD97" s="252"/>
      <c r="BE97" s="252"/>
      <c r="BF97" s="252"/>
      <c r="BG97" s="252"/>
      <c r="BH97" s="252"/>
      <c r="BI97" s="252"/>
      <c r="BJ97" s="252"/>
      <c r="BK97" s="252"/>
      <c r="BL97" s="252"/>
      <c r="BM97" s="252"/>
      <c r="BN97" s="252"/>
      <c r="BO97" s="252"/>
      <c r="BP97" s="252"/>
      <c r="BQ97" s="252"/>
      <c r="BR97" s="252"/>
      <c r="BS97" s="252"/>
      <c r="BT97" s="252"/>
      <c r="BU97" s="252"/>
      <c r="BV97" s="252"/>
      <c r="BW97" s="252"/>
      <c r="BX97" s="252"/>
      <c r="BY97" s="252"/>
      <c r="BZ97" s="252"/>
      <c r="CA97" s="252"/>
      <c r="CB97" s="252"/>
      <c r="CC97" s="252"/>
      <c r="CD97" s="252"/>
      <c r="CE97" s="252"/>
      <c r="CF97" s="252"/>
      <c r="CG97" s="252"/>
      <c r="CH97" s="252"/>
      <c r="CI97" s="252"/>
      <c r="CJ97" s="252"/>
      <c r="CK97" s="252"/>
      <c r="CL97" s="252"/>
      <c r="CM97" s="252"/>
      <c r="CN97" s="252"/>
      <c r="CO97" s="252"/>
      <c r="CP97" s="252"/>
      <c r="CQ97" s="252"/>
      <c r="CR97" s="252"/>
      <c r="CS97" s="252"/>
      <c r="CT97" s="252"/>
      <c r="CU97" s="252"/>
      <c r="CV97" s="252"/>
      <c r="CW97" s="252"/>
      <c r="CX97" s="252"/>
      <c r="CY97" s="252"/>
      <c r="CZ97" s="252"/>
      <c r="DA97" s="252"/>
      <c r="DB97" s="252"/>
      <c r="DC97" s="252"/>
      <c r="DD97" s="252"/>
      <c r="DE97" s="252"/>
      <c r="DF97" s="252"/>
      <c r="DG97" s="252"/>
      <c r="DH97" s="252"/>
      <c r="DI97" s="252"/>
      <c r="DJ97" s="252"/>
      <c r="DK97" s="252"/>
      <c r="DL97" s="252"/>
      <c r="DM97" s="252"/>
      <c r="DN97" s="252"/>
      <c r="DO97" s="252"/>
      <c r="DP97" s="252"/>
      <c r="DQ97" s="252"/>
      <c r="DR97" s="252"/>
      <c r="DS97" s="252"/>
      <c r="DT97" s="252"/>
      <c r="DU97" s="252"/>
      <c r="DV97" s="252"/>
      <c r="DW97" s="252"/>
      <c r="DX97" s="252"/>
      <c r="DY97" s="252"/>
      <c r="DZ97" s="252"/>
      <c r="EA97" s="252"/>
      <c r="EB97" s="252"/>
      <c r="EC97" s="252"/>
      <c r="ED97" s="252"/>
      <c r="EE97" s="252"/>
      <c r="EF97" s="252"/>
      <c r="EG97" s="252"/>
      <c r="EH97" s="252"/>
      <c r="EI97" s="252"/>
      <c r="EJ97" s="252"/>
      <c r="EK97" s="252"/>
      <c r="EL97" s="252"/>
      <c r="EM97" s="252"/>
      <c r="EN97" s="252"/>
    </row>
    <row r="98" spans="1:183" x14ac:dyDescent="0.25">
      <c r="BB98" s="252"/>
      <c r="BC98" s="252"/>
      <c r="BD98" s="252"/>
      <c r="BE98" s="252"/>
      <c r="BF98" s="252"/>
      <c r="BG98" s="252"/>
      <c r="BH98" s="252"/>
      <c r="BI98" s="252"/>
      <c r="BJ98" s="252"/>
      <c r="BK98" s="252"/>
      <c r="BL98" s="252"/>
      <c r="BM98" s="252"/>
      <c r="BN98" s="252"/>
      <c r="BO98" s="252"/>
      <c r="BP98" s="252"/>
      <c r="BQ98" s="252"/>
      <c r="BR98" s="252"/>
      <c r="BS98" s="252"/>
      <c r="BT98" s="252"/>
      <c r="BU98" s="252"/>
      <c r="BV98" s="252"/>
      <c r="BW98" s="252"/>
      <c r="BX98" s="252"/>
      <c r="BY98" s="252"/>
      <c r="BZ98" s="252"/>
      <c r="CA98" s="252"/>
      <c r="CB98" s="252"/>
      <c r="CC98" s="252"/>
      <c r="CD98" s="252"/>
      <c r="CE98" s="252"/>
      <c r="CF98" s="252"/>
      <c r="CG98" s="252"/>
      <c r="CH98" s="252"/>
      <c r="CI98" s="252"/>
      <c r="CJ98" s="252"/>
      <c r="CK98" s="252"/>
      <c r="CL98" s="252"/>
      <c r="CM98" s="252"/>
      <c r="CN98" s="252"/>
      <c r="CO98" s="252"/>
      <c r="CP98" s="252"/>
      <c r="CQ98" s="252"/>
      <c r="CR98" s="252"/>
      <c r="CS98" s="252"/>
      <c r="CT98" s="252"/>
      <c r="CU98" s="252"/>
      <c r="CV98" s="252"/>
      <c r="CW98" s="252"/>
      <c r="CX98" s="252"/>
      <c r="CY98" s="252"/>
      <c r="CZ98" s="252"/>
      <c r="DA98" s="252"/>
      <c r="DB98" s="252"/>
      <c r="DC98" s="252"/>
      <c r="DD98" s="252"/>
      <c r="DE98" s="252"/>
      <c r="DF98" s="252"/>
      <c r="DG98" s="252"/>
      <c r="DH98" s="252"/>
      <c r="DI98" s="252"/>
      <c r="DJ98" s="252"/>
      <c r="DK98" s="252"/>
      <c r="DL98" s="252"/>
      <c r="DM98" s="252"/>
      <c r="DN98" s="252"/>
      <c r="DO98" s="252"/>
      <c r="DP98" s="252"/>
      <c r="DQ98" s="252"/>
      <c r="DR98" s="252"/>
      <c r="DS98" s="252"/>
      <c r="DT98" s="252"/>
      <c r="DU98" s="252"/>
      <c r="DV98" s="252"/>
      <c r="DW98" s="252"/>
      <c r="DX98" s="252"/>
      <c r="DY98" s="252"/>
      <c r="DZ98" s="252"/>
      <c r="EA98" s="252"/>
      <c r="EB98" s="252"/>
      <c r="EC98" s="252"/>
      <c r="ED98" s="252"/>
      <c r="EE98" s="252"/>
      <c r="EF98" s="252"/>
      <c r="EG98" s="252"/>
      <c r="EH98" s="252"/>
      <c r="EI98" s="252"/>
      <c r="EJ98" s="252"/>
      <c r="EK98" s="252"/>
      <c r="EL98" s="252"/>
      <c r="EM98" s="252"/>
      <c r="EN98" s="252"/>
    </row>
    <row r="102" spans="1:183" s="230" customFormat="1" x14ac:dyDescent="0.25">
      <c r="B102" s="285">
        <f t="shared" ref="B102:N102" si="555">+B1</f>
        <v>43951</v>
      </c>
      <c r="C102" s="285">
        <f t="shared" si="555"/>
        <v>43982</v>
      </c>
      <c r="D102" s="285">
        <f t="shared" si="555"/>
        <v>44012</v>
      </c>
      <c r="E102" s="285">
        <f t="shared" si="555"/>
        <v>44043</v>
      </c>
      <c r="F102" s="285">
        <f t="shared" si="555"/>
        <v>44074</v>
      </c>
      <c r="G102" s="285">
        <f t="shared" si="555"/>
        <v>44104</v>
      </c>
      <c r="H102" s="285">
        <f t="shared" si="555"/>
        <v>44135</v>
      </c>
      <c r="I102" s="285">
        <f t="shared" si="555"/>
        <v>44165</v>
      </c>
      <c r="J102" s="285">
        <f t="shared" si="555"/>
        <v>44196</v>
      </c>
      <c r="K102" s="285">
        <f t="shared" si="555"/>
        <v>44227</v>
      </c>
      <c r="L102" s="285">
        <f t="shared" si="555"/>
        <v>44255</v>
      </c>
      <c r="M102" s="285">
        <f t="shared" si="555"/>
        <v>44286</v>
      </c>
      <c r="N102" s="226">
        <f t="shared" si="555"/>
        <v>2020</v>
      </c>
      <c r="O102" s="285">
        <f t="shared" ref="O102:AT102" si="556">+O1</f>
        <v>44316</v>
      </c>
      <c r="P102" s="285">
        <f t="shared" si="556"/>
        <v>44347</v>
      </c>
      <c r="Q102" s="285">
        <f t="shared" si="556"/>
        <v>44377</v>
      </c>
      <c r="R102" s="285">
        <f t="shared" si="556"/>
        <v>44408</v>
      </c>
      <c r="S102" s="285">
        <f t="shared" si="556"/>
        <v>44439</v>
      </c>
      <c r="T102" s="285">
        <f t="shared" si="556"/>
        <v>44469</v>
      </c>
      <c r="U102" s="285">
        <f t="shared" si="556"/>
        <v>44500</v>
      </c>
      <c r="V102" s="285">
        <f t="shared" si="556"/>
        <v>44530</v>
      </c>
      <c r="W102" s="285">
        <f t="shared" si="556"/>
        <v>44561</v>
      </c>
      <c r="X102" s="285">
        <f t="shared" si="556"/>
        <v>44592</v>
      </c>
      <c r="Y102" s="285">
        <f t="shared" si="556"/>
        <v>44620</v>
      </c>
      <c r="Z102" s="285">
        <f t="shared" si="556"/>
        <v>44651</v>
      </c>
      <c r="AA102" s="226">
        <f t="shared" si="556"/>
        <v>2021</v>
      </c>
      <c r="AB102" s="285">
        <f t="shared" si="556"/>
        <v>44681</v>
      </c>
      <c r="AC102" s="285">
        <f t="shared" si="556"/>
        <v>44712</v>
      </c>
      <c r="AD102" s="285">
        <f t="shared" si="556"/>
        <v>44742</v>
      </c>
      <c r="AE102" s="285">
        <f t="shared" si="556"/>
        <v>44773</v>
      </c>
      <c r="AF102" s="285">
        <f t="shared" si="556"/>
        <v>44804</v>
      </c>
      <c r="AG102" s="285">
        <f t="shared" si="556"/>
        <v>44834</v>
      </c>
      <c r="AH102" s="285">
        <f t="shared" si="556"/>
        <v>44865</v>
      </c>
      <c r="AI102" s="285">
        <f t="shared" si="556"/>
        <v>44895</v>
      </c>
      <c r="AJ102" s="285">
        <f t="shared" si="556"/>
        <v>44926</v>
      </c>
      <c r="AK102" s="285">
        <f t="shared" si="556"/>
        <v>44957</v>
      </c>
      <c r="AL102" s="285">
        <f t="shared" si="556"/>
        <v>44985</v>
      </c>
      <c r="AM102" s="285">
        <f t="shared" si="556"/>
        <v>45016</v>
      </c>
      <c r="AN102" s="226">
        <f t="shared" si="556"/>
        <v>2022</v>
      </c>
      <c r="AO102" s="285">
        <f t="shared" si="556"/>
        <v>45046</v>
      </c>
      <c r="AP102" s="285">
        <f t="shared" si="556"/>
        <v>45077</v>
      </c>
      <c r="AQ102" s="285">
        <f t="shared" si="556"/>
        <v>45107</v>
      </c>
      <c r="AR102" s="285">
        <f t="shared" si="556"/>
        <v>45138</v>
      </c>
      <c r="AS102" s="285">
        <f t="shared" si="556"/>
        <v>45169</v>
      </c>
      <c r="AT102" s="285">
        <f t="shared" si="556"/>
        <v>45199</v>
      </c>
      <c r="AU102" s="285">
        <f t="shared" ref="AU102:BZ102" si="557">+AU1</f>
        <v>45230</v>
      </c>
      <c r="AV102" s="285">
        <f t="shared" si="557"/>
        <v>45260</v>
      </c>
      <c r="AW102" s="285">
        <f t="shared" si="557"/>
        <v>45291</v>
      </c>
      <c r="AX102" s="285">
        <f t="shared" si="557"/>
        <v>45322</v>
      </c>
      <c r="AY102" s="285">
        <f t="shared" si="557"/>
        <v>45351</v>
      </c>
      <c r="AZ102" s="285">
        <f t="shared" si="557"/>
        <v>45382</v>
      </c>
      <c r="BA102" s="226">
        <f t="shared" si="557"/>
        <v>2023</v>
      </c>
      <c r="BB102" s="285">
        <f t="shared" si="557"/>
        <v>45412</v>
      </c>
      <c r="BC102" s="285">
        <f t="shared" si="557"/>
        <v>45443</v>
      </c>
      <c r="BD102" s="285">
        <f t="shared" si="557"/>
        <v>45473</v>
      </c>
      <c r="BE102" s="285">
        <f t="shared" si="557"/>
        <v>45504</v>
      </c>
      <c r="BF102" s="285">
        <f t="shared" si="557"/>
        <v>45535</v>
      </c>
      <c r="BG102" s="285">
        <f t="shared" si="557"/>
        <v>45565</v>
      </c>
      <c r="BH102" s="285">
        <f t="shared" si="557"/>
        <v>45596</v>
      </c>
      <c r="BI102" s="285">
        <f t="shared" si="557"/>
        <v>45626</v>
      </c>
      <c r="BJ102" s="285">
        <f t="shared" si="557"/>
        <v>45657</v>
      </c>
      <c r="BK102" s="285">
        <f t="shared" si="557"/>
        <v>45688</v>
      </c>
      <c r="BL102" s="285">
        <f t="shared" si="557"/>
        <v>45716</v>
      </c>
      <c r="BM102" s="285">
        <f t="shared" si="557"/>
        <v>45747</v>
      </c>
      <c r="BN102" s="226">
        <f t="shared" si="557"/>
        <v>2024</v>
      </c>
      <c r="BO102" s="285">
        <f>+BO1</f>
        <v>45777</v>
      </c>
      <c r="BP102" s="285">
        <f>+BP1</f>
        <v>45808</v>
      </c>
      <c r="BQ102" s="285">
        <f>+BQ1</f>
        <v>45838</v>
      </c>
      <c r="BR102" s="285">
        <f t="shared" si="557"/>
        <v>45869</v>
      </c>
      <c r="BS102" s="285">
        <f t="shared" si="557"/>
        <v>45900</v>
      </c>
      <c r="BT102" s="285">
        <f t="shared" ref="BT102" si="558">+BT1</f>
        <v>45930</v>
      </c>
      <c r="BU102" s="285">
        <f t="shared" si="557"/>
        <v>45961</v>
      </c>
      <c r="BV102" s="285">
        <f t="shared" si="557"/>
        <v>45991</v>
      </c>
      <c r="BW102" s="285">
        <f t="shared" si="557"/>
        <v>46022</v>
      </c>
      <c r="BX102" s="285">
        <f t="shared" si="557"/>
        <v>46053</v>
      </c>
      <c r="BY102" s="285">
        <f t="shared" si="557"/>
        <v>46081</v>
      </c>
      <c r="BZ102" s="285">
        <f t="shared" si="557"/>
        <v>46112</v>
      </c>
      <c r="CA102" s="226">
        <f t="shared" ref="CA102:DF102" si="559">+CA1</f>
        <v>2025</v>
      </c>
      <c r="CB102" s="285">
        <f t="shared" si="559"/>
        <v>46142</v>
      </c>
      <c r="CC102" s="285">
        <f t="shared" si="559"/>
        <v>46173</v>
      </c>
      <c r="CD102" s="285">
        <f t="shared" si="559"/>
        <v>46203</v>
      </c>
      <c r="CE102" s="285">
        <f t="shared" si="559"/>
        <v>46234</v>
      </c>
      <c r="CF102" s="285">
        <f t="shared" si="559"/>
        <v>46265</v>
      </c>
      <c r="CG102" s="285">
        <f t="shared" si="559"/>
        <v>46295</v>
      </c>
      <c r="CH102" s="285">
        <f t="shared" si="559"/>
        <v>46326</v>
      </c>
      <c r="CI102" s="285">
        <f t="shared" si="559"/>
        <v>46356</v>
      </c>
      <c r="CJ102" s="285">
        <f t="shared" si="559"/>
        <v>46387</v>
      </c>
      <c r="CK102" s="285">
        <f t="shared" si="559"/>
        <v>46418</v>
      </c>
      <c r="CL102" s="285">
        <f t="shared" si="559"/>
        <v>46446</v>
      </c>
      <c r="CM102" s="285">
        <f t="shared" si="559"/>
        <v>46477</v>
      </c>
      <c r="CN102" s="226">
        <f t="shared" si="559"/>
        <v>2026</v>
      </c>
      <c r="CO102" s="285">
        <f t="shared" ref="CO102" si="560">+CO1</f>
        <v>46507</v>
      </c>
      <c r="CP102" s="285">
        <f t="shared" si="559"/>
        <v>46538</v>
      </c>
      <c r="CQ102" s="285">
        <f t="shared" si="559"/>
        <v>46568</v>
      </c>
      <c r="CR102" s="285">
        <f t="shared" si="559"/>
        <v>46599</v>
      </c>
      <c r="CS102" s="285">
        <f t="shared" si="559"/>
        <v>46630</v>
      </c>
      <c r="CT102" s="285">
        <f t="shared" si="559"/>
        <v>46660</v>
      </c>
      <c r="CU102" s="285">
        <f t="shared" si="559"/>
        <v>46691</v>
      </c>
      <c r="CV102" s="285">
        <f t="shared" si="559"/>
        <v>46721</v>
      </c>
      <c r="CW102" s="285">
        <f t="shared" si="559"/>
        <v>46752</v>
      </c>
      <c r="CX102" s="285">
        <f t="shared" si="559"/>
        <v>46783</v>
      </c>
      <c r="CY102" s="285">
        <f t="shared" si="559"/>
        <v>46812</v>
      </c>
      <c r="CZ102" s="285">
        <f t="shared" si="559"/>
        <v>46843</v>
      </c>
      <c r="DA102" s="226">
        <f t="shared" si="559"/>
        <v>2027</v>
      </c>
      <c r="DB102" s="285">
        <f t="shared" si="559"/>
        <v>46873</v>
      </c>
      <c r="DC102" s="285">
        <f t="shared" si="559"/>
        <v>46904</v>
      </c>
      <c r="DD102" s="285">
        <f t="shared" si="559"/>
        <v>46934</v>
      </c>
      <c r="DE102" s="285">
        <f t="shared" si="559"/>
        <v>46965</v>
      </c>
      <c r="DF102" s="285">
        <f t="shared" si="559"/>
        <v>46996</v>
      </c>
      <c r="DG102" s="285">
        <f t="shared" ref="DG102:EN102" si="561">+DG1</f>
        <v>47026</v>
      </c>
      <c r="DH102" s="285">
        <f t="shared" si="561"/>
        <v>47057</v>
      </c>
      <c r="DI102" s="285">
        <f t="shared" si="561"/>
        <v>47087</v>
      </c>
      <c r="DJ102" s="285">
        <f t="shared" si="561"/>
        <v>47118</v>
      </c>
      <c r="DK102" s="285">
        <f t="shared" si="561"/>
        <v>47149</v>
      </c>
      <c r="DL102" s="285">
        <f t="shared" si="561"/>
        <v>47177</v>
      </c>
      <c r="DM102" s="285">
        <f t="shared" si="561"/>
        <v>47208</v>
      </c>
      <c r="DN102" s="226">
        <f t="shared" si="561"/>
        <v>2028</v>
      </c>
      <c r="DO102" s="285">
        <f t="shared" si="561"/>
        <v>47238</v>
      </c>
      <c r="DP102" s="285">
        <f t="shared" si="561"/>
        <v>47269</v>
      </c>
      <c r="DQ102" s="285">
        <f t="shared" si="561"/>
        <v>47299</v>
      </c>
      <c r="DR102" s="285">
        <f t="shared" si="561"/>
        <v>47330</v>
      </c>
      <c r="DS102" s="285">
        <f t="shared" si="561"/>
        <v>47361</v>
      </c>
      <c r="DT102" s="285">
        <f t="shared" si="561"/>
        <v>47391</v>
      </c>
      <c r="DU102" s="285">
        <f t="shared" si="561"/>
        <v>47422</v>
      </c>
      <c r="DV102" s="285">
        <f t="shared" si="561"/>
        <v>47452</v>
      </c>
      <c r="DW102" s="285">
        <f t="shared" si="561"/>
        <v>47483</v>
      </c>
      <c r="DX102" s="285">
        <f t="shared" si="561"/>
        <v>47514</v>
      </c>
      <c r="DY102" s="285">
        <f t="shared" si="561"/>
        <v>47542</v>
      </c>
      <c r="DZ102" s="285">
        <f t="shared" si="561"/>
        <v>47573</v>
      </c>
      <c r="EA102" s="226">
        <f t="shared" si="561"/>
        <v>2029</v>
      </c>
      <c r="EB102" s="285">
        <f t="shared" si="561"/>
        <v>47603</v>
      </c>
      <c r="EC102" s="285">
        <f t="shared" si="561"/>
        <v>47634</v>
      </c>
      <c r="ED102" s="285">
        <f t="shared" si="561"/>
        <v>47664</v>
      </c>
      <c r="EE102" s="285">
        <f t="shared" si="561"/>
        <v>47695</v>
      </c>
      <c r="EF102" s="285">
        <f t="shared" si="561"/>
        <v>47726</v>
      </c>
      <c r="EG102" s="285">
        <f t="shared" si="561"/>
        <v>47756</v>
      </c>
      <c r="EH102" s="285">
        <f t="shared" si="561"/>
        <v>47787</v>
      </c>
      <c r="EI102" s="285">
        <f t="shared" si="561"/>
        <v>47817</v>
      </c>
      <c r="EJ102" s="285">
        <f t="shared" si="561"/>
        <v>47848</v>
      </c>
      <c r="EK102" s="285">
        <f t="shared" si="561"/>
        <v>47879</v>
      </c>
      <c r="EL102" s="285">
        <f t="shared" si="561"/>
        <v>47907</v>
      </c>
      <c r="EM102" s="285">
        <f t="shared" si="561"/>
        <v>47938</v>
      </c>
      <c r="EN102" s="226">
        <f t="shared" si="561"/>
        <v>2030</v>
      </c>
      <c r="EO102" s="285"/>
      <c r="EP102" s="285"/>
      <c r="EQ102" s="285"/>
      <c r="ER102" s="285"/>
      <c r="ES102" s="285"/>
      <c r="ET102" s="285"/>
      <c r="EU102" s="285"/>
      <c r="EV102" s="285"/>
      <c r="EW102" s="285"/>
      <c r="EX102" s="285"/>
      <c r="EY102" s="285"/>
      <c r="EZ102" s="285"/>
      <c r="FA102" s="226"/>
      <c r="FB102" s="285"/>
      <c r="FC102" s="285"/>
      <c r="FD102" s="285"/>
      <c r="FE102" s="285"/>
      <c r="FF102" s="285"/>
      <c r="FG102" s="285"/>
      <c r="FH102" s="285"/>
      <c r="FI102" s="285"/>
      <c r="FJ102" s="285"/>
      <c r="FK102" s="285"/>
      <c r="FL102" s="285"/>
      <c r="FM102" s="285"/>
      <c r="FN102" s="226"/>
      <c r="FO102" s="285"/>
      <c r="FP102" s="285"/>
      <c r="FQ102" s="285"/>
      <c r="FR102" s="285"/>
      <c r="FS102" s="285"/>
      <c r="FT102" s="285"/>
      <c r="FU102" s="285"/>
      <c r="FV102" s="285"/>
      <c r="FW102" s="285"/>
      <c r="FX102" s="285"/>
      <c r="FY102" s="285"/>
      <c r="FZ102" s="285"/>
      <c r="GA102" s="226"/>
    </row>
    <row r="103" spans="1:183" s="230" customFormat="1" ht="19.8" x14ac:dyDescent="0.3">
      <c r="A103" s="227" t="s">
        <v>405</v>
      </c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/>
      <c r="AL103" s="231"/>
      <c r="AM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1"/>
      <c r="BB103" s="231"/>
      <c r="BC103" s="231"/>
      <c r="BD103" s="231"/>
      <c r="BE103" s="231"/>
      <c r="BF103" s="231"/>
      <c r="BG103" s="231"/>
      <c r="BH103" s="231"/>
      <c r="BI103" s="231"/>
      <c r="BJ103" s="231"/>
      <c r="BK103" s="231"/>
      <c r="BL103" s="231"/>
      <c r="BM103" s="231"/>
      <c r="BO103" s="231"/>
      <c r="BP103" s="231"/>
      <c r="BQ103" s="231"/>
      <c r="BR103" s="231"/>
      <c r="BS103" s="231"/>
      <c r="BT103" s="231"/>
      <c r="BU103" s="231"/>
      <c r="BV103" s="231"/>
      <c r="BW103" s="231"/>
      <c r="BX103" s="231"/>
      <c r="BY103" s="231"/>
      <c r="BZ103" s="231"/>
      <c r="CB103" s="231"/>
      <c r="CC103" s="231"/>
      <c r="CD103" s="231"/>
      <c r="CE103" s="231"/>
      <c r="CF103" s="231"/>
      <c r="CG103" s="231"/>
      <c r="CH103" s="231"/>
      <c r="CI103" s="231"/>
      <c r="CJ103" s="231"/>
      <c r="CK103" s="231"/>
      <c r="CL103" s="231"/>
      <c r="CM103" s="231"/>
      <c r="CO103" s="231"/>
      <c r="CP103" s="231"/>
      <c r="CQ103" s="231"/>
      <c r="CR103" s="231"/>
      <c r="CS103" s="231"/>
      <c r="CT103" s="231"/>
      <c r="CU103" s="231"/>
      <c r="CV103" s="231"/>
      <c r="CW103" s="231"/>
      <c r="CX103" s="231"/>
      <c r="CY103" s="231"/>
      <c r="CZ103" s="231"/>
      <c r="DB103" s="231"/>
      <c r="DC103" s="231"/>
      <c r="DD103" s="231"/>
      <c r="DE103" s="231"/>
      <c r="DF103" s="231"/>
      <c r="DG103" s="231"/>
      <c r="DH103" s="231"/>
      <c r="DI103" s="231"/>
      <c r="DJ103" s="231"/>
      <c r="DK103" s="231"/>
      <c r="DL103" s="231"/>
      <c r="DM103" s="231"/>
      <c r="DO103" s="231"/>
      <c r="DP103" s="231"/>
      <c r="DQ103" s="231"/>
      <c r="DR103" s="231"/>
      <c r="DS103" s="231"/>
      <c r="DT103" s="231"/>
      <c r="DU103" s="231"/>
      <c r="DV103" s="231"/>
      <c r="DW103" s="231"/>
      <c r="DX103" s="231"/>
      <c r="DY103" s="231"/>
      <c r="DZ103" s="231"/>
      <c r="EB103" s="231"/>
      <c r="EC103" s="231"/>
      <c r="ED103" s="231"/>
      <c r="EE103" s="231"/>
      <c r="EF103" s="231"/>
      <c r="EG103" s="231"/>
      <c r="EH103" s="231"/>
      <c r="EI103" s="231"/>
      <c r="EJ103" s="231"/>
      <c r="EK103" s="231"/>
      <c r="EL103" s="231"/>
      <c r="EM103" s="231"/>
    </row>
    <row r="104" spans="1:183" x14ac:dyDescent="0.25">
      <c r="A104" s="228" t="s">
        <v>35</v>
      </c>
      <c r="BN104" s="230"/>
    </row>
    <row r="106" spans="1:183" s="235" customFormat="1" x14ac:dyDescent="0.25">
      <c r="A106" s="234" t="str">
        <f>+A30</f>
        <v>Cuentas por cobrar</v>
      </c>
      <c r="N106" s="235">
        <f>+N30</f>
        <v>47962486.249999985</v>
      </c>
      <c r="AA106" s="235">
        <f t="shared" ref="AA106:BN106" si="562">+AA30</f>
        <v>36384710.129999951</v>
      </c>
      <c r="AB106" s="235">
        <f t="shared" si="562"/>
        <v>44172532.630000055</v>
      </c>
      <c r="AC106" s="235">
        <f t="shared" si="562"/>
        <v>41516350.080000043</v>
      </c>
      <c r="AD106" s="235">
        <f t="shared" si="562"/>
        <v>42801925.240000054</v>
      </c>
      <c r="AE106" s="235">
        <f t="shared" si="562"/>
        <v>47977644.430000044</v>
      </c>
      <c r="AF106" s="235">
        <f t="shared" si="562"/>
        <v>53867169.63000007</v>
      </c>
      <c r="AG106" s="235">
        <f t="shared" si="562"/>
        <v>54010526.330000088</v>
      </c>
      <c r="AH106" s="235">
        <f t="shared" si="562"/>
        <v>61294136.670000136</v>
      </c>
      <c r="AI106" s="235">
        <f t="shared" si="562"/>
        <v>63321232.690000124</v>
      </c>
      <c r="AJ106" s="235">
        <f t="shared" si="562"/>
        <v>78963093.970000118</v>
      </c>
      <c r="AK106" s="235">
        <f t="shared" si="562"/>
        <v>70470169.010000125</v>
      </c>
      <c r="AL106" s="235">
        <f t="shared" si="562"/>
        <v>73371893.180000126</v>
      </c>
      <c r="AM106" s="235">
        <f t="shared" si="562"/>
        <v>80430477.650000125</v>
      </c>
      <c r="AN106" s="235">
        <f t="shared" si="562"/>
        <v>80430477.650000125</v>
      </c>
      <c r="AO106" s="235">
        <f t="shared" si="562"/>
        <v>163159462.23000008</v>
      </c>
      <c r="AP106" s="235">
        <f t="shared" si="562"/>
        <v>159612699.12000006</v>
      </c>
      <c r="AQ106" s="235">
        <f t="shared" si="562"/>
        <v>157034175.36000004</v>
      </c>
      <c r="AR106" s="235">
        <f t="shared" si="562"/>
        <v>157300372.85000005</v>
      </c>
      <c r="AS106" s="235">
        <f t="shared" si="562"/>
        <v>161878149.35000002</v>
      </c>
      <c r="AT106" s="235">
        <f t="shared" si="562"/>
        <v>166784802.54000002</v>
      </c>
      <c r="AU106" s="235">
        <f t="shared" si="562"/>
        <v>159760223.77000001</v>
      </c>
      <c r="AV106" s="235">
        <f t="shared" si="562"/>
        <v>155430028.77999997</v>
      </c>
      <c r="AW106" s="235">
        <f t="shared" si="562"/>
        <v>162279442.94999999</v>
      </c>
      <c r="AX106" s="235">
        <f t="shared" si="562"/>
        <v>183678855.51999998</v>
      </c>
      <c r="AY106" s="235">
        <f t="shared" si="562"/>
        <v>188125725.38</v>
      </c>
      <c r="AZ106" s="235">
        <f t="shared" si="562"/>
        <v>209315786.50999999</v>
      </c>
      <c r="BA106" s="235">
        <f>+AZ106</f>
        <v>209315786.50999999</v>
      </c>
      <c r="BB106" s="235">
        <f t="shared" si="562"/>
        <v>216486403.37</v>
      </c>
      <c r="BC106" s="235">
        <f t="shared" si="562"/>
        <v>201446278.08000001</v>
      </c>
      <c r="BD106" s="235">
        <f t="shared" si="562"/>
        <v>203437186.94999999</v>
      </c>
      <c r="BE106" s="235">
        <f t="shared" si="562"/>
        <v>211365020.41999999</v>
      </c>
      <c r="BF106" s="235">
        <f t="shared" si="562"/>
        <v>209873215.41999999</v>
      </c>
      <c r="BG106" s="235">
        <f t="shared" si="562"/>
        <v>207112289.69</v>
      </c>
      <c r="BH106" s="235">
        <f t="shared" si="562"/>
        <v>154382124.25999999</v>
      </c>
      <c r="BI106" s="235">
        <f t="shared" si="562"/>
        <v>148933035.16999999</v>
      </c>
      <c r="BJ106" s="235">
        <f t="shared" si="562"/>
        <v>148242277.19999999</v>
      </c>
      <c r="BK106" s="235">
        <f t="shared" si="562"/>
        <v>163576910.56</v>
      </c>
      <c r="BL106" s="235">
        <f t="shared" si="562"/>
        <v>158302317.44999999</v>
      </c>
      <c r="BM106" s="235">
        <f t="shared" si="562"/>
        <v>151740053.16999999</v>
      </c>
      <c r="BN106" s="235">
        <f t="shared" si="562"/>
        <v>151740053.16999999</v>
      </c>
      <c r="BO106" s="235">
        <f t="shared" ref="BO106:BS108" si="563">+BO30</f>
        <v>149561205.00999999</v>
      </c>
      <c r="BP106" s="235">
        <f t="shared" si="563"/>
        <v>154045142.69</v>
      </c>
      <c r="BQ106" s="235">
        <f t="shared" si="563"/>
        <v>153094520.88999999</v>
      </c>
      <c r="BR106" s="235">
        <f t="shared" si="563"/>
        <v>155139438.56</v>
      </c>
      <c r="BS106" s="235">
        <f t="shared" si="563"/>
        <v>152419182.38999999</v>
      </c>
      <c r="BT106" s="235">
        <f t="shared" ref="BT106" si="564">+BT30</f>
        <v>150538351.36000001</v>
      </c>
      <c r="BU106" s="235">
        <f>+HLOOKUP(BU$2,'Control y Supuestos'!$B$17:$K$28,ROWS('Control y Supuestos'!M$17:M21),FALSE)*'EEFF proyectados'!BU5/30</f>
        <v>145178023.73126274</v>
      </c>
      <c r="BV106" s="235">
        <f>+HLOOKUP(BV$2,'Control y Supuestos'!$B$17:$K$28,ROWS('Control y Supuestos'!N$17:N21),FALSE)*'EEFF proyectados'!BV5/30</f>
        <v>164738804.21639302</v>
      </c>
      <c r="BW106" s="235">
        <f>+HLOOKUP(BW$2,'Control y Supuestos'!$B$17:$K$28,ROWS('Control y Supuestos'!O$17:O21),FALSE)*'EEFF proyectados'!BW5/30</f>
        <v>151103330.67516786</v>
      </c>
      <c r="BX106" s="235">
        <f>+HLOOKUP(BX$2,'Control y Supuestos'!$B$17:$K$28,ROWS('Control y Supuestos'!P$17:P21),FALSE)*'EEFF proyectados'!BX5/30</f>
        <v>169227990.23281419</v>
      </c>
      <c r="BY106" s="235">
        <f>+HLOOKUP(BY$2,'Control y Supuestos'!$B$17:$K$28,ROWS('Control y Supuestos'!Q$17:Q21),FALSE)*'EEFF proyectados'!BY5/30</f>
        <v>135828354.69383138</v>
      </c>
      <c r="BZ106" s="235">
        <f>+HLOOKUP(BZ$2,'Control y Supuestos'!$B$17:$K$28,ROWS('Control y Supuestos'!R$17:R21),FALSE)*'EEFF proyectados'!BZ5/30</f>
        <v>138410742.56852734</v>
      </c>
      <c r="CA106" s="235">
        <f t="shared" ref="CA106:CA115" si="565">+SUM(BO106:BZ106)</f>
        <v>1819285087.0179963</v>
      </c>
      <c r="CB106" s="235">
        <f>+HLOOKUP(CB$2,'Control y Supuestos'!$B$17:$K$28,ROWS(CB$102:CB106),FALSE)*'EEFF proyectados'!CB5/30</f>
        <v>196044621.11345184</v>
      </c>
      <c r="CC106" s="235">
        <f>+HLOOKUP(CC$2,'Control y Supuestos'!$B$17:$K$28,ROWS('Control y Supuestos'!U$17:U21),FALSE)*'EEFF proyectados'!CC5/30</f>
        <v>196044621.11345184</v>
      </c>
      <c r="CD106" s="235">
        <f>+HLOOKUP(CD$2,'Control y Supuestos'!$B$17:$K$28,ROWS('Control y Supuestos'!V$17:V21),FALSE)*'EEFF proyectados'!CD5/30</f>
        <v>196044621.11345184</v>
      </c>
      <c r="CE106" s="235">
        <f>+HLOOKUP(CE$2,'Control y Supuestos'!$B$17:$K$28,ROWS('Control y Supuestos'!W$17:W21),FALSE)*'EEFF proyectados'!CE5/30</f>
        <v>196044621.11345184</v>
      </c>
      <c r="CF106" s="235">
        <f>+HLOOKUP(CF$2,'Control y Supuestos'!$B$17:$K$28,ROWS('Control y Supuestos'!X$17:X21),FALSE)*'EEFF proyectados'!CF5/30</f>
        <v>196044621.11345184</v>
      </c>
      <c r="CG106" s="235">
        <f>+HLOOKUP(CG$2,'Control y Supuestos'!$B$17:$K$28,ROWS('Control y Supuestos'!Y$17:Y21),FALSE)*'EEFF proyectados'!CG5/30</f>
        <v>196044621.11345184</v>
      </c>
      <c r="CH106" s="235">
        <f>+HLOOKUP(CH$2,'Control y Supuestos'!$B$17:$K$28,ROWS('Control y Supuestos'!Z$17:Z21),FALSE)*'EEFF proyectados'!CH5/30</f>
        <v>196044621.11345184</v>
      </c>
      <c r="CI106" s="235">
        <f>+HLOOKUP(CI$2,'Control y Supuestos'!$B$17:$K$28,ROWS('Control y Supuestos'!AA$17:AA21),FALSE)*'EEFF proyectados'!CI5/30</f>
        <v>196044621.11345184</v>
      </c>
      <c r="CJ106" s="235">
        <f>+HLOOKUP(CJ$2,'Control y Supuestos'!$B$17:$K$28,ROWS('Control y Supuestos'!AB$17:AB21),FALSE)*'EEFF proyectados'!CJ5/30</f>
        <v>196044621.11345184</v>
      </c>
      <c r="CK106" s="235">
        <f>+HLOOKUP(CK$2,'Control y Supuestos'!$B$17:$K$28,ROWS('Control y Supuestos'!AC$17:AC21),FALSE)*'EEFF proyectados'!CK5/30</f>
        <v>196044621.11345184</v>
      </c>
      <c r="CL106" s="235">
        <f>+HLOOKUP(CL$2,'Control y Supuestos'!$B$17:$K$28,ROWS('Control y Supuestos'!AD$17:AD21),FALSE)*'EEFF proyectados'!CL5/30</f>
        <v>196044621.11345184</v>
      </c>
      <c r="CM106" s="235">
        <f>+HLOOKUP(CM$2,'Control y Supuestos'!$B$17:$K$28,ROWS('Control y Supuestos'!AE$17:AE21),FALSE)*'EEFF proyectados'!CM5/30</f>
        <v>196044621.11345184</v>
      </c>
      <c r="CN106" s="235">
        <f t="shared" ref="CN106:CN115" si="566">+SUM(CB106:CM106)</f>
        <v>2352535453.3614225</v>
      </c>
      <c r="CO106" s="235">
        <f>+HLOOKUP(CO$2,'Control y Supuestos'!$B$17:$K$28,ROWS('Control y Supuestos'!AG$17:AG21),FALSE)*'EEFF proyectados'!CO5/30</f>
        <v>196044621.11345184</v>
      </c>
      <c r="CP106" s="235">
        <f>+HLOOKUP(CP$2,'Control y Supuestos'!$B$17:$K$28,ROWS('Control y Supuestos'!AH$17:AH21),FALSE)*'EEFF proyectados'!CP5/30</f>
        <v>196044621.11345184</v>
      </c>
      <c r="CQ106" s="235">
        <f>+HLOOKUP(CQ$2,'Control y Supuestos'!$B$17:$K$28,ROWS('Control y Supuestos'!AI$17:AI21),FALSE)*'EEFF proyectados'!CQ5/30</f>
        <v>196044621.11345184</v>
      </c>
      <c r="CR106" s="235">
        <f>+HLOOKUP(CR$2,'Control y Supuestos'!$B$17:$K$28,ROWS('Control y Supuestos'!AJ$17:AJ21),FALSE)*'EEFF proyectados'!CR5/30</f>
        <v>196044621.11345184</v>
      </c>
      <c r="CS106" s="235">
        <f>+HLOOKUP(CS$2,'Control y Supuestos'!$B$17:$K$28,ROWS('Control y Supuestos'!AK$17:AK21),FALSE)*'EEFF proyectados'!CS5/30</f>
        <v>196044621.11345184</v>
      </c>
      <c r="CT106" s="235">
        <f>+HLOOKUP(CT$2,'Control y Supuestos'!$B$17:$K$28,ROWS('Control y Supuestos'!AL$17:AL21),FALSE)*'EEFF proyectados'!CT5/30</f>
        <v>196044621.11345184</v>
      </c>
      <c r="CU106" s="235">
        <f>+HLOOKUP(CU$2,'Control y Supuestos'!$B$17:$K$28,ROWS('Control y Supuestos'!AM$17:AM21),FALSE)*'EEFF proyectados'!CU5/30</f>
        <v>196044621.11345184</v>
      </c>
      <c r="CV106" s="235">
        <f>+HLOOKUP(CV$2,'Control y Supuestos'!$B$17:$K$28,ROWS('Control y Supuestos'!AN$17:AN21),FALSE)*'EEFF proyectados'!CV5/30</f>
        <v>196044621.11345184</v>
      </c>
      <c r="CW106" s="235">
        <f>+HLOOKUP(CW$2,'Control y Supuestos'!$B$17:$K$28,ROWS('Control y Supuestos'!AO$17:AO21),FALSE)*'EEFF proyectados'!CW5/30</f>
        <v>196044621.11345184</v>
      </c>
      <c r="CX106" s="235">
        <f>+HLOOKUP(CX$2,'Control y Supuestos'!$B$17:$K$28,ROWS('Control y Supuestos'!AP$17:AP21),FALSE)*'EEFF proyectados'!CX5/30</f>
        <v>196044621.11345184</v>
      </c>
      <c r="CY106" s="235">
        <f>+HLOOKUP(CY$2,'Control y Supuestos'!$B$17:$K$28,ROWS('Control y Supuestos'!AQ$17:AQ21),FALSE)*'EEFF proyectados'!CY5/30</f>
        <v>196044621.11345184</v>
      </c>
      <c r="CZ106" s="235">
        <f>+HLOOKUP(CZ$2,'Control y Supuestos'!$B$17:$K$28,ROWS('Control y Supuestos'!AR$17:AR21),FALSE)*'EEFF proyectados'!CZ5/30</f>
        <v>196044621.11345184</v>
      </c>
      <c r="DA106" s="235">
        <f t="shared" ref="DA106:DA115" si="567">+SUM(CO106:CZ106)</f>
        <v>2352535453.3614225</v>
      </c>
      <c r="DB106" s="235">
        <f>+HLOOKUP(DB$2,'Control y Supuestos'!$B$17:$K$28,ROWS(DB$102:DB106),FALSE)*'EEFF proyectados'!DB5/30</f>
        <v>196044621.11345184</v>
      </c>
      <c r="DC106" s="235">
        <f>+HLOOKUP(DC$2,'Control y Supuestos'!$B$17:$K$28,ROWS('Control y Supuestos'!AU$17:AU21),FALSE)*'EEFF proyectados'!DC5/30</f>
        <v>196044621.11345184</v>
      </c>
      <c r="DD106" s="235">
        <f>+HLOOKUP(DD$2,'Control y Supuestos'!$B$17:$K$28,ROWS('Control y Supuestos'!AV$17:AV21),FALSE)*'EEFF proyectados'!DD5/30</f>
        <v>196044621.11345184</v>
      </c>
      <c r="DE106" s="235">
        <f>+HLOOKUP(DE$2,'Control y Supuestos'!$B$17:$K$28,ROWS('Control y Supuestos'!AW$17:AW21),FALSE)*'EEFF proyectados'!DE5/30</f>
        <v>196044621.11345184</v>
      </c>
      <c r="DF106" s="235">
        <f>+HLOOKUP(DF$2,'Control y Supuestos'!$B$17:$K$28,ROWS('Control y Supuestos'!AX$17:AX21),FALSE)*'EEFF proyectados'!DF5/30</f>
        <v>196044621.11345184</v>
      </c>
      <c r="DG106" s="235">
        <f>+HLOOKUP(DG$2,'Control y Supuestos'!$B$17:$K$28,ROWS('Control y Supuestos'!AY$17:AY21),FALSE)*'EEFF proyectados'!DG5/30</f>
        <v>196044621.11345184</v>
      </c>
      <c r="DH106" s="235">
        <f>+HLOOKUP(DH$2,'Control y Supuestos'!$B$17:$K$28,ROWS('Control y Supuestos'!AZ$17:AZ21),FALSE)*'EEFF proyectados'!DH5/30</f>
        <v>196044621.11345184</v>
      </c>
      <c r="DI106" s="235">
        <f>+HLOOKUP(DI$2,'Control y Supuestos'!$B$17:$K$28,ROWS('Control y Supuestos'!BA$17:BA21),FALSE)*'EEFF proyectados'!DI5/30</f>
        <v>196044621.11345184</v>
      </c>
      <c r="DJ106" s="235">
        <f>+HLOOKUP(DJ$2,'Control y Supuestos'!$B$17:$K$28,ROWS('Control y Supuestos'!BB$17:BB21),FALSE)*'EEFF proyectados'!DJ5/30</f>
        <v>196044621.11345184</v>
      </c>
      <c r="DK106" s="235">
        <f>+HLOOKUP(DK$2,'Control y Supuestos'!$B$17:$K$28,ROWS('Control y Supuestos'!BC$17:BC21),FALSE)*'EEFF proyectados'!DK5/30</f>
        <v>196044621.11345184</v>
      </c>
      <c r="DL106" s="235">
        <f>+HLOOKUP(DL$2,'Control y Supuestos'!$B$17:$K$28,ROWS('Control y Supuestos'!BD$17:BD21),FALSE)*'EEFF proyectados'!DL5/30</f>
        <v>196044621.11345184</v>
      </c>
      <c r="DM106" s="235">
        <f>+HLOOKUP(DM$2,'Control y Supuestos'!$B$17:$K$28,ROWS('Control y Supuestos'!BE$17:BE21),FALSE)*'EEFF proyectados'!DM5/30</f>
        <v>196044621.11345184</v>
      </c>
      <c r="DN106" s="235">
        <f t="shared" ref="DN106:DN115" si="568">+SUM(DB106:DM106)</f>
        <v>2352535453.3614225</v>
      </c>
      <c r="DO106" s="235">
        <f>+HLOOKUP(DO$2,'Control y Supuestos'!$B$17:$K$28,ROWS(DO$102:DO106),FALSE)*'EEFF proyectados'!DO5/30</f>
        <v>196044621.11345184</v>
      </c>
      <c r="DP106" s="235">
        <f>+HLOOKUP(DP$2,'Control y Supuestos'!$B$17:$K$28,ROWS('Control y Supuestos'!BH$17:BH21),FALSE)*'EEFF proyectados'!DP5/30</f>
        <v>196044621.11345184</v>
      </c>
      <c r="DQ106" s="235">
        <f>+HLOOKUP(DQ$2,'Control y Supuestos'!$B$17:$K$28,ROWS('Control y Supuestos'!BI$17:BI21),FALSE)*'EEFF proyectados'!DQ5/30</f>
        <v>196044621.11345184</v>
      </c>
      <c r="DR106" s="235">
        <f>+HLOOKUP(DR$2,'Control y Supuestos'!$B$17:$K$28,ROWS('Control y Supuestos'!BJ$17:BJ21),FALSE)*'EEFF proyectados'!DR5/30</f>
        <v>196044621.11345184</v>
      </c>
      <c r="DS106" s="235">
        <f>+HLOOKUP(DS$2,'Control y Supuestos'!$B$17:$K$28,ROWS('Control y Supuestos'!BK$17:BK21),FALSE)*'EEFF proyectados'!DS5/30</f>
        <v>196044621.11345184</v>
      </c>
      <c r="DT106" s="235">
        <f>+HLOOKUP(DT$2,'Control y Supuestos'!$B$17:$K$28,ROWS('Control y Supuestos'!BL$17:BL21),FALSE)*'EEFF proyectados'!DT5/30</f>
        <v>196044621.11345184</v>
      </c>
      <c r="DU106" s="235">
        <f>+HLOOKUP(DU$2,'Control y Supuestos'!$B$17:$K$28,ROWS('Control y Supuestos'!BM$17:BM21),FALSE)*'EEFF proyectados'!DU5/30</f>
        <v>196044621.11345184</v>
      </c>
      <c r="DV106" s="235">
        <f>+HLOOKUP(DV$2,'Control y Supuestos'!$B$17:$K$28,ROWS('Control y Supuestos'!BN$17:BN21),FALSE)*'EEFF proyectados'!DV5/30</f>
        <v>196044621.11345184</v>
      </c>
      <c r="DW106" s="235">
        <f>+HLOOKUP(DW$2,'Control y Supuestos'!$B$17:$K$28,ROWS('Control y Supuestos'!BO$17:BO21),FALSE)*'EEFF proyectados'!DW5/30</f>
        <v>196044621.11345184</v>
      </c>
      <c r="DX106" s="235">
        <f>+HLOOKUP(DX$2,'Control y Supuestos'!$B$17:$K$28,ROWS('Control y Supuestos'!BP$17:BP21),FALSE)*'EEFF proyectados'!DX5/30</f>
        <v>196044621.11345184</v>
      </c>
      <c r="DY106" s="235">
        <f>+HLOOKUP(DY$2,'Control y Supuestos'!$B$17:$K$28,ROWS('Control y Supuestos'!BQ$17:BQ21),FALSE)*'EEFF proyectados'!DY5/30</f>
        <v>196044621.11345184</v>
      </c>
      <c r="DZ106" s="235">
        <f>+HLOOKUP(DZ$2,'Control y Supuestos'!$B$17:$K$28,ROWS('Control y Supuestos'!BR$17:BR21),FALSE)*'EEFF proyectados'!DZ5/30</f>
        <v>196044621.11345184</v>
      </c>
      <c r="EA106" s="235">
        <f t="shared" ref="EA106:EA115" si="569">+SUM(DO106:DZ106)</f>
        <v>2352535453.3614225</v>
      </c>
      <c r="EB106" s="235">
        <f>+HLOOKUP(EB$2,'Control y Supuestos'!$B$17:$Z$28,ROWS(EB$102:EB106),FALSE)*'EEFF proyectados'!EB5/30</f>
        <v>196044621.11345184</v>
      </c>
      <c r="EC106" s="235">
        <f>+HLOOKUP(EC$2,'Control y Supuestos'!$B$17:$Z$28,ROWS('Control y Supuestos'!BU$17:BU21),FALSE)*'EEFF proyectados'!EC5/30</f>
        <v>196044621.11345184</v>
      </c>
      <c r="ED106" s="235">
        <f>+HLOOKUP(ED$2,'Control y Supuestos'!$B$17:$Z$28,ROWS('Control y Supuestos'!BV$17:BV21),FALSE)*'EEFF proyectados'!ED5/30</f>
        <v>196044621.11345184</v>
      </c>
      <c r="EE106" s="235">
        <f>+HLOOKUP(EE$2,'Control y Supuestos'!$B$17:$Z$28,ROWS('Control y Supuestos'!BW$17:BW21),FALSE)*'EEFF proyectados'!EE5/30</f>
        <v>196044621.11345184</v>
      </c>
      <c r="EF106" s="235">
        <f>+HLOOKUP(EF$2,'Control y Supuestos'!$B$17:$Z$28,ROWS('Control y Supuestos'!BX$17:BX21),FALSE)*'EEFF proyectados'!EF5/30</f>
        <v>196044621.11345184</v>
      </c>
      <c r="EG106" s="235">
        <f>+HLOOKUP(EG$2,'Control y Supuestos'!$B$17:$Z$28,ROWS('Control y Supuestos'!BY$17:BY21),FALSE)*'EEFF proyectados'!EG5/30</f>
        <v>196044621.11345184</v>
      </c>
      <c r="EH106" s="235">
        <f>+HLOOKUP(EH$2,'Control y Supuestos'!$B$17:$Z$28,ROWS('Control y Supuestos'!BZ$17:BZ21),FALSE)*'EEFF proyectados'!EH5/30</f>
        <v>196044621.11345184</v>
      </c>
      <c r="EI106" s="235">
        <f>+HLOOKUP(EI$2,'Control y Supuestos'!$B$17:$Z$28,ROWS('Control y Supuestos'!CA$17:CA21),FALSE)*'EEFF proyectados'!EI5/30</f>
        <v>196044621.11345184</v>
      </c>
      <c r="EJ106" s="235">
        <f>+HLOOKUP(EJ$2,'Control y Supuestos'!$B$17:$Z$28,ROWS('Control y Supuestos'!CB$17:CB21),FALSE)*'EEFF proyectados'!EJ5/30</f>
        <v>196044621.11345184</v>
      </c>
      <c r="EK106" s="235">
        <f>+HLOOKUP(EK$2,'Control y Supuestos'!$B$17:$Z$28,ROWS('Control y Supuestos'!CC$17:CC21),FALSE)*'EEFF proyectados'!EK5/30</f>
        <v>196044621.11345184</v>
      </c>
      <c r="EL106" s="235">
        <f>+HLOOKUP(EL$2,'Control y Supuestos'!$B$17:$Z$28,ROWS('Control y Supuestos'!CD$17:CD21),FALSE)*'EEFF proyectados'!EL5/30</f>
        <v>196044621.11345184</v>
      </c>
      <c r="EM106" s="235">
        <f>+HLOOKUP(EM$2,'Control y Supuestos'!$B$17:$Z$28,ROWS('Control y Supuestos'!CE$17:CE21),FALSE)*'EEFF proyectados'!EM5/30</f>
        <v>196044621.11345184</v>
      </c>
      <c r="EN106" s="235">
        <f t="shared" ref="EN106:EN115" si="570">+SUM(EB106:EM106)</f>
        <v>2352535453.3614225</v>
      </c>
    </row>
    <row r="107" spans="1:183" s="235" customFormat="1" x14ac:dyDescent="0.25">
      <c r="A107" s="234" t="str">
        <f>+A31</f>
        <v>Otras cuentas por cobrar</v>
      </c>
      <c r="N107" s="235">
        <f>+N31</f>
        <v>72487575.699999958</v>
      </c>
      <c r="AA107" s="235">
        <f t="shared" ref="AA107:BN107" si="571">+AA31</f>
        <v>84668392.529999956</v>
      </c>
      <c r="AB107" s="235">
        <f t="shared" si="571"/>
        <v>83006712.550000072</v>
      </c>
      <c r="AC107" s="235">
        <f t="shared" si="571"/>
        <v>83171305.26000008</v>
      </c>
      <c r="AD107" s="235">
        <f t="shared" si="571"/>
        <v>78051205.640000075</v>
      </c>
      <c r="AE107" s="235">
        <f t="shared" si="571"/>
        <v>76809179.01000008</v>
      </c>
      <c r="AF107" s="235">
        <f t="shared" si="571"/>
        <v>80228872.26000008</v>
      </c>
      <c r="AG107" s="235">
        <f t="shared" si="571"/>
        <v>80897635.51000008</v>
      </c>
      <c r="AH107" s="235">
        <f t="shared" si="571"/>
        <v>77742028.960000083</v>
      </c>
      <c r="AI107" s="235">
        <f t="shared" si="571"/>
        <v>77162126.100000083</v>
      </c>
      <c r="AJ107" s="235">
        <f t="shared" si="571"/>
        <v>78011201.520000085</v>
      </c>
      <c r="AK107" s="235">
        <f t="shared" si="571"/>
        <v>78967582.220000088</v>
      </c>
      <c r="AL107" s="235">
        <f t="shared" si="571"/>
        <v>79620872.520000085</v>
      </c>
      <c r="AM107" s="235">
        <f t="shared" si="571"/>
        <v>79274099.560000092</v>
      </c>
      <c r="AN107" s="235">
        <f t="shared" si="571"/>
        <v>79274099.560000092</v>
      </c>
      <c r="AO107" s="235">
        <f t="shared" si="571"/>
        <v>0</v>
      </c>
      <c r="AP107" s="235">
        <f t="shared" si="571"/>
        <v>0</v>
      </c>
      <c r="AQ107" s="235">
        <f t="shared" si="571"/>
        <v>0</v>
      </c>
      <c r="AR107" s="235">
        <f t="shared" si="571"/>
        <v>0</v>
      </c>
      <c r="AS107" s="235">
        <f t="shared" si="571"/>
        <v>0</v>
      </c>
      <c r="AT107" s="235">
        <f t="shared" si="571"/>
        <v>0</v>
      </c>
      <c r="AU107" s="235">
        <f t="shared" si="571"/>
        <v>0</v>
      </c>
      <c r="AV107" s="235">
        <f t="shared" si="571"/>
        <v>0</v>
      </c>
      <c r="AW107" s="235">
        <f t="shared" si="571"/>
        <v>0</v>
      </c>
      <c r="AX107" s="235">
        <f t="shared" si="571"/>
        <v>0</v>
      </c>
      <c r="AY107" s="235">
        <f t="shared" si="571"/>
        <v>0</v>
      </c>
      <c r="AZ107" s="235">
        <f t="shared" si="571"/>
        <v>0</v>
      </c>
      <c r="BA107" s="235">
        <f t="shared" ref="BA107:BA113" si="572">+AZ107</f>
        <v>0</v>
      </c>
      <c r="BB107" s="235">
        <f t="shared" si="571"/>
        <v>0</v>
      </c>
      <c r="BC107" s="235">
        <f t="shared" si="571"/>
        <v>0</v>
      </c>
      <c r="BD107" s="235">
        <f t="shared" si="571"/>
        <v>0</v>
      </c>
      <c r="BE107" s="235">
        <f t="shared" si="571"/>
        <v>0</v>
      </c>
      <c r="BF107" s="235">
        <f t="shared" si="571"/>
        <v>0</v>
      </c>
      <c r="BG107" s="235">
        <f t="shared" si="571"/>
        <v>0</v>
      </c>
      <c r="BH107" s="235">
        <f t="shared" si="571"/>
        <v>0</v>
      </c>
      <c r="BI107" s="235">
        <f t="shared" si="571"/>
        <v>0</v>
      </c>
      <c r="BJ107" s="235">
        <f t="shared" si="571"/>
        <v>0</v>
      </c>
      <c r="BK107" s="235">
        <f t="shared" si="571"/>
        <v>0</v>
      </c>
      <c r="BL107" s="235">
        <f t="shared" si="571"/>
        <v>0</v>
      </c>
      <c r="BM107" s="235">
        <f t="shared" si="571"/>
        <v>0</v>
      </c>
      <c r="BN107" s="235">
        <f t="shared" si="571"/>
        <v>0</v>
      </c>
      <c r="BO107" s="235">
        <f t="shared" si="563"/>
        <v>0</v>
      </c>
      <c r="BP107" s="235">
        <f t="shared" si="563"/>
        <v>0</v>
      </c>
      <c r="BQ107" s="235">
        <f t="shared" si="563"/>
        <v>0</v>
      </c>
      <c r="BR107" s="235">
        <f t="shared" si="563"/>
        <v>0</v>
      </c>
      <c r="BS107" s="235">
        <f t="shared" si="563"/>
        <v>0</v>
      </c>
      <c r="BT107" s="235">
        <f t="shared" ref="BT107" si="573">+BT31</f>
        <v>0</v>
      </c>
      <c r="BU107" s="235">
        <f>+HLOOKUP(BU$2,'Control y Supuestos'!$B$17:$K$28,ROWS('Control y Supuestos'!M$17:M22),FALSE)*'EEFF proyectados'!BU5/30</f>
        <v>0</v>
      </c>
      <c r="BV107" s="235">
        <f>+HLOOKUP(BV$2,'Control y Supuestos'!$B$17:$K$28,ROWS('Control y Supuestos'!N$17:N22),FALSE)*'EEFF proyectados'!BV5/30</f>
        <v>0</v>
      </c>
      <c r="BW107" s="235">
        <f>+HLOOKUP(BW$2,'Control y Supuestos'!$B$17:$K$28,ROWS('Control y Supuestos'!O$17:O22),FALSE)*'EEFF proyectados'!BW5/30</f>
        <v>0</v>
      </c>
      <c r="BX107" s="235">
        <f>+HLOOKUP(BX$2,'Control y Supuestos'!$B$17:$K$28,ROWS('Control y Supuestos'!P$17:P22),FALSE)*'EEFF proyectados'!BX5/30</f>
        <v>0</v>
      </c>
      <c r="BY107" s="235">
        <f>+HLOOKUP(BY$2,'Control y Supuestos'!$B$17:$K$28,ROWS('Control y Supuestos'!Q$17:Q22),FALSE)*'EEFF proyectados'!BY5/30</f>
        <v>0</v>
      </c>
      <c r="BZ107" s="235">
        <f>+HLOOKUP(BZ$2,'Control y Supuestos'!$B$17:$K$28,ROWS('Control y Supuestos'!R$17:R22),FALSE)*'EEFF proyectados'!BZ5/30</f>
        <v>0</v>
      </c>
      <c r="CA107" s="235">
        <f t="shared" si="565"/>
        <v>0</v>
      </c>
      <c r="CB107" s="235">
        <f>+HLOOKUP(CB$2,'Control y Supuestos'!$B$17:$K$28,ROWS(CB$102:CB107),FALSE)*'EEFF proyectados'!CB5/30</f>
        <v>0</v>
      </c>
      <c r="CC107" s="235">
        <f>+HLOOKUP(CC$2,'Control y Supuestos'!$B$17:$K$28,ROWS('Control y Supuestos'!U$17:U22),FALSE)*'EEFF proyectados'!CC5/30</f>
        <v>0</v>
      </c>
      <c r="CD107" s="235">
        <f>+HLOOKUP(CD$2,'Control y Supuestos'!$B$17:$K$28,ROWS('Control y Supuestos'!V$17:V22),FALSE)*'EEFF proyectados'!CD5/30</f>
        <v>0</v>
      </c>
      <c r="CE107" s="235">
        <f>+HLOOKUP(CE$2,'Control y Supuestos'!$B$17:$K$28,ROWS('Control y Supuestos'!W$17:W22),FALSE)*'EEFF proyectados'!CE5/30</f>
        <v>0</v>
      </c>
      <c r="CF107" s="235">
        <f>+HLOOKUP(CF$2,'Control y Supuestos'!$B$17:$K$28,ROWS('Control y Supuestos'!X$17:X22),FALSE)*'EEFF proyectados'!CF5/30</f>
        <v>0</v>
      </c>
      <c r="CG107" s="235">
        <f>+HLOOKUP(CG$2,'Control y Supuestos'!$B$17:$K$28,ROWS('Control y Supuestos'!Y$17:Y22),FALSE)*'EEFF proyectados'!CG5/30</f>
        <v>0</v>
      </c>
      <c r="CH107" s="235">
        <f>+HLOOKUP(CH$2,'Control y Supuestos'!$B$17:$K$28,ROWS('Control y Supuestos'!Z$17:Z22),FALSE)*'EEFF proyectados'!CH5/30</f>
        <v>0</v>
      </c>
      <c r="CI107" s="235">
        <f>+HLOOKUP(CI$2,'Control y Supuestos'!$B$17:$K$28,ROWS('Control y Supuestos'!AA$17:AA22),FALSE)*'EEFF proyectados'!CI5/30</f>
        <v>0</v>
      </c>
      <c r="CJ107" s="235">
        <f>+HLOOKUP(CJ$2,'Control y Supuestos'!$B$17:$K$28,ROWS('Control y Supuestos'!AB$17:AB22),FALSE)*'EEFF proyectados'!CJ5/30</f>
        <v>0</v>
      </c>
      <c r="CK107" s="235">
        <f>+HLOOKUP(CK$2,'Control y Supuestos'!$B$17:$K$28,ROWS('Control y Supuestos'!AC$17:AC22),FALSE)*'EEFF proyectados'!CK5/30</f>
        <v>0</v>
      </c>
      <c r="CL107" s="235">
        <f>+HLOOKUP(CL$2,'Control y Supuestos'!$B$17:$K$28,ROWS('Control y Supuestos'!AD$17:AD22),FALSE)*'EEFF proyectados'!CL5/30</f>
        <v>0</v>
      </c>
      <c r="CM107" s="235">
        <f>+HLOOKUP(CM$2,'Control y Supuestos'!$B$17:$K$28,ROWS('Control y Supuestos'!AE$17:AE22),FALSE)*'EEFF proyectados'!CM5/30</f>
        <v>0</v>
      </c>
      <c r="CN107" s="235">
        <f t="shared" si="566"/>
        <v>0</v>
      </c>
      <c r="CO107" s="235">
        <f>+HLOOKUP(CO$2,'Control y Supuestos'!$B$17:$K$28,ROWS('Control y Supuestos'!AG$17:AG22),FALSE)*'EEFF proyectados'!CO5/30</f>
        <v>0</v>
      </c>
      <c r="CP107" s="235">
        <f>+HLOOKUP(CP$2,'Control y Supuestos'!$B$17:$K$28,ROWS('Control y Supuestos'!AH$17:AH22),FALSE)*'EEFF proyectados'!CP5/30</f>
        <v>0</v>
      </c>
      <c r="CQ107" s="235">
        <f>+HLOOKUP(CQ$2,'Control y Supuestos'!$B$17:$K$28,ROWS('Control y Supuestos'!AI$17:AI22),FALSE)*'EEFF proyectados'!CQ5/30</f>
        <v>0</v>
      </c>
      <c r="CR107" s="235">
        <f>+HLOOKUP(CR$2,'Control y Supuestos'!$B$17:$K$28,ROWS('Control y Supuestos'!AJ$17:AJ22),FALSE)*'EEFF proyectados'!CR5/30</f>
        <v>0</v>
      </c>
      <c r="CS107" s="235">
        <f>+HLOOKUP(CS$2,'Control y Supuestos'!$B$17:$K$28,ROWS('Control y Supuestos'!AK$17:AK22),FALSE)*'EEFF proyectados'!CS5/30</f>
        <v>0</v>
      </c>
      <c r="CT107" s="235">
        <f>+HLOOKUP(CT$2,'Control y Supuestos'!$B$17:$K$28,ROWS('Control y Supuestos'!AL$17:AL22),FALSE)*'EEFF proyectados'!CT5/30</f>
        <v>0</v>
      </c>
      <c r="CU107" s="235">
        <f>+HLOOKUP(CU$2,'Control y Supuestos'!$B$17:$K$28,ROWS('Control y Supuestos'!AM$17:AM22),FALSE)*'EEFF proyectados'!CU5/30</f>
        <v>0</v>
      </c>
      <c r="CV107" s="235">
        <f>+HLOOKUP(CV$2,'Control y Supuestos'!$B$17:$K$28,ROWS('Control y Supuestos'!AN$17:AN22),FALSE)*'EEFF proyectados'!CV5/30</f>
        <v>0</v>
      </c>
      <c r="CW107" s="235">
        <f>+HLOOKUP(CW$2,'Control y Supuestos'!$B$17:$K$28,ROWS('Control y Supuestos'!AO$17:AO22),FALSE)*'EEFF proyectados'!CW5/30</f>
        <v>0</v>
      </c>
      <c r="CX107" s="235">
        <f>+HLOOKUP(CX$2,'Control y Supuestos'!$B$17:$K$28,ROWS('Control y Supuestos'!AP$17:AP22),FALSE)*'EEFF proyectados'!CX5/30</f>
        <v>0</v>
      </c>
      <c r="CY107" s="235">
        <f>+HLOOKUP(CY$2,'Control y Supuestos'!$B$17:$K$28,ROWS('Control y Supuestos'!AQ$17:AQ22),FALSE)*'EEFF proyectados'!CY5/30</f>
        <v>0</v>
      </c>
      <c r="CZ107" s="235">
        <f>+HLOOKUP(CZ$2,'Control y Supuestos'!$B$17:$K$28,ROWS('Control y Supuestos'!AR$17:AR22),FALSE)*'EEFF proyectados'!CZ5/30</f>
        <v>0</v>
      </c>
      <c r="DA107" s="235">
        <f t="shared" si="567"/>
        <v>0</v>
      </c>
      <c r="DB107" s="235">
        <f>+HLOOKUP(DB$2,'Control y Supuestos'!$B$17:$K$28,ROWS(DB$102:DB107),FALSE)*'EEFF proyectados'!DB5/30</f>
        <v>0</v>
      </c>
      <c r="DC107" s="235">
        <f>+HLOOKUP(DC$2,'Control y Supuestos'!$B$17:$K$28,ROWS('Control y Supuestos'!AU$17:AU22),FALSE)*'EEFF proyectados'!DC5/30</f>
        <v>0</v>
      </c>
      <c r="DD107" s="235">
        <f>+HLOOKUP(DD$2,'Control y Supuestos'!$B$17:$K$28,ROWS('Control y Supuestos'!AV$17:AV22),FALSE)*'EEFF proyectados'!DD5/30</f>
        <v>0</v>
      </c>
      <c r="DE107" s="235">
        <f>+HLOOKUP(DE$2,'Control y Supuestos'!$B$17:$K$28,ROWS('Control y Supuestos'!AW$17:AW22),FALSE)*'EEFF proyectados'!DE5/30</f>
        <v>0</v>
      </c>
      <c r="DF107" s="235">
        <f>+HLOOKUP(DF$2,'Control y Supuestos'!$B$17:$K$28,ROWS('Control y Supuestos'!AX$17:AX22),FALSE)*'EEFF proyectados'!DF5/30</f>
        <v>0</v>
      </c>
      <c r="DG107" s="235">
        <f>+HLOOKUP(DG$2,'Control y Supuestos'!$B$17:$K$28,ROWS('Control y Supuestos'!AY$17:AY22),FALSE)*'EEFF proyectados'!DG5/30</f>
        <v>0</v>
      </c>
      <c r="DH107" s="235">
        <f>+HLOOKUP(DH$2,'Control y Supuestos'!$B$17:$K$28,ROWS('Control y Supuestos'!AZ$17:AZ22),FALSE)*'EEFF proyectados'!DH5/30</f>
        <v>0</v>
      </c>
      <c r="DI107" s="235">
        <f>+HLOOKUP(DI$2,'Control y Supuestos'!$B$17:$K$28,ROWS('Control y Supuestos'!BA$17:BA22),FALSE)*'EEFF proyectados'!DI5/30</f>
        <v>0</v>
      </c>
      <c r="DJ107" s="235">
        <f>+HLOOKUP(DJ$2,'Control y Supuestos'!$B$17:$K$28,ROWS('Control y Supuestos'!BB$17:BB22),FALSE)*'EEFF proyectados'!DJ5/30</f>
        <v>0</v>
      </c>
      <c r="DK107" s="235">
        <f>+HLOOKUP(DK$2,'Control y Supuestos'!$B$17:$K$28,ROWS('Control y Supuestos'!BC$17:BC22),FALSE)*'EEFF proyectados'!DK5/30</f>
        <v>0</v>
      </c>
      <c r="DL107" s="235">
        <f>+HLOOKUP(DL$2,'Control y Supuestos'!$B$17:$K$28,ROWS('Control y Supuestos'!BD$17:BD22),FALSE)*'EEFF proyectados'!DL5/30</f>
        <v>0</v>
      </c>
      <c r="DM107" s="235">
        <f>+HLOOKUP(DM$2,'Control y Supuestos'!$B$17:$K$28,ROWS('Control y Supuestos'!BE$17:BE22),FALSE)*'EEFF proyectados'!DM5/30</f>
        <v>0</v>
      </c>
      <c r="DN107" s="235">
        <f t="shared" si="568"/>
        <v>0</v>
      </c>
      <c r="DO107" s="235">
        <f>+HLOOKUP(DO$2,'Control y Supuestos'!$B$17:$K$28,ROWS(DO$102:DO107),FALSE)*'EEFF proyectados'!DO5/30</f>
        <v>0</v>
      </c>
      <c r="DP107" s="235">
        <f>+HLOOKUP(DP$2,'Control y Supuestos'!$B$17:$K$28,ROWS('Control y Supuestos'!BH$17:BH22),FALSE)*'EEFF proyectados'!DP5/30</f>
        <v>0</v>
      </c>
      <c r="DQ107" s="235">
        <f>+HLOOKUP(DQ$2,'Control y Supuestos'!$B$17:$K$28,ROWS('Control y Supuestos'!BI$17:BI22),FALSE)*'EEFF proyectados'!DQ5/30</f>
        <v>0</v>
      </c>
      <c r="DR107" s="235">
        <f>+HLOOKUP(DR$2,'Control y Supuestos'!$B$17:$K$28,ROWS('Control y Supuestos'!BJ$17:BJ22),FALSE)*'EEFF proyectados'!DR5/30</f>
        <v>0</v>
      </c>
      <c r="DS107" s="235">
        <f>+HLOOKUP(DS$2,'Control y Supuestos'!$B$17:$K$28,ROWS('Control y Supuestos'!BK$17:BK22),FALSE)*'EEFF proyectados'!DS5/30</f>
        <v>0</v>
      </c>
      <c r="DT107" s="235">
        <f>+HLOOKUP(DT$2,'Control y Supuestos'!$B$17:$K$28,ROWS('Control y Supuestos'!BL$17:BL22),FALSE)*'EEFF proyectados'!DT5/30</f>
        <v>0</v>
      </c>
      <c r="DU107" s="235">
        <f>+HLOOKUP(DU$2,'Control y Supuestos'!$B$17:$K$28,ROWS('Control y Supuestos'!BM$17:BM22),FALSE)*'EEFF proyectados'!DU5/30</f>
        <v>0</v>
      </c>
      <c r="DV107" s="235">
        <f>+HLOOKUP(DV$2,'Control y Supuestos'!$B$17:$K$28,ROWS('Control y Supuestos'!BN$17:BN22),FALSE)*'EEFF proyectados'!DV5/30</f>
        <v>0</v>
      </c>
      <c r="DW107" s="235">
        <f>+HLOOKUP(DW$2,'Control y Supuestos'!$B$17:$K$28,ROWS('Control y Supuestos'!BO$17:BO22),FALSE)*'EEFF proyectados'!DW5/30</f>
        <v>0</v>
      </c>
      <c r="DX107" s="235">
        <f>+HLOOKUP(DX$2,'Control y Supuestos'!$B$17:$K$28,ROWS('Control y Supuestos'!BP$17:BP22),FALSE)*'EEFF proyectados'!DX5/30</f>
        <v>0</v>
      </c>
      <c r="DY107" s="235">
        <f>+HLOOKUP(DY$2,'Control y Supuestos'!$B$17:$K$28,ROWS('Control y Supuestos'!BQ$17:BQ22),FALSE)*'EEFF proyectados'!DY5/30</f>
        <v>0</v>
      </c>
      <c r="DZ107" s="235">
        <f>+HLOOKUP(DZ$2,'Control y Supuestos'!$B$17:$K$28,ROWS('Control y Supuestos'!BR$17:BR22),FALSE)*'EEFF proyectados'!DZ5/30</f>
        <v>0</v>
      </c>
      <c r="EA107" s="235">
        <f t="shared" si="569"/>
        <v>0</v>
      </c>
      <c r="EB107" s="235">
        <f>+HLOOKUP(EB$2,'Control y Supuestos'!$B$17:$Z$28,ROWS(EB$102:EB107),FALSE)*'EEFF proyectados'!EB5/30</f>
        <v>0</v>
      </c>
      <c r="EC107" s="235">
        <f>+HLOOKUP(EC$2,'Control y Supuestos'!$B$17:$Z$28,ROWS('Control y Supuestos'!BU$17:BU22),FALSE)*'EEFF proyectados'!EC5/30</f>
        <v>0</v>
      </c>
      <c r="ED107" s="235">
        <f>+HLOOKUP(ED$2,'Control y Supuestos'!$B$17:$Z$28,ROWS('Control y Supuestos'!BV$17:BV22),FALSE)*'EEFF proyectados'!ED5/30</f>
        <v>0</v>
      </c>
      <c r="EE107" s="235">
        <f>+HLOOKUP(EE$2,'Control y Supuestos'!$B$17:$Z$28,ROWS('Control y Supuestos'!BW$17:BW22),FALSE)*'EEFF proyectados'!EE5/30</f>
        <v>0</v>
      </c>
      <c r="EF107" s="235">
        <f>+HLOOKUP(EF$2,'Control y Supuestos'!$B$17:$Z$28,ROWS('Control y Supuestos'!BX$17:BX22),FALSE)*'EEFF proyectados'!EF5/30</f>
        <v>0</v>
      </c>
      <c r="EG107" s="235">
        <f>+HLOOKUP(EG$2,'Control y Supuestos'!$B$17:$Z$28,ROWS('Control y Supuestos'!BY$17:BY22),FALSE)*'EEFF proyectados'!EG5/30</f>
        <v>0</v>
      </c>
      <c r="EH107" s="235">
        <f>+HLOOKUP(EH$2,'Control y Supuestos'!$B$17:$Z$28,ROWS('Control y Supuestos'!BZ$17:BZ22),FALSE)*'EEFF proyectados'!EH5/30</f>
        <v>0</v>
      </c>
      <c r="EI107" s="235">
        <f>+HLOOKUP(EI$2,'Control y Supuestos'!$B$17:$Z$28,ROWS('Control y Supuestos'!CA$17:CA22),FALSE)*'EEFF proyectados'!EI5/30</f>
        <v>0</v>
      </c>
      <c r="EJ107" s="235">
        <f>+HLOOKUP(EJ$2,'Control y Supuestos'!$B$17:$Z$28,ROWS('Control y Supuestos'!CB$17:CB22),FALSE)*'EEFF proyectados'!EJ5/30</f>
        <v>0</v>
      </c>
      <c r="EK107" s="235">
        <f>+HLOOKUP(EK$2,'Control y Supuestos'!$B$17:$Z$28,ROWS('Control y Supuestos'!CC$17:CC22),FALSE)*'EEFF proyectados'!EK5/30</f>
        <v>0</v>
      </c>
      <c r="EL107" s="235">
        <f>+HLOOKUP(EL$2,'Control y Supuestos'!$B$17:$Z$28,ROWS('Control y Supuestos'!CD$17:CD22),FALSE)*'EEFF proyectados'!EL5/30</f>
        <v>0</v>
      </c>
      <c r="EM107" s="235">
        <f>+HLOOKUP(EM$2,'Control y Supuestos'!$B$17:$Z$28,ROWS('Control y Supuestos'!CE$17:CE22),FALSE)*'EEFF proyectados'!EM5/30</f>
        <v>0</v>
      </c>
      <c r="EN107" s="235">
        <f t="shared" si="570"/>
        <v>0</v>
      </c>
    </row>
    <row r="108" spans="1:183" s="235" customFormat="1" x14ac:dyDescent="0.25">
      <c r="A108" s="234" t="str">
        <f>+A32</f>
        <v>Inventarios</v>
      </c>
      <c r="N108" s="235">
        <f>+N32</f>
        <v>170660640.29999986</v>
      </c>
      <c r="AA108" s="235">
        <f t="shared" ref="AA108:BN108" si="574">+AA32</f>
        <v>201624164.8299996</v>
      </c>
      <c r="AB108" s="235">
        <f t="shared" si="574"/>
        <v>199758208.15000013</v>
      </c>
      <c r="AC108" s="235">
        <f t="shared" si="574"/>
        <v>187916167.16000035</v>
      </c>
      <c r="AD108" s="235">
        <f t="shared" si="574"/>
        <v>181640180.78000027</v>
      </c>
      <c r="AE108" s="235">
        <f t="shared" si="574"/>
        <v>188753927.93000025</v>
      </c>
      <c r="AF108" s="235">
        <f t="shared" si="574"/>
        <v>193136440.4000001</v>
      </c>
      <c r="AG108" s="235">
        <f t="shared" si="574"/>
        <v>198594795.24000004</v>
      </c>
      <c r="AH108" s="235">
        <f t="shared" si="574"/>
        <v>212281150.67000002</v>
      </c>
      <c r="AI108" s="235">
        <f t="shared" si="574"/>
        <v>209387536.97000006</v>
      </c>
      <c r="AJ108" s="235">
        <f t="shared" si="574"/>
        <v>201071230.41</v>
      </c>
      <c r="AK108" s="235">
        <f t="shared" si="574"/>
        <v>194412037.88999999</v>
      </c>
      <c r="AL108" s="235">
        <f t="shared" si="574"/>
        <v>180128349.49000004</v>
      </c>
      <c r="AM108" s="235">
        <f t="shared" si="574"/>
        <v>169286478.97000015</v>
      </c>
      <c r="AN108" s="235">
        <f t="shared" si="574"/>
        <v>169286478.97000015</v>
      </c>
      <c r="AO108" s="235">
        <f t="shared" si="574"/>
        <v>168891365.4499999</v>
      </c>
      <c r="AP108" s="235">
        <f t="shared" si="574"/>
        <v>169399786.38000014</v>
      </c>
      <c r="AQ108" s="235">
        <f t="shared" si="574"/>
        <v>169028200.6700004</v>
      </c>
      <c r="AR108" s="235">
        <f t="shared" si="574"/>
        <v>177147750.64000055</v>
      </c>
      <c r="AS108" s="235">
        <f t="shared" si="574"/>
        <v>182875031.84000072</v>
      </c>
      <c r="AT108" s="235">
        <f t="shared" si="574"/>
        <v>187921582.45000076</v>
      </c>
      <c r="AU108" s="235">
        <f t="shared" si="574"/>
        <v>195460182.29000089</v>
      </c>
      <c r="AV108" s="235">
        <f t="shared" si="574"/>
        <v>201748297.07000086</v>
      </c>
      <c r="AW108" s="235">
        <f t="shared" si="574"/>
        <v>205097164.79000089</v>
      </c>
      <c r="AX108" s="235">
        <f t="shared" si="574"/>
        <v>196609659.02000076</v>
      </c>
      <c r="AY108" s="235">
        <f t="shared" si="574"/>
        <v>191617059.44000089</v>
      </c>
      <c r="AZ108" s="235">
        <f t="shared" si="574"/>
        <v>179943056.40000093</v>
      </c>
      <c r="BA108" s="235">
        <f t="shared" si="572"/>
        <v>179943056.40000093</v>
      </c>
      <c r="BB108" s="235">
        <f t="shared" si="574"/>
        <v>171447265.41</v>
      </c>
      <c r="BC108" s="235">
        <f t="shared" si="574"/>
        <v>165789386.69</v>
      </c>
      <c r="BD108" s="235">
        <f t="shared" si="574"/>
        <v>166206265.47999999</v>
      </c>
      <c r="BE108" s="235">
        <f t="shared" si="574"/>
        <v>157971732.13999999</v>
      </c>
      <c r="BF108" s="235">
        <f t="shared" si="574"/>
        <v>151185463.80000001</v>
      </c>
      <c r="BG108" s="235">
        <f t="shared" si="574"/>
        <v>162050947.49000001</v>
      </c>
      <c r="BH108" s="235">
        <f t="shared" si="574"/>
        <v>165671183</v>
      </c>
      <c r="BI108" s="235">
        <f t="shared" si="574"/>
        <v>154198147.21000001</v>
      </c>
      <c r="BJ108" s="235">
        <f t="shared" si="574"/>
        <v>153242317.33000001</v>
      </c>
      <c r="BK108" s="235">
        <f t="shared" si="574"/>
        <v>151276438.16</v>
      </c>
      <c r="BL108" s="235">
        <f t="shared" si="574"/>
        <v>144722074.22999999</v>
      </c>
      <c r="BM108" s="235">
        <f t="shared" si="574"/>
        <v>128296714.95999999</v>
      </c>
      <c r="BN108" s="235">
        <f t="shared" si="574"/>
        <v>128296714.95999999</v>
      </c>
      <c r="BO108" s="235">
        <f t="shared" si="563"/>
        <v>120789646.39</v>
      </c>
      <c r="BP108" s="235">
        <f t="shared" si="563"/>
        <v>118683757.78</v>
      </c>
      <c r="BQ108" s="235">
        <f t="shared" si="563"/>
        <v>116301633.25</v>
      </c>
      <c r="BR108" s="235">
        <f t="shared" si="563"/>
        <v>117642967.83</v>
      </c>
      <c r="BS108" s="235">
        <f t="shared" si="563"/>
        <v>126852400.09</v>
      </c>
      <c r="BT108" s="235">
        <f t="shared" ref="BT108" si="575">+BT32</f>
        <v>139249075.27000001</v>
      </c>
      <c r="BU108" s="235">
        <f>+-HLOOKUP(BU$2,'Control y Supuestos'!$B$17:$K$28,ROWS('Control y Supuestos'!M$17:M23),FALSE)*'EEFF proyectados'!BU6/30</f>
        <v>134229650.83485135</v>
      </c>
      <c r="BV108" s="235">
        <f>+-HLOOKUP(BV$2,'Control y Supuestos'!$B$17:$K$28,ROWS('Control y Supuestos'!N$17:N23),FALSE)*'EEFF proyectados'!BV6/30</f>
        <v>152680167.8485609</v>
      </c>
      <c r="BW108" s="235">
        <f>+-HLOOKUP(BW$2,'Control y Supuestos'!$B$17:$K$28,ROWS('Control y Supuestos'!O$17:O23),FALSE)*'EEFF proyectados'!BW6/30</f>
        <v>136509313.12083945</v>
      </c>
      <c r="BX108" s="235">
        <f>+-HLOOKUP(BX$2,'Control y Supuestos'!$B$17:$K$28,ROWS('Control y Supuestos'!P$17:P23),FALSE)*'EEFF proyectados'!BX6/30</f>
        <v>159786048.78961486</v>
      </c>
      <c r="BY108" s="235">
        <f>+-HLOOKUP(BY$2,'Control y Supuestos'!$B$17:$K$28,ROWS('Control y Supuestos'!Q$17:Q23),FALSE)*'EEFF proyectados'!BY6/30</f>
        <v>124425510.34804945</v>
      </c>
      <c r="BZ108" s="235">
        <f>+-HLOOKUP(BZ$2,'Control y Supuestos'!$B$17:$K$28,ROWS('Control y Supuestos'!R$17:R23),FALSE)*'EEFF proyectados'!BZ6/30</f>
        <v>129769392.64548714</v>
      </c>
      <c r="CA108" s="235">
        <f t="shared" si="565"/>
        <v>1576919564.1974032</v>
      </c>
      <c r="CB108" s="235">
        <f>+-HLOOKUP(CB$2,'Control y Supuestos'!$B$17:$K$28,ROWS(CB$102:CB108),FALSE)*'EEFF proyectados'!CB6/30</f>
        <v>162276454.23028648</v>
      </c>
      <c r="CC108" s="235">
        <f>+-HLOOKUP(CC$2,'Control y Supuestos'!$B$17:$K$28,ROWS('Control y Supuestos'!U$17:U23),FALSE)*'EEFF proyectados'!CC6/30</f>
        <v>162276454.23028648</v>
      </c>
      <c r="CD108" s="235">
        <f>+-HLOOKUP(CD$2,'Control y Supuestos'!$B$17:$K$28,ROWS('Control y Supuestos'!V$17:V23),FALSE)*'EEFF proyectados'!CD6/30</f>
        <v>162276454.23028648</v>
      </c>
      <c r="CE108" s="235">
        <f>+-HLOOKUP(CE$2,'Control y Supuestos'!$B$17:$K$28,ROWS('Control y Supuestos'!W$17:W23),FALSE)*'EEFF proyectados'!CE6/30</f>
        <v>162276454.23028648</v>
      </c>
      <c r="CF108" s="235">
        <f>+-HLOOKUP(CF$2,'Control y Supuestos'!$B$17:$K$28,ROWS('Control y Supuestos'!X$17:X23),FALSE)*'EEFF proyectados'!CF6/30</f>
        <v>162276454.23028648</v>
      </c>
      <c r="CG108" s="235">
        <f>+-HLOOKUP(CG$2,'Control y Supuestos'!$B$17:$K$28,ROWS('Control y Supuestos'!Y$17:Y23),FALSE)*'EEFF proyectados'!CG6/30</f>
        <v>162276454.23028648</v>
      </c>
      <c r="CH108" s="235">
        <f>+-HLOOKUP(CH$2,'Control y Supuestos'!$B$17:$K$28,ROWS('Control y Supuestos'!Z$17:Z23),FALSE)*'EEFF proyectados'!CH6/30</f>
        <v>162276454.23028648</v>
      </c>
      <c r="CI108" s="235">
        <f>+-HLOOKUP(CI$2,'Control y Supuestos'!$B$17:$K$28,ROWS('Control y Supuestos'!AA$17:AA23),FALSE)*'EEFF proyectados'!CI6/30</f>
        <v>162276454.23028648</v>
      </c>
      <c r="CJ108" s="235">
        <f>+-HLOOKUP(CJ$2,'Control y Supuestos'!$B$17:$K$28,ROWS('Control y Supuestos'!AB$17:AB23),FALSE)*'EEFF proyectados'!CJ6/30</f>
        <v>162276454.23028648</v>
      </c>
      <c r="CK108" s="235">
        <f>+-HLOOKUP(CK$2,'Control y Supuestos'!$B$17:$K$28,ROWS('Control y Supuestos'!AC$17:AC23),FALSE)*'EEFF proyectados'!CK6/30</f>
        <v>162276454.23028648</v>
      </c>
      <c r="CL108" s="235">
        <f>+-HLOOKUP(CL$2,'Control y Supuestos'!$B$17:$K$28,ROWS('Control y Supuestos'!AD$17:AD23),FALSE)*'EEFF proyectados'!CL6/30</f>
        <v>162276454.23028648</v>
      </c>
      <c r="CM108" s="235">
        <f>+-HLOOKUP(CM$2,'Control y Supuestos'!$B$17:$K$28,ROWS('Control y Supuestos'!AE$17:AE23),FALSE)*'EEFF proyectados'!CM6/30</f>
        <v>162276454.23028648</v>
      </c>
      <c r="CN108" s="235">
        <f t="shared" si="566"/>
        <v>1947317450.7634382</v>
      </c>
      <c r="CO108" s="235">
        <f>+-HLOOKUP(CO$2,'Control y Supuestos'!$B$17:$K$28,ROWS('Control y Supuestos'!AG$17:AG23),FALSE)*'EEFF proyectados'!CO6/30</f>
        <v>162276454.23028648</v>
      </c>
      <c r="CP108" s="235">
        <f>+-HLOOKUP(CP$2,'Control y Supuestos'!$B$17:$K$28,ROWS('Control y Supuestos'!AH$17:AH23),FALSE)*'EEFF proyectados'!CP6/30</f>
        <v>162276454.23028648</v>
      </c>
      <c r="CQ108" s="235">
        <f>+-HLOOKUP(CQ$2,'Control y Supuestos'!$B$17:$K$28,ROWS('Control y Supuestos'!AI$17:AI23),FALSE)*'EEFF proyectados'!CQ6/30</f>
        <v>162276454.23028648</v>
      </c>
      <c r="CR108" s="235">
        <f>+-HLOOKUP(CR$2,'Control y Supuestos'!$B$17:$K$28,ROWS('Control y Supuestos'!AJ$17:AJ23),FALSE)*'EEFF proyectados'!CR6/30</f>
        <v>162276454.23028648</v>
      </c>
      <c r="CS108" s="235">
        <f>+-HLOOKUP(CS$2,'Control y Supuestos'!$B$17:$K$28,ROWS('Control y Supuestos'!AK$17:AK23),FALSE)*'EEFF proyectados'!CS6/30</f>
        <v>162276454.23028648</v>
      </c>
      <c r="CT108" s="235">
        <f>+-HLOOKUP(CT$2,'Control y Supuestos'!$B$17:$K$28,ROWS('Control y Supuestos'!AL$17:AL23),FALSE)*'EEFF proyectados'!CT6/30</f>
        <v>162276454.23028648</v>
      </c>
      <c r="CU108" s="235">
        <f>+-HLOOKUP(CU$2,'Control y Supuestos'!$B$17:$K$28,ROWS('Control y Supuestos'!AM$17:AM23),FALSE)*'EEFF proyectados'!CU6/30</f>
        <v>162276454.23028648</v>
      </c>
      <c r="CV108" s="235">
        <f>+-HLOOKUP(CV$2,'Control y Supuestos'!$B$17:$K$28,ROWS('Control y Supuestos'!AN$17:AN23),FALSE)*'EEFF proyectados'!CV6/30</f>
        <v>162276454.23028648</v>
      </c>
      <c r="CW108" s="235">
        <f>+-HLOOKUP(CW$2,'Control y Supuestos'!$B$17:$K$28,ROWS('Control y Supuestos'!AO$17:AO23),FALSE)*'EEFF proyectados'!CW6/30</f>
        <v>162276454.23028648</v>
      </c>
      <c r="CX108" s="235">
        <f>+-HLOOKUP(CX$2,'Control y Supuestos'!$B$17:$K$28,ROWS('Control y Supuestos'!AP$17:AP23),FALSE)*'EEFF proyectados'!CX6/30</f>
        <v>162276454.23028648</v>
      </c>
      <c r="CY108" s="235">
        <f>+-HLOOKUP(CY$2,'Control y Supuestos'!$B$17:$K$28,ROWS('Control y Supuestos'!AQ$17:AQ23),FALSE)*'EEFF proyectados'!CY6/30</f>
        <v>162276454.23028648</v>
      </c>
      <c r="CZ108" s="235">
        <f>+-HLOOKUP(CZ$2,'Control y Supuestos'!$B$17:$K$28,ROWS('Control y Supuestos'!AR$17:AR23),FALSE)*'EEFF proyectados'!CZ6/30</f>
        <v>162276454.23028648</v>
      </c>
      <c r="DA108" s="235">
        <f t="shared" si="567"/>
        <v>1947317450.7634382</v>
      </c>
      <c r="DB108" s="235">
        <f>+-HLOOKUP(DB$2,'Control y Supuestos'!$B$17:$K$28,ROWS(DB$102:DB108),FALSE)*'EEFF proyectados'!DB6/30</f>
        <v>162276454.23028648</v>
      </c>
      <c r="DC108" s="235">
        <f>+-HLOOKUP(DC$2,'Control y Supuestos'!$B$17:$K$28,ROWS('Control y Supuestos'!AU$17:AU23),FALSE)*'EEFF proyectados'!DC6/30</f>
        <v>162276454.23028648</v>
      </c>
      <c r="DD108" s="235">
        <f>+-HLOOKUP(DD$2,'Control y Supuestos'!$B$17:$K$28,ROWS('Control y Supuestos'!AV$17:AV23),FALSE)*'EEFF proyectados'!DD6/30</f>
        <v>162276454.23028648</v>
      </c>
      <c r="DE108" s="235">
        <f>+-HLOOKUP(DE$2,'Control y Supuestos'!$B$17:$K$28,ROWS('Control y Supuestos'!AW$17:AW23),FALSE)*'EEFF proyectados'!DE6/30</f>
        <v>162276454.23028648</v>
      </c>
      <c r="DF108" s="235">
        <f>+-HLOOKUP(DF$2,'Control y Supuestos'!$B$17:$K$28,ROWS('Control y Supuestos'!AX$17:AX23),FALSE)*'EEFF proyectados'!DF6/30</f>
        <v>162276454.23028648</v>
      </c>
      <c r="DG108" s="235">
        <f>+-HLOOKUP(DG$2,'Control y Supuestos'!$B$17:$K$28,ROWS('Control y Supuestos'!AY$17:AY23),FALSE)*'EEFF proyectados'!DG6/30</f>
        <v>162276454.23028648</v>
      </c>
      <c r="DH108" s="235">
        <f>+-HLOOKUP(DH$2,'Control y Supuestos'!$B$17:$K$28,ROWS('Control y Supuestos'!AZ$17:AZ23),FALSE)*'EEFF proyectados'!DH6/30</f>
        <v>162276454.23028648</v>
      </c>
      <c r="DI108" s="235">
        <f>+-HLOOKUP(DI$2,'Control y Supuestos'!$B$17:$K$28,ROWS('Control y Supuestos'!BA$17:BA23),FALSE)*'EEFF proyectados'!DI6/30</f>
        <v>162276454.23028648</v>
      </c>
      <c r="DJ108" s="235">
        <f>+-HLOOKUP(DJ$2,'Control y Supuestos'!$B$17:$K$28,ROWS('Control y Supuestos'!BB$17:BB23),FALSE)*'EEFF proyectados'!DJ6/30</f>
        <v>162276454.23028648</v>
      </c>
      <c r="DK108" s="235">
        <f>+-HLOOKUP(DK$2,'Control y Supuestos'!$B$17:$K$28,ROWS('Control y Supuestos'!BC$17:BC23),FALSE)*'EEFF proyectados'!DK6/30</f>
        <v>162276454.23028648</v>
      </c>
      <c r="DL108" s="235">
        <f>+-HLOOKUP(DL$2,'Control y Supuestos'!$B$17:$K$28,ROWS('Control y Supuestos'!BD$17:BD23),FALSE)*'EEFF proyectados'!DL6/30</f>
        <v>162276454.23028648</v>
      </c>
      <c r="DM108" s="235">
        <f>+-HLOOKUP(DM$2,'Control y Supuestos'!$B$17:$K$28,ROWS('Control y Supuestos'!BE$17:BE23),FALSE)*'EEFF proyectados'!DM6/30</f>
        <v>162276454.23028648</v>
      </c>
      <c r="DN108" s="235">
        <f t="shared" si="568"/>
        <v>1947317450.7634382</v>
      </c>
      <c r="DO108" s="235">
        <f>+-HLOOKUP(DO$2,'Control y Supuestos'!$B$17:$K$28,ROWS(DO$102:DO108),FALSE)*'EEFF proyectados'!DO6/30</f>
        <v>162276454.23028648</v>
      </c>
      <c r="DP108" s="235">
        <f>+-HLOOKUP(DP$2,'Control y Supuestos'!$B$17:$K$28,ROWS('Control y Supuestos'!BH$17:BH23),FALSE)*'EEFF proyectados'!DP6/30</f>
        <v>162276454.23028648</v>
      </c>
      <c r="DQ108" s="235">
        <f>+-HLOOKUP(DQ$2,'Control y Supuestos'!$B$17:$K$28,ROWS('Control y Supuestos'!BI$17:BI23),FALSE)*'EEFF proyectados'!DQ6/30</f>
        <v>162276454.23028648</v>
      </c>
      <c r="DR108" s="235">
        <f>+-HLOOKUP(DR$2,'Control y Supuestos'!$B$17:$K$28,ROWS('Control y Supuestos'!BJ$17:BJ23),FALSE)*'EEFF proyectados'!DR6/30</f>
        <v>162276454.23028648</v>
      </c>
      <c r="DS108" s="235">
        <f>+-HLOOKUP(DS$2,'Control y Supuestos'!$B$17:$K$28,ROWS('Control y Supuestos'!BK$17:BK23),FALSE)*'EEFF proyectados'!DS6/30</f>
        <v>162276454.23028648</v>
      </c>
      <c r="DT108" s="235">
        <f>+-HLOOKUP(DT$2,'Control y Supuestos'!$B$17:$K$28,ROWS('Control y Supuestos'!BL$17:BL23),FALSE)*'EEFF proyectados'!DT6/30</f>
        <v>162276454.23028648</v>
      </c>
      <c r="DU108" s="235">
        <f>+-HLOOKUP(DU$2,'Control y Supuestos'!$B$17:$K$28,ROWS('Control y Supuestos'!BM$17:BM23),FALSE)*'EEFF proyectados'!DU6/30</f>
        <v>162276454.23028648</v>
      </c>
      <c r="DV108" s="235">
        <f>+-HLOOKUP(DV$2,'Control y Supuestos'!$B$17:$K$28,ROWS('Control y Supuestos'!BN$17:BN23),FALSE)*'EEFF proyectados'!DV6/30</f>
        <v>162276454.23028648</v>
      </c>
      <c r="DW108" s="235">
        <f>+-HLOOKUP(DW$2,'Control y Supuestos'!$B$17:$K$28,ROWS('Control y Supuestos'!BO$17:BO23),FALSE)*'EEFF proyectados'!DW6/30</f>
        <v>162276454.23028648</v>
      </c>
      <c r="DX108" s="235">
        <f>+-HLOOKUP(DX$2,'Control y Supuestos'!$B$17:$K$28,ROWS('Control y Supuestos'!BP$17:BP23),FALSE)*'EEFF proyectados'!DX6/30</f>
        <v>162276454.23028648</v>
      </c>
      <c r="DY108" s="235">
        <f>+-HLOOKUP(DY$2,'Control y Supuestos'!$B$17:$K$28,ROWS('Control y Supuestos'!BQ$17:BQ23),FALSE)*'EEFF proyectados'!DY6/30</f>
        <v>162276454.23028648</v>
      </c>
      <c r="DZ108" s="235">
        <f>+-HLOOKUP(DZ$2,'Control y Supuestos'!$B$17:$K$28,ROWS('Control y Supuestos'!BR$17:BR23),FALSE)*'EEFF proyectados'!DZ6/30</f>
        <v>162276454.23028648</v>
      </c>
      <c r="EA108" s="235">
        <f t="shared" si="569"/>
        <v>1947317450.7634382</v>
      </c>
      <c r="EB108" s="235">
        <f>+-HLOOKUP(EB$2,'Control y Supuestos'!$B$17:$Z$28,ROWS(EB$102:EB108),FALSE)*'EEFF proyectados'!EB6/30</f>
        <v>162276454.23028648</v>
      </c>
      <c r="EC108" s="235">
        <f>+-HLOOKUP(EC$2,'Control y Supuestos'!$B$17:$Z$28,ROWS('Control y Supuestos'!BU$17:BU23),FALSE)*'EEFF proyectados'!EC6/30</f>
        <v>162276454.23028648</v>
      </c>
      <c r="ED108" s="235">
        <f>+-HLOOKUP(ED$2,'Control y Supuestos'!$B$17:$Z$28,ROWS('Control y Supuestos'!BV$17:BV23),FALSE)*'EEFF proyectados'!ED6/30</f>
        <v>162276454.23028648</v>
      </c>
      <c r="EE108" s="235">
        <f>+-HLOOKUP(EE$2,'Control y Supuestos'!$B$17:$Z$28,ROWS('Control y Supuestos'!BW$17:BW23),FALSE)*'EEFF proyectados'!EE6/30</f>
        <v>162276454.23028648</v>
      </c>
      <c r="EF108" s="235">
        <f>+-HLOOKUP(EF$2,'Control y Supuestos'!$B$17:$Z$28,ROWS('Control y Supuestos'!BX$17:BX23),FALSE)*'EEFF proyectados'!EF6/30</f>
        <v>162276454.23028648</v>
      </c>
      <c r="EG108" s="235">
        <f>+-HLOOKUP(EG$2,'Control y Supuestos'!$B$17:$Z$28,ROWS('Control y Supuestos'!BY$17:BY23),FALSE)*'EEFF proyectados'!EG6/30</f>
        <v>162276454.23028648</v>
      </c>
      <c r="EH108" s="235">
        <f>+-HLOOKUP(EH$2,'Control y Supuestos'!$B$17:$Z$28,ROWS('Control y Supuestos'!BZ$17:BZ23),FALSE)*'EEFF proyectados'!EH6/30</f>
        <v>162276454.23028648</v>
      </c>
      <c r="EI108" s="235">
        <f>+-HLOOKUP(EI$2,'Control y Supuestos'!$B$17:$Z$28,ROWS('Control y Supuestos'!CA$17:CA23),FALSE)*'EEFF proyectados'!EI6/30</f>
        <v>162276454.23028648</v>
      </c>
      <c r="EJ108" s="235">
        <f>+-HLOOKUP(EJ$2,'Control y Supuestos'!$B$17:$Z$28,ROWS('Control y Supuestos'!CB$17:CB23),FALSE)*'EEFF proyectados'!EJ6/30</f>
        <v>162276454.23028648</v>
      </c>
      <c r="EK108" s="235">
        <f>+-HLOOKUP(EK$2,'Control y Supuestos'!$B$17:$Z$28,ROWS('Control y Supuestos'!CC$17:CC23),FALSE)*'EEFF proyectados'!EK6/30</f>
        <v>162276454.23028648</v>
      </c>
      <c r="EL108" s="235">
        <f>+-HLOOKUP(EL$2,'Control y Supuestos'!$B$17:$Z$28,ROWS('Control y Supuestos'!CD$17:CD23),FALSE)*'EEFF proyectados'!EL6/30</f>
        <v>162276454.23028648</v>
      </c>
      <c r="EM108" s="235">
        <f>+-HLOOKUP(EM$2,'Control y Supuestos'!$B$17:$Z$28,ROWS('Control y Supuestos'!CE$17:CE23),FALSE)*'EEFF proyectados'!EM6/30</f>
        <v>162276454.23028648</v>
      </c>
      <c r="EN108" s="235">
        <f t="shared" si="570"/>
        <v>1947317450.7634382</v>
      </c>
    </row>
    <row r="109" spans="1:183" s="235" customFormat="1" x14ac:dyDescent="0.25">
      <c r="A109" s="234" t="str">
        <f>+A45</f>
        <v>Deudas comerciales</v>
      </c>
      <c r="N109" s="235">
        <f>+N45</f>
        <v>59394204.310000233</v>
      </c>
      <c r="AA109" s="235">
        <f t="shared" ref="AA109:BN109" si="576">+AA45</f>
        <v>64678153.679999948</v>
      </c>
      <c r="AB109" s="235">
        <f t="shared" si="576"/>
        <v>56664068.629999988</v>
      </c>
      <c r="AC109" s="235">
        <f t="shared" si="576"/>
        <v>49780927.639999986</v>
      </c>
      <c r="AD109" s="235">
        <f t="shared" si="576"/>
        <v>43827488.539999947</v>
      </c>
      <c r="AE109" s="235">
        <f t="shared" si="576"/>
        <v>52935137.219999939</v>
      </c>
      <c r="AF109" s="235">
        <f t="shared" si="576"/>
        <v>59243196.319999933</v>
      </c>
      <c r="AG109" s="235">
        <f t="shared" si="576"/>
        <v>59502047.799999744</v>
      </c>
      <c r="AH109" s="235">
        <f t="shared" si="576"/>
        <v>71666564.059999824</v>
      </c>
      <c r="AI109" s="235">
        <f t="shared" si="576"/>
        <v>76582156.83999981</v>
      </c>
      <c r="AJ109" s="235">
        <f t="shared" si="576"/>
        <v>71892652.019999787</v>
      </c>
      <c r="AK109" s="235">
        <f t="shared" si="576"/>
        <v>62964855.519999787</v>
      </c>
      <c r="AL109" s="235">
        <f t="shared" si="576"/>
        <v>61536901.399999782</v>
      </c>
      <c r="AM109" s="235">
        <f t="shared" si="576"/>
        <v>58682731.029999763</v>
      </c>
      <c r="AN109" s="235">
        <f t="shared" si="576"/>
        <v>58682731.029999763</v>
      </c>
      <c r="AO109" s="235">
        <f t="shared" si="576"/>
        <v>62291980.449999988</v>
      </c>
      <c r="AP109" s="235">
        <f t="shared" si="576"/>
        <v>63904402.629999995</v>
      </c>
      <c r="AQ109" s="235">
        <f t="shared" si="576"/>
        <v>65377409.409999982</v>
      </c>
      <c r="AR109" s="235">
        <f t="shared" si="576"/>
        <v>74511642.659999996</v>
      </c>
      <c r="AS109" s="235">
        <f t="shared" si="576"/>
        <v>78566086.64000003</v>
      </c>
      <c r="AT109" s="235">
        <f t="shared" si="576"/>
        <v>83198223.690000087</v>
      </c>
      <c r="AU109" s="235">
        <f t="shared" si="576"/>
        <v>86066083.6300001</v>
      </c>
      <c r="AV109" s="235">
        <f t="shared" si="576"/>
        <v>102243385.16000013</v>
      </c>
      <c r="AW109" s="235">
        <f t="shared" si="576"/>
        <v>101152676.1000002</v>
      </c>
      <c r="AX109" s="235">
        <f t="shared" si="576"/>
        <v>90193294.610000223</v>
      </c>
      <c r="AY109" s="235">
        <f t="shared" si="576"/>
        <v>95727205.230000243</v>
      </c>
      <c r="AZ109" s="235">
        <f t="shared" si="576"/>
        <v>93869404.130000234</v>
      </c>
      <c r="BA109" s="235">
        <f t="shared" si="572"/>
        <v>93869404.130000234</v>
      </c>
      <c r="BB109" s="235">
        <f t="shared" si="576"/>
        <v>94400228.799999997</v>
      </c>
      <c r="BC109" s="235">
        <f t="shared" si="576"/>
        <v>87198359.659999996</v>
      </c>
      <c r="BD109" s="235">
        <f t="shared" si="576"/>
        <v>93325083.519999996</v>
      </c>
      <c r="BE109" s="235">
        <f t="shared" si="576"/>
        <v>100466424.84999999</v>
      </c>
      <c r="BF109" s="235">
        <f t="shared" si="576"/>
        <v>99071856.049999997</v>
      </c>
      <c r="BG109" s="235">
        <f t="shared" si="576"/>
        <v>99994238.329999998</v>
      </c>
      <c r="BH109" s="235">
        <f t="shared" si="576"/>
        <v>98781638.070000008</v>
      </c>
      <c r="BI109" s="235">
        <f t="shared" si="576"/>
        <v>89017182.310000002</v>
      </c>
      <c r="BJ109" s="235">
        <f t="shared" si="576"/>
        <v>89443900.5</v>
      </c>
      <c r="BK109" s="235">
        <f t="shared" si="576"/>
        <v>91670360.599999994</v>
      </c>
      <c r="BL109" s="235">
        <f t="shared" si="576"/>
        <v>83796667.349999994</v>
      </c>
      <c r="BM109" s="235">
        <f t="shared" si="576"/>
        <v>80218725.890000001</v>
      </c>
      <c r="BN109" s="235">
        <f t="shared" si="576"/>
        <v>80218725.890000001</v>
      </c>
      <c r="BO109" s="235">
        <f t="shared" ref="BO109:BS113" si="577">+BO45</f>
        <v>75926656.159999996</v>
      </c>
      <c r="BP109" s="235">
        <f t="shared" si="577"/>
        <v>70904177.649999991</v>
      </c>
      <c r="BQ109" s="235">
        <f t="shared" si="577"/>
        <v>71471566.920000002</v>
      </c>
      <c r="BR109" s="235">
        <f t="shared" si="577"/>
        <v>55420132.359999999</v>
      </c>
      <c r="BS109" s="235">
        <f t="shared" si="577"/>
        <v>59533956.710000001</v>
      </c>
      <c r="BT109" s="235">
        <f t="shared" ref="BT109" si="578">+BT45</f>
        <v>58073618.469999999</v>
      </c>
      <c r="BU109" s="235">
        <f>+-HLOOKUP(BU$2,'Control y Supuestos'!$B$17:$K$28,ROWS('Control y Supuestos'!M$17:M24),FALSE)*'EEFF proyectados'!BU6/30</f>
        <v>66014582.377795741</v>
      </c>
      <c r="BV109" s="235">
        <f>+-HLOOKUP(BV$2,'Control y Supuestos'!$B$17:$K$28,ROWS('Control y Supuestos'!N$17:N24),FALSE)*'EEFF proyectados'!BV6/30</f>
        <v>75088607.138636515</v>
      </c>
      <c r="BW109" s="235">
        <f>+-HLOOKUP(BW$2,'Control y Supuestos'!$B$17:$K$28,ROWS('Control y Supuestos'!O$17:O24),FALSE)*'EEFF proyectados'!BW6/30</f>
        <v>67135727.76434727</v>
      </c>
      <c r="BX109" s="235">
        <f>+-HLOOKUP(BX$2,'Control y Supuestos'!$B$17:$K$28,ROWS('Control y Supuestos'!P$17:P24),FALSE)*'EEFF proyectados'!BX6/30</f>
        <v>78583302.683417141</v>
      </c>
      <c r="BY109" s="235">
        <f>+-HLOOKUP(BY$2,'Control y Supuestos'!$B$17:$K$28,ROWS('Control y Supuestos'!Q$17:Q24),FALSE)*'EEFF proyectados'!BY6/30</f>
        <v>61192873.941663668</v>
      </c>
      <c r="BZ109" s="235">
        <f>+-HLOOKUP(BZ$2,'Control y Supuestos'!$B$17:$K$28,ROWS('Control y Supuestos'!R$17:R24),FALSE)*'EEFF proyectados'!BZ6/30</f>
        <v>63821012.776469089</v>
      </c>
      <c r="CA109" s="235">
        <f t="shared" si="565"/>
        <v>803166214.9523294</v>
      </c>
      <c r="CB109" s="235">
        <f>+-HLOOKUP(CB$2,'Control y Supuestos'!$B$17:$K$28,ROWS(CB$102:CB109),FALSE)*'EEFF proyectados'!CB6/30</f>
        <v>86458766.598103449</v>
      </c>
      <c r="CC109" s="235">
        <f>+-HLOOKUP(CC$2,'Control y Supuestos'!$B$17:$K$28,ROWS('Control y Supuestos'!U$17:U24),FALSE)*'EEFF proyectados'!CC6/30</f>
        <v>86458766.598103449</v>
      </c>
      <c r="CD109" s="235">
        <f>+-HLOOKUP(CD$2,'Control y Supuestos'!$B$17:$K$28,ROWS('Control y Supuestos'!V$17:V24),FALSE)*'EEFF proyectados'!CD6/30</f>
        <v>86458766.598103449</v>
      </c>
      <c r="CE109" s="235">
        <f>+-HLOOKUP(CE$2,'Control y Supuestos'!$B$17:$K$28,ROWS('Control y Supuestos'!W$17:W24),FALSE)*'EEFF proyectados'!CE6/30</f>
        <v>86458766.598103449</v>
      </c>
      <c r="CF109" s="235">
        <f>+-HLOOKUP(CF$2,'Control y Supuestos'!$B$17:$K$28,ROWS('Control y Supuestos'!X$17:X24),FALSE)*'EEFF proyectados'!CF6/30</f>
        <v>86458766.598103449</v>
      </c>
      <c r="CG109" s="235">
        <f>+-HLOOKUP(CG$2,'Control y Supuestos'!$B$17:$K$28,ROWS('Control y Supuestos'!Y$17:Y24),FALSE)*'EEFF proyectados'!CG6/30</f>
        <v>86458766.598103449</v>
      </c>
      <c r="CH109" s="235">
        <f>+-HLOOKUP(CH$2,'Control y Supuestos'!$B$17:$K$28,ROWS('Control y Supuestos'!Z$17:Z24),FALSE)*'EEFF proyectados'!CH6/30</f>
        <v>86458766.598103449</v>
      </c>
      <c r="CI109" s="235">
        <f>+-HLOOKUP(CI$2,'Control y Supuestos'!$B$17:$K$28,ROWS('Control y Supuestos'!AA$17:AA24),FALSE)*'EEFF proyectados'!CI6/30</f>
        <v>86458766.598103449</v>
      </c>
      <c r="CJ109" s="235">
        <f>+-HLOOKUP(CJ$2,'Control y Supuestos'!$B$17:$K$28,ROWS('Control y Supuestos'!AB$17:AB24),FALSE)*'EEFF proyectados'!CJ6/30</f>
        <v>86458766.598103449</v>
      </c>
      <c r="CK109" s="235">
        <f>+-HLOOKUP(CK$2,'Control y Supuestos'!$B$17:$K$28,ROWS('Control y Supuestos'!AC$17:AC24),FALSE)*'EEFF proyectados'!CK6/30</f>
        <v>86458766.598103449</v>
      </c>
      <c r="CL109" s="235">
        <f>+-HLOOKUP(CL$2,'Control y Supuestos'!$B$17:$K$28,ROWS('Control y Supuestos'!AD$17:AD24),FALSE)*'EEFF proyectados'!CL6/30</f>
        <v>86458766.598103449</v>
      </c>
      <c r="CM109" s="235">
        <f>+-HLOOKUP(CM$2,'Control y Supuestos'!$B$17:$K$28,ROWS('Control y Supuestos'!AE$17:AE24),FALSE)*'EEFF proyectados'!CM6/30</f>
        <v>86458766.598103449</v>
      </c>
      <c r="CN109" s="235">
        <f t="shared" si="566"/>
        <v>1037505199.1772412</v>
      </c>
      <c r="CO109" s="235">
        <f>+-HLOOKUP(CO$2,'Control y Supuestos'!$B$17:$K$28,ROWS('Control y Supuestos'!AG$17:AG24),FALSE)*'EEFF proyectados'!CO6/30</f>
        <v>86458766.598103449</v>
      </c>
      <c r="CP109" s="235">
        <f>+-HLOOKUP(CP$2,'Control y Supuestos'!$B$17:$K$28,ROWS('Control y Supuestos'!AH$17:AH24),FALSE)*'EEFF proyectados'!CP6/30</f>
        <v>86458766.598103449</v>
      </c>
      <c r="CQ109" s="235">
        <f>+-HLOOKUP(CQ$2,'Control y Supuestos'!$B$17:$K$28,ROWS('Control y Supuestos'!AI$17:AI24),FALSE)*'EEFF proyectados'!CQ6/30</f>
        <v>86458766.598103449</v>
      </c>
      <c r="CR109" s="235">
        <f>+-HLOOKUP(CR$2,'Control y Supuestos'!$B$17:$K$28,ROWS('Control y Supuestos'!AJ$17:AJ24),FALSE)*'EEFF proyectados'!CR6/30</f>
        <v>86458766.598103449</v>
      </c>
      <c r="CS109" s="235">
        <f>+-HLOOKUP(CS$2,'Control y Supuestos'!$B$17:$K$28,ROWS('Control y Supuestos'!AK$17:AK24),FALSE)*'EEFF proyectados'!CS6/30</f>
        <v>86458766.598103449</v>
      </c>
      <c r="CT109" s="235">
        <f>+-HLOOKUP(CT$2,'Control y Supuestos'!$B$17:$K$28,ROWS('Control y Supuestos'!AL$17:AL24),FALSE)*'EEFF proyectados'!CT6/30</f>
        <v>86458766.598103449</v>
      </c>
      <c r="CU109" s="235">
        <f>+-HLOOKUP(CU$2,'Control y Supuestos'!$B$17:$K$28,ROWS('Control y Supuestos'!AM$17:AM24),FALSE)*'EEFF proyectados'!CU6/30</f>
        <v>86458766.598103449</v>
      </c>
      <c r="CV109" s="235">
        <f>+-HLOOKUP(CV$2,'Control y Supuestos'!$B$17:$K$28,ROWS('Control y Supuestos'!AN$17:AN24),FALSE)*'EEFF proyectados'!CV6/30</f>
        <v>86458766.598103449</v>
      </c>
      <c r="CW109" s="235">
        <f>+-HLOOKUP(CW$2,'Control y Supuestos'!$B$17:$K$28,ROWS('Control y Supuestos'!AO$17:AO24),FALSE)*'EEFF proyectados'!CW6/30</f>
        <v>86458766.598103449</v>
      </c>
      <c r="CX109" s="235">
        <f>+-HLOOKUP(CX$2,'Control y Supuestos'!$B$17:$K$28,ROWS('Control y Supuestos'!AP$17:AP24),FALSE)*'EEFF proyectados'!CX6/30</f>
        <v>86458766.598103449</v>
      </c>
      <c r="CY109" s="235">
        <f>+-HLOOKUP(CY$2,'Control y Supuestos'!$B$17:$K$28,ROWS('Control y Supuestos'!AQ$17:AQ24),FALSE)*'EEFF proyectados'!CY6/30</f>
        <v>86458766.598103449</v>
      </c>
      <c r="CZ109" s="235">
        <f>+-HLOOKUP(CZ$2,'Control y Supuestos'!$B$17:$K$28,ROWS('Control y Supuestos'!AR$17:AR24),FALSE)*'EEFF proyectados'!CZ6/30</f>
        <v>86458766.598103449</v>
      </c>
      <c r="DA109" s="235">
        <f t="shared" si="567"/>
        <v>1037505199.1772412</v>
      </c>
      <c r="DB109" s="235">
        <f>+-HLOOKUP(DB$2,'Control y Supuestos'!$B$17:$K$28,ROWS(DB$102:DB109),FALSE)*'EEFF proyectados'!DB6/30</f>
        <v>86458766.598103449</v>
      </c>
      <c r="DC109" s="235">
        <f>+-HLOOKUP(DC$2,'Control y Supuestos'!$B$17:$K$28,ROWS('Control y Supuestos'!AU$17:AU24),FALSE)*'EEFF proyectados'!DC6/30</f>
        <v>86458766.598103449</v>
      </c>
      <c r="DD109" s="235">
        <f>+-HLOOKUP(DD$2,'Control y Supuestos'!$B$17:$K$28,ROWS('Control y Supuestos'!AV$17:AV24),FALSE)*'EEFF proyectados'!DD6/30</f>
        <v>86458766.598103449</v>
      </c>
      <c r="DE109" s="235">
        <f>+-HLOOKUP(DE$2,'Control y Supuestos'!$B$17:$K$28,ROWS('Control y Supuestos'!AW$17:AW24),FALSE)*'EEFF proyectados'!DE6/30</f>
        <v>86458766.598103449</v>
      </c>
      <c r="DF109" s="235">
        <f>+-HLOOKUP(DF$2,'Control y Supuestos'!$B$17:$K$28,ROWS('Control y Supuestos'!AX$17:AX24),FALSE)*'EEFF proyectados'!DF6/30</f>
        <v>86458766.598103449</v>
      </c>
      <c r="DG109" s="235">
        <f>+-HLOOKUP(DG$2,'Control y Supuestos'!$B$17:$K$28,ROWS('Control y Supuestos'!AY$17:AY24),FALSE)*'EEFF proyectados'!DG6/30</f>
        <v>86458766.598103449</v>
      </c>
      <c r="DH109" s="235">
        <f>+-HLOOKUP(DH$2,'Control y Supuestos'!$B$17:$K$28,ROWS('Control y Supuestos'!AZ$17:AZ24),FALSE)*'EEFF proyectados'!DH6/30</f>
        <v>86458766.598103449</v>
      </c>
      <c r="DI109" s="235">
        <f>+-HLOOKUP(DI$2,'Control y Supuestos'!$B$17:$K$28,ROWS('Control y Supuestos'!BA$17:BA24),FALSE)*'EEFF proyectados'!DI6/30</f>
        <v>86458766.598103449</v>
      </c>
      <c r="DJ109" s="235">
        <f>+-HLOOKUP(DJ$2,'Control y Supuestos'!$B$17:$K$28,ROWS('Control y Supuestos'!BB$17:BB24),FALSE)*'EEFF proyectados'!DJ6/30</f>
        <v>86458766.598103449</v>
      </c>
      <c r="DK109" s="235">
        <f>+-HLOOKUP(DK$2,'Control y Supuestos'!$B$17:$K$28,ROWS('Control y Supuestos'!BC$17:BC24),FALSE)*'EEFF proyectados'!DK6/30</f>
        <v>86458766.598103449</v>
      </c>
      <c r="DL109" s="235">
        <f>+-HLOOKUP(DL$2,'Control y Supuestos'!$B$17:$K$28,ROWS('Control y Supuestos'!BD$17:BD24),FALSE)*'EEFF proyectados'!DL6/30</f>
        <v>86458766.598103449</v>
      </c>
      <c r="DM109" s="235">
        <f>+-HLOOKUP(DM$2,'Control y Supuestos'!$B$17:$K$28,ROWS('Control y Supuestos'!BE$17:BE24),FALSE)*'EEFF proyectados'!DM6/30</f>
        <v>86458766.598103449</v>
      </c>
      <c r="DN109" s="235">
        <f t="shared" si="568"/>
        <v>1037505199.1772412</v>
      </c>
      <c r="DO109" s="235">
        <f>+-HLOOKUP(DO$2,'Control y Supuestos'!$B$17:$K$28,ROWS(DO$102:DO109),FALSE)*'EEFF proyectados'!DO6/30</f>
        <v>86458766.598103449</v>
      </c>
      <c r="DP109" s="235">
        <f>+-HLOOKUP(DP$2,'Control y Supuestos'!$B$17:$K$28,ROWS('Control y Supuestos'!BH$17:BH24),FALSE)*'EEFF proyectados'!DP6/30</f>
        <v>86458766.598103449</v>
      </c>
      <c r="DQ109" s="235">
        <f>+-HLOOKUP(DQ$2,'Control y Supuestos'!$B$17:$K$28,ROWS('Control y Supuestos'!BI$17:BI24),FALSE)*'EEFF proyectados'!DQ6/30</f>
        <v>86458766.598103449</v>
      </c>
      <c r="DR109" s="235">
        <f>+-HLOOKUP(DR$2,'Control y Supuestos'!$B$17:$K$28,ROWS('Control y Supuestos'!BJ$17:BJ24),FALSE)*'EEFF proyectados'!DR6/30</f>
        <v>86458766.598103449</v>
      </c>
      <c r="DS109" s="235">
        <f>+-HLOOKUP(DS$2,'Control y Supuestos'!$B$17:$K$28,ROWS('Control y Supuestos'!BK$17:BK24),FALSE)*'EEFF proyectados'!DS6/30</f>
        <v>86458766.598103449</v>
      </c>
      <c r="DT109" s="235">
        <f>+-HLOOKUP(DT$2,'Control y Supuestos'!$B$17:$K$28,ROWS('Control y Supuestos'!BL$17:BL24),FALSE)*'EEFF proyectados'!DT6/30</f>
        <v>86458766.598103449</v>
      </c>
      <c r="DU109" s="235">
        <f>+-HLOOKUP(DU$2,'Control y Supuestos'!$B$17:$K$28,ROWS('Control y Supuestos'!BM$17:BM24),FALSE)*'EEFF proyectados'!DU6/30</f>
        <v>86458766.598103449</v>
      </c>
      <c r="DV109" s="235">
        <f>+-HLOOKUP(DV$2,'Control y Supuestos'!$B$17:$K$28,ROWS('Control y Supuestos'!BN$17:BN24),FALSE)*'EEFF proyectados'!DV6/30</f>
        <v>86458766.598103449</v>
      </c>
      <c r="DW109" s="235">
        <f>+-HLOOKUP(DW$2,'Control y Supuestos'!$B$17:$K$28,ROWS('Control y Supuestos'!BO$17:BO24),FALSE)*'EEFF proyectados'!DW6/30</f>
        <v>86458766.598103449</v>
      </c>
      <c r="DX109" s="235">
        <f>+-HLOOKUP(DX$2,'Control y Supuestos'!$B$17:$K$28,ROWS('Control y Supuestos'!BP$17:BP24),FALSE)*'EEFF proyectados'!DX6/30</f>
        <v>86458766.598103449</v>
      </c>
      <c r="DY109" s="235">
        <f>+-HLOOKUP(DY$2,'Control y Supuestos'!$B$17:$K$28,ROWS('Control y Supuestos'!BQ$17:BQ24),FALSE)*'EEFF proyectados'!DY6/30</f>
        <v>86458766.598103449</v>
      </c>
      <c r="DZ109" s="235">
        <f>+-HLOOKUP(DZ$2,'Control y Supuestos'!$B$17:$K$28,ROWS('Control y Supuestos'!BR$17:BR24),FALSE)*'EEFF proyectados'!DZ6/30</f>
        <v>86458766.598103449</v>
      </c>
      <c r="EA109" s="235">
        <f t="shared" si="569"/>
        <v>1037505199.1772412</v>
      </c>
      <c r="EB109" s="235">
        <f>+-HLOOKUP(EB$2,'Control y Supuestos'!$B$17:$Z$28,ROWS(EB$102:EB109),FALSE)*'EEFF proyectados'!EB6/30</f>
        <v>86458766.598103449</v>
      </c>
      <c r="EC109" s="235">
        <f>+-HLOOKUP(EC$2,'Control y Supuestos'!$B$17:$Z$28,ROWS('Control y Supuestos'!BU$17:BU24),FALSE)*'EEFF proyectados'!EC6/30</f>
        <v>86458766.598103449</v>
      </c>
      <c r="ED109" s="235">
        <f>+-HLOOKUP(ED$2,'Control y Supuestos'!$B$17:$Z$28,ROWS('Control y Supuestos'!BV$17:BV24),FALSE)*'EEFF proyectados'!ED6/30</f>
        <v>86458766.598103449</v>
      </c>
      <c r="EE109" s="235">
        <f>+-HLOOKUP(EE$2,'Control y Supuestos'!$B$17:$Z$28,ROWS('Control y Supuestos'!BW$17:BW24),FALSE)*'EEFF proyectados'!EE6/30</f>
        <v>86458766.598103449</v>
      </c>
      <c r="EF109" s="235">
        <f>+-HLOOKUP(EF$2,'Control y Supuestos'!$B$17:$Z$28,ROWS('Control y Supuestos'!BX$17:BX24),FALSE)*'EEFF proyectados'!EF6/30</f>
        <v>86458766.598103449</v>
      </c>
      <c r="EG109" s="235">
        <f>+-HLOOKUP(EG$2,'Control y Supuestos'!$B$17:$Z$28,ROWS('Control y Supuestos'!BY$17:BY24),FALSE)*'EEFF proyectados'!EG6/30</f>
        <v>86458766.598103449</v>
      </c>
      <c r="EH109" s="235">
        <f>+-HLOOKUP(EH$2,'Control y Supuestos'!$B$17:$Z$28,ROWS('Control y Supuestos'!BZ$17:BZ24),FALSE)*'EEFF proyectados'!EH6/30</f>
        <v>86458766.598103449</v>
      </c>
      <c r="EI109" s="235">
        <f>+-HLOOKUP(EI$2,'Control y Supuestos'!$B$17:$Z$28,ROWS('Control y Supuestos'!CA$17:CA24),FALSE)*'EEFF proyectados'!EI6/30</f>
        <v>86458766.598103449</v>
      </c>
      <c r="EJ109" s="235">
        <f>+-HLOOKUP(EJ$2,'Control y Supuestos'!$B$17:$Z$28,ROWS('Control y Supuestos'!CB$17:CB24),FALSE)*'EEFF proyectados'!EJ6/30</f>
        <v>86458766.598103449</v>
      </c>
      <c r="EK109" s="235">
        <f>+-HLOOKUP(EK$2,'Control y Supuestos'!$B$17:$Z$28,ROWS('Control y Supuestos'!CC$17:CC24),FALSE)*'EEFF proyectados'!EK6/30</f>
        <v>86458766.598103449</v>
      </c>
      <c r="EL109" s="235">
        <f>+-HLOOKUP(EL$2,'Control y Supuestos'!$B$17:$Z$28,ROWS('Control y Supuestos'!CD$17:CD24),FALSE)*'EEFF proyectados'!EL6/30</f>
        <v>86458766.598103449</v>
      </c>
      <c r="EM109" s="235">
        <f>+-HLOOKUP(EM$2,'Control y Supuestos'!$B$17:$Z$28,ROWS('Control y Supuestos'!CE$17:CE24),FALSE)*'EEFF proyectados'!EM6/30</f>
        <v>86458766.598103449</v>
      </c>
      <c r="EN109" s="235">
        <f t="shared" si="570"/>
        <v>1037505199.1772412</v>
      </c>
    </row>
    <row r="110" spans="1:183" s="235" customFormat="1" x14ac:dyDescent="0.25">
      <c r="A110" s="234" t="str">
        <f>+A46</f>
        <v>Anticipos de clientes</v>
      </c>
      <c r="N110" s="235">
        <f>+N46</f>
        <v>0</v>
      </c>
      <c r="AA110" s="235">
        <f t="shared" ref="AA110:BN110" si="579">+AA46</f>
        <v>0</v>
      </c>
      <c r="AB110" s="235">
        <f t="shared" si="579"/>
        <v>0</v>
      </c>
      <c r="AC110" s="235">
        <f t="shared" si="579"/>
        <v>0</v>
      </c>
      <c r="AD110" s="235">
        <f t="shared" si="579"/>
        <v>0</v>
      </c>
      <c r="AE110" s="235">
        <f t="shared" si="579"/>
        <v>0</v>
      </c>
      <c r="AF110" s="235">
        <f t="shared" si="579"/>
        <v>0</v>
      </c>
      <c r="AG110" s="235">
        <f t="shared" si="579"/>
        <v>0</v>
      </c>
      <c r="AH110" s="235">
        <f t="shared" si="579"/>
        <v>0</v>
      </c>
      <c r="AI110" s="235">
        <f t="shared" si="579"/>
        <v>0</v>
      </c>
      <c r="AJ110" s="235">
        <f t="shared" si="579"/>
        <v>0</v>
      </c>
      <c r="AK110" s="235">
        <f t="shared" si="579"/>
        <v>0</v>
      </c>
      <c r="AL110" s="235">
        <f t="shared" si="579"/>
        <v>0</v>
      </c>
      <c r="AM110" s="235">
        <f t="shared" si="579"/>
        <v>0</v>
      </c>
      <c r="AN110" s="235">
        <f t="shared" si="579"/>
        <v>0</v>
      </c>
      <c r="AO110" s="235">
        <f t="shared" si="579"/>
        <v>0</v>
      </c>
      <c r="AP110" s="235">
        <f t="shared" si="579"/>
        <v>0</v>
      </c>
      <c r="AQ110" s="235">
        <f t="shared" si="579"/>
        <v>0</v>
      </c>
      <c r="AR110" s="235">
        <f t="shared" si="579"/>
        <v>0</v>
      </c>
      <c r="AS110" s="235">
        <f t="shared" si="579"/>
        <v>0</v>
      </c>
      <c r="AT110" s="235">
        <f t="shared" si="579"/>
        <v>0</v>
      </c>
      <c r="AU110" s="235">
        <f t="shared" si="579"/>
        <v>0</v>
      </c>
      <c r="AV110" s="235">
        <f t="shared" si="579"/>
        <v>0</v>
      </c>
      <c r="AW110" s="235">
        <f t="shared" si="579"/>
        <v>0</v>
      </c>
      <c r="AX110" s="235">
        <f t="shared" si="579"/>
        <v>0</v>
      </c>
      <c r="AY110" s="235">
        <f t="shared" si="579"/>
        <v>0</v>
      </c>
      <c r="AZ110" s="235">
        <f t="shared" si="579"/>
        <v>0</v>
      </c>
      <c r="BA110" s="235">
        <f t="shared" si="572"/>
        <v>0</v>
      </c>
      <c r="BB110" s="235">
        <f t="shared" si="579"/>
        <v>2779752.09</v>
      </c>
      <c r="BC110" s="235">
        <f t="shared" si="579"/>
        <v>1837914.89</v>
      </c>
      <c r="BD110" s="235">
        <f t="shared" si="579"/>
        <v>1565626.32</v>
      </c>
      <c r="BE110" s="235">
        <f t="shared" si="579"/>
        <v>1495181.61</v>
      </c>
      <c r="BF110" s="235">
        <f t="shared" si="579"/>
        <v>1646098.94</v>
      </c>
      <c r="BG110" s="235">
        <f t="shared" si="579"/>
        <v>3185093.54</v>
      </c>
      <c r="BH110" s="235">
        <f t="shared" si="579"/>
        <v>22447148.239999998</v>
      </c>
      <c r="BI110" s="235">
        <f t="shared" si="579"/>
        <v>6339981.1399999997</v>
      </c>
      <c r="BJ110" s="235">
        <f t="shared" si="579"/>
        <v>4400421.4400000004</v>
      </c>
      <c r="BK110" s="235">
        <f t="shared" si="579"/>
        <v>1545075.21</v>
      </c>
      <c r="BL110" s="235">
        <f t="shared" si="579"/>
        <v>14522964.560000001</v>
      </c>
      <c r="BM110" s="235">
        <f t="shared" si="579"/>
        <v>14822367.77</v>
      </c>
      <c r="BN110" s="235">
        <f t="shared" si="579"/>
        <v>14822367.77</v>
      </c>
      <c r="BO110" s="235">
        <f t="shared" si="577"/>
        <v>12395883.789999999</v>
      </c>
      <c r="BP110" s="235">
        <f t="shared" si="577"/>
        <v>8532793.0800000001</v>
      </c>
      <c r="BQ110" s="235">
        <f t="shared" si="577"/>
        <v>10161896.460000001</v>
      </c>
      <c r="BR110" s="235">
        <f t="shared" si="577"/>
        <v>11837347.380000001</v>
      </c>
      <c r="BS110" s="235">
        <f t="shared" si="577"/>
        <v>14080042.27</v>
      </c>
      <c r="BT110" s="235">
        <f t="shared" ref="BT110" si="580">+BT46</f>
        <v>13573773.73</v>
      </c>
      <c r="BU110" s="235">
        <f>+HLOOKUP(BU$2,'Control y Supuestos'!$B$17:$K$28,ROWS('Control y Supuestos'!M$17:M25),FALSE)*'EEFF proyectados'!BU5/30</f>
        <v>13364885.696142452</v>
      </c>
      <c r="BV110" s="235">
        <f>+HLOOKUP(BV$2,'Control y Supuestos'!$B$17:$K$28,ROWS('Control y Supuestos'!N$17:N25),FALSE)*'EEFF proyectados'!BV5/30</f>
        <v>15165623.773380816</v>
      </c>
      <c r="BW110" s="235">
        <f>+HLOOKUP(BW$2,'Control y Supuestos'!$B$17:$K$28,ROWS('Control y Supuestos'!O$17:O25),FALSE)*'EEFF proyectados'!BW5/30</f>
        <v>13910361.161261331</v>
      </c>
      <c r="BX110" s="235">
        <f>+HLOOKUP(BX$2,'Control y Supuestos'!$B$17:$K$28,ROWS('Control y Supuestos'!P$17:P25),FALSE)*'EEFF proyectados'!BX5/30</f>
        <v>15578891.955686772</v>
      </c>
      <c r="BY110" s="235">
        <f>+HLOOKUP(BY$2,'Control y Supuestos'!$B$17:$K$28,ROWS('Control y Supuestos'!Q$17:Q25),FALSE)*'EEFF proyectados'!BY5/30</f>
        <v>12504168.248897547</v>
      </c>
      <c r="BZ110" s="235">
        <f>+HLOOKUP(BZ$2,'Control y Supuestos'!$B$17:$K$28,ROWS('Control y Supuestos'!R$17:R25),FALSE)*'EEFF proyectados'!BZ5/30</f>
        <v>12741899.262734069</v>
      </c>
      <c r="CA110" s="235">
        <f t="shared" si="565"/>
        <v>153847566.808103</v>
      </c>
      <c r="CB110" s="235">
        <f>+HLOOKUP(CB$2,'Control y Supuestos'!$B$17:$K$28,ROWS(CB$102:CB110),FALSE)*'EEFF proyectados'!CB5/30</f>
        <v>18047593.46617708</v>
      </c>
      <c r="CC110" s="235">
        <f>+HLOOKUP(CC$2,'Control y Supuestos'!$B$17:$K$28,ROWS('Control y Supuestos'!U$17:U25),FALSE)*'EEFF proyectados'!CC5/30</f>
        <v>18047593.46617708</v>
      </c>
      <c r="CD110" s="235">
        <f>+HLOOKUP(CD$2,'Control y Supuestos'!$B$17:$K$28,ROWS('Control y Supuestos'!V$17:V25),FALSE)*'EEFF proyectados'!CD5/30</f>
        <v>18047593.46617708</v>
      </c>
      <c r="CE110" s="235">
        <f>+HLOOKUP(CE$2,'Control y Supuestos'!$B$17:$K$28,ROWS('Control y Supuestos'!W$17:W25),FALSE)*'EEFF proyectados'!CE5/30</f>
        <v>18047593.46617708</v>
      </c>
      <c r="CF110" s="235">
        <f>+HLOOKUP(CF$2,'Control y Supuestos'!$B$17:$K$28,ROWS('Control y Supuestos'!X$17:X25),FALSE)*'EEFF proyectados'!CF5/30</f>
        <v>18047593.46617708</v>
      </c>
      <c r="CG110" s="235">
        <f>+HLOOKUP(CG$2,'Control y Supuestos'!$B$17:$K$28,ROWS('Control y Supuestos'!Y$17:Y25),FALSE)*'EEFF proyectados'!CG5/30</f>
        <v>18047593.46617708</v>
      </c>
      <c r="CH110" s="235">
        <f>+HLOOKUP(CH$2,'Control y Supuestos'!$B$17:$K$28,ROWS('Control y Supuestos'!Z$17:Z25),FALSE)*'EEFF proyectados'!CH5/30</f>
        <v>18047593.46617708</v>
      </c>
      <c r="CI110" s="235">
        <f>+HLOOKUP(CI$2,'Control y Supuestos'!$B$17:$K$28,ROWS('Control y Supuestos'!AA$17:AA25),FALSE)*'EEFF proyectados'!CI5/30</f>
        <v>18047593.46617708</v>
      </c>
      <c r="CJ110" s="235">
        <f>+HLOOKUP(CJ$2,'Control y Supuestos'!$B$17:$K$28,ROWS('Control y Supuestos'!AB$17:AB25),FALSE)*'EEFF proyectados'!CJ5/30</f>
        <v>18047593.46617708</v>
      </c>
      <c r="CK110" s="235">
        <f>+HLOOKUP(CK$2,'Control y Supuestos'!$B$17:$K$28,ROWS('Control y Supuestos'!AC$17:AC25),FALSE)*'EEFF proyectados'!CK5/30</f>
        <v>18047593.46617708</v>
      </c>
      <c r="CL110" s="235">
        <f>+HLOOKUP(CL$2,'Control y Supuestos'!$B$17:$K$28,ROWS('Control y Supuestos'!AD$17:AD25),FALSE)*'EEFF proyectados'!CL5/30</f>
        <v>18047593.46617708</v>
      </c>
      <c r="CM110" s="235">
        <f>+HLOOKUP(CM$2,'Control y Supuestos'!$B$17:$K$28,ROWS('Control y Supuestos'!AE$17:AE25),FALSE)*'EEFF proyectados'!CM5/30</f>
        <v>18047593.46617708</v>
      </c>
      <c r="CN110" s="235">
        <f t="shared" si="566"/>
        <v>216571121.59412494</v>
      </c>
      <c r="CO110" s="235">
        <f>+HLOOKUP(CO$2,'Control y Supuestos'!$B$17:$K$28,ROWS('Control y Supuestos'!AG$17:AG25),FALSE)*'EEFF proyectados'!CO5/30</f>
        <v>18047593.46617708</v>
      </c>
      <c r="CP110" s="235">
        <f>+HLOOKUP(CP$2,'Control y Supuestos'!$B$17:$K$28,ROWS('Control y Supuestos'!AH$17:AH25),FALSE)*'EEFF proyectados'!CP5/30</f>
        <v>18047593.46617708</v>
      </c>
      <c r="CQ110" s="235">
        <f>+HLOOKUP(CQ$2,'Control y Supuestos'!$B$17:$K$28,ROWS('Control y Supuestos'!AI$17:AI25),FALSE)*'EEFF proyectados'!CQ5/30</f>
        <v>18047593.46617708</v>
      </c>
      <c r="CR110" s="235">
        <f>+HLOOKUP(CR$2,'Control y Supuestos'!$B$17:$K$28,ROWS('Control y Supuestos'!AJ$17:AJ25),FALSE)*'EEFF proyectados'!CR5/30</f>
        <v>18047593.46617708</v>
      </c>
      <c r="CS110" s="235">
        <f>+HLOOKUP(CS$2,'Control y Supuestos'!$B$17:$K$28,ROWS('Control y Supuestos'!AK$17:AK25),FALSE)*'EEFF proyectados'!CS5/30</f>
        <v>18047593.46617708</v>
      </c>
      <c r="CT110" s="235">
        <f>+HLOOKUP(CT$2,'Control y Supuestos'!$B$17:$K$28,ROWS('Control y Supuestos'!AL$17:AL25),FALSE)*'EEFF proyectados'!CT5/30</f>
        <v>18047593.46617708</v>
      </c>
      <c r="CU110" s="235">
        <f>+HLOOKUP(CU$2,'Control y Supuestos'!$B$17:$K$28,ROWS('Control y Supuestos'!AM$17:AM25),FALSE)*'EEFF proyectados'!CU5/30</f>
        <v>18047593.46617708</v>
      </c>
      <c r="CV110" s="235">
        <f>+HLOOKUP(CV$2,'Control y Supuestos'!$B$17:$K$28,ROWS('Control y Supuestos'!AN$17:AN25),FALSE)*'EEFF proyectados'!CV5/30</f>
        <v>18047593.46617708</v>
      </c>
      <c r="CW110" s="235">
        <f>+HLOOKUP(CW$2,'Control y Supuestos'!$B$17:$K$28,ROWS('Control y Supuestos'!AO$17:AO25),FALSE)*'EEFF proyectados'!CW5/30</f>
        <v>18047593.46617708</v>
      </c>
      <c r="CX110" s="235">
        <f>+HLOOKUP(CX$2,'Control y Supuestos'!$B$17:$K$28,ROWS('Control y Supuestos'!AP$17:AP25),FALSE)*'EEFF proyectados'!CX5/30</f>
        <v>18047593.46617708</v>
      </c>
      <c r="CY110" s="235">
        <f>+HLOOKUP(CY$2,'Control y Supuestos'!$B$17:$K$28,ROWS('Control y Supuestos'!AQ$17:AQ25),FALSE)*'EEFF proyectados'!CY5/30</f>
        <v>18047593.46617708</v>
      </c>
      <c r="CZ110" s="235">
        <f>+HLOOKUP(CZ$2,'Control y Supuestos'!$B$17:$K$28,ROWS('Control y Supuestos'!AR$17:AR25),FALSE)*'EEFF proyectados'!CZ5/30</f>
        <v>18047593.46617708</v>
      </c>
      <c r="DA110" s="235">
        <f t="shared" si="567"/>
        <v>216571121.59412494</v>
      </c>
      <c r="DB110" s="235">
        <f>+HLOOKUP(DB$2,'Control y Supuestos'!$B$17:$K$28,ROWS(DB$102:DB110),FALSE)*'EEFF proyectados'!DB5/30</f>
        <v>18047593.46617708</v>
      </c>
      <c r="DC110" s="235">
        <f>+HLOOKUP(DC$2,'Control y Supuestos'!$B$17:$K$28,ROWS('Control y Supuestos'!AU$17:AU25),FALSE)*'EEFF proyectados'!DC5/30</f>
        <v>18047593.46617708</v>
      </c>
      <c r="DD110" s="235">
        <f>+HLOOKUP(DD$2,'Control y Supuestos'!$B$17:$K$28,ROWS('Control y Supuestos'!AV$17:AV25),FALSE)*'EEFF proyectados'!DD5/30</f>
        <v>18047593.46617708</v>
      </c>
      <c r="DE110" s="235">
        <f>+HLOOKUP(DE$2,'Control y Supuestos'!$B$17:$K$28,ROWS('Control y Supuestos'!AW$17:AW25),FALSE)*'EEFF proyectados'!DE5/30</f>
        <v>18047593.46617708</v>
      </c>
      <c r="DF110" s="235">
        <f>+HLOOKUP(DF$2,'Control y Supuestos'!$B$17:$K$28,ROWS('Control y Supuestos'!AX$17:AX25),FALSE)*'EEFF proyectados'!DF5/30</f>
        <v>18047593.46617708</v>
      </c>
      <c r="DG110" s="235">
        <f>+HLOOKUP(DG$2,'Control y Supuestos'!$B$17:$K$28,ROWS('Control y Supuestos'!AY$17:AY25),FALSE)*'EEFF proyectados'!DG5/30</f>
        <v>18047593.46617708</v>
      </c>
      <c r="DH110" s="235">
        <f>+HLOOKUP(DH$2,'Control y Supuestos'!$B$17:$K$28,ROWS('Control y Supuestos'!AZ$17:AZ25),FALSE)*'EEFF proyectados'!DH5/30</f>
        <v>18047593.46617708</v>
      </c>
      <c r="DI110" s="235">
        <f>+HLOOKUP(DI$2,'Control y Supuestos'!$B$17:$K$28,ROWS('Control y Supuestos'!BA$17:BA25),FALSE)*'EEFF proyectados'!DI5/30</f>
        <v>18047593.46617708</v>
      </c>
      <c r="DJ110" s="235">
        <f>+HLOOKUP(DJ$2,'Control y Supuestos'!$B$17:$K$28,ROWS('Control y Supuestos'!BB$17:BB25),FALSE)*'EEFF proyectados'!DJ5/30</f>
        <v>18047593.46617708</v>
      </c>
      <c r="DK110" s="235">
        <f>+HLOOKUP(DK$2,'Control y Supuestos'!$B$17:$K$28,ROWS('Control y Supuestos'!BC$17:BC25),FALSE)*'EEFF proyectados'!DK5/30</f>
        <v>18047593.46617708</v>
      </c>
      <c r="DL110" s="235">
        <f>+HLOOKUP(DL$2,'Control y Supuestos'!$B$17:$K$28,ROWS('Control y Supuestos'!BD$17:BD25),FALSE)*'EEFF proyectados'!DL5/30</f>
        <v>18047593.46617708</v>
      </c>
      <c r="DM110" s="235">
        <f>+HLOOKUP(DM$2,'Control y Supuestos'!$B$17:$K$28,ROWS('Control y Supuestos'!BE$17:BE25),FALSE)*'EEFF proyectados'!DM5/30</f>
        <v>18047593.46617708</v>
      </c>
      <c r="DN110" s="235">
        <f t="shared" si="568"/>
        <v>216571121.59412494</v>
      </c>
      <c r="DO110" s="235">
        <f>+HLOOKUP(DO$2,'Control y Supuestos'!$B$17:$K$28,ROWS(DO$102:DO110),FALSE)*'EEFF proyectados'!DO5/30</f>
        <v>18047593.46617708</v>
      </c>
      <c r="DP110" s="235">
        <f>+HLOOKUP(DP$2,'Control y Supuestos'!$B$17:$K$28,ROWS('Control y Supuestos'!BH$17:BH25),FALSE)*'EEFF proyectados'!DP5/30</f>
        <v>18047593.46617708</v>
      </c>
      <c r="DQ110" s="235">
        <f>+HLOOKUP(DQ$2,'Control y Supuestos'!$B$17:$K$28,ROWS('Control y Supuestos'!BI$17:BI25),FALSE)*'EEFF proyectados'!DQ5/30</f>
        <v>18047593.46617708</v>
      </c>
      <c r="DR110" s="235">
        <f>+HLOOKUP(DR$2,'Control y Supuestos'!$B$17:$K$28,ROWS('Control y Supuestos'!BJ$17:BJ25),FALSE)*'EEFF proyectados'!DR5/30</f>
        <v>18047593.46617708</v>
      </c>
      <c r="DS110" s="235">
        <f>+HLOOKUP(DS$2,'Control y Supuestos'!$B$17:$K$28,ROWS('Control y Supuestos'!BK$17:BK25),FALSE)*'EEFF proyectados'!DS5/30</f>
        <v>18047593.46617708</v>
      </c>
      <c r="DT110" s="235">
        <f>+HLOOKUP(DT$2,'Control y Supuestos'!$B$17:$K$28,ROWS('Control y Supuestos'!BL$17:BL25),FALSE)*'EEFF proyectados'!DT5/30</f>
        <v>18047593.46617708</v>
      </c>
      <c r="DU110" s="235">
        <f>+HLOOKUP(DU$2,'Control y Supuestos'!$B$17:$K$28,ROWS('Control y Supuestos'!BM$17:BM25),FALSE)*'EEFF proyectados'!DU5/30</f>
        <v>18047593.46617708</v>
      </c>
      <c r="DV110" s="235">
        <f>+HLOOKUP(DV$2,'Control y Supuestos'!$B$17:$K$28,ROWS('Control y Supuestos'!BN$17:BN25),FALSE)*'EEFF proyectados'!DV5/30</f>
        <v>18047593.46617708</v>
      </c>
      <c r="DW110" s="235">
        <f>+HLOOKUP(DW$2,'Control y Supuestos'!$B$17:$K$28,ROWS('Control y Supuestos'!BO$17:BO25),FALSE)*'EEFF proyectados'!DW5/30</f>
        <v>18047593.46617708</v>
      </c>
      <c r="DX110" s="235">
        <f>+HLOOKUP(DX$2,'Control y Supuestos'!$B$17:$K$28,ROWS('Control y Supuestos'!BP$17:BP25),FALSE)*'EEFF proyectados'!DX5/30</f>
        <v>18047593.46617708</v>
      </c>
      <c r="DY110" s="235">
        <f>+HLOOKUP(DY$2,'Control y Supuestos'!$B$17:$K$28,ROWS('Control y Supuestos'!BQ$17:BQ25),FALSE)*'EEFF proyectados'!DY5/30</f>
        <v>18047593.46617708</v>
      </c>
      <c r="DZ110" s="235">
        <f>+HLOOKUP(DZ$2,'Control y Supuestos'!$B$17:$K$28,ROWS('Control y Supuestos'!BR$17:BR25),FALSE)*'EEFF proyectados'!DZ5/30</f>
        <v>18047593.46617708</v>
      </c>
      <c r="EA110" s="235">
        <f t="shared" si="569"/>
        <v>216571121.59412494</v>
      </c>
      <c r="EB110" s="235">
        <f>+HLOOKUP(EB$2,'Control y Supuestos'!$B$17:$Z$28,ROWS(EB$102:EB110),FALSE)*'EEFF proyectados'!EB5/30</f>
        <v>18047593.46617708</v>
      </c>
      <c r="EC110" s="235">
        <f>+HLOOKUP(EC$2,'Control y Supuestos'!$B$17:$Z$28,ROWS('Control y Supuestos'!BU$17:BU25),FALSE)*'EEFF proyectados'!EC5/30</f>
        <v>18047593.46617708</v>
      </c>
      <c r="ED110" s="235">
        <f>+HLOOKUP(ED$2,'Control y Supuestos'!$B$17:$Z$28,ROWS('Control y Supuestos'!BV$17:BV25),FALSE)*'EEFF proyectados'!ED5/30</f>
        <v>18047593.46617708</v>
      </c>
      <c r="EE110" s="235">
        <f>+HLOOKUP(EE$2,'Control y Supuestos'!$B$17:$Z$28,ROWS('Control y Supuestos'!BW$17:BW25),FALSE)*'EEFF proyectados'!EE5/30</f>
        <v>18047593.46617708</v>
      </c>
      <c r="EF110" s="235">
        <f>+HLOOKUP(EF$2,'Control y Supuestos'!$B$17:$Z$28,ROWS('Control y Supuestos'!BX$17:BX25),FALSE)*'EEFF proyectados'!EF5/30</f>
        <v>18047593.46617708</v>
      </c>
      <c r="EG110" s="235">
        <f>+HLOOKUP(EG$2,'Control y Supuestos'!$B$17:$Z$28,ROWS('Control y Supuestos'!BY$17:BY25),FALSE)*'EEFF proyectados'!EG5/30</f>
        <v>18047593.46617708</v>
      </c>
      <c r="EH110" s="235">
        <f>+HLOOKUP(EH$2,'Control y Supuestos'!$B$17:$Z$28,ROWS('Control y Supuestos'!BZ$17:BZ25),FALSE)*'EEFF proyectados'!EH5/30</f>
        <v>18047593.46617708</v>
      </c>
      <c r="EI110" s="235">
        <f>+HLOOKUP(EI$2,'Control y Supuestos'!$B$17:$Z$28,ROWS('Control y Supuestos'!CA$17:CA25),FALSE)*'EEFF proyectados'!EI5/30</f>
        <v>18047593.46617708</v>
      </c>
      <c r="EJ110" s="235">
        <f>+HLOOKUP(EJ$2,'Control y Supuestos'!$B$17:$Z$28,ROWS('Control y Supuestos'!CB$17:CB25),FALSE)*'EEFF proyectados'!EJ5/30</f>
        <v>18047593.46617708</v>
      </c>
      <c r="EK110" s="235">
        <f>+HLOOKUP(EK$2,'Control y Supuestos'!$B$17:$Z$28,ROWS('Control y Supuestos'!CC$17:CC25),FALSE)*'EEFF proyectados'!EK5/30</f>
        <v>18047593.46617708</v>
      </c>
      <c r="EL110" s="235">
        <f>+HLOOKUP(EL$2,'Control y Supuestos'!$B$17:$Z$28,ROWS('Control y Supuestos'!CD$17:CD25),FALSE)*'EEFF proyectados'!EL5/30</f>
        <v>18047593.46617708</v>
      </c>
      <c r="EM110" s="235">
        <f>+HLOOKUP(EM$2,'Control y Supuestos'!$B$17:$Z$28,ROWS('Control y Supuestos'!CE$17:CE25),FALSE)*'EEFF proyectados'!EM5/30</f>
        <v>18047593.46617708</v>
      </c>
      <c r="EN110" s="235">
        <f t="shared" si="570"/>
        <v>216571121.59412494</v>
      </c>
    </row>
    <row r="111" spans="1:183" s="235" customFormat="1" x14ac:dyDescent="0.25">
      <c r="A111" s="234" t="str">
        <f>+A47</f>
        <v>Deudas Sociales</v>
      </c>
      <c r="N111" s="235">
        <f>+N47</f>
        <v>28760405.759999979</v>
      </c>
      <c r="AA111" s="235">
        <f t="shared" ref="AA111:BN111" si="581">+AA47</f>
        <v>38090258.120000027</v>
      </c>
      <c r="AB111" s="235">
        <f t="shared" si="581"/>
        <v>31456054.630000006</v>
      </c>
      <c r="AC111" s="235">
        <f t="shared" si="581"/>
        <v>31456054.630000003</v>
      </c>
      <c r="AD111" s="235">
        <f t="shared" si="581"/>
        <v>31456054.629999999</v>
      </c>
      <c r="AE111" s="235">
        <f t="shared" si="581"/>
        <v>31456054.630000003</v>
      </c>
      <c r="AF111" s="235">
        <f t="shared" si="581"/>
        <v>31456054.630000003</v>
      </c>
      <c r="AG111" s="235">
        <f t="shared" si="581"/>
        <v>31456054.63000001</v>
      </c>
      <c r="AH111" s="235">
        <f t="shared" si="581"/>
        <v>31456054.63000001</v>
      </c>
      <c r="AI111" s="235">
        <f t="shared" si="581"/>
        <v>31456054.630000018</v>
      </c>
      <c r="AJ111" s="235">
        <f t="shared" si="581"/>
        <v>31456054.630000006</v>
      </c>
      <c r="AK111" s="235">
        <f t="shared" si="581"/>
        <v>31456054.630000006</v>
      </c>
      <c r="AL111" s="235">
        <f t="shared" si="581"/>
        <v>31456054.630000003</v>
      </c>
      <c r="AM111" s="235">
        <f t="shared" si="581"/>
        <v>31456054.629999988</v>
      </c>
      <c r="AN111" s="235">
        <f t="shared" si="581"/>
        <v>31456054.629999988</v>
      </c>
      <c r="AO111" s="235">
        <f t="shared" si="581"/>
        <v>22809393.140000012</v>
      </c>
      <c r="AP111" s="235">
        <f t="shared" si="581"/>
        <v>26172194.140000012</v>
      </c>
      <c r="AQ111" s="235">
        <f t="shared" si="581"/>
        <v>26896855.160000011</v>
      </c>
      <c r="AR111" s="235">
        <f t="shared" si="581"/>
        <v>27533363.930000003</v>
      </c>
      <c r="AS111" s="235">
        <f t="shared" si="581"/>
        <v>21563243.600000005</v>
      </c>
      <c r="AT111" s="235">
        <f t="shared" si="581"/>
        <v>26792639.470000006</v>
      </c>
      <c r="AU111" s="235">
        <f t="shared" si="581"/>
        <v>28644514.95000001</v>
      </c>
      <c r="AV111" s="235">
        <f t="shared" si="581"/>
        <v>27004358.320000019</v>
      </c>
      <c r="AW111" s="235">
        <f t="shared" si="581"/>
        <v>21824306.080000024</v>
      </c>
      <c r="AX111" s="235">
        <f t="shared" si="581"/>
        <v>24438249.570000026</v>
      </c>
      <c r="AY111" s="235">
        <f t="shared" si="581"/>
        <v>24993465.350000028</v>
      </c>
      <c r="AZ111" s="235">
        <f t="shared" si="581"/>
        <v>29307415.68000003</v>
      </c>
      <c r="BA111" s="235">
        <f t="shared" si="572"/>
        <v>29307415.68000003</v>
      </c>
      <c r="BB111" s="235">
        <f t="shared" si="581"/>
        <v>11324973.789999999</v>
      </c>
      <c r="BC111" s="235">
        <f t="shared" si="581"/>
        <v>10739211.84</v>
      </c>
      <c r="BD111" s="235">
        <f t="shared" si="581"/>
        <v>11519713.6</v>
      </c>
      <c r="BE111" s="235">
        <f t="shared" si="581"/>
        <v>12208854.85</v>
      </c>
      <c r="BF111" s="235">
        <f t="shared" si="581"/>
        <v>12801984.779999999</v>
      </c>
      <c r="BG111" s="235">
        <f t="shared" si="581"/>
        <v>13525194.27</v>
      </c>
      <c r="BH111" s="235">
        <f t="shared" si="581"/>
        <v>14193495.4</v>
      </c>
      <c r="BI111" s="235">
        <f t="shared" si="581"/>
        <v>14882362.220000001</v>
      </c>
      <c r="BJ111" s="235">
        <f t="shared" si="581"/>
        <v>7234498.46</v>
      </c>
      <c r="BK111" s="235">
        <f t="shared" si="581"/>
        <v>7926969.0199999996</v>
      </c>
      <c r="BL111" s="235">
        <f t="shared" si="581"/>
        <v>8625258.9600000009</v>
      </c>
      <c r="BM111" s="235">
        <f t="shared" si="581"/>
        <v>12003839.960000001</v>
      </c>
      <c r="BN111" s="235">
        <f t="shared" si="581"/>
        <v>12003839.960000001</v>
      </c>
      <c r="BO111" s="235">
        <f t="shared" si="577"/>
        <v>13293361.279999999</v>
      </c>
      <c r="BP111" s="235">
        <f t="shared" si="577"/>
        <v>11824166.91</v>
      </c>
      <c r="BQ111" s="235">
        <f t="shared" si="577"/>
        <v>10099014.65</v>
      </c>
      <c r="BR111" s="235">
        <f t="shared" si="577"/>
        <v>10820424.300000001</v>
      </c>
      <c r="BS111" s="235">
        <f t="shared" si="577"/>
        <v>11597223.9</v>
      </c>
      <c r="BT111" s="235">
        <f t="shared" ref="BT111" si="582">+BT47</f>
        <v>12337061.99</v>
      </c>
      <c r="BU111" s="235">
        <f>+HLOOKUP(BU$2,'Control y Supuestos'!$B$17:$K$28,ROWS('Control y Supuestos'!M$17:M26),FALSE)*'EEFF proyectados'!BU5/30</f>
        <v>17376343.786521953</v>
      </c>
      <c r="BV111" s="235">
        <f>+HLOOKUP(BV$2,'Control y Supuestos'!$B$17:$K$28,ROWS('Control y Supuestos'!N$17:N26),FALSE)*'EEFF proyectados'!BV5/30</f>
        <v>19717571.733469959</v>
      </c>
      <c r="BW111" s="235">
        <f>+HLOOKUP(BW$2,'Control y Supuestos'!$B$17:$K$28,ROWS('Control y Supuestos'!O$17:O26),FALSE)*'EEFF proyectados'!BW5/30</f>
        <v>18085543.208388645</v>
      </c>
      <c r="BX111" s="235">
        <f>+HLOOKUP(BX$2,'Control y Supuestos'!$B$17:$K$28,ROWS('Control y Supuestos'!P$17:P26),FALSE)*'EEFF proyectados'!BX5/30</f>
        <v>20254881.978768356</v>
      </c>
      <c r="BY111" s="235">
        <f>+HLOOKUP(BY$2,'Control y Supuestos'!$B$17:$K$28,ROWS('Control y Supuestos'!Q$17:Q26),FALSE)*'EEFF proyectados'!BY5/30</f>
        <v>16257282.792928731</v>
      </c>
      <c r="BZ111" s="235">
        <f>+HLOOKUP(BZ$2,'Control y Supuestos'!$B$17:$K$28,ROWS('Control y Supuestos'!R$17:R26),FALSE)*'EEFF proyectados'!BZ5/30</f>
        <v>16566368.550866349</v>
      </c>
      <c r="CA111" s="235">
        <f t="shared" si="565"/>
        <v>178229245.08094397</v>
      </c>
      <c r="CB111" s="235">
        <f>+HLOOKUP(CB$2,'Control y Supuestos'!$B$17:$K$28,ROWS(CB$102:CB111),FALSE)*'EEFF proyectados'!CB5/30</f>
        <v>23464561.966152545</v>
      </c>
      <c r="CC111" s="235">
        <f>+HLOOKUP(CC$2,'Control y Supuestos'!$B$17:$K$28,ROWS('Control y Supuestos'!U$17:U26),FALSE)*'EEFF proyectados'!CC5/30</f>
        <v>23464561.966152545</v>
      </c>
      <c r="CD111" s="235">
        <f>+HLOOKUP(CD$2,'Control y Supuestos'!$B$17:$K$28,ROWS('Control y Supuestos'!V$17:V26),FALSE)*'EEFF proyectados'!CD5/30</f>
        <v>23464561.966152545</v>
      </c>
      <c r="CE111" s="235">
        <f>+HLOOKUP(CE$2,'Control y Supuestos'!$B$17:$K$28,ROWS('Control y Supuestos'!W$17:W26),FALSE)*'EEFF proyectados'!CE5/30</f>
        <v>23464561.966152545</v>
      </c>
      <c r="CF111" s="235">
        <f>+HLOOKUP(CF$2,'Control y Supuestos'!$B$17:$K$28,ROWS('Control y Supuestos'!X$17:X26),FALSE)*'EEFF proyectados'!CF5/30</f>
        <v>23464561.966152545</v>
      </c>
      <c r="CG111" s="235">
        <f>+HLOOKUP(CG$2,'Control y Supuestos'!$B$17:$K$28,ROWS('Control y Supuestos'!Y$17:Y26),FALSE)*'EEFF proyectados'!CG5/30</f>
        <v>23464561.966152545</v>
      </c>
      <c r="CH111" s="235">
        <f>+HLOOKUP(CH$2,'Control y Supuestos'!$B$17:$K$28,ROWS('Control y Supuestos'!Z$17:Z26),FALSE)*'EEFF proyectados'!CH5/30</f>
        <v>23464561.966152545</v>
      </c>
      <c r="CI111" s="235">
        <f>+HLOOKUP(CI$2,'Control y Supuestos'!$B$17:$K$28,ROWS('Control y Supuestos'!AA$17:AA26),FALSE)*'EEFF proyectados'!CI5/30</f>
        <v>23464561.966152545</v>
      </c>
      <c r="CJ111" s="235">
        <f>+HLOOKUP(CJ$2,'Control y Supuestos'!$B$17:$K$28,ROWS('Control y Supuestos'!AB$17:AB26),FALSE)*'EEFF proyectados'!CJ5/30</f>
        <v>23464561.966152545</v>
      </c>
      <c r="CK111" s="235">
        <f>+HLOOKUP(CK$2,'Control y Supuestos'!$B$17:$K$28,ROWS('Control y Supuestos'!AC$17:AC26),FALSE)*'EEFF proyectados'!CK5/30</f>
        <v>23464561.966152545</v>
      </c>
      <c r="CL111" s="235">
        <f>+HLOOKUP(CL$2,'Control y Supuestos'!$B$17:$K$28,ROWS('Control y Supuestos'!AD$17:AD26),FALSE)*'EEFF proyectados'!CL5/30</f>
        <v>23464561.966152545</v>
      </c>
      <c r="CM111" s="235">
        <f>+HLOOKUP(CM$2,'Control y Supuestos'!$B$17:$K$28,ROWS('Control y Supuestos'!AE$17:AE26),FALSE)*'EEFF proyectados'!CM5/30</f>
        <v>23464561.966152545</v>
      </c>
      <c r="CN111" s="235">
        <f t="shared" si="566"/>
        <v>281574743.59383053</v>
      </c>
      <c r="CO111" s="235">
        <f>+HLOOKUP(CO$2,'Control y Supuestos'!$B$17:$K$28,ROWS('Control y Supuestos'!AG$17:AG26),FALSE)*'EEFF proyectados'!CO5/30</f>
        <v>23464561.966152545</v>
      </c>
      <c r="CP111" s="235">
        <f>+HLOOKUP(CP$2,'Control y Supuestos'!$B$17:$K$28,ROWS('Control y Supuestos'!AH$17:AH26),FALSE)*'EEFF proyectados'!CP5/30</f>
        <v>23464561.966152545</v>
      </c>
      <c r="CQ111" s="235">
        <f>+HLOOKUP(CQ$2,'Control y Supuestos'!$B$17:$K$28,ROWS('Control y Supuestos'!AI$17:AI26),FALSE)*'EEFF proyectados'!CQ5/30</f>
        <v>23464561.966152545</v>
      </c>
      <c r="CR111" s="235">
        <f>+HLOOKUP(CR$2,'Control y Supuestos'!$B$17:$K$28,ROWS('Control y Supuestos'!AJ$17:AJ26),FALSE)*'EEFF proyectados'!CR5/30</f>
        <v>23464561.966152545</v>
      </c>
      <c r="CS111" s="235">
        <f>+HLOOKUP(CS$2,'Control y Supuestos'!$B$17:$K$28,ROWS('Control y Supuestos'!AK$17:AK26),FALSE)*'EEFF proyectados'!CS5/30</f>
        <v>23464561.966152545</v>
      </c>
      <c r="CT111" s="235">
        <f>+HLOOKUP(CT$2,'Control y Supuestos'!$B$17:$K$28,ROWS('Control y Supuestos'!AL$17:AL26),FALSE)*'EEFF proyectados'!CT5/30</f>
        <v>23464561.966152545</v>
      </c>
      <c r="CU111" s="235">
        <f>+HLOOKUP(CU$2,'Control y Supuestos'!$B$17:$K$28,ROWS('Control y Supuestos'!AM$17:AM26),FALSE)*'EEFF proyectados'!CU5/30</f>
        <v>23464561.966152545</v>
      </c>
      <c r="CV111" s="235">
        <f>+HLOOKUP(CV$2,'Control y Supuestos'!$B$17:$K$28,ROWS('Control y Supuestos'!AN$17:AN26),FALSE)*'EEFF proyectados'!CV5/30</f>
        <v>23464561.966152545</v>
      </c>
      <c r="CW111" s="235">
        <f>+HLOOKUP(CW$2,'Control y Supuestos'!$B$17:$K$28,ROWS('Control y Supuestos'!AO$17:AO26),FALSE)*'EEFF proyectados'!CW5/30</f>
        <v>23464561.966152545</v>
      </c>
      <c r="CX111" s="235">
        <f>+HLOOKUP(CX$2,'Control y Supuestos'!$B$17:$K$28,ROWS('Control y Supuestos'!AP$17:AP26),FALSE)*'EEFF proyectados'!CX5/30</f>
        <v>23464561.966152545</v>
      </c>
      <c r="CY111" s="235">
        <f>+HLOOKUP(CY$2,'Control y Supuestos'!$B$17:$K$28,ROWS('Control y Supuestos'!AQ$17:AQ26),FALSE)*'EEFF proyectados'!CY5/30</f>
        <v>23464561.966152545</v>
      </c>
      <c r="CZ111" s="235">
        <f>+HLOOKUP(CZ$2,'Control y Supuestos'!$B$17:$K$28,ROWS('Control y Supuestos'!AR$17:AR26),FALSE)*'EEFF proyectados'!CZ5/30</f>
        <v>23464561.966152545</v>
      </c>
      <c r="DA111" s="235">
        <f t="shared" si="567"/>
        <v>281574743.59383053</v>
      </c>
      <c r="DB111" s="235">
        <f>+HLOOKUP(DB$2,'Control y Supuestos'!$B$17:$K$28,ROWS(DB$102:DB111),FALSE)*'EEFF proyectados'!DB5/30</f>
        <v>23464561.966152545</v>
      </c>
      <c r="DC111" s="235">
        <f>+HLOOKUP(DC$2,'Control y Supuestos'!$B$17:$K$28,ROWS('Control y Supuestos'!AU$17:AU26),FALSE)*'EEFF proyectados'!DC5/30</f>
        <v>23464561.966152545</v>
      </c>
      <c r="DD111" s="235">
        <f>+HLOOKUP(DD$2,'Control y Supuestos'!$B$17:$K$28,ROWS('Control y Supuestos'!AV$17:AV26),FALSE)*'EEFF proyectados'!DD5/30</f>
        <v>23464561.966152545</v>
      </c>
      <c r="DE111" s="235">
        <f>+HLOOKUP(DE$2,'Control y Supuestos'!$B$17:$K$28,ROWS('Control y Supuestos'!AW$17:AW26),FALSE)*'EEFF proyectados'!DE5/30</f>
        <v>23464561.966152545</v>
      </c>
      <c r="DF111" s="235">
        <f>+HLOOKUP(DF$2,'Control y Supuestos'!$B$17:$K$28,ROWS('Control y Supuestos'!AX$17:AX26),FALSE)*'EEFF proyectados'!DF5/30</f>
        <v>23464561.966152545</v>
      </c>
      <c r="DG111" s="235">
        <f>+HLOOKUP(DG$2,'Control y Supuestos'!$B$17:$K$28,ROWS('Control y Supuestos'!AY$17:AY26),FALSE)*'EEFF proyectados'!DG5/30</f>
        <v>23464561.966152545</v>
      </c>
      <c r="DH111" s="235">
        <f>+HLOOKUP(DH$2,'Control y Supuestos'!$B$17:$K$28,ROWS('Control y Supuestos'!AZ$17:AZ26),FALSE)*'EEFF proyectados'!DH5/30</f>
        <v>23464561.966152545</v>
      </c>
      <c r="DI111" s="235">
        <f>+HLOOKUP(DI$2,'Control y Supuestos'!$B$17:$K$28,ROWS('Control y Supuestos'!BA$17:BA26),FALSE)*'EEFF proyectados'!DI5/30</f>
        <v>23464561.966152545</v>
      </c>
      <c r="DJ111" s="235">
        <f>+HLOOKUP(DJ$2,'Control y Supuestos'!$B$17:$K$28,ROWS('Control y Supuestos'!BB$17:BB26),FALSE)*'EEFF proyectados'!DJ5/30</f>
        <v>23464561.966152545</v>
      </c>
      <c r="DK111" s="235">
        <f>+HLOOKUP(DK$2,'Control y Supuestos'!$B$17:$K$28,ROWS('Control y Supuestos'!BC$17:BC26),FALSE)*'EEFF proyectados'!DK5/30</f>
        <v>23464561.966152545</v>
      </c>
      <c r="DL111" s="235">
        <f>+HLOOKUP(DL$2,'Control y Supuestos'!$B$17:$K$28,ROWS('Control y Supuestos'!BD$17:BD26),FALSE)*'EEFF proyectados'!DL5/30</f>
        <v>23464561.966152545</v>
      </c>
      <c r="DM111" s="235">
        <f>+HLOOKUP(DM$2,'Control y Supuestos'!$B$17:$K$28,ROWS('Control y Supuestos'!BE$17:BE26),FALSE)*'EEFF proyectados'!DM5/30</f>
        <v>23464561.966152545</v>
      </c>
      <c r="DN111" s="235">
        <f t="shared" si="568"/>
        <v>281574743.59383053</v>
      </c>
      <c r="DO111" s="235">
        <f>+HLOOKUP(DO$2,'Control y Supuestos'!$B$17:$K$28,ROWS(DO$102:DO111),FALSE)*'EEFF proyectados'!DO5/30</f>
        <v>23464561.966152545</v>
      </c>
      <c r="DP111" s="235">
        <f>+HLOOKUP(DP$2,'Control y Supuestos'!$B$17:$K$28,ROWS('Control y Supuestos'!BH$17:BH26),FALSE)*'EEFF proyectados'!DP5/30</f>
        <v>23464561.966152545</v>
      </c>
      <c r="DQ111" s="235">
        <f>+HLOOKUP(DQ$2,'Control y Supuestos'!$B$17:$K$28,ROWS('Control y Supuestos'!BI$17:BI26),FALSE)*'EEFF proyectados'!DQ5/30</f>
        <v>23464561.966152545</v>
      </c>
      <c r="DR111" s="235">
        <f>+HLOOKUP(DR$2,'Control y Supuestos'!$B$17:$K$28,ROWS('Control y Supuestos'!BJ$17:BJ26),FALSE)*'EEFF proyectados'!DR5/30</f>
        <v>23464561.966152545</v>
      </c>
      <c r="DS111" s="235">
        <f>+HLOOKUP(DS$2,'Control y Supuestos'!$B$17:$K$28,ROWS('Control y Supuestos'!BK$17:BK26),FALSE)*'EEFF proyectados'!DS5/30</f>
        <v>23464561.966152545</v>
      </c>
      <c r="DT111" s="235">
        <f>+HLOOKUP(DT$2,'Control y Supuestos'!$B$17:$K$28,ROWS('Control y Supuestos'!BL$17:BL26),FALSE)*'EEFF proyectados'!DT5/30</f>
        <v>23464561.966152545</v>
      </c>
      <c r="DU111" s="235">
        <f>+HLOOKUP(DU$2,'Control y Supuestos'!$B$17:$K$28,ROWS('Control y Supuestos'!BM$17:BM26),FALSE)*'EEFF proyectados'!DU5/30</f>
        <v>23464561.966152545</v>
      </c>
      <c r="DV111" s="235">
        <f>+HLOOKUP(DV$2,'Control y Supuestos'!$B$17:$K$28,ROWS('Control y Supuestos'!BN$17:BN26),FALSE)*'EEFF proyectados'!DV5/30</f>
        <v>23464561.966152545</v>
      </c>
      <c r="DW111" s="235">
        <f>+HLOOKUP(DW$2,'Control y Supuestos'!$B$17:$K$28,ROWS('Control y Supuestos'!BO$17:BO26),FALSE)*'EEFF proyectados'!DW5/30</f>
        <v>23464561.966152545</v>
      </c>
      <c r="DX111" s="235">
        <f>+HLOOKUP(DX$2,'Control y Supuestos'!$B$17:$K$28,ROWS('Control y Supuestos'!BP$17:BP26),FALSE)*'EEFF proyectados'!DX5/30</f>
        <v>23464561.966152545</v>
      </c>
      <c r="DY111" s="235">
        <f>+HLOOKUP(DY$2,'Control y Supuestos'!$B$17:$K$28,ROWS('Control y Supuestos'!BQ$17:BQ26),FALSE)*'EEFF proyectados'!DY5/30</f>
        <v>23464561.966152545</v>
      </c>
      <c r="DZ111" s="235">
        <f>+HLOOKUP(DZ$2,'Control y Supuestos'!$B$17:$K$28,ROWS('Control y Supuestos'!BR$17:BR26),FALSE)*'EEFF proyectados'!DZ5/30</f>
        <v>23464561.966152545</v>
      </c>
      <c r="EA111" s="235">
        <f t="shared" si="569"/>
        <v>281574743.59383053</v>
      </c>
      <c r="EB111" s="235">
        <f>+HLOOKUP(EB$2,'Control y Supuestos'!$B$17:$Z$28,ROWS(EB$102:EB111),FALSE)*'EEFF proyectados'!EB5/30</f>
        <v>23464561.966152545</v>
      </c>
      <c r="EC111" s="235">
        <f>+HLOOKUP(EC$2,'Control y Supuestos'!$B$17:$Z$28,ROWS('Control y Supuestos'!BU$17:BU26),FALSE)*'EEFF proyectados'!EC5/30</f>
        <v>23464561.966152545</v>
      </c>
      <c r="ED111" s="235">
        <f>+HLOOKUP(ED$2,'Control y Supuestos'!$B$17:$Z$28,ROWS('Control y Supuestos'!BV$17:BV26),FALSE)*'EEFF proyectados'!ED5/30</f>
        <v>23464561.966152545</v>
      </c>
      <c r="EE111" s="235">
        <f>+HLOOKUP(EE$2,'Control y Supuestos'!$B$17:$Z$28,ROWS('Control y Supuestos'!BW$17:BW26),FALSE)*'EEFF proyectados'!EE5/30</f>
        <v>23464561.966152545</v>
      </c>
      <c r="EF111" s="235">
        <f>+HLOOKUP(EF$2,'Control y Supuestos'!$B$17:$Z$28,ROWS('Control y Supuestos'!BX$17:BX26),FALSE)*'EEFF proyectados'!EF5/30</f>
        <v>23464561.966152545</v>
      </c>
      <c r="EG111" s="235">
        <f>+HLOOKUP(EG$2,'Control y Supuestos'!$B$17:$Z$28,ROWS('Control y Supuestos'!BY$17:BY26),FALSE)*'EEFF proyectados'!EG5/30</f>
        <v>23464561.966152545</v>
      </c>
      <c r="EH111" s="235">
        <f>+HLOOKUP(EH$2,'Control y Supuestos'!$B$17:$Z$28,ROWS('Control y Supuestos'!BZ$17:BZ26),FALSE)*'EEFF proyectados'!EH5/30</f>
        <v>23464561.966152545</v>
      </c>
      <c r="EI111" s="235">
        <f>+HLOOKUP(EI$2,'Control y Supuestos'!$B$17:$Z$28,ROWS('Control y Supuestos'!CA$17:CA26),FALSE)*'EEFF proyectados'!EI5/30</f>
        <v>23464561.966152545</v>
      </c>
      <c r="EJ111" s="235">
        <f>+HLOOKUP(EJ$2,'Control y Supuestos'!$B$17:$Z$28,ROWS('Control y Supuestos'!CB$17:CB26),FALSE)*'EEFF proyectados'!EJ5/30</f>
        <v>23464561.966152545</v>
      </c>
      <c r="EK111" s="235">
        <f>+HLOOKUP(EK$2,'Control y Supuestos'!$B$17:$Z$28,ROWS('Control y Supuestos'!CC$17:CC26),FALSE)*'EEFF proyectados'!EK5/30</f>
        <v>23464561.966152545</v>
      </c>
      <c r="EL111" s="235">
        <f>+HLOOKUP(EL$2,'Control y Supuestos'!$B$17:$Z$28,ROWS('Control y Supuestos'!CD$17:CD26),FALSE)*'EEFF proyectados'!EL5/30</f>
        <v>23464561.966152545</v>
      </c>
      <c r="EM111" s="235">
        <f>+HLOOKUP(EM$2,'Control y Supuestos'!$B$17:$Z$28,ROWS('Control y Supuestos'!CE$17:CE26),FALSE)*'EEFF proyectados'!EM5/30</f>
        <v>23464561.966152545</v>
      </c>
      <c r="EN111" s="235">
        <f t="shared" si="570"/>
        <v>281574743.59383053</v>
      </c>
    </row>
    <row r="112" spans="1:183" s="235" customFormat="1" x14ac:dyDescent="0.25">
      <c r="A112" s="234" t="str">
        <f>+A48</f>
        <v>Deudas Fiscales</v>
      </c>
      <c r="N112" s="235">
        <f>+N48</f>
        <v>-7122979.04</v>
      </c>
      <c r="AA112" s="235">
        <f t="shared" ref="AA112:BN112" si="583">+AA48</f>
        <v>11019172.83</v>
      </c>
      <c r="AB112" s="235">
        <f t="shared" si="583"/>
        <v>2.2373569663614035E-10</v>
      </c>
      <c r="AC112" s="235">
        <f t="shared" si="583"/>
        <v>13478614.57</v>
      </c>
      <c r="AD112" s="235">
        <f t="shared" si="583"/>
        <v>13320532.27</v>
      </c>
      <c r="AE112" s="235">
        <f t="shared" si="583"/>
        <v>12940751.359999999</v>
      </c>
      <c r="AF112" s="235">
        <f t="shared" si="583"/>
        <v>13495678.02</v>
      </c>
      <c r="AG112" s="235">
        <f t="shared" si="583"/>
        <v>13703350.309999999</v>
      </c>
      <c r="AH112" s="235">
        <f t="shared" si="583"/>
        <v>13176844.819999998</v>
      </c>
      <c r="AI112" s="235">
        <f t="shared" si="583"/>
        <v>12776990.389999999</v>
      </c>
      <c r="AJ112" s="235">
        <f t="shared" si="583"/>
        <v>11282669.899999999</v>
      </c>
      <c r="AK112" s="235">
        <f t="shared" si="583"/>
        <v>11009325.709999999</v>
      </c>
      <c r="AL112" s="235">
        <f t="shared" si="583"/>
        <v>10999702.659999998</v>
      </c>
      <c r="AM112" s="235">
        <f t="shared" si="583"/>
        <v>11085183.109999998</v>
      </c>
      <c r="AN112" s="235">
        <f t="shared" si="583"/>
        <v>11085183.109999998</v>
      </c>
      <c r="AO112" s="235">
        <f t="shared" si="583"/>
        <v>5.4387783166021109E-9</v>
      </c>
      <c r="AP112" s="235">
        <f t="shared" si="583"/>
        <v>5.8489604271017015E-9</v>
      </c>
      <c r="AQ112" s="235">
        <f t="shared" si="583"/>
        <v>1.7696038412395865E-8</v>
      </c>
      <c r="AR112" s="235">
        <f t="shared" si="583"/>
        <v>1.5833393263164908E-8</v>
      </c>
      <c r="AS112" s="235">
        <f t="shared" si="583"/>
        <v>1.5758814697619528E-8</v>
      </c>
      <c r="AT112" s="235">
        <f t="shared" si="583"/>
        <v>1.7397724150214344E-8</v>
      </c>
      <c r="AU112" s="235">
        <f t="shared" si="583"/>
        <v>1.5311343304347247E-8</v>
      </c>
      <c r="AV112" s="235">
        <f t="shared" si="583"/>
        <v>9.2022673925384879E-9</v>
      </c>
      <c r="AW112" s="235">
        <f t="shared" si="583"/>
        <v>1.1548763723112643E-8</v>
      </c>
      <c r="AX112" s="235">
        <f t="shared" si="583"/>
        <v>3.3416654332540929E-8</v>
      </c>
      <c r="AY112" s="235">
        <f t="shared" si="583"/>
        <v>3.2001025829231367E-8</v>
      </c>
      <c r="AZ112" s="235">
        <f t="shared" si="583"/>
        <v>4.1314251575386152E-8</v>
      </c>
      <c r="BA112" s="235">
        <f t="shared" si="572"/>
        <v>4.1314251575386152E-8</v>
      </c>
      <c r="BB112" s="235">
        <f t="shared" si="583"/>
        <v>0</v>
      </c>
      <c r="BC112" s="235">
        <f t="shared" si="583"/>
        <v>0</v>
      </c>
      <c r="BD112" s="235">
        <f t="shared" si="583"/>
        <v>0</v>
      </c>
      <c r="BE112" s="235">
        <f t="shared" si="583"/>
        <v>0</v>
      </c>
      <c r="BF112" s="235">
        <f t="shared" si="583"/>
        <v>0</v>
      </c>
      <c r="BG112" s="235">
        <f t="shared" si="583"/>
        <v>0</v>
      </c>
      <c r="BH112" s="235">
        <f t="shared" si="583"/>
        <v>0</v>
      </c>
      <c r="BI112" s="235">
        <f t="shared" si="583"/>
        <v>0</v>
      </c>
      <c r="BJ112" s="235">
        <f t="shared" si="583"/>
        <v>0</v>
      </c>
      <c r="BK112" s="235">
        <f t="shared" si="583"/>
        <v>0</v>
      </c>
      <c r="BL112" s="235">
        <f>+BL48</f>
        <v>1</v>
      </c>
      <c r="BM112" s="235">
        <f t="shared" si="583"/>
        <v>0</v>
      </c>
      <c r="BN112" s="235">
        <f t="shared" si="583"/>
        <v>0</v>
      </c>
      <c r="BO112" s="235">
        <f t="shared" si="577"/>
        <v>0</v>
      </c>
      <c r="BP112" s="235">
        <f t="shared" si="577"/>
        <v>0</v>
      </c>
      <c r="BQ112" s="235">
        <f t="shared" si="577"/>
        <v>0</v>
      </c>
      <c r="BR112" s="235">
        <f t="shared" si="577"/>
        <v>0</v>
      </c>
      <c r="BS112" s="235">
        <f t="shared" si="577"/>
        <v>0</v>
      </c>
      <c r="BT112" s="235">
        <f t="shared" ref="BT112" si="584">+BT48</f>
        <v>0</v>
      </c>
      <c r="BU112" s="235">
        <f>+HLOOKUP(BU$2,'Control y Supuestos'!$B$17:$K$28,ROWS('Control y Supuestos'!M$17:M27),FALSE)*'EEFF proyectados'!BU5/30</f>
        <v>0</v>
      </c>
      <c r="BV112" s="235">
        <f>+HLOOKUP(BV$2,'Control y Supuestos'!$B$17:$K$28,ROWS('Control y Supuestos'!N$17:N27),FALSE)*'EEFF proyectados'!BV5/30</f>
        <v>0</v>
      </c>
      <c r="BW112" s="235">
        <f>+HLOOKUP(BW$2,'Control y Supuestos'!$B$17:$K$28,ROWS('Control y Supuestos'!O$17:O27),FALSE)*'EEFF proyectados'!BW5/30</f>
        <v>0</v>
      </c>
      <c r="BX112" s="235">
        <f>+HLOOKUP(BX$2,'Control y Supuestos'!$B$17:$K$28,ROWS('Control y Supuestos'!P$17:P27),FALSE)*'EEFF proyectados'!BX5/30</f>
        <v>0</v>
      </c>
      <c r="BY112" s="235">
        <f>+HLOOKUP(BY$2,'Control y Supuestos'!$B$17:$K$28,ROWS('Control y Supuestos'!Q$17:Q27),FALSE)*'EEFF proyectados'!BY5/30</f>
        <v>0</v>
      </c>
      <c r="BZ112" s="235">
        <f>+HLOOKUP(BZ$2,'Control y Supuestos'!$B$17:$K$28,ROWS('Control y Supuestos'!R$17:R27),FALSE)*'EEFF proyectados'!BZ5/30</f>
        <v>0</v>
      </c>
      <c r="CA112" s="235">
        <f t="shared" si="565"/>
        <v>0</v>
      </c>
      <c r="CB112" s="235">
        <f>+HLOOKUP(CB$2,'Control y Supuestos'!$B$17:$K$28,ROWS(CB$102:CB112),FALSE)*'EEFF proyectados'!CB5/30</f>
        <v>0</v>
      </c>
      <c r="CC112" s="235">
        <f>+HLOOKUP(CC$2,'Control y Supuestos'!$B$17:$K$28,ROWS('Control y Supuestos'!U$17:U27),FALSE)*'EEFF proyectados'!CC5/30</f>
        <v>0</v>
      </c>
      <c r="CD112" s="235">
        <f>+HLOOKUP(CD$2,'Control y Supuestos'!$B$17:$K$28,ROWS('Control y Supuestos'!V$17:V27),FALSE)*'EEFF proyectados'!CD5/30</f>
        <v>0</v>
      </c>
      <c r="CE112" s="235">
        <f>+HLOOKUP(CE$2,'Control y Supuestos'!$B$17:$K$28,ROWS('Control y Supuestos'!W$17:W27),FALSE)*'EEFF proyectados'!CE5/30</f>
        <v>0</v>
      </c>
      <c r="CF112" s="235">
        <f>+HLOOKUP(CF$2,'Control y Supuestos'!$B$17:$K$28,ROWS('Control y Supuestos'!X$17:X27),FALSE)*'EEFF proyectados'!CF5/30</f>
        <v>0</v>
      </c>
      <c r="CG112" s="235">
        <f>+HLOOKUP(CG$2,'Control y Supuestos'!$B$17:$K$28,ROWS('Control y Supuestos'!Y$17:Y27),FALSE)*'EEFF proyectados'!CG5/30</f>
        <v>0</v>
      </c>
      <c r="CH112" s="235">
        <f>+HLOOKUP(CH$2,'Control y Supuestos'!$B$17:$K$28,ROWS('Control y Supuestos'!Z$17:Z27),FALSE)*'EEFF proyectados'!CH5/30</f>
        <v>0</v>
      </c>
      <c r="CI112" s="235">
        <f>+HLOOKUP(CI$2,'Control y Supuestos'!$B$17:$K$28,ROWS('Control y Supuestos'!AA$17:AA27),FALSE)*'EEFF proyectados'!CI5/30</f>
        <v>0</v>
      </c>
      <c r="CJ112" s="235">
        <f>+HLOOKUP(CJ$2,'Control y Supuestos'!$B$17:$K$28,ROWS('Control y Supuestos'!AB$17:AB27),FALSE)*'EEFF proyectados'!CJ5/30</f>
        <v>0</v>
      </c>
      <c r="CK112" s="235">
        <f>+HLOOKUP(CK$2,'Control y Supuestos'!$B$17:$K$28,ROWS('Control y Supuestos'!AC$17:AC27),FALSE)*'EEFF proyectados'!CK5/30</f>
        <v>0</v>
      </c>
      <c r="CL112" s="235">
        <f>+HLOOKUP(CL$2,'Control y Supuestos'!$B$17:$K$28,ROWS('Control y Supuestos'!AD$17:AD27),FALSE)*'EEFF proyectados'!CL5/30</f>
        <v>0</v>
      </c>
      <c r="CM112" s="235">
        <f>+HLOOKUP(CM$2,'Control y Supuestos'!$B$17:$K$28,ROWS('Control y Supuestos'!AE$17:AE27),FALSE)*'EEFF proyectados'!CM5/30</f>
        <v>0</v>
      </c>
      <c r="CN112" s="235">
        <f t="shared" si="566"/>
        <v>0</v>
      </c>
      <c r="CO112" s="235">
        <f>+HLOOKUP(CO$2,'Control y Supuestos'!$B$17:$K$28,ROWS('Control y Supuestos'!AG$17:AG27),FALSE)*'EEFF proyectados'!CO5/30</f>
        <v>0</v>
      </c>
      <c r="CP112" s="235">
        <f>+HLOOKUP(CP$2,'Control y Supuestos'!$B$17:$K$28,ROWS('Control y Supuestos'!AH$17:AH27),FALSE)*'EEFF proyectados'!CP5/30</f>
        <v>0</v>
      </c>
      <c r="CQ112" s="235">
        <f>+HLOOKUP(CQ$2,'Control y Supuestos'!$B$17:$K$28,ROWS('Control y Supuestos'!AI$17:AI27),FALSE)*'EEFF proyectados'!CQ5/30</f>
        <v>0</v>
      </c>
      <c r="CR112" s="235">
        <f>+HLOOKUP(CR$2,'Control y Supuestos'!$B$17:$K$28,ROWS('Control y Supuestos'!AJ$17:AJ27),FALSE)*'EEFF proyectados'!CR5/30</f>
        <v>0</v>
      </c>
      <c r="CS112" s="235">
        <f>+HLOOKUP(CS$2,'Control y Supuestos'!$B$17:$K$28,ROWS('Control y Supuestos'!AK$17:AK27),FALSE)*'EEFF proyectados'!CS5/30</f>
        <v>0</v>
      </c>
      <c r="CT112" s="235">
        <f>+HLOOKUP(CT$2,'Control y Supuestos'!$B$17:$K$28,ROWS('Control y Supuestos'!AL$17:AL27),FALSE)*'EEFF proyectados'!CT5/30</f>
        <v>0</v>
      </c>
      <c r="CU112" s="235">
        <f>+HLOOKUP(CU$2,'Control y Supuestos'!$B$17:$K$28,ROWS('Control y Supuestos'!AM$17:AM27),FALSE)*'EEFF proyectados'!CU5/30</f>
        <v>0</v>
      </c>
      <c r="CV112" s="235">
        <f>+HLOOKUP(CV$2,'Control y Supuestos'!$B$17:$K$28,ROWS('Control y Supuestos'!AN$17:AN27),FALSE)*'EEFF proyectados'!CV5/30</f>
        <v>0</v>
      </c>
      <c r="CW112" s="235">
        <f>+HLOOKUP(CW$2,'Control y Supuestos'!$B$17:$K$28,ROWS('Control y Supuestos'!AO$17:AO27),FALSE)*'EEFF proyectados'!CW5/30</f>
        <v>0</v>
      </c>
      <c r="CX112" s="235">
        <f>+HLOOKUP(CX$2,'Control y Supuestos'!$B$17:$K$28,ROWS('Control y Supuestos'!AP$17:AP27),FALSE)*'EEFF proyectados'!CX5/30</f>
        <v>0</v>
      </c>
      <c r="CY112" s="235">
        <f>+HLOOKUP(CY$2,'Control y Supuestos'!$B$17:$K$28,ROWS('Control y Supuestos'!AQ$17:AQ27),FALSE)*'EEFF proyectados'!CY5/30</f>
        <v>0</v>
      </c>
      <c r="CZ112" s="235">
        <f>+HLOOKUP(CZ$2,'Control y Supuestos'!$B$17:$K$28,ROWS('Control y Supuestos'!AR$17:AR27),FALSE)*'EEFF proyectados'!CZ5/30</f>
        <v>0</v>
      </c>
      <c r="DA112" s="235">
        <f t="shared" si="567"/>
        <v>0</v>
      </c>
      <c r="DB112" s="235">
        <f>+HLOOKUP(DB$2,'Control y Supuestos'!$B$17:$K$28,ROWS(DB$102:DB112),FALSE)*'EEFF proyectados'!DB5/30</f>
        <v>0</v>
      </c>
      <c r="DC112" s="235">
        <f>+HLOOKUP(DC$2,'Control y Supuestos'!$B$17:$K$28,ROWS('Control y Supuestos'!AU$17:AU27),FALSE)*'EEFF proyectados'!DC5/30</f>
        <v>0</v>
      </c>
      <c r="DD112" s="235">
        <f>+HLOOKUP(DD$2,'Control y Supuestos'!$B$17:$K$28,ROWS('Control y Supuestos'!AV$17:AV27),FALSE)*'EEFF proyectados'!DD5/30</f>
        <v>0</v>
      </c>
      <c r="DE112" s="235">
        <f>+HLOOKUP(DE$2,'Control y Supuestos'!$B$17:$K$28,ROWS('Control y Supuestos'!AW$17:AW27),FALSE)*'EEFF proyectados'!DE5/30</f>
        <v>0</v>
      </c>
      <c r="DF112" s="235">
        <f>+HLOOKUP(DF$2,'Control y Supuestos'!$B$17:$K$28,ROWS('Control y Supuestos'!AX$17:AX27),FALSE)*'EEFF proyectados'!DF5/30</f>
        <v>0</v>
      </c>
      <c r="DG112" s="235">
        <f>+HLOOKUP(DG$2,'Control y Supuestos'!$B$17:$K$28,ROWS('Control y Supuestos'!AY$17:AY27),FALSE)*'EEFF proyectados'!DG5/30</f>
        <v>0</v>
      </c>
      <c r="DH112" s="235">
        <f>+HLOOKUP(DH$2,'Control y Supuestos'!$B$17:$K$28,ROWS('Control y Supuestos'!AZ$17:AZ27),FALSE)*'EEFF proyectados'!DH5/30</f>
        <v>0</v>
      </c>
      <c r="DI112" s="235">
        <f>+HLOOKUP(DI$2,'Control y Supuestos'!$B$17:$K$28,ROWS('Control y Supuestos'!BA$17:BA27),FALSE)*'EEFF proyectados'!DI5/30</f>
        <v>0</v>
      </c>
      <c r="DJ112" s="235">
        <f>+HLOOKUP(DJ$2,'Control y Supuestos'!$B$17:$K$28,ROWS('Control y Supuestos'!BB$17:BB27),FALSE)*'EEFF proyectados'!DJ5/30</f>
        <v>0</v>
      </c>
      <c r="DK112" s="235">
        <f>+HLOOKUP(DK$2,'Control y Supuestos'!$B$17:$K$28,ROWS('Control y Supuestos'!BC$17:BC27),FALSE)*'EEFF proyectados'!DK5/30</f>
        <v>0</v>
      </c>
      <c r="DL112" s="235">
        <f>+HLOOKUP(DL$2,'Control y Supuestos'!$B$17:$K$28,ROWS('Control y Supuestos'!BD$17:BD27),FALSE)*'EEFF proyectados'!DL5/30</f>
        <v>0</v>
      </c>
      <c r="DM112" s="235">
        <f>+HLOOKUP(DM$2,'Control y Supuestos'!$B$17:$K$28,ROWS('Control y Supuestos'!BE$17:BE27),FALSE)*'EEFF proyectados'!DM5/30</f>
        <v>0</v>
      </c>
      <c r="DN112" s="235">
        <f t="shared" si="568"/>
        <v>0</v>
      </c>
      <c r="DO112" s="235">
        <f>+HLOOKUP(DO$2,'Control y Supuestos'!$B$17:$K$28,ROWS(DO$102:DO112),FALSE)*'EEFF proyectados'!DO5/30</f>
        <v>0</v>
      </c>
      <c r="DP112" s="235">
        <f>+HLOOKUP(DP$2,'Control y Supuestos'!$B$17:$K$28,ROWS('Control y Supuestos'!BH$17:BH27),FALSE)*'EEFF proyectados'!DP5/30</f>
        <v>0</v>
      </c>
      <c r="DQ112" s="235">
        <f>+HLOOKUP(DQ$2,'Control y Supuestos'!$B$17:$K$28,ROWS('Control y Supuestos'!BI$17:BI27),FALSE)*'EEFF proyectados'!DQ5/30</f>
        <v>0</v>
      </c>
      <c r="DR112" s="235">
        <f>+HLOOKUP(DR$2,'Control y Supuestos'!$B$17:$K$28,ROWS('Control y Supuestos'!BJ$17:BJ27),FALSE)*'EEFF proyectados'!DR5/30</f>
        <v>0</v>
      </c>
      <c r="DS112" s="235">
        <f>+HLOOKUP(DS$2,'Control y Supuestos'!$B$17:$K$28,ROWS('Control y Supuestos'!BK$17:BK27),FALSE)*'EEFF proyectados'!DS5/30</f>
        <v>0</v>
      </c>
      <c r="DT112" s="235">
        <f>+HLOOKUP(DT$2,'Control y Supuestos'!$B$17:$K$28,ROWS('Control y Supuestos'!BL$17:BL27),FALSE)*'EEFF proyectados'!DT5/30</f>
        <v>0</v>
      </c>
      <c r="DU112" s="235">
        <f>+HLOOKUP(DU$2,'Control y Supuestos'!$B$17:$K$28,ROWS('Control y Supuestos'!BM$17:BM27),FALSE)*'EEFF proyectados'!DU5/30</f>
        <v>0</v>
      </c>
      <c r="DV112" s="235">
        <f>+HLOOKUP(DV$2,'Control y Supuestos'!$B$17:$K$28,ROWS('Control y Supuestos'!BN$17:BN27),FALSE)*'EEFF proyectados'!DV5/30</f>
        <v>0</v>
      </c>
      <c r="DW112" s="235">
        <f>+HLOOKUP(DW$2,'Control y Supuestos'!$B$17:$K$28,ROWS('Control y Supuestos'!BO$17:BO27),FALSE)*'EEFF proyectados'!DW5/30</f>
        <v>0</v>
      </c>
      <c r="DX112" s="235">
        <f>+HLOOKUP(DX$2,'Control y Supuestos'!$B$17:$K$28,ROWS('Control y Supuestos'!BP$17:BP27),FALSE)*'EEFF proyectados'!DX5/30</f>
        <v>0</v>
      </c>
      <c r="DY112" s="235">
        <f>+HLOOKUP(DY$2,'Control y Supuestos'!$B$17:$K$28,ROWS('Control y Supuestos'!BQ$17:BQ27),FALSE)*'EEFF proyectados'!DY5/30</f>
        <v>0</v>
      </c>
      <c r="DZ112" s="235">
        <f>+HLOOKUP(DZ$2,'Control y Supuestos'!$B$17:$K$28,ROWS('Control y Supuestos'!BR$17:BR27),FALSE)*'EEFF proyectados'!DZ5/30</f>
        <v>0</v>
      </c>
      <c r="EA112" s="235">
        <f t="shared" si="569"/>
        <v>0</v>
      </c>
      <c r="EB112" s="235">
        <f>+HLOOKUP(EB$2,'Control y Supuestos'!$B$17:$Z$28,ROWS(EB$102:EB112),FALSE)*'EEFF proyectados'!EB5/30</f>
        <v>0</v>
      </c>
      <c r="EC112" s="235">
        <f>+HLOOKUP(EC$2,'Control y Supuestos'!$B$17:$Z$28,ROWS('Control y Supuestos'!BU$17:BU27),FALSE)*'EEFF proyectados'!EC5/30</f>
        <v>0</v>
      </c>
      <c r="ED112" s="235">
        <f>+HLOOKUP(ED$2,'Control y Supuestos'!$B$17:$Z$28,ROWS('Control y Supuestos'!BV$17:BV27),FALSE)*'EEFF proyectados'!ED5/30</f>
        <v>0</v>
      </c>
      <c r="EE112" s="235">
        <f>+HLOOKUP(EE$2,'Control y Supuestos'!$B$17:$Z$28,ROWS('Control y Supuestos'!BW$17:BW27),FALSE)*'EEFF proyectados'!EE5/30</f>
        <v>0</v>
      </c>
      <c r="EF112" s="235">
        <f>+HLOOKUP(EF$2,'Control y Supuestos'!$B$17:$Z$28,ROWS('Control y Supuestos'!BX$17:BX27),FALSE)*'EEFF proyectados'!EF5/30</f>
        <v>0</v>
      </c>
      <c r="EG112" s="235">
        <f>+HLOOKUP(EG$2,'Control y Supuestos'!$B$17:$Z$28,ROWS('Control y Supuestos'!BY$17:BY27),FALSE)*'EEFF proyectados'!EG5/30</f>
        <v>0</v>
      </c>
      <c r="EH112" s="235">
        <f>+HLOOKUP(EH$2,'Control y Supuestos'!$B$17:$Z$28,ROWS('Control y Supuestos'!BZ$17:BZ27),FALSE)*'EEFF proyectados'!EH5/30</f>
        <v>0</v>
      </c>
      <c r="EI112" s="235">
        <f>+HLOOKUP(EI$2,'Control y Supuestos'!$B$17:$Z$28,ROWS('Control y Supuestos'!CA$17:CA27),FALSE)*'EEFF proyectados'!EI5/30</f>
        <v>0</v>
      </c>
      <c r="EJ112" s="235">
        <f>+HLOOKUP(EJ$2,'Control y Supuestos'!$B$17:$Z$28,ROWS('Control y Supuestos'!CB$17:CB27),FALSE)*'EEFF proyectados'!EJ5/30</f>
        <v>0</v>
      </c>
      <c r="EK112" s="235">
        <f>+HLOOKUP(EK$2,'Control y Supuestos'!$B$17:$Z$28,ROWS('Control y Supuestos'!CC$17:CC27),FALSE)*'EEFF proyectados'!EK5/30</f>
        <v>0</v>
      </c>
      <c r="EL112" s="235">
        <f>+HLOOKUP(EL$2,'Control y Supuestos'!$B$17:$Z$28,ROWS('Control y Supuestos'!CD$17:CD27),FALSE)*'EEFF proyectados'!EL5/30</f>
        <v>0</v>
      </c>
      <c r="EM112" s="235">
        <f>+HLOOKUP(EM$2,'Control y Supuestos'!$B$17:$Z$28,ROWS('Control y Supuestos'!CE$17:CE27),FALSE)*'EEFF proyectados'!EM5/30</f>
        <v>0</v>
      </c>
      <c r="EN112" s="235">
        <f t="shared" si="570"/>
        <v>0</v>
      </c>
    </row>
    <row r="113" spans="1:183" s="235" customFormat="1" x14ac:dyDescent="0.25">
      <c r="A113" s="234" t="str">
        <f>+A49</f>
        <v>Otras deudas por pagar</v>
      </c>
      <c r="N113" s="235">
        <f>+N49</f>
        <v>16812949.259999998</v>
      </c>
      <c r="AA113" s="235">
        <f t="shared" ref="AA113:BN113" si="585">+AA49</f>
        <v>8965162.3800000027</v>
      </c>
      <c r="AB113" s="235">
        <f t="shared" si="585"/>
        <v>19573288.050000001</v>
      </c>
      <c r="AC113" s="235">
        <f t="shared" si="585"/>
        <v>19573288.050000001</v>
      </c>
      <c r="AD113" s="235">
        <f t="shared" si="585"/>
        <v>19573288.050000001</v>
      </c>
      <c r="AE113" s="235">
        <f t="shared" si="585"/>
        <v>19573288.050000001</v>
      </c>
      <c r="AF113" s="235">
        <f t="shared" si="585"/>
        <v>19573288.050000001</v>
      </c>
      <c r="AG113" s="235">
        <f t="shared" si="585"/>
        <v>19573288.050000001</v>
      </c>
      <c r="AH113" s="235">
        <f t="shared" si="585"/>
        <v>19573288.050000001</v>
      </c>
      <c r="AI113" s="235">
        <f t="shared" si="585"/>
        <v>19573288.050000001</v>
      </c>
      <c r="AJ113" s="235">
        <f t="shared" si="585"/>
        <v>19573288.050000001</v>
      </c>
      <c r="AK113" s="235">
        <f t="shared" si="585"/>
        <v>19573288.050000001</v>
      </c>
      <c r="AL113" s="235">
        <f t="shared" si="585"/>
        <v>19573288.050000001</v>
      </c>
      <c r="AM113" s="235">
        <f t="shared" si="585"/>
        <v>19573288.050000001</v>
      </c>
      <c r="AN113" s="235">
        <f t="shared" si="585"/>
        <v>19573288.050000001</v>
      </c>
      <c r="AO113" s="235">
        <f t="shared" si="585"/>
        <v>29146422.879999995</v>
      </c>
      <c r="AP113" s="235">
        <f t="shared" si="585"/>
        <v>28560057.869999997</v>
      </c>
      <c r="AQ113" s="235">
        <f t="shared" si="585"/>
        <v>23638821.029999997</v>
      </c>
      <c r="AR113" s="235">
        <f t="shared" si="585"/>
        <v>23503328.809999999</v>
      </c>
      <c r="AS113" s="235">
        <f t="shared" si="585"/>
        <v>24624378.879999999</v>
      </c>
      <c r="AT113" s="235">
        <f t="shared" si="585"/>
        <v>23210575.359999999</v>
      </c>
      <c r="AU113" s="235">
        <f t="shared" si="585"/>
        <v>21216264.310000002</v>
      </c>
      <c r="AV113" s="235">
        <f t="shared" si="585"/>
        <v>7014449.4900000021</v>
      </c>
      <c r="AW113" s="235">
        <f t="shared" si="585"/>
        <v>14505879.500000002</v>
      </c>
      <c r="AX113" s="235">
        <f t="shared" si="585"/>
        <v>15628410.370000001</v>
      </c>
      <c r="AY113" s="235">
        <f t="shared" si="585"/>
        <v>14990065.67</v>
      </c>
      <c r="AZ113" s="235">
        <f t="shared" si="585"/>
        <v>11341890.550000001</v>
      </c>
      <c r="BA113" s="235">
        <f t="shared" si="572"/>
        <v>11341890.550000001</v>
      </c>
      <c r="BB113" s="235">
        <f t="shared" si="585"/>
        <v>15928872.67</v>
      </c>
      <c r="BC113" s="235">
        <f t="shared" si="585"/>
        <v>17175431.600000001</v>
      </c>
      <c r="BD113" s="235">
        <f t="shared" si="585"/>
        <v>13727871.6</v>
      </c>
      <c r="BE113" s="235">
        <f t="shared" si="585"/>
        <v>22770279.039999999</v>
      </c>
      <c r="BF113" s="235">
        <f t="shared" si="585"/>
        <v>22650669.210000001</v>
      </c>
      <c r="BG113" s="235">
        <f t="shared" si="585"/>
        <v>25001086.57</v>
      </c>
      <c r="BH113" s="235">
        <f t="shared" si="585"/>
        <v>26369339.260000002</v>
      </c>
      <c r="BI113" s="235">
        <f t="shared" si="585"/>
        <v>27567655.670000002</v>
      </c>
      <c r="BJ113" s="235">
        <f t="shared" si="585"/>
        <v>28045944</v>
      </c>
      <c r="BK113" s="235">
        <f t="shared" si="585"/>
        <v>28090409.800000001</v>
      </c>
      <c r="BL113" s="235">
        <f t="shared" si="585"/>
        <v>20353698.719999999</v>
      </c>
      <c r="BM113" s="235">
        <f t="shared" si="585"/>
        <v>22520089.329999998</v>
      </c>
      <c r="BN113" s="235">
        <f t="shared" si="585"/>
        <v>22520089.329999998</v>
      </c>
      <c r="BO113" s="235">
        <f t="shared" si="577"/>
        <v>21053139.969999999</v>
      </c>
      <c r="BP113" s="235">
        <f t="shared" si="577"/>
        <v>18074872.52</v>
      </c>
      <c r="BQ113" s="235">
        <f t="shared" si="577"/>
        <v>19408100.84</v>
      </c>
      <c r="BR113" s="235">
        <f t="shared" si="577"/>
        <v>12272580.93</v>
      </c>
      <c r="BS113" s="235">
        <f t="shared" si="577"/>
        <v>12942187.220000001</v>
      </c>
      <c r="BT113" s="235">
        <f t="shared" ref="BT113" si="586">+BT49</f>
        <v>12672584.609999999</v>
      </c>
      <c r="BU113" s="235">
        <f>+-HLOOKUP(BU$2,'Control y Supuestos'!$B$17:$K$28,ROWS('Control y Supuestos'!M$17:M28),FALSE)*'EEFF proyectados'!BU6/30</f>
        <v>20928834.718651276</v>
      </c>
      <c r="BV113" s="235">
        <f>+-HLOOKUP(BV$2,'Control y Supuestos'!$B$17:$K$28,ROWS('Control y Supuestos'!N$17:N28),FALSE)*'EEFF proyectados'!BV6/30</f>
        <v>23805604.632391762</v>
      </c>
      <c r="BW113" s="235">
        <f>+-HLOOKUP(BW$2,'Control y Supuestos'!$B$17:$K$28,ROWS('Control y Supuestos'!O$17:O28),FALSE)*'EEFF proyectados'!BW6/30</f>
        <v>21284275.375026729</v>
      </c>
      <c r="BX113" s="235">
        <f>+-HLOOKUP(BX$2,'Control y Supuestos'!$B$17:$K$28,ROWS('Control y Supuestos'!P$17:P28),FALSE)*'EEFF proyectados'!BX6/30</f>
        <v>24913540.225018062</v>
      </c>
      <c r="BY113" s="235">
        <f>+-HLOOKUP(BY$2,'Control y Supuestos'!$B$17:$K$28,ROWS('Control y Supuestos'!Q$17:Q28),FALSE)*'EEFF proyectados'!BY6/30</f>
        <v>19400191.572144341</v>
      </c>
      <c r="BZ113" s="235">
        <f>+-HLOOKUP(BZ$2,'Control y Supuestos'!$B$17:$K$28,ROWS('Control y Supuestos'!R$17:R28),FALSE)*'EEFF proyectados'!BZ6/30</f>
        <v>20233399.649967648</v>
      </c>
      <c r="CA113" s="235">
        <f t="shared" si="565"/>
        <v>226989312.26319978</v>
      </c>
      <c r="CB113" s="235">
        <f>+-HLOOKUP(CB$2,'Control y Supuestos'!$B$17:$K$28,ROWS(CB$102:CB113),FALSE)*'EEFF proyectados'!CB6/30</f>
        <v>25301839.557736829</v>
      </c>
      <c r="CC113" s="235">
        <f>+-HLOOKUP(CC$2,'Control y Supuestos'!$B$17:$K$28,ROWS('Control y Supuestos'!U$17:U28),FALSE)*'EEFF proyectados'!CC6/30</f>
        <v>25301839.557736829</v>
      </c>
      <c r="CD113" s="235">
        <f>+-HLOOKUP(CD$2,'Control y Supuestos'!$B$17:$K$28,ROWS('Control y Supuestos'!V$17:V28),FALSE)*'EEFF proyectados'!CD6/30</f>
        <v>25301839.557736829</v>
      </c>
      <c r="CE113" s="235">
        <f>+-HLOOKUP(CE$2,'Control y Supuestos'!$B$17:$K$28,ROWS('Control y Supuestos'!W$17:W28),FALSE)*'EEFF proyectados'!CE6/30</f>
        <v>25301839.557736829</v>
      </c>
      <c r="CF113" s="235">
        <f>+-HLOOKUP(CF$2,'Control y Supuestos'!$B$17:$K$28,ROWS('Control y Supuestos'!X$17:X28),FALSE)*'EEFF proyectados'!CF6/30</f>
        <v>25301839.557736829</v>
      </c>
      <c r="CG113" s="235">
        <f>+-HLOOKUP(CG$2,'Control y Supuestos'!$B$17:$K$28,ROWS('Control y Supuestos'!Y$17:Y28),FALSE)*'EEFF proyectados'!CG6/30</f>
        <v>25301839.557736829</v>
      </c>
      <c r="CH113" s="235">
        <f>+-HLOOKUP(CH$2,'Control y Supuestos'!$B$17:$K$28,ROWS('Control y Supuestos'!Z$17:Z28),FALSE)*'EEFF proyectados'!CH6/30</f>
        <v>25301839.557736829</v>
      </c>
      <c r="CI113" s="235">
        <f>+-HLOOKUP(CI$2,'Control y Supuestos'!$B$17:$K$28,ROWS('Control y Supuestos'!AA$17:AA28),FALSE)*'EEFF proyectados'!CI6/30</f>
        <v>25301839.557736829</v>
      </c>
      <c r="CJ113" s="235">
        <f>+-HLOOKUP(CJ$2,'Control y Supuestos'!$B$17:$K$28,ROWS('Control y Supuestos'!AB$17:AB28),FALSE)*'EEFF proyectados'!CJ6/30</f>
        <v>25301839.557736829</v>
      </c>
      <c r="CK113" s="235">
        <f>+-HLOOKUP(CK$2,'Control y Supuestos'!$B$17:$K$28,ROWS('Control y Supuestos'!AC$17:AC28),FALSE)*'EEFF proyectados'!CK6/30</f>
        <v>25301839.557736829</v>
      </c>
      <c r="CL113" s="235">
        <f>+-HLOOKUP(CL$2,'Control y Supuestos'!$B$17:$K$28,ROWS('Control y Supuestos'!AD$17:AD28),FALSE)*'EEFF proyectados'!CL6/30</f>
        <v>25301839.557736829</v>
      </c>
      <c r="CM113" s="235">
        <f>+-HLOOKUP(CM$2,'Control y Supuestos'!$B$17:$K$28,ROWS('Control y Supuestos'!AE$17:AE28),FALSE)*'EEFF proyectados'!CM6/30</f>
        <v>25301839.557736829</v>
      </c>
      <c r="CN113" s="235">
        <f t="shared" si="566"/>
        <v>303622074.69284189</v>
      </c>
      <c r="CO113" s="235">
        <f>+-HLOOKUP(CO$2,'Control y Supuestos'!$B$17:$K$28,ROWS('Control y Supuestos'!AG$17:AG28),FALSE)*'EEFF proyectados'!CO6/30</f>
        <v>25301839.557736829</v>
      </c>
      <c r="CP113" s="235">
        <f>+-HLOOKUP(CP$2,'Control y Supuestos'!$B$17:$K$28,ROWS('Control y Supuestos'!AH$17:AH28),FALSE)*'EEFF proyectados'!CP6/30</f>
        <v>25301839.557736829</v>
      </c>
      <c r="CQ113" s="235">
        <f>+-HLOOKUP(CQ$2,'Control y Supuestos'!$B$17:$K$28,ROWS('Control y Supuestos'!AI$17:AI28),FALSE)*'EEFF proyectados'!CQ6/30</f>
        <v>25301839.557736829</v>
      </c>
      <c r="CR113" s="235">
        <f>+-HLOOKUP(CR$2,'Control y Supuestos'!$B$17:$K$28,ROWS('Control y Supuestos'!AJ$17:AJ28),FALSE)*'EEFF proyectados'!CR6/30</f>
        <v>25301839.557736829</v>
      </c>
      <c r="CS113" s="235">
        <f>+-HLOOKUP(CS$2,'Control y Supuestos'!$B$17:$K$28,ROWS('Control y Supuestos'!AK$17:AK28),FALSE)*'EEFF proyectados'!CS6/30</f>
        <v>25301839.557736829</v>
      </c>
      <c r="CT113" s="235">
        <f>+-HLOOKUP(CT$2,'Control y Supuestos'!$B$17:$K$28,ROWS('Control y Supuestos'!AL$17:AL28),FALSE)*'EEFF proyectados'!CT6/30</f>
        <v>25301839.557736829</v>
      </c>
      <c r="CU113" s="235">
        <f>+-HLOOKUP(CU$2,'Control y Supuestos'!$B$17:$K$28,ROWS('Control y Supuestos'!AM$17:AM28),FALSE)*'EEFF proyectados'!CU6/30</f>
        <v>25301839.557736829</v>
      </c>
      <c r="CV113" s="235">
        <f>+-HLOOKUP(CV$2,'Control y Supuestos'!$B$17:$K$28,ROWS('Control y Supuestos'!AN$17:AN28),FALSE)*'EEFF proyectados'!CV6/30</f>
        <v>25301839.557736829</v>
      </c>
      <c r="CW113" s="235">
        <f>+-HLOOKUP(CW$2,'Control y Supuestos'!$B$17:$K$28,ROWS('Control y Supuestos'!AO$17:AO28),FALSE)*'EEFF proyectados'!CW6/30</f>
        <v>25301839.557736829</v>
      </c>
      <c r="CX113" s="235">
        <f>+-HLOOKUP(CX$2,'Control y Supuestos'!$B$17:$K$28,ROWS('Control y Supuestos'!AP$17:AP28),FALSE)*'EEFF proyectados'!CX6/30</f>
        <v>25301839.557736829</v>
      </c>
      <c r="CY113" s="235">
        <f>+-HLOOKUP(CY$2,'Control y Supuestos'!$B$17:$K$28,ROWS('Control y Supuestos'!AQ$17:AQ28),FALSE)*'EEFF proyectados'!CY6/30</f>
        <v>25301839.557736829</v>
      </c>
      <c r="CZ113" s="235">
        <f>+-HLOOKUP(CZ$2,'Control y Supuestos'!$B$17:$K$28,ROWS('Control y Supuestos'!AR$17:AR28),FALSE)*'EEFF proyectados'!CZ6/30</f>
        <v>25301839.557736829</v>
      </c>
      <c r="DA113" s="235">
        <f t="shared" si="567"/>
        <v>303622074.69284189</v>
      </c>
      <c r="DB113" s="235">
        <f>+-HLOOKUP(DB$2,'Control y Supuestos'!$B$17:$K$28,ROWS(DB$102:DB113),FALSE)*'EEFF proyectados'!DB6/30</f>
        <v>25301839.557736829</v>
      </c>
      <c r="DC113" s="235">
        <f>+-HLOOKUP(DC$2,'Control y Supuestos'!$B$17:$K$28,ROWS('Control y Supuestos'!AU$17:AU28),FALSE)*'EEFF proyectados'!DC6/30</f>
        <v>25301839.557736829</v>
      </c>
      <c r="DD113" s="235">
        <f>+-HLOOKUP(DD$2,'Control y Supuestos'!$B$17:$K$28,ROWS('Control y Supuestos'!AV$17:AV28),FALSE)*'EEFF proyectados'!DD6/30</f>
        <v>25301839.557736829</v>
      </c>
      <c r="DE113" s="235">
        <f>+-HLOOKUP(DE$2,'Control y Supuestos'!$B$17:$K$28,ROWS('Control y Supuestos'!AW$17:AW28),FALSE)*'EEFF proyectados'!DE6/30</f>
        <v>25301839.557736829</v>
      </c>
      <c r="DF113" s="235">
        <f>+-HLOOKUP(DF$2,'Control y Supuestos'!$B$17:$K$28,ROWS('Control y Supuestos'!AX$17:AX28),FALSE)*'EEFF proyectados'!DF6/30</f>
        <v>25301839.557736829</v>
      </c>
      <c r="DG113" s="235">
        <f>+-HLOOKUP(DG$2,'Control y Supuestos'!$B$17:$K$28,ROWS('Control y Supuestos'!AY$17:AY28),FALSE)*'EEFF proyectados'!DG6/30</f>
        <v>25301839.557736829</v>
      </c>
      <c r="DH113" s="235">
        <f>+-HLOOKUP(DH$2,'Control y Supuestos'!$B$17:$K$28,ROWS('Control y Supuestos'!AZ$17:AZ28),FALSE)*'EEFF proyectados'!DH6/30</f>
        <v>25301839.557736829</v>
      </c>
      <c r="DI113" s="235">
        <f>+-HLOOKUP(DI$2,'Control y Supuestos'!$B$17:$K$28,ROWS('Control y Supuestos'!BA$17:BA28),FALSE)*'EEFF proyectados'!DI6/30</f>
        <v>25301839.557736829</v>
      </c>
      <c r="DJ113" s="235">
        <f>+-HLOOKUP(DJ$2,'Control y Supuestos'!$B$17:$K$28,ROWS('Control y Supuestos'!BB$17:BB28),FALSE)*'EEFF proyectados'!DJ6/30</f>
        <v>25301839.557736829</v>
      </c>
      <c r="DK113" s="235">
        <f>+-HLOOKUP(DK$2,'Control y Supuestos'!$B$17:$K$28,ROWS('Control y Supuestos'!BC$17:BC28),FALSE)*'EEFF proyectados'!DK6/30</f>
        <v>25301839.557736829</v>
      </c>
      <c r="DL113" s="235">
        <f>+-HLOOKUP(DL$2,'Control y Supuestos'!$B$17:$K$28,ROWS('Control y Supuestos'!BD$17:BD28),FALSE)*'EEFF proyectados'!DL6/30</f>
        <v>25301839.557736829</v>
      </c>
      <c r="DM113" s="235">
        <f>+-HLOOKUP(DM$2,'Control y Supuestos'!$B$17:$K$28,ROWS('Control y Supuestos'!BE$17:BE28),FALSE)*'EEFF proyectados'!DM6/30</f>
        <v>25301839.557736829</v>
      </c>
      <c r="DN113" s="235">
        <f t="shared" si="568"/>
        <v>303622074.69284189</v>
      </c>
      <c r="DO113" s="235">
        <f>+-HLOOKUP(DO$2,'Control y Supuestos'!$B$17:$K$28,ROWS(DO$102:DO113),FALSE)*'EEFF proyectados'!DO6/30</f>
        <v>25301839.557736829</v>
      </c>
      <c r="DP113" s="235">
        <f>+-HLOOKUP(DP$2,'Control y Supuestos'!$B$17:$K$28,ROWS('Control y Supuestos'!BH$17:BH28),FALSE)*'EEFF proyectados'!DP6/30</f>
        <v>25301839.557736829</v>
      </c>
      <c r="DQ113" s="235">
        <f>+-HLOOKUP(DQ$2,'Control y Supuestos'!$B$17:$K$28,ROWS('Control y Supuestos'!BI$17:BI28),FALSE)*'EEFF proyectados'!DQ6/30</f>
        <v>25301839.557736829</v>
      </c>
      <c r="DR113" s="235">
        <f>+-HLOOKUP(DR$2,'Control y Supuestos'!$B$17:$K$28,ROWS('Control y Supuestos'!BJ$17:BJ28),FALSE)*'EEFF proyectados'!DR6/30</f>
        <v>25301839.557736829</v>
      </c>
      <c r="DS113" s="235">
        <f>+-HLOOKUP(DS$2,'Control y Supuestos'!$B$17:$K$28,ROWS('Control y Supuestos'!BK$17:BK28),FALSE)*'EEFF proyectados'!DS6/30</f>
        <v>25301839.557736829</v>
      </c>
      <c r="DT113" s="235">
        <f>+-HLOOKUP(DT$2,'Control y Supuestos'!$B$17:$K$28,ROWS('Control y Supuestos'!BL$17:BL28),FALSE)*'EEFF proyectados'!DT6/30</f>
        <v>25301839.557736829</v>
      </c>
      <c r="DU113" s="235">
        <f>+-HLOOKUP(DU$2,'Control y Supuestos'!$B$17:$K$28,ROWS('Control y Supuestos'!BM$17:BM28),FALSE)*'EEFF proyectados'!DU6/30</f>
        <v>25301839.557736829</v>
      </c>
      <c r="DV113" s="235">
        <f>+-HLOOKUP(DV$2,'Control y Supuestos'!$B$17:$K$28,ROWS('Control y Supuestos'!BN$17:BN28),FALSE)*'EEFF proyectados'!DV6/30</f>
        <v>25301839.557736829</v>
      </c>
      <c r="DW113" s="235">
        <f>+-HLOOKUP(DW$2,'Control y Supuestos'!$B$17:$K$28,ROWS('Control y Supuestos'!BO$17:BO28),FALSE)*'EEFF proyectados'!DW6/30</f>
        <v>25301839.557736829</v>
      </c>
      <c r="DX113" s="235">
        <f>+-HLOOKUP(DX$2,'Control y Supuestos'!$B$17:$K$28,ROWS('Control y Supuestos'!BP$17:BP28),FALSE)*'EEFF proyectados'!DX6/30</f>
        <v>25301839.557736829</v>
      </c>
      <c r="DY113" s="235">
        <f>+-HLOOKUP(DY$2,'Control y Supuestos'!$B$17:$K$28,ROWS('Control y Supuestos'!BQ$17:BQ28),FALSE)*'EEFF proyectados'!DY6/30</f>
        <v>25301839.557736829</v>
      </c>
      <c r="DZ113" s="235">
        <f>+-HLOOKUP(DZ$2,'Control y Supuestos'!$B$17:$K$28,ROWS('Control y Supuestos'!BR$17:BR28),FALSE)*'EEFF proyectados'!DZ6/30</f>
        <v>25301839.557736829</v>
      </c>
      <c r="EA113" s="235">
        <f t="shared" si="569"/>
        <v>303622074.69284189</v>
      </c>
      <c r="EB113" s="235">
        <f>+-HLOOKUP(EB$2,'Control y Supuestos'!$B$17:$Z$28,ROWS(EB$102:EB113),FALSE)*'EEFF proyectados'!EB6/30</f>
        <v>25301839.557736829</v>
      </c>
      <c r="EC113" s="235">
        <f>+-HLOOKUP(EC$2,'Control y Supuestos'!$B$17:$Z$28,ROWS('Control y Supuestos'!BU$17:BU28),FALSE)*'EEFF proyectados'!EC6/30</f>
        <v>25301839.557736829</v>
      </c>
      <c r="ED113" s="235">
        <f>+-HLOOKUP(ED$2,'Control y Supuestos'!$B$17:$Z$28,ROWS('Control y Supuestos'!BV$17:BV28),FALSE)*'EEFF proyectados'!ED6/30</f>
        <v>25301839.557736829</v>
      </c>
      <c r="EE113" s="235">
        <f>+-HLOOKUP(EE$2,'Control y Supuestos'!$B$17:$Z$28,ROWS('Control y Supuestos'!BW$17:BW28),FALSE)*'EEFF proyectados'!EE6/30</f>
        <v>25301839.557736829</v>
      </c>
      <c r="EF113" s="235">
        <f>+-HLOOKUP(EF$2,'Control y Supuestos'!$B$17:$Z$28,ROWS('Control y Supuestos'!BX$17:BX28),FALSE)*'EEFF proyectados'!EF6/30</f>
        <v>25301839.557736829</v>
      </c>
      <c r="EG113" s="235">
        <f>+-HLOOKUP(EG$2,'Control y Supuestos'!$B$17:$Z$28,ROWS('Control y Supuestos'!BY$17:BY28),FALSE)*'EEFF proyectados'!EG6/30</f>
        <v>25301839.557736829</v>
      </c>
      <c r="EH113" s="235">
        <f>+-HLOOKUP(EH$2,'Control y Supuestos'!$B$17:$Z$28,ROWS('Control y Supuestos'!BZ$17:BZ28),FALSE)*'EEFF proyectados'!EH6/30</f>
        <v>25301839.557736829</v>
      </c>
      <c r="EI113" s="235">
        <f>+-HLOOKUP(EI$2,'Control y Supuestos'!$B$17:$Z$28,ROWS('Control y Supuestos'!CA$17:CA28),FALSE)*'EEFF proyectados'!EI6/30</f>
        <v>25301839.557736829</v>
      </c>
      <c r="EJ113" s="235">
        <f>+-HLOOKUP(EJ$2,'Control y Supuestos'!$B$17:$Z$28,ROWS('Control y Supuestos'!CB$17:CB28),FALSE)*'EEFF proyectados'!EJ6/30</f>
        <v>25301839.557736829</v>
      </c>
      <c r="EK113" s="235">
        <f>+-HLOOKUP(EK$2,'Control y Supuestos'!$B$17:$Z$28,ROWS('Control y Supuestos'!CC$17:CC28),FALSE)*'EEFF proyectados'!EK6/30</f>
        <v>25301839.557736829</v>
      </c>
      <c r="EL113" s="235">
        <f>+-HLOOKUP(EL$2,'Control y Supuestos'!$B$17:$Z$28,ROWS('Control y Supuestos'!CD$17:CD28),FALSE)*'EEFF proyectados'!EL6/30</f>
        <v>25301839.557736829</v>
      </c>
      <c r="EM113" s="235">
        <f>+-HLOOKUP(EM$2,'Control y Supuestos'!$B$17:$Z$28,ROWS('Control y Supuestos'!CE$17:CE28),FALSE)*'EEFF proyectados'!EM6/30</f>
        <v>25301839.557736829</v>
      </c>
      <c r="EN113" s="235">
        <f t="shared" si="570"/>
        <v>303622074.69284189</v>
      </c>
    </row>
    <row r="114" spans="1:183" s="248" customFormat="1" x14ac:dyDescent="0.25">
      <c r="A114" s="253" t="s">
        <v>92</v>
      </c>
      <c r="N114" s="248">
        <f>+SUM(B114:M114)</f>
        <v>0</v>
      </c>
      <c r="AA114" s="248">
        <f>+SUM(O114:Z114)</f>
        <v>0</v>
      </c>
      <c r="AB114" s="248">
        <f t="shared" ref="AB114:AM114" si="587">+SUM(AB106:AB108)-SUM(AB109:AB113)</f>
        <v>219244042.02000028</v>
      </c>
      <c r="AC114" s="248">
        <f t="shared" si="587"/>
        <v>198314937.61000049</v>
      </c>
      <c r="AD114" s="248">
        <f t="shared" si="587"/>
        <v>194315948.17000043</v>
      </c>
      <c r="AE114" s="248">
        <f t="shared" si="587"/>
        <v>196635520.11000043</v>
      </c>
      <c r="AF114" s="248">
        <f t="shared" si="587"/>
        <v>203464265.27000034</v>
      </c>
      <c r="AG114" s="248">
        <f t="shared" si="587"/>
        <v>209268216.29000041</v>
      </c>
      <c r="AH114" s="248">
        <f t="shared" si="587"/>
        <v>215444564.74000043</v>
      </c>
      <c r="AI114" s="248">
        <f t="shared" si="587"/>
        <v>209482405.85000041</v>
      </c>
      <c r="AJ114" s="248">
        <f t="shared" si="587"/>
        <v>223840861.30000043</v>
      </c>
      <c r="AK114" s="248">
        <f t="shared" si="587"/>
        <v>218846265.2100004</v>
      </c>
      <c r="AL114" s="248">
        <f t="shared" si="587"/>
        <v>209555168.45000052</v>
      </c>
      <c r="AM114" s="248">
        <f t="shared" si="587"/>
        <v>208193799.36000061</v>
      </c>
      <c r="AN114" s="248">
        <f>+SUM(AB114:AM114)</f>
        <v>2506605994.3800049</v>
      </c>
      <c r="AO114" s="248">
        <f t="shared" ref="AO114:AZ114" si="588">+SUM(AO106:AO108)-SUM(AO109:AO113)</f>
        <v>217803031.20999995</v>
      </c>
      <c r="AP114" s="248">
        <f t="shared" si="588"/>
        <v>210375830.86000022</v>
      </c>
      <c r="AQ114" s="248">
        <f t="shared" si="588"/>
        <v>210149290.43000042</v>
      </c>
      <c r="AR114" s="248">
        <f t="shared" si="588"/>
        <v>208899788.09000057</v>
      </c>
      <c r="AS114" s="248">
        <f t="shared" si="588"/>
        <v>219999472.07000071</v>
      </c>
      <c r="AT114" s="248">
        <f t="shared" si="588"/>
        <v>221504946.47000068</v>
      </c>
      <c r="AU114" s="248">
        <f t="shared" si="588"/>
        <v>219293543.17000079</v>
      </c>
      <c r="AV114" s="248">
        <f t="shared" si="588"/>
        <v>220916132.88000068</v>
      </c>
      <c r="AW114" s="248">
        <f t="shared" si="588"/>
        <v>229893746.0600006</v>
      </c>
      <c r="AX114" s="248">
        <f t="shared" si="588"/>
        <v>250028559.99000046</v>
      </c>
      <c r="AY114" s="248">
        <f t="shared" si="588"/>
        <v>244032048.57000059</v>
      </c>
      <c r="AZ114" s="248">
        <f t="shared" si="588"/>
        <v>254740132.55000061</v>
      </c>
      <c r="BA114" s="248">
        <f t="shared" ref="BA114:BL114" si="589">+SUM(BA106:BA108)-SUM(BA109:BA113)</f>
        <v>254740132.55000061</v>
      </c>
      <c r="BB114" s="248">
        <f t="shared" si="589"/>
        <v>263499841.42999995</v>
      </c>
      <c r="BC114" s="248">
        <f t="shared" si="589"/>
        <v>250284746.77999997</v>
      </c>
      <c r="BD114" s="248">
        <f t="shared" si="589"/>
        <v>249505157.38999999</v>
      </c>
      <c r="BE114" s="248">
        <f t="shared" si="589"/>
        <v>232396012.20999995</v>
      </c>
      <c r="BF114" s="248">
        <f t="shared" si="589"/>
        <v>224888070.24000004</v>
      </c>
      <c r="BG114" s="248">
        <f t="shared" si="589"/>
        <v>227457624.47</v>
      </c>
      <c r="BH114" s="248">
        <f t="shared" si="589"/>
        <v>158261686.28999999</v>
      </c>
      <c r="BI114" s="248">
        <f t="shared" si="589"/>
        <v>165324001.03999999</v>
      </c>
      <c r="BJ114" s="248">
        <f t="shared" si="589"/>
        <v>172359830.13</v>
      </c>
      <c r="BK114" s="248">
        <f t="shared" si="589"/>
        <v>185620534.09000003</v>
      </c>
      <c r="BL114" s="248">
        <f t="shared" si="589"/>
        <v>175725801.08999994</v>
      </c>
      <c r="BM114" s="248">
        <f>+SUM(BM106:BM108)-SUM(BM109:BM113)</f>
        <v>150471745.18000001</v>
      </c>
      <c r="BN114" s="248">
        <f>+SUM(BB114:BM114)</f>
        <v>2455795050.3400002</v>
      </c>
      <c r="BO114" s="248">
        <f t="shared" ref="BO114:CC114" si="590">+SUM(BO106:BO108)-SUM(BO109:BO113)</f>
        <v>147681810.19999999</v>
      </c>
      <c r="BP114" s="248">
        <f t="shared" si="590"/>
        <v>163392890.31000006</v>
      </c>
      <c r="BQ114" s="248">
        <f t="shared" si="590"/>
        <v>158255575.26999998</v>
      </c>
      <c r="BR114" s="248">
        <f>+SUM(BR106:BR108)-SUM(BR109:BR113)</f>
        <v>182431921.41999999</v>
      </c>
      <c r="BS114" s="248">
        <f>+SUM(BS106:BS108)-SUM(BS109:BS113)</f>
        <v>181118172.38</v>
      </c>
      <c r="BT114" s="248">
        <f>+SUM(BT106:BT108)-SUM(BT109:BT113)</f>
        <v>193130387.82999998</v>
      </c>
      <c r="BU114" s="248">
        <f t="shared" si="590"/>
        <v>161723027.98700264</v>
      </c>
      <c r="BV114" s="248">
        <f t="shared" si="590"/>
        <v>183641564.78707486</v>
      </c>
      <c r="BW114" s="248">
        <f t="shared" si="590"/>
        <v>167196736.28698331</v>
      </c>
      <c r="BX114" s="248">
        <f t="shared" si="590"/>
        <v>189683422.17953873</v>
      </c>
      <c r="BY114" s="248">
        <f t="shared" si="590"/>
        <v>150899348.48624656</v>
      </c>
      <c r="BZ114" s="248">
        <f t="shared" si="590"/>
        <v>154817454.97397733</v>
      </c>
      <c r="CA114" s="248">
        <f t="shared" si="565"/>
        <v>2033972312.1108234</v>
      </c>
      <c r="CB114" s="248">
        <f t="shared" si="590"/>
        <v>205048313.75556841</v>
      </c>
      <c r="CC114" s="248">
        <f t="shared" si="590"/>
        <v>205048313.75556841</v>
      </c>
      <c r="CD114" s="248">
        <f t="shared" ref="CD114:CM114" si="591">+SUM(CD106:CD108)-SUM(CD109:CD113)</f>
        <v>205048313.75556841</v>
      </c>
      <c r="CE114" s="248">
        <f t="shared" si="591"/>
        <v>205048313.75556841</v>
      </c>
      <c r="CF114" s="248">
        <f t="shared" si="591"/>
        <v>205048313.75556841</v>
      </c>
      <c r="CG114" s="248">
        <f t="shared" si="591"/>
        <v>205048313.75556841</v>
      </c>
      <c r="CH114" s="248">
        <f t="shared" si="591"/>
        <v>205048313.75556841</v>
      </c>
      <c r="CI114" s="248">
        <f t="shared" si="591"/>
        <v>205048313.75556841</v>
      </c>
      <c r="CJ114" s="248">
        <f t="shared" si="591"/>
        <v>205048313.75556841</v>
      </c>
      <c r="CK114" s="248">
        <f t="shared" si="591"/>
        <v>205048313.75556841</v>
      </c>
      <c r="CL114" s="248">
        <f t="shared" si="591"/>
        <v>205048313.75556841</v>
      </c>
      <c r="CM114" s="248">
        <f t="shared" si="591"/>
        <v>205048313.75556841</v>
      </c>
      <c r="CN114" s="248">
        <f t="shared" si="566"/>
        <v>2460579765.0668216</v>
      </c>
      <c r="CO114" s="248">
        <f t="shared" ref="CO114" si="592">+SUM(CO106:CO108)-SUM(CO109:CO113)</f>
        <v>205048313.75556841</v>
      </c>
      <c r="CP114" s="248">
        <f t="shared" ref="CP114:CZ114" si="593">+SUM(CP106:CP108)-SUM(CP109:CP113)</f>
        <v>205048313.75556841</v>
      </c>
      <c r="CQ114" s="248">
        <f t="shared" si="593"/>
        <v>205048313.75556841</v>
      </c>
      <c r="CR114" s="248">
        <f t="shared" si="593"/>
        <v>205048313.75556841</v>
      </c>
      <c r="CS114" s="248">
        <f t="shared" si="593"/>
        <v>205048313.75556841</v>
      </c>
      <c r="CT114" s="248">
        <f t="shared" si="593"/>
        <v>205048313.75556841</v>
      </c>
      <c r="CU114" s="248">
        <f t="shared" si="593"/>
        <v>205048313.75556841</v>
      </c>
      <c r="CV114" s="248">
        <f t="shared" si="593"/>
        <v>205048313.75556841</v>
      </c>
      <c r="CW114" s="248">
        <f t="shared" si="593"/>
        <v>205048313.75556841</v>
      </c>
      <c r="CX114" s="248">
        <f t="shared" si="593"/>
        <v>205048313.75556841</v>
      </c>
      <c r="CY114" s="248">
        <f t="shared" si="593"/>
        <v>205048313.75556841</v>
      </c>
      <c r="CZ114" s="248">
        <f t="shared" si="593"/>
        <v>205048313.75556841</v>
      </c>
      <c r="DA114" s="248">
        <f t="shared" si="567"/>
        <v>2460579765.0668216</v>
      </c>
      <c r="DB114" s="248">
        <f t="shared" ref="DB114:DM114" si="594">+SUM(DB106:DB108)-SUM(DB109:DB113)</f>
        <v>205048313.75556841</v>
      </c>
      <c r="DC114" s="248">
        <f t="shared" si="594"/>
        <v>205048313.75556841</v>
      </c>
      <c r="DD114" s="248">
        <f t="shared" si="594"/>
        <v>205048313.75556841</v>
      </c>
      <c r="DE114" s="248">
        <f t="shared" si="594"/>
        <v>205048313.75556841</v>
      </c>
      <c r="DF114" s="248">
        <f t="shared" si="594"/>
        <v>205048313.75556841</v>
      </c>
      <c r="DG114" s="248">
        <f t="shared" si="594"/>
        <v>205048313.75556841</v>
      </c>
      <c r="DH114" s="248">
        <f t="shared" si="594"/>
        <v>205048313.75556841</v>
      </c>
      <c r="DI114" s="248">
        <f t="shared" si="594"/>
        <v>205048313.75556841</v>
      </c>
      <c r="DJ114" s="248">
        <f t="shared" si="594"/>
        <v>205048313.75556841</v>
      </c>
      <c r="DK114" s="248">
        <f t="shared" si="594"/>
        <v>205048313.75556841</v>
      </c>
      <c r="DL114" s="248">
        <f t="shared" si="594"/>
        <v>205048313.75556841</v>
      </c>
      <c r="DM114" s="248">
        <f t="shared" si="594"/>
        <v>205048313.75556841</v>
      </c>
      <c r="DN114" s="248">
        <f t="shared" si="568"/>
        <v>2460579765.0668216</v>
      </c>
      <c r="DO114" s="248">
        <f t="shared" ref="DO114:DZ114" si="595">+SUM(DO106:DO108)-SUM(DO109:DO113)</f>
        <v>205048313.75556841</v>
      </c>
      <c r="DP114" s="248">
        <f t="shared" si="595"/>
        <v>205048313.75556841</v>
      </c>
      <c r="DQ114" s="248">
        <f t="shared" si="595"/>
        <v>205048313.75556841</v>
      </c>
      <c r="DR114" s="248">
        <f t="shared" si="595"/>
        <v>205048313.75556841</v>
      </c>
      <c r="DS114" s="248">
        <f t="shared" si="595"/>
        <v>205048313.75556841</v>
      </c>
      <c r="DT114" s="248">
        <f t="shared" si="595"/>
        <v>205048313.75556841</v>
      </c>
      <c r="DU114" s="248">
        <f t="shared" si="595"/>
        <v>205048313.75556841</v>
      </c>
      <c r="DV114" s="248">
        <f t="shared" si="595"/>
        <v>205048313.75556841</v>
      </c>
      <c r="DW114" s="248">
        <f t="shared" si="595"/>
        <v>205048313.75556841</v>
      </c>
      <c r="DX114" s="248">
        <f t="shared" si="595"/>
        <v>205048313.75556841</v>
      </c>
      <c r="DY114" s="248">
        <f t="shared" si="595"/>
        <v>205048313.75556841</v>
      </c>
      <c r="DZ114" s="248">
        <f t="shared" si="595"/>
        <v>205048313.75556841</v>
      </c>
      <c r="EA114" s="248">
        <f t="shared" si="569"/>
        <v>2460579765.0668216</v>
      </c>
      <c r="EB114" s="248">
        <f t="shared" ref="EB114:EM114" si="596">+SUM(EB106:EB108)-SUM(EB109:EB113)</f>
        <v>205048313.75556841</v>
      </c>
      <c r="EC114" s="248">
        <f t="shared" si="596"/>
        <v>205048313.75556841</v>
      </c>
      <c r="ED114" s="248">
        <f t="shared" si="596"/>
        <v>205048313.75556841</v>
      </c>
      <c r="EE114" s="248">
        <f t="shared" si="596"/>
        <v>205048313.75556841</v>
      </c>
      <c r="EF114" s="248">
        <f t="shared" si="596"/>
        <v>205048313.75556841</v>
      </c>
      <c r="EG114" s="248">
        <f t="shared" si="596"/>
        <v>205048313.75556841</v>
      </c>
      <c r="EH114" s="248">
        <f t="shared" si="596"/>
        <v>205048313.75556841</v>
      </c>
      <c r="EI114" s="248">
        <f t="shared" si="596"/>
        <v>205048313.75556841</v>
      </c>
      <c r="EJ114" s="248">
        <f t="shared" si="596"/>
        <v>205048313.75556841</v>
      </c>
      <c r="EK114" s="248">
        <f t="shared" si="596"/>
        <v>205048313.75556841</v>
      </c>
      <c r="EL114" s="248">
        <f t="shared" si="596"/>
        <v>205048313.75556841</v>
      </c>
      <c r="EM114" s="248">
        <f t="shared" si="596"/>
        <v>205048313.75556841</v>
      </c>
      <c r="EN114" s="248">
        <f t="shared" si="570"/>
        <v>2460579765.0668216</v>
      </c>
    </row>
    <row r="115" spans="1:183" s="249" customFormat="1" ht="14.4" thickBot="1" x14ac:dyDescent="0.3">
      <c r="A115" s="244" t="s">
        <v>406</v>
      </c>
      <c r="N115" s="249">
        <f>+SUM(B115:M115)</f>
        <v>0</v>
      </c>
      <c r="AA115" s="249">
        <f>+SUM(O115:Z115)</f>
        <v>0</v>
      </c>
      <c r="AB115" s="249">
        <f>+Z114-AB114</f>
        <v>-219244042.02000028</v>
      </c>
      <c r="AC115" s="249">
        <f t="shared" ref="AC115:AM115" si="597">+AB114-AC114</f>
        <v>20929104.409999788</v>
      </c>
      <c r="AD115" s="249">
        <f t="shared" si="597"/>
        <v>3998989.4400000572</v>
      </c>
      <c r="AE115" s="249">
        <f t="shared" si="597"/>
        <v>-2319571.9399999976</v>
      </c>
      <c r="AF115" s="249">
        <f t="shared" si="597"/>
        <v>-6828745.159999907</v>
      </c>
      <c r="AG115" s="249">
        <f t="shared" si="597"/>
        <v>-5803951.0200000703</v>
      </c>
      <c r="AH115" s="249">
        <f t="shared" si="597"/>
        <v>-6176348.4500000179</v>
      </c>
      <c r="AI115" s="249">
        <f t="shared" si="597"/>
        <v>5962158.8900000155</v>
      </c>
      <c r="AJ115" s="249">
        <f t="shared" si="597"/>
        <v>-14358455.450000018</v>
      </c>
      <c r="AK115" s="249">
        <f t="shared" si="597"/>
        <v>4994596.0900000334</v>
      </c>
      <c r="AL115" s="249">
        <f t="shared" si="597"/>
        <v>9291096.7599998713</v>
      </c>
      <c r="AM115" s="249">
        <f t="shared" si="597"/>
        <v>1361369.0899999142</v>
      </c>
      <c r="AN115" s="249">
        <f>+SUM(AB115:AM115)</f>
        <v>-208193799.36000061</v>
      </c>
      <c r="AO115" s="249">
        <f>+AM114-AO114</f>
        <v>-9609231.8499993384</v>
      </c>
      <c r="AP115" s="249">
        <f t="shared" ref="AP115:AZ115" si="598">+AO114-AP114</f>
        <v>7427200.3499997258</v>
      </c>
      <c r="AQ115" s="249">
        <f t="shared" si="598"/>
        <v>226540.42999979854</v>
      </c>
      <c r="AR115" s="249">
        <f t="shared" si="598"/>
        <v>1249502.3399998546</v>
      </c>
      <c r="AS115" s="249">
        <f t="shared" si="598"/>
        <v>-11099683.980000138</v>
      </c>
      <c r="AT115" s="249">
        <f t="shared" si="598"/>
        <v>-1505474.3999999762</v>
      </c>
      <c r="AU115" s="249">
        <f t="shared" si="598"/>
        <v>2211403.2999998927</v>
      </c>
      <c r="AV115" s="249">
        <f t="shared" si="598"/>
        <v>-1622589.7099998891</v>
      </c>
      <c r="AW115" s="249">
        <f t="shared" si="598"/>
        <v>-8977613.1799999177</v>
      </c>
      <c r="AX115" s="249">
        <f t="shared" si="598"/>
        <v>-20134813.929999858</v>
      </c>
      <c r="AY115" s="249">
        <f t="shared" si="598"/>
        <v>5996511.4199998677</v>
      </c>
      <c r="AZ115" s="249">
        <f t="shared" si="598"/>
        <v>-10708083.980000019</v>
      </c>
      <c r="BA115" s="249">
        <f>+SUM(AO115:AZ115)</f>
        <v>-46546333.189999998</v>
      </c>
      <c r="BB115" s="249">
        <f>+AZ114-BB114</f>
        <v>-8759708.8799993396</v>
      </c>
      <c r="BC115" s="249">
        <f>+BB114-BC114</f>
        <v>13215094.649999976</v>
      </c>
      <c r="BD115" s="249">
        <f t="shared" ref="BD115:BT115" si="599">+BC114-BD114</f>
        <v>779589.38999998569</v>
      </c>
      <c r="BE115" s="249">
        <f t="shared" si="599"/>
        <v>17109145.180000037</v>
      </c>
      <c r="BF115" s="249">
        <f t="shared" si="599"/>
        <v>7507941.9699999094</v>
      </c>
      <c r="BG115" s="249">
        <f t="shared" si="599"/>
        <v>-2569554.2299999595</v>
      </c>
      <c r="BH115" s="249">
        <f t="shared" si="599"/>
        <v>69195938.180000007</v>
      </c>
      <c r="BI115" s="249">
        <f t="shared" si="599"/>
        <v>-7062314.75</v>
      </c>
      <c r="BJ115" s="249">
        <f t="shared" si="599"/>
        <v>-7035829.0900000036</v>
      </c>
      <c r="BK115" s="249">
        <f t="shared" si="599"/>
        <v>-13260703.960000038</v>
      </c>
      <c r="BL115" s="249">
        <f t="shared" si="599"/>
        <v>9894733.0000000894</v>
      </c>
      <c r="BM115" s="249">
        <f t="shared" si="599"/>
        <v>25254055.909999937</v>
      </c>
      <c r="BN115" s="249">
        <f>+SUM(BB115:BM115)</f>
        <v>104268387.3700006</v>
      </c>
      <c r="BO115" s="249">
        <f>+BM114-BO114</f>
        <v>2789934.9800000191</v>
      </c>
      <c r="BP115" s="249">
        <f t="shared" si="599"/>
        <v>-15711080.110000074</v>
      </c>
      <c r="BQ115" s="249">
        <f t="shared" si="599"/>
        <v>5137315.0400000811</v>
      </c>
      <c r="BR115" s="249">
        <f t="shared" si="599"/>
        <v>-24176346.150000006</v>
      </c>
      <c r="BS115" s="249">
        <f t="shared" si="599"/>
        <v>1313749.0399999917</v>
      </c>
      <c r="BT115" s="249">
        <f t="shared" si="599"/>
        <v>-12012215.449999988</v>
      </c>
      <c r="BU115" s="249">
        <f t="shared" ref="BU115:CC115" si="600">+BT114-BU114</f>
        <v>31407359.842997342</v>
      </c>
      <c r="BV115" s="249">
        <f t="shared" si="600"/>
        <v>-21918536.800072223</v>
      </c>
      <c r="BW115" s="249">
        <f t="shared" si="600"/>
        <v>16444828.500091553</v>
      </c>
      <c r="BX115" s="249">
        <f t="shared" si="600"/>
        <v>-22486685.892555416</v>
      </c>
      <c r="BY115" s="249">
        <f t="shared" si="600"/>
        <v>38784073.693292171</v>
      </c>
      <c r="BZ115" s="249">
        <f t="shared" si="600"/>
        <v>-3918106.4877307713</v>
      </c>
      <c r="CA115" s="249">
        <f t="shared" si="565"/>
        <v>-4345709.7939773202</v>
      </c>
      <c r="CB115" s="249">
        <f>+BZ114-CB114</f>
        <v>-50230858.781591088</v>
      </c>
      <c r="CC115" s="249">
        <f t="shared" si="600"/>
        <v>0</v>
      </c>
      <c r="CD115" s="249">
        <f t="shared" ref="CD115:CM115" si="601">+CC114-CD114</f>
        <v>0</v>
      </c>
      <c r="CE115" s="249">
        <f t="shared" si="601"/>
        <v>0</v>
      </c>
      <c r="CF115" s="249">
        <f t="shared" si="601"/>
        <v>0</v>
      </c>
      <c r="CG115" s="249">
        <f t="shared" si="601"/>
        <v>0</v>
      </c>
      <c r="CH115" s="249">
        <f t="shared" si="601"/>
        <v>0</v>
      </c>
      <c r="CI115" s="249">
        <f t="shared" si="601"/>
        <v>0</v>
      </c>
      <c r="CJ115" s="249">
        <f t="shared" si="601"/>
        <v>0</v>
      </c>
      <c r="CK115" s="249">
        <f t="shared" si="601"/>
        <v>0</v>
      </c>
      <c r="CL115" s="249">
        <f t="shared" si="601"/>
        <v>0</v>
      </c>
      <c r="CM115" s="249">
        <f t="shared" si="601"/>
        <v>0</v>
      </c>
      <c r="CN115" s="249">
        <f t="shared" si="566"/>
        <v>-50230858.781591088</v>
      </c>
      <c r="CO115" s="249">
        <f>+CM114-CO114</f>
        <v>0</v>
      </c>
      <c r="CP115" s="249">
        <f t="shared" ref="CP115:CZ115" si="602">+CO114-CP114</f>
        <v>0</v>
      </c>
      <c r="CQ115" s="249">
        <f t="shared" si="602"/>
        <v>0</v>
      </c>
      <c r="CR115" s="249">
        <f t="shared" si="602"/>
        <v>0</v>
      </c>
      <c r="CS115" s="249">
        <f t="shared" si="602"/>
        <v>0</v>
      </c>
      <c r="CT115" s="249">
        <f t="shared" si="602"/>
        <v>0</v>
      </c>
      <c r="CU115" s="249">
        <f t="shared" si="602"/>
        <v>0</v>
      </c>
      <c r="CV115" s="249">
        <f t="shared" si="602"/>
        <v>0</v>
      </c>
      <c r="CW115" s="249">
        <f t="shared" si="602"/>
        <v>0</v>
      </c>
      <c r="CX115" s="249">
        <f t="shared" si="602"/>
        <v>0</v>
      </c>
      <c r="CY115" s="249">
        <f t="shared" si="602"/>
        <v>0</v>
      </c>
      <c r="CZ115" s="249">
        <f t="shared" si="602"/>
        <v>0</v>
      </c>
      <c r="DA115" s="249">
        <f t="shared" si="567"/>
        <v>0</v>
      </c>
      <c r="DB115" s="249">
        <f>+CZ114-DB114</f>
        <v>0</v>
      </c>
      <c r="DC115" s="249">
        <f t="shared" ref="DC115:DM115" si="603">+DB114-DC114</f>
        <v>0</v>
      </c>
      <c r="DD115" s="249">
        <f t="shared" si="603"/>
        <v>0</v>
      </c>
      <c r="DE115" s="249">
        <f t="shared" si="603"/>
        <v>0</v>
      </c>
      <c r="DF115" s="249">
        <f t="shared" si="603"/>
        <v>0</v>
      </c>
      <c r="DG115" s="249">
        <f t="shared" si="603"/>
        <v>0</v>
      </c>
      <c r="DH115" s="249">
        <f t="shared" si="603"/>
        <v>0</v>
      </c>
      <c r="DI115" s="249">
        <f t="shared" si="603"/>
        <v>0</v>
      </c>
      <c r="DJ115" s="249">
        <f t="shared" si="603"/>
        <v>0</v>
      </c>
      <c r="DK115" s="249">
        <f t="shared" si="603"/>
        <v>0</v>
      </c>
      <c r="DL115" s="249">
        <f t="shared" si="603"/>
        <v>0</v>
      </c>
      <c r="DM115" s="249">
        <f t="shared" si="603"/>
        <v>0</v>
      </c>
      <c r="DN115" s="249">
        <f t="shared" si="568"/>
        <v>0</v>
      </c>
      <c r="DO115" s="249">
        <f>+DM114-DO114</f>
        <v>0</v>
      </c>
      <c r="DP115" s="249">
        <f t="shared" ref="DP115:DZ115" si="604">+DO114-DP114</f>
        <v>0</v>
      </c>
      <c r="DQ115" s="249">
        <f t="shared" si="604"/>
        <v>0</v>
      </c>
      <c r="DR115" s="249">
        <f t="shared" si="604"/>
        <v>0</v>
      </c>
      <c r="DS115" s="249">
        <f t="shared" si="604"/>
        <v>0</v>
      </c>
      <c r="DT115" s="249">
        <f t="shared" si="604"/>
        <v>0</v>
      </c>
      <c r="DU115" s="249">
        <f t="shared" si="604"/>
        <v>0</v>
      </c>
      <c r="DV115" s="249">
        <f t="shared" si="604"/>
        <v>0</v>
      </c>
      <c r="DW115" s="249">
        <f t="shared" si="604"/>
        <v>0</v>
      </c>
      <c r="DX115" s="249">
        <f t="shared" si="604"/>
        <v>0</v>
      </c>
      <c r="DY115" s="249">
        <f t="shared" si="604"/>
        <v>0</v>
      </c>
      <c r="DZ115" s="249">
        <f t="shared" si="604"/>
        <v>0</v>
      </c>
      <c r="EA115" s="249">
        <f t="shared" si="569"/>
        <v>0</v>
      </c>
      <c r="EB115" s="249">
        <f>+DZ114-EB114</f>
        <v>0</v>
      </c>
      <c r="EC115" s="249">
        <f t="shared" ref="EC115:EM115" si="605">+EB114-EC114</f>
        <v>0</v>
      </c>
      <c r="ED115" s="249">
        <f t="shared" si="605"/>
        <v>0</v>
      </c>
      <c r="EE115" s="249">
        <f t="shared" si="605"/>
        <v>0</v>
      </c>
      <c r="EF115" s="249">
        <f t="shared" si="605"/>
        <v>0</v>
      </c>
      <c r="EG115" s="249">
        <f t="shared" si="605"/>
        <v>0</v>
      </c>
      <c r="EH115" s="249">
        <f t="shared" si="605"/>
        <v>0</v>
      </c>
      <c r="EI115" s="249">
        <f t="shared" si="605"/>
        <v>0</v>
      </c>
      <c r="EJ115" s="249">
        <f t="shared" si="605"/>
        <v>0</v>
      </c>
      <c r="EK115" s="249">
        <f t="shared" si="605"/>
        <v>0</v>
      </c>
      <c r="EL115" s="249">
        <f t="shared" si="605"/>
        <v>0</v>
      </c>
      <c r="EM115" s="249">
        <f t="shared" si="605"/>
        <v>0</v>
      </c>
      <c r="EN115" s="249">
        <f t="shared" si="570"/>
        <v>0</v>
      </c>
    </row>
    <row r="116" spans="1:183" ht="14.4" thickTop="1" x14ac:dyDescent="0.25"/>
    <row r="122" spans="1:183" s="230" customFormat="1" x14ac:dyDescent="0.25">
      <c r="B122" s="285">
        <f t="shared" ref="B122:M122" si="606">+B20</f>
        <v>0</v>
      </c>
      <c r="C122" s="285">
        <f t="shared" si="606"/>
        <v>0</v>
      </c>
      <c r="D122" s="285">
        <f t="shared" si="606"/>
        <v>0</v>
      </c>
      <c r="E122" s="285">
        <f t="shared" si="606"/>
        <v>0</v>
      </c>
      <c r="F122" s="285">
        <f t="shared" si="606"/>
        <v>0</v>
      </c>
      <c r="G122" s="285">
        <f t="shared" si="606"/>
        <v>0</v>
      </c>
      <c r="H122" s="285">
        <f t="shared" si="606"/>
        <v>0</v>
      </c>
      <c r="I122" s="285">
        <f t="shared" si="606"/>
        <v>0</v>
      </c>
      <c r="J122" s="285">
        <f t="shared" si="606"/>
        <v>0</v>
      </c>
      <c r="K122" s="285">
        <f t="shared" si="606"/>
        <v>0</v>
      </c>
      <c r="L122" s="285">
        <f t="shared" si="606"/>
        <v>0</v>
      </c>
      <c r="M122" s="285">
        <f t="shared" si="606"/>
        <v>0</v>
      </c>
      <c r="N122" s="226">
        <f>+N1</f>
        <v>2020</v>
      </c>
      <c r="O122" s="285">
        <f t="shared" ref="O122:Z122" si="607">+O20</f>
        <v>0</v>
      </c>
      <c r="P122" s="285">
        <f t="shared" si="607"/>
        <v>0</v>
      </c>
      <c r="Q122" s="285">
        <f t="shared" si="607"/>
        <v>0</v>
      </c>
      <c r="R122" s="285">
        <f t="shared" si="607"/>
        <v>0</v>
      </c>
      <c r="S122" s="285">
        <f t="shared" si="607"/>
        <v>0</v>
      </c>
      <c r="T122" s="285">
        <f t="shared" si="607"/>
        <v>0</v>
      </c>
      <c r="U122" s="285">
        <f t="shared" si="607"/>
        <v>0</v>
      </c>
      <c r="V122" s="285">
        <f t="shared" si="607"/>
        <v>0</v>
      </c>
      <c r="W122" s="285">
        <f t="shared" si="607"/>
        <v>0</v>
      </c>
      <c r="X122" s="285">
        <f t="shared" si="607"/>
        <v>0</v>
      </c>
      <c r="Y122" s="285">
        <f t="shared" si="607"/>
        <v>0</v>
      </c>
      <c r="Z122" s="285">
        <f t="shared" si="607"/>
        <v>0</v>
      </c>
      <c r="AA122" s="226">
        <f>+AA1</f>
        <v>2021</v>
      </c>
      <c r="AB122" s="285">
        <f t="shared" ref="AB122:CM122" si="608">+AB1</f>
        <v>44681</v>
      </c>
      <c r="AC122" s="285">
        <f t="shared" si="608"/>
        <v>44712</v>
      </c>
      <c r="AD122" s="285">
        <f t="shared" si="608"/>
        <v>44742</v>
      </c>
      <c r="AE122" s="285">
        <f t="shared" si="608"/>
        <v>44773</v>
      </c>
      <c r="AF122" s="285">
        <f t="shared" si="608"/>
        <v>44804</v>
      </c>
      <c r="AG122" s="285">
        <f t="shared" si="608"/>
        <v>44834</v>
      </c>
      <c r="AH122" s="285">
        <f t="shared" si="608"/>
        <v>44865</v>
      </c>
      <c r="AI122" s="285">
        <f t="shared" si="608"/>
        <v>44895</v>
      </c>
      <c r="AJ122" s="285">
        <f t="shared" si="608"/>
        <v>44926</v>
      </c>
      <c r="AK122" s="285">
        <f t="shared" si="608"/>
        <v>44957</v>
      </c>
      <c r="AL122" s="285">
        <f t="shared" si="608"/>
        <v>44985</v>
      </c>
      <c r="AM122" s="285">
        <f t="shared" si="608"/>
        <v>45016</v>
      </c>
      <c r="AN122" s="226">
        <f t="shared" si="608"/>
        <v>2022</v>
      </c>
      <c r="AO122" s="285">
        <f t="shared" si="608"/>
        <v>45046</v>
      </c>
      <c r="AP122" s="285">
        <f t="shared" si="608"/>
        <v>45077</v>
      </c>
      <c r="AQ122" s="285">
        <f t="shared" si="608"/>
        <v>45107</v>
      </c>
      <c r="AR122" s="285">
        <f t="shared" si="608"/>
        <v>45138</v>
      </c>
      <c r="AS122" s="285">
        <f t="shared" si="608"/>
        <v>45169</v>
      </c>
      <c r="AT122" s="285">
        <f t="shared" si="608"/>
        <v>45199</v>
      </c>
      <c r="AU122" s="285">
        <f t="shared" si="608"/>
        <v>45230</v>
      </c>
      <c r="AV122" s="285">
        <f t="shared" si="608"/>
        <v>45260</v>
      </c>
      <c r="AW122" s="285">
        <f t="shared" si="608"/>
        <v>45291</v>
      </c>
      <c r="AX122" s="285">
        <f t="shared" si="608"/>
        <v>45322</v>
      </c>
      <c r="AY122" s="285">
        <f t="shared" si="608"/>
        <v>45351</v>
      </c>
      <c r="AZ122" s="285">
        <f t="shared" si="608"/>
        <v>45382</v>
      </c>
      <c r="BA122" s="226">
        <f t="shared" si="608"/>
        <v>2023</v>
      </c>
      <c r="BB122" s="285">
        <f t="shared" si="608"/>
        <v>45412</v>
      </c>
      <c r="BC122" s="285">
        <f t="shared" si="608"/>
        <v>45443</v>
      </c>
      <c r="BD122" s="285">
        <f t="shared" si="608"/>
        <v>45473</v>
      </c>
      <c r="BE122" s="285">
        <f t="shared" si="608"/>
        <v>45504</v>
      </c>
      <c r="BF122" s="285">
        <f t="shared" si="608"/>
        <v>45535</v>
      </c>
      <c r="BG122" s="285">
        <f t="shared" si="608"/>
        <v>45565</v>
      </c>
      <c r="BH122" s="285">
        <f t="shared" si="608"/>
        <v>45596</v>
      </c>
      <c r="BI122" s="285">
        <f t="shared" si="608"/>
        <v>45626</v>
      </c>
      <c r="BJ122" s="285">
        <f t="shared" si="608"/>
        <v>45657</v>
      </c>
      <c r="BK122" s="285">
        <f t="shared" si="608"/>
        <v>45688</v>
      </c>
      <c r="BL122" s="285">
        <f t="shared" si="608"/>
        <v>45716</v>
      </c>
      <c r="BM122" s="285">
        <f t="shared" si="608"/>
        <v>45747</v>
      </c>
      <c r="BN122" s="226">
        <f t="shared" si="608"/>
        <v>2024</v>
      </c>
      <c r="BO122" s="285">
        <f>+BO1</f>
        <v>45777</v>
      </c>
      <c r="BP122" s="285">
        <f>+BP1</f>
        <v>45808</v>
      </c>
      <c r="BQ122" s="285">
        <f>+BQ1</f>
        <v>45838</v>
      </c>
      <c r="BR122" s="285">
        <f t="shared" si="608"/>
        <v>45869</v>
      </c>
      <c r="BS122" s="285">
        <f t="shared" si="608"/>
        <v>45900</v>
      </c>
      <c r="BT122" s="285">
        <f t="shared" ref="BT122" si="609">+BT1</f>
        <v>45930</v>
      </c>
      <c r="BU122" s="285">
        <f t="shared" si="608"/>
        <v>45961</v>
      </c>
      <c r="BV122" s="285">
        <f t="shared" si="608"/>
        <v>45991</v>
      </c>
      <c r="BW122" s="285">
        <f t="shared" si="608"/>
        <v>46022</v>
      </c>
      <c r="BX122" s="285">
        <f t="shared" si="608"/>
        <v>46053</v>
      </c>
      <c r="BY122" s="285">
        <f t="shared" si="608"/>
        <v>46081</v>
      </c>
      <c r="BZ122" s="285">
        <f t="shared" si="608"/>
        <v>46112</v>
      </c>
      <c r="CA122" s="226">
        <f t="shared" si="608"/>
        <v>2025</v>
      </c>
      <c r="CB122" s="285">
        <f t="shared" si="608"/>
        <v>46142</v>
      </c>
      <c r="CC122" s="285">
        <f t="shared" si="608"/>
        <v>46173</v>
      </c>
      <c r="CD122" s="285">
        <f t="shared" si="608"/>
        <v>46203</v>
      </c>
      <c r="CE122" s="285">
        <f t="shared" si="608"/>
        <v>46234</v>
      </c>
      <c r="CF122" s="285">
        <f t="shared" si="608"/>
        <v>46265</v>
      </c>
      <c r="CG122" s="285">
        <f t="shared" si="608"/>
        <v>46295</v>
      </c>
      <c r="CH122" s="285">
        <f t="shared" si="608"/>
        <v>46326</v>
      </c>
      <c r="CI122" s="285">
        <f t="shared" si="608"/>
        <v>46356</v>
      </c>
      <c r="CJ122" s="285">
        <f t="shared" si="608"/>
        <v>46387</v>
      </c>
      <c r="CK122" s="285">
        <f t="shared" si="608"/>
        <v>46418</v>
      </c>
      <c r="CL122" s="285">
        <f t="shared" si="608"/>
        <v>46446</v>
      </c>
      <c r="CM122" s="285">
        <f t="shared" si="608"/>
        <v>46477</v>
      </c>
      <c r="CN122" s="226">
        <f t="shared" ref="CN122:EN122" si="610">+CN1</f>
        <v>2026</v>
      </c>
      <c r="CO122" s="285">
        <f t="shared" si="610"/>
        <v>46507</v>
      </c>
      <c r="CP122" s="285">
        <f t="shared" si="610"/>
        <v>46538</v>
      </c>
      <c r="CQ122" s="285">
        <f t="shared" si="610"/>
        <v>46568</v>
      </c>
      <c r="CR122" s="285">
        <f t="shared" si="610"/>
        <v>46599</v>
      </c>
      <c r="CS122" s="285">
        <f t="shared" si="610"/>
        <v>46630</v>
      </c>
      <c r="CT122" s="285">
        <f t="shared" si="610"/>
        <v>46660</v>
      </c>
      <c r="CU122" s="285">
        <f t="shared" si="610"/>
        <v>46691</v>
      </c>
      <c r="CV122" s="285">
        <f t="shared" si="610"/>
        <v>46721</v>
      </c>
      <c r="CW122" s="285">
        <f t="shared" si="610"/>
        <v>46752</v>
      </c>
      <c r="CX122" s="285">
        <f t="shared" si="610"/>
        <v>46783</v>
      </c>
      <c r="CY122" s="285">
        <f t="shared" si="610"/>
        <v>46812</v>
      </c>
      <c r="CZ122" s="285">
        <f t="shared" si="610"/>
        <v>46843</v>
      </c>
      <c r="DA122" s="226">
        <f t="shared" si="610"/>
        <v>2027</v>
      </c>
      <c r="DB122" s="285">
        <f t="shared" si="610"/>
        <v>46873</v>
      </c>
      <c r="DC122" s="285">
        <f t="shared" si="610"/>
        <v>46904</v>
      </c>
      <c r="DD122" s="285">
        <f t="shared" si="610"/>
        <v>46934</v>
      </c>
      <c r="DE122" s="285">
        <f t="shared" si="610"/>
        <v>46965</v>
      </c>
      <c r="DF122" s="285">
        <f t="shared" si="610"/>
        <v>46996</v>
      </c>
      <c r="DG122" s="285">
        <f t="shared" si="610"/>
        <v>47026</v>
      </c>
      <c r="DH122" s="285">
        <f t="shared" si="610"/>
        <v>47057</v>
      </c>
      <c r="DI122" s="285">
        <f t="shared" si="610"/>
        <v>47087</v>
      </c>
      <c r="DJ122" s="285">
        <f t="shared" si="610"/>
        <v>47118</v>
      </c>
      <c r="DK122" s="285">
        <f t="shared" si="610"/>
        <v>47149</v>
      </c>
      <c r="DL122" s="285">
        <f t="shared" si="610"/>
        <v>47177</v>
      </c>
      <c r="DM122" s="285">
        <f t="shared" si="610"/>
        <v>47208</v>
      </c>
      <c r="DN122" s="226">
        <f t="shared" si="610"/>
        <v>2028</v>
      </c>
      <c r="DO122" s="285">
        <f t="shared" si="610"/>
        <v>47238</v>
      </c>
      <c r="DP122" s="285">
        <f t="shared" si="610"/>
        <v>47269</v>
      </c>
      <c r="DQ122" s="285">
        <f t="shared" si="610"/>
        <v>47299</v>
      </c>
      <c r="DR122" s="285">
        <f t="shared" si="610"/>
        <v>47330</v>
      </c>
      <c r="DS122" s="285">
        <f t="shared" si="610"/>
        <v>47361</v>
      </c>
      <c r="DT122" s="285">
        <f t="shared" si="610"/>
        <v>47391</v>
      </c>
      <c r="DU122" s="285">
        <f t="shared" si="610"/>
        <v>47422</v>
      </c>
      <c r="DV122" s="285">
        <f t="shared" si="610"/>
        <v>47452</v>
      </c>
      <c r="DW122" s="285">
        <f t="shared" si="610"/>
        <v>47483</v>
      </c>
      <c r="DX122" s="285">
        <f t="shared" si="610"/>
        <v>47514</v>
      </c>
      <c r="DY122" s="285">
        <f t="shared" si="610"/>
        <v>47542</v>
      </c>
      <c r="DZ122" s="285">
        <f t="shared" si="610"/>
        <v>47573</v>
      </c>
      <c r="EA122" s="226">
        <f t="shared" si="610"/>
        <v>2029</v>
      </c>
      <c r="EB122" s="285">
        <f t="shared" si="610"/>
        <v>47603</v>
      </c>
      <c r="EC122" s="285">
        <f t="shared" si="610"/>
        <v>47634</v>
      </c>
      <c r="ED122" s="285">
        <f t="shared" si="610"/>
        <v>47664</v>
      </c>
      <c r="EE122" s="285">
        <f t="shared" si="610"/>
        <v>47695</v>
      </c>
      <c r="EF122" s="285">
        <f t="shared" si="610"/>
        <v>47726</v>
      </c>
      <c r="EG122" s="285">
        <f t="shared" si="610"/>
        <v>47756</v>
      </c>
      <c r="EH122" s="285">
        <f t="shared" si="610"/>
        <v>47787</v>
      </c>
      <c r="EI122" s="285">
        <f t="shared" si="610"/>
        <v>47817</v>
      </c>
      <c r="EJ122" s="285">
        <f t="shared" si="610"/>
        <v>47848</v>
      </c>
      <c r="EK122" s="285">
        <f t="shared" si="610"/>
        <v>47879</v>
      </c>
      <c r="EL122" s="285">
        <f t="shared" si="610"/>
        <v>47907</v>
      </c>
      <c r="EM122" s="285">
        <f t="shared" si="610"/>
        <v>47938</v>
      </c>
      <c r="EN122" s="226">
        <f t="shared" si="610"/>
        <v>2030</v>
      </c>
      <c r="EO122" s="285"/>
      <c r="EP122" s="285"/>
      <c r="EQ122" s="285"/>
      <c r="ER122" s="285"/>
      <c r="ES122" s="285"/>
      <c r="ET122" s="285"/>
      <c r="EU122" s="285"/>
      <c r="EV122" s="285"/>
      <c r="EW122" s="285"/>
      <c r="EX122" s="285"/>
      <c r="EY122" s="285"/>
      <c r="EZ122" s="285"/>
      <c r="FA122" s="226"/>
      <c r="FB122" s="285"/>
      <c r="FC122" s="285"/>
      <c r="FD122" s="285"/>
      <c r="FE122" s="285"/>
      <c r="FF122" s="285"/>
      <c r="FG122" s="285"/>
      <c r="FH122" s="285"/>
      <c r="FI122" s="285"/>
      <c r="FJ122" s="285"/>
      <c r="FK122" s="285"/>
      <c r="FL122" s="285"/>
      <c r="FM122" s="285"/>
      <c r="FN122" s="226"/>
      <c r="FO122" s="285"/>
      <c r="FP122" s="285"/>
      <c r="FQ122" s="285"/>
      <c r="FR122" s="285"/>
      <c r="FS122" s="285"/>
      <c r="FT122" s="285"/>
      <c r="FU122" s="285"/>
      <c r="FV122" s="285"/>
      <c r="FW122" s="285"/>
      <c r="FX122" s="285"/>
      <c r="FY122" s="285"/>
      <c r="FZ122" s="285"/>
      <c r="GA122" s="226"/>
    </row>
    <row r="123" spans="1:183" ht="18" x14ac:dyDescent="0.35">
      <c r="A123" s="350" t="s">
        <v>614</v>
      </c>
      <c r="BN123" s="230"/>
    </row>
    <row r="124" spans="1:183" x14ac:dyDescent="0.25">
      <c r="A124" s="228" t="s">
        <v>35</v>
      </c>
      <c r="BN124" s="230"/>
    </row>
    <row r="126" spans="1:183" s="235" customFormat="1" x14ac:dyDescent="0.25">
      <c r="A126" s="234" t="s">
        <v>624</v>
      </c>
      <c r="B126" s="235" t="str">
        <f>+A35</f>
        <v>Activo fijo, neto</v>
      </c>
      <c r="C126" s="235">
        <f t="shared" ref="C126:M126" si="611">+B35</f>
        <v>636869709.56999981</v>
      </c>
      <c r="D126" s="235">
        <f t="shared" si="611"/>
        <v>634697887.49999976</v>
      </c>
      <c r="E126" s="235">
        <f t="shared" si="611"/>
        <v>632378810.37999976</v>
      </c>
      <c r="F126" s="235">
        <f t="shared" si="611"/>
        <v>630071109.53999972</v>
      </c>
      <c r="G126" s="235">
        <f t="shared" si="611"/>
        <v>627803623.65999973</v>
      </c>
      <c r="H126" s="235">
        <f t="shared" si="611"/>
        <v>625485032.5599997</v>
      </c>
      <c r="I126" s="235">
        <f t="shared" si="611"/>
        <v>622872200.41999972</v>
      </c>
      <c r="J126" s="235">
        <f t="shared" si="611"/>
        <v>639591919.32999969</v>
      </c>
      <c r="K126" s="235">
        <f t="shared" si="611"/>
        <v>644313079.3099997</v>
      </c>
      <c r="L126" s="235">
        <f t="shared" si="611"/>
        <v>641182468.97999966</v>
      </c>
      <c r="M126" s="235">
        <f t="shared" si="611"/>
        <v>638545997.26999962</v>
      </c>
      <c r="N126" s="235" t="str">
        <f>+A35</f>
        <v>Activo fijo, neto</v>
      </c>
      <c r="O126" s="235">
        <f>+N35</f>
        <v>636043492.23999965</v>
      </c>
      <c r="P126" s="235">
        <f t="shared" ref="P126:Z126" si="612">+O35</f>
        <v>653263520.0999999</v>
      </c>
      <c r="Q126" s="235">
        <f t="shared" si="612"/>
        <v>650531466.15999985</v>
      </c>
      <c r="R126" s="235">
        <f t="shared" si="612"/>
        <v>647681152.94999981</v>
      </c>
      <c r="S126" s="235">
        <f t="shared" si="612"/>
        <v>644745403.36999977</v>
      </c>
      <c r="T126" s="235">
        <f t="shared" si="612"/>
        <v>642419475.18999982</v>
      </c>
      <c r="U126" s="235">
        <f t="shared" si="612"/>
        <v>639330515.75999987</v>
      </c>
      <c r="V126" s="235">
        <f t="shared" si="612"/>
        <v>636527598.18999982</v>
      </c>
      <c r="W126" s="235">
        <f t="shared" si="612"/>
        <v>633693922.09999979</v>
      </c>
      <c r="X126" s="235">
        <f t="shared" si="612"/>
        <v>630993167.77999973</v>
      </c>
      <c r="Y126" s="235">
        <f t="shared" si="612"/>
        <v>628375222.16999972</v>
      </c>
      <c r="Z126" s="235">
        <f t="shared" si="612"/>
        <v>625690958.44999969</v>
      </c>
      <c r="AA126" s="235">
        <f>+N35</f>
        <v>636043492.23999965</v>
      </c>
      <c r="AB126" s="235">
        <f>+AA35</f>
        <v>623223082.06999969</v>
      </c>
      <c r="AC126" s="235">
        <f t="shared" ref="AC126:AM126" si="613">+AB35</f>
        <v>620769486.60000026</v>
      </c>
      <c r="AD126" s="235">
        <f t="shared" si="613"/>
        <v>618079411.21000028</v>
      </c>
      <c r="AE126" s="235">
        <f t="shared" si="613"/>
        <v>615843930.09000027</v>
      </c>
      <c r="AF126" s="235">
        <f t="shared" si="613"/>
        <v>613779215.16000032</v>
      </c>
      <c r="AG126" s="235">
        <f t="shared" si="613"/>
        <v>611815203.39000034</v>
      </c>
      <c r="AH126" s="235">
        <f t="shared" si="613"/>
        <v>609664523.42000031</v>
      </c>
      <c r="AI126" s="235">
        <f t="shared" si="613"/>
        <v>609241585.72000027</v>
      </c>
      <c r="AJ126" s="235">
        <f t="shared" si="613"/>
        <v>607518652.11000025</v>
      </c>
      <c r="AK126" s="235">
        <f t="shared" si="613"/>
        <v>600620634.4200002</v>
      </c>
      <c r="AL126" s="235">
        <f t="shared" si="613"/>
        <v>599357832.34000015</v>
      </c>
      <c r="AM126" s="235">
        <f t="shared" si="613"/>
        <v>598050296.57000017</v>
      </c>
      <c r="AN126" s="235">
        <f>+AA35</f>
        <v>623223082.06999969</v>
      </c>
      <c r="AO126" s="235">
        <f>+AN35</f>
        <v>597586950.94000018</v>
      </c>
      <c r="AP126" s="235">
        <f t="shared" ref="AP126:AZ126" si="614">+AO35</f>
        <v>596269700.48999977</v>
      </c>
      <c r="AQ126" s="235">
        <f t="shared" si="614"/>
        <v>594840322.21999979</v>
      </c>
      <c r="AR126" s="235">
        <f t="shared" si="614"/>
        <v>593360430.48999977</v>
      </c>
      <c r="AS126" s="235">
        <f t="shared" si="614"/>
        <v>591936176.42999983</v>
      </c>
      <c r="AT126" s="235">
        <f t="shared" si="614"/>
        <v>590425035.5799998</v>
      </c>
      <c r="AU126" s="235">
        <f t="shared" si="614"/>
        <v>589083557.38999975</v>
      </c>
      <c r="AV126" s="235">
        <f t="shared" si="614"/>
        <v>587740343.42999971</v>
      </c>
      <c r="AW126" s="235">
        <f t="shared" si="614"/>
        <v>584830720.22999966</v>
      </c>
      <c r="AX126" s="235">
        <f t="shared" si="614"/>
        <v>582948454.5599997</v>
      </c>
      <c r="AY126" s="235">
        <f t="shared" si="614"/>
        <v>581135705.76999974</v>
      </c>
      <c r="AZ126" s="235">
        <f t="shared" si="614"/>
        <v>579975080.48999977</v>
      </c>
      <c r="BA126" s="235">
        <f>+AN35</f>
        <v>597586950.94000018</v>
      </c>
      <c r="BB126" s="235">
        <f>+BA35</f>
        <v>578464133.68999982</v>
      </c>
      <c r="BC126" s="235">
        <f t="shared" ref="BC126:BM126" si="615">+BB35</f>
        <v>577407467.30999994</v>
      </c>
      <c r="BD126" s="235">
        <f t="shared" si="615"/>
        <v>576234959.88999999</v>
      </c>
      <c r="BE126" s="235">
        <f t="shared" si="615"/>
        <v>575117381.51999998</v>
      </c>
      <c r="BF126" s="235">
        <f t="shared" si="615"/>
        <v>574511724.75</v>
      </c>
      <c r="BG126" s="235">
        <f t="shared" si="615"/>
        <v>573736025.79999995</v>
      </c>
      <c r="BH126" s="235">
        <f t="shared" si="615"/>
        <v>573877374.76999998</v>
      </c>
      <c r="BI126" s="235">
        <f t="shared" si="615"/>
        <v>593978590.98000002</v>
      </c>
      <c r="BJ126" s="235">
        <f t="shared" si="615"/>
        <v>595289240.37</v>
      </c>
      <c r="BK126" s="235">
        <f t="shared" si="615"/>
        <v>597355415.79999995</v>
      </c>
      <c r="BL126" s="235">
        <f t="shared" si="615"/>
        <v>599774235.46000004</v>
      </c>
      <c r="BM126" s="235">
        <f t="shared" si="615"/>
        <v>603054619.73000002</v>
      </c>
      <c r="BN126" s="235">
        <f>+BA35</f>
        <v>578464133.68999982</v>
      </c>
      <c r="BO126" s="235">
        <f>+BN35</f>
        <v>606848758.82000005</v>
      </c>
      <c r="BP126" s="235">
        <f t="shared" ref="BP126:BZ126" si="616">+BO35</f>
        <v>618780286.11000001</v>
      </c>
      <c r="BQ126" s="235">
        <f t="shared" si="616"/>
        <v>623600051.48000002</v>
      </c>
      <c r="BR126" s="235">
        <f t="shared" si="616"/>
        <v>629870246.53999996</v>
      </c>
      <c r="BS126" s="235">
        <f t="shared" si="616"/>
        <v>638041187.58000004</v>
      </c>
      <c r="BT126" s="235">
        <f t="shared" si="616"/>
        <v>647420575.25999999</v>
      </c>
      <c r="BU126" s="235">
        <f t="shared" si="616"/>
        <v>656823346.12</v>
      </c>
      <c r="BV126" s="235">
        <f t="shared" si="616"/>
        <v>648626553.48503125</v>
      </c>
      <c r="BW126" s="235">
        <f t="shared" si="616"/>
        <v>640429760.85006249</v>
      </c>
      <c r="BX126" s="235">
        <f t="shared" si="616"/>
        <v>632232968.21509373</v>
      </c>
      <c r="BY126" s="235">
        <f t="shared" si="616"/>
        <v>624036175.58012497</v>
      </c>
      <c r="BZ126" s="235">
        <f t="shared" si="616"/>
        <v>615839382.94515622</v>
      </c>
      <c r="CA126" s="235">
        <f>+BN128</f>
        <v>606848758.82000005</v>
      </c>
      <c r="CB126" s="235">
        <f>+CA35</f>
        <v>607642590.31018746</v>
      </c>
      <c r="CC126" s="235">
        <f t="shared" ref="CC126:CM126" si="617">+CB35</f>
        <v>610097552.88903844</v>
      </c>
      <c r="CD126" s="235">
        <f t="shared" si="617"/>
        <v>612244688.67788947</v>
      </c>
      <c r="CE126" s="235">
        <f t="shared" si="617"/>
        <v>613471122.39674056</v>
      </c>
      <c r="CF126" s="235">
        <f t="shared" si="617"/>
        <v>612933663.67559135</v>
      </c>
      <c r="CG126" s="235">
        <f t="shared" si="617"/>
        <v>611387712.27444232</v>
      </c>
      <c r="CH126" s="235">
        <f t="shared" si="617"/>
        <v>609651000.33329332</v>
      </c>
      <c r="CI126" s="235">
        <f t="shared" si="617"/>
        <v>607914288.39214432</v>
      </c>
      <c r="CJ126" s="235">
        <f t="shared" si="617"/>
        <v>606177576.45099533</v>
      </c>
      <c r="CK126" s="235">
        <f t="shared" si="617"/>
        <v>604440864.50984633</v>
      </c>
      <c r="CL126" s="235">
        <f t="shared" si="617"/>
        <v>602704152.56869733</v>
      </c>
      <c r="CM126" s="235">
        <f t="shared" si="617"/>
        <v>600967440.62754834</v>
      </c>
      <c r="CN126" s="235">
        <f>+CA128</f>
        <v>607642590.31018746</v>
      </c>
      <c r="CO126" s="235">
        <f>+CN35</f>
        <v>599230728.68639994</v>
      </c>
      <c r="CP126" s="235">
        <f t="shared" ref="CP126:CQ126" si="618">+CO35</f>
        <v>602386679.73389995</v>
      </c>
      <c r="CQ126" s="235">
        <f t="shared" si="618"/>
        <v>605234803.9914</v>
      </c>
      <c r="CR126" s="235">
        <f t="shared" ref="CR126" si="619">+CQ35</f>
        <v>607162226.17890012</v>
      </c>
      <c r="CS126" s="235">
        <f t="shared" ref="CS126" si="620">+CR35</f>
        <v>607325755.92639995</v>
      </c>
      <c r="CT126" s="235">
        <f t="shared" ref="CT126" si="621">+CS35</f>
        <v>606480792.99389994</v>
      </c>
      <c r="CU126" s="235">
        <f t="shared" ref="CU126" si="622">+CT35</f>
        <v>605445069.52139997</v>
      </c>
      <c r="CV126" s="235">
        <f t="shared" ref="CV126" si="623">+CU35</f>
        <v>604409346.04890001</v>
      </c>
      <c r="CW126" s="235">
        <f t="shared" ref="CW126" si="624">+CV35</f>
        <v>603373622.57640004</v>
      </c>
      <c r="CX126" s="235">
        <f t="shared" ref="CX126" si="625">+CW35</f>
        <v>602337899.10390007</v>
      </c>
      <c r="CY126" s="235">
        <f t="shared" ref="CY126" si="626">+CX35</f>
        <v>601302175.63140011</v>
      </c>
      <c r="CZ126" s="235">
        <f t="shared" ref="CZ126" si="627">+CY35</f>
        <v>600266452.15890014</v>
      </c>
      <c r="DA126" s="235">
        <f>+CN128</f>
        <v>599230728.68639994</v>
      </c>
      <c r="DB126" s="235">
        <f>+DA35</f>
        <v>599230728.68639994</v>
      </c>
      <c r="DC126" s="235">
        <f t="shared" ref="DC126" si="628">+DB35</f>
        <v>581445561.1588999</v>
      </c>
      <c r="DD126" s="235">
        <f t="shared" ref="DD126" si="629">+DC35</f>
        <v>563352566.84139991</v>
      </c>
      <c r="DE126" s="235">
        <f t="shared" ref="DE126" si="630">+DD35</f>
        <v>544338870.45389998</v>
      </c>
      <c r="DF126" s="235">
        <f t="shared" ref="DF126" si="631">+DE35</f>
        <v>523561281.62639976</v>
      </c>
      <c r="DG126" s="235">
        <f t="shared" ref="DG126" si="632">+DF35</f>
        <v>501775200.1188997</v>
      </c>
      <c r="DH126" s="235">
        <f t="shared" ref="DH126" si="633">+DG35</f>
        <v>479798358.07139969</v>
      </c>
      <c r="DI126" s="235">
        <f t="shared" ref="DI126" si="634">+DH35</f>
        <v>457821516.02389967</v>
      </c>
      <c r="DJ126" s="235">
        <f t="shared" ref="DJ126" si="635">+DI35</f>
        <v>435844673.97639966</v>
      </c>
      <c r="DK126" s="235">
        <f t="shared" ref="DK126" si="636">+DJ35</f>
        <v>413867831.92889965</v>
      </c>
      <c r="DL126" s="235">
        <f t="shared" ref="DL126" si="637">+DK35</f>
        <v>391890989.88139963</v>
      </c>
      <c r="DM126" s="235">
        <f t="shared" ref="DM126" si="638">+DL35</f>
        <v>369914147.83389962</v>
      </c>
      <c r="DN126" s="235">
        <f>+DA128</f>
        <v>599230728.68639994</v>
      </c>
      <c r="DO126" s="235">
        <f>+DN35</f>
        <v>347937305.78639984</v>
      </c>
      <c r="DP126" s="235">
        <f t="shared" ref="DP126" si="639">+DO35</f>
        <v>351093256.83389986</v>
      </c>
      <c r="DQ126" s="235">
        <f t="shared" ref="DQ126" si="640">+DP35</f>
        <v>353941381.09139991</v>
      </c>
      <c r="DR126" s="235">
        <f t="shared" ref="DR126" si="641">+DQ35</f>
        <v>355868803.27890003</v>
      </c>
      <c r="DS126" s="235">
        <f t="shared" ref="DS126" si="642">+DR35</f>
        <v>356032333.02639985</v>
      </c>
      <c r="DT126" s="235">
        <f t="shared" ref="DT126" si="643">+DS35</f>
        <v>355187370.09389985</v>
      </c>
      <c r="DU126" s="235">
        <f t="shared" ref="DU126" si="644">+DT35</f>
        <v>354151646.62139988</v>
      </c>
      <c r="DV126" s="235">
        <f t="shared" ref="DV126" si="645">+DU35</f>
        <v>353115923.14889991</v>
      </c>
      <c r="DW126" s="235">
        <f t="shared" ref="DW126" si="646">+DV35</f>
        <v>352080199.67639995</v>
      </c>
      <c r="DX126" s="235">
        <f t="shared" ref="DX126" si="647">+DW35</f>
        <v>351044476.20389998</v>
      </c>
      <c r="DY126" s="235">
        <f t="shared" ref="DY126" si="648">+DX35</f>
        <v>350008752.73140001</v>
      </c>
      <c r="DZ126" s="235">
        <f t="shared" ref="DZ126" si="649">+DY35</f>
        <v>348973029.25890005</v>
      </c>
      <c r="EA126" s="235">
        <f>+DN128</f>
        <v>347937305.78639984</v>
      </c>
      <c r="EB126" s="235">
        <f>+EA35</f>
        <v>347937305.78639984</v>
      </c>
      <c r="EC126" s="235">
        <f t="shared" ref="EC126" si="650">+EB35</f>
        <v>351093256.83389986</v>
      </c>
      <c r="ED126" s="235">
        <f t="shared" ref="ED126" si="651">+EC35</f>
        <v>353941381.09139991</v>
      </c>
      <c r="EE126" s="235">
        <f t="shared" ref="EE126" si="652">+ED35</f>
        <v>355868803.27890003</v>
      </c>
      <c r="EF126" s="235">
        <f t="shared" ref="EF126" si="653">+EE35</f>
        <v>356032333.02639985</v>
      </c>
      <c r="EG126" s="235">
        <f t="shared" ref="EG126" si="654">+EF35</f>
        <v>355187370.09389985</v>
      </c>
      <c r="EH126" s="235">
        <f t="shared" ref="EH126" si="655">+EG35</f>
        <v>354151646.62139988</v>
      </c>
      <c r="EI126" s="235">
        <f t="shared" ref="EI126" si="656">+EH35</f>
        <v>353115923.14889991</v>
      </c>
      <c r="EJ126" s="235">
        <f t="shared" ref="EJ126" si="657">+EI35</f>
        <v>352080199.67639995</v>
      </c>
      <c r="EK126" s="235">
        <f t="shared" ref="EK126" si="658">+EJ35</f>
        <v>351044476.20389998</v>
      </c>
      <c r="EL126" s="235">
        <f t="shared" ref="EL126" si="659">+EK35</f>
        <v>350008752.73140001</v>
      </c>
      <c r="EM126" s="235">
        <f t="shared" ref="EM126" si="660">+EL35</f>
        <v>348973029.25890005</v>
      </c>
      <c r="EN126" s="235">
        <f>+EA128</f>
        <v>347937305.78639984</v>
      </c>
    </row>
    <row r="127" spans="1:183" s="235" customFormat="1" x14ac:dyDescent="0.25">
      <c r="A127" s="234" t="s">
        <v>498</v>
      </c>
      <c r="B127" s="235">
        <f>+B75</f>
        <v>3439801.1700003147</v>
      </c>
      <c r="C127" s="235">
        <f t="shared" ref="C127:M127" si="661">+C75</f>
        <v>3514026.2599999905</v>
      </c>
      <c r="D127" s="235">
        <f t="shared" si="661"/>
        <v>3442901.3200000525</v>
      </c>
      <c r="E127" s="235">
        <f t="shared" si="661"/>
        <v>3448561.8699998856</v>
      </c>
      <c r="F127" s="235">
        <f t="shared" si="661"/>
        <v>3467655.9600000381</v>
      </c>
      <c r="G127" s="235">
        <f t="shared" si="661"/>
        <v>3441464.4900000095</v>
      </c>
      <c r="H127" s="235">
        <f t="shared" si="661"/>
        <v>3269006.0299999714</v>
      </c>
      <c r="I127" s="235">
        <f t="shared" si="661"/>
        <v>3213057.3599998951</v>
      </c>
      <c r="J127" s="235">
        <f t="shared" si="661"/>
        <v>3027957.6300001144</v>
      </c>
      <c r="K127" s="235">
        <f t="shared" si="661"/>
        <v>3243631.0599999428</v>
      </c>
      <c r="L127" s="235">
        <f t="shared" si="661"/>
        <v>3947288.5699999332</v>
      </c>
      <c r="M127" s="235">
        <f t="shared" si="661"/>
        <v>3630368.5699999332</v>
      </c>
      <c r="N127" s="235">
        <f>+SUM(B127:M127)</f>
        <v>41085720.290000081</v>
      </c>
      <c r="O127" s="235">
        <f>+O75</f>
        <v>3789420.8700006008</v>
      </c>
      <c r="P127" s="235">
        <f t="shared" ref="P127:Z127" si="662">+P75</f>
        <v>3422723.9000000954</v>
      </c>
      <c r="Q127" s="235">
        <f t="shared" si="662"/>
        <v>3314435.9800000191</v>
      </c>
      <c r="R127" s="235">
        <f t="shared" si="662"/>
        <v>3253124.6800000668</v>
      </c>
      <c r="S127" s="235">
        <f t="shared" si="662"/>
        <v>3191665.3099999428</v>
      </c>
      <c r="T127" s="235">
        <f t="shared" si="662"/>
        <v>3218554.1600000858</v>
      </c>
      <c r="U127" s="235">
        <f t="shared" si="662"/>
        <v>3402175.25</v>
      </c>
      <c r="V127" s="235">
        <f t="shared" si="662"/>
        <v>3357466.7999999523</v>
      </c>
      <c r="W127" s="235">
        <f t="shared" si="662"/>
        <v>3443727.2400000095</v>
      </c>
      <c r="X127" s="235">
        <f t="shared" si="662"/>
        <v>3485092.6099998951</v>
      </c>
      <c r="Y127" s="235">
        <f t="shared" si="662"/>
        <v>2889230.1400001049</v>
      </c>
      <c r="Z127" s="235">
        <f t="shared" si="662"/>
        <v>2955975.8299999237</v>
      </c>
      <c r="AA127" s="235">
        <f>+SUM(O127:Z127)</f>
        <v>39723592.770000696</v>
      </c>
      <c r="AB127" s="235">
        <f>+AB75</f>
        <v>3300585.840003252</v>
      </c>
      <c r="AC127" s="235">
        <f t="shared" ref="AC127:AM127" si="663">+AC75</f>
        <v>3251776.4300000668</v>
      </c>
      <c r="AD127" s="235">
        <f t="shared" si="663"/>
        <v>3426214.4900000095</v>
      </c>
      <c r="AE127" s="235">
        <f t="shared" si="663"/>
        <v>3533787.3699998856</v>
      </c>
      <c r="AF127" s="235">
        <f t="shared" si="663"/>
        <v>3638869.3199999332</v>
      </c>
      <c r="AG127" s="235">
        <f t="shared" si="663"/>
        <v>3571866.9500000477</v>
      </c>
      <c r="AH127" s="235">
        <f t="shared" si="663"/>
        <v>4834282.1800000668</v>
      </c>
      <c r="AI127" s="235">
        <f t="shared" si="663"/>
        <v>3427250.3800001144</v>
      </c>
      <c r="AJ127" s="235">
        <f t="shared" si="663"/>
        <v>-281889.75</v>
      </c>
      <c r="AK127" s="235">
        <f t="shared" si="663"/>
        <v>3887489.8399999142</v>
      </c>
      <c r="AL127" s="235">
        <f t="shared" si="663"/>
        <v>3629451.1199998856</v>
      </c>
      <c r="AM127" s="235">
        <f t="shared" si="663"/>
        <v>3679861.5799999237</v>
      </c>
      <c r="AN127" s="235">
        <f>+SUM(AB127:AM127)</f>
        <v>39899545.750003099</v>
      </c>
      <c r="AO127" s="235">
        <f>+AO75</f>
        <v>3706524.8200008869</v>
      </c>
      <c r="AP127" s="235">
        <f t="shared" ref="AP127:AZ127" si="664">+AP75</f>
        <v>3729769.5199999809</v>
      </c>
      <c r="AQ127" s="235">
        <f t="shared" si="664"/>
        <v>3815325.1099998951</v>
      </c>
      <c r="AR127" s="235">
        <f t="shared" si="664"/>
        <v>3791902.7899999619</v>
      </c>
      <c r="AS127" s="235">
        <f t="shared" si="664"/>
        <v>3158744.4700000286</v>
      </c>
      <c r="AT127" s="235">
        <f t="shared" si="664"/>
        <v>3507685.2799999714</v>
      </c>
      <c r="AU127" s="235">
        <f t="shared" si="664"/>
        <v>3828330.9700000286</v>
      </c>
      <c r="AV127" s="235">
        <f t="shared" si="664"/>
        <v>2477186.1199998856</v>
      </c>
      <c r="AW127" s="235">
        <f t="shared" si="664"/>
        <v>3382877.4600000381</v>
      </c>
      <c r="AX127" s="235">
        <f t="shared" si="664"/>
        <v>3193115.6099998951</v>
      </c>
      <c r="AY127" s="235">
        <f t="shared" si="664"/>
        <v>3426306.5999999046</v>
      </c>
      <c r="AZ127" s="235">
        <f t="shared" si="664"/>
        <v>3613799.7599999905</v>
      </c>
      <c r="BA127" s="235">
        <f>+SUM(AO127:AZ127)</f>
        <v>41631568.510000467</v>
      </c>
      <c r="BB127" s="235">
        <f>+BB75</f>
        <v>0</v>
      </c>
      <c r="BC127" s="235">
        <f t="shared" ref="BC127:BM127" si="665">+BC75</f>
        <v>3935423.2099997997</v>
      </c>
      <c r="BD127" s="235">
        <f t="shared" si="665"/>
        <v>4099675.6300001144</v>
      </c>
      <c r="BE127" s="235">
        <f t="shared" si="665"/>
        <v>4191210.7300000191</v>
      </c>
      <c r="BF127" s="235">
        <f t="shared" si="665"/>
        <v>3704057.2300000191</v>
      </c>
      <c r="BG127" s="235">
        <f t="shared" si="665"/>
        <v>3167041.5099999905</v>
      </c>
      <c r="BH127" s="235">
        <f t="shared" si="665"/>
        <v>4308871.9099998474</v>
      </c>
      <c r="BI127" s="235">
        <f t="shared" si="665"/>
        <v>3609250.0100002289</v>
      </c>
      <c r="BJ127" s="235">
        <f t="shared" si="665"/>
        <v>5312632.4299998283</v>
      </c>
      <c r="BK127" s="235">
        <f t="shared" si="665"/>
        <v>4904382.9500000477</v>
      </c>
      <c r="BL127" s="235">
        <f t="shared" si="665"/>
        <v>6153036.5399999619</v>
      </c>
      <c r="BM127" s="235">
        <f t="shared" si="665"/>
        <v>6743289.2000000477</v>
      </c>
      <c r="BN127" s="235">
        <f>+SUM(BB127:BM127)</f>
        <v>50128871.349999905</v>
      </c>
      <c r="BO127" s="235">
        <f>+BO75</f>
        <v>7314608.2400000095</v>
      </c>
      <c r="BP127" s="235">
        <f t="shared" ref="BP127:BZ127" si="666">+BP75</f>
        <v>7622435.0299999714</v>
      </c>
      <c r="BQ127" s="235">
        <f t="shared" si="666"/>
        <v>8543137.0999999046</v>
      </c>
      <c r="BR127" s="235">
        <f>+BR75</f>
        <v>10307029.5400002</v>
      </c>
      <c r="BS127" s="235">
        <f>+BS75</f>
        <v>11315522.220000029</v>
      </c>
      <c r="BT127" s="235">
        <f>+BT75</f>
        <v>11506282.75999999</v>
      </c>
      <c r="BU127" s="235">
        <f t="shared" si="666"/>
        <v>11506282.75999999</v>
      </c>
      <c r="BV127" s="235">
        <f t="shared" si="666"/>
        <v>11506282.75999999</v>
      </c>
      <c r="BW127" s="235">
        <f t="shared" si="666"/>
        <v>11506282.75999999</v>
      </c>
      <c r="BX127" s="235">
        <f t="shared" si="666"/>
        <v>11506282.75999999</v>
      </c>
      <c r="BY127" s="235">
        <f t="shared" si="666"/>
        <v>11506282.75999999</v>
      </c>
      <c r="BZ127" s="235">
        <f t="shared" si="666"/>
        <v>11506282.75999999</v>
      </c>
      <c r="CA127" s="235">
        <f>+SUM(BO127:BZ127)</f>
        <v>125646711.45000005</v>
      </c>
      <c r="CB127" s="235">
        <f>+CB75</f>
        <v>7314608.2400000095</v>
      </c>
      <c r="CC127" s="235">
        <f t="shared" ref="CC127:CL127" si="667">+CC75</f>
        <v>7622435.0299999714</v>
      </c>
      <c r="CD127" s="235">
        <f t="shared" si="667"/>
        <v>8543137.0999999046</v>
      </c>
      <c r="CE127" s="235">
        <f t="shared" si="667"/>
        <v>10307029.5400002</v>
      </c>
      <c r="CF127" s="235">
        <f t="shared" si="667"/>
        <v>11315522.220000029</v>
      </c>
      <c r="CG127" s="235">
        <f t="shared" si="667"/>
        <v>11506282.75999999</v>
      </c>
      <c r="CH127" s="235">
        <f t="shared" si="667"/>
        <v>11506282.75999999</v>
      </c>
      <c r="CI127" s="235">
        <f t="shared" si="667"/>
        <v>11506282.75999999</v>
      </c>
      <c r="CJ127" s="235">
        <f t="shared" si="667"/>
        <v>11506282.75999999</v>
      </c>
      <c r="CK127" s="235">
        <f t="shared" si="667"/>
        <v>11506282.75999999</v>
      </c>
      <c r="CL127" s="235">
        <f t="shared" si="667"/>
        <v>11506282.75999999</v>
      </c>
      <c r="CM127" s="235">
        <f>+CM75</f>
        <v>11506282.75999999</v>
      </c>
      <c r="CN127" s="235">
        <f>+SUM(CB127:CM127)</f>
        <v>125646711.45000005</v>
      </c>
      <c r="CO127" s="235">
        <f>+CO75</f>
        <v>7314608.2400000095</v>
      </c>
      <c r="CP127" s="235">
        <f t="shared" ref="CP127:CZ127" si="668">+CP75</f>
        <v>7622435.0299999714</v>
      </c>
      <c r="CQ127" s="235">
        <f t="shared" si="668"/>
        <v>8543137.0999999046</v>
      </c>
      <c r="CR127" s="235">
        <f t="shared" si="668"/>
        <v>10307029.5400002</v>
      </c>
      <c r="CS127" s="235">
        <f t="shared" si="668"/>
        <v>11315522.220000029</v>
      </c>
      <c r="CT127" s="235">
        <f t="shared" si="668"/>
        <v>11506282.75999999</v>
      </c>
      <c r="CU127" s="235">
        <f t="shared" si="668"/>
        <v>11506282.75999999</v>
      </c>
      <c r="CV127" s="235">
        <f t="shared" si="668"/>
        <v>11506282.75999999</v>
      </c>
      <c r="CW127" s="235">
        <f t="shared" si="668"/>
        <v>11506282.75999999</v>
      </c>
      <c r="CX127" s="235">
        <f t="shared" si="668"/>
        <v>11506282.75999999</v>
      </c>
      <c r="CY127" s="235">
        <f t="shared" si="668"/>
        <v>11506282.75999999</v>
      </c>
      <c r="CZ127" s="235">
        <f t="shared" si="668"/>
        <v>11506282.75999999</v>
      </c>
      <c r="DA127" s="235">
        <f>+SUM(CO127:CZ127)</f>
        <v>125646711.45000005</v>
      </c>
      <c r="DB127" s="235">
        <f>+DB75</f>
        <v>7314608.2400000095</v>
      </c>
      <c r="DC127" s="235">
        <f t="shared" ref="DC127:DM127" si="669">+DC75</f>
        <v>7622435.0299999714</v>
      </c>
      <c r="DD127" s="235">
        <f t="shared" si="669"/>
        <v>8543137.0999999046</v>
      </c>
      <c r="DE127" s="235">
        <f t="shared" si="669"/>
        <v>10307029.5400002</v>
      </c>
      <c r="DF127" s="235">
        <f t="shared" si="669"/>
        <v>11315522.220000029</v>
      </c>
      <c r="DG127" s="235">
        <f t="shared" si="669"/>
        <v>11506282.75999999</v>
      </c>
      <c r="DH127" s="235">
        <f t="shared" si="669"/>
        <v>11506282.75999999</v>
      </c>
      <c r="DI127" s="235">
        <f t="shared" si="669"/>
        <v>11506282.75999999</v>
      </c>
      <c r="DJ127" s="235">
        <f t="shared" si="669"/>
        <v>11506282.75999999</v>
      </c>
      <c r="DK127" s="235">
        <f t="shared" si="669"/>
        <v>11506282.75999999</v>
      </c>
      <c r="DL127" s="235">
        <f t="shared" si="669"/>
        <v>11506282.75999999</v>
      </c>
      <c r="DM127" s="235">
        <f t="shared" si="669"/>
        <v>11506282.75999999</v>
      </c>
      <c r="DN127" s="235">
        <f>+SUM(DB127:DM127)</f>
        <v>125646711.45000005</v>
      </c>
      <c r="DO127" s="235">
        <f>+DO75</f>
        <v>7314608.2400000095</v>
      </c>
      <c r="DP127" s="235">
        <f t="shared" ref="DP127:DZ127" si="670">+DP75</f>
        <v>7622435.0299999714</v>
      </c>
      <c r="DQ127" s="235">
        <f t="shared" si="670"/>
        <v>8543137.0999999046</v>
      </c>
      <c r="DR127" s="235">
        <f t="shared" si="670"/>
        <v>10307029.5400002</v>
      </c>
      <c r="DS127" s="235">
        <f t="shared" si="670"/>
        <v>11315522.220000029</v>
      </c>
      <c r="DT127" s="235">
        <f t="shared" si="670"/>
        <v>11506282.75999999</v>
      </c>
      <c r="DU127" s="235">
        <f t="shared" si="670"/>
        <v>11506282.75999999</v>
      </c>
      <c r="DV127" s="235">
        <f t="shared" si="670"/>
        <v>11506282.75999999</v>
      </c>
      <c r="DW127" s="235">
        <f t="shared" si="670"/>
        <v>11506282.75999999</v>
      </c>
      <c r="DX127" s="235">
        <f t="shared" si="670"/>
        <v>11506282.75999999</v>
      </c>
      <c r="DY127" s="235">
        <f t="shared" si="670"/>
        <v>11506282.75999999</v>
      </c>
      <c r="DZ127" s="235">
        <f t="shared" si="670"/>
        <v>11506282.75999999</v>
      </c>
      <c r="EA127" s="235">
        <f>+SUM(DO127:DZ127)</f>
        <v>125646711.45000005</v>
      </c>
      <c r="EB127" s="235">
        <f>+EB75</f>
        <v>7314608.2400000095</v>
      </c>
      <c r="EC127" s="235">
        <f t="shared" ref="EC127:EM127" si="671">+EC75</f>
        <v>7622435.0299999714</v>
      </c>
      <c r="ED127" s="235">
        <f t="shared" si="671"/>
        <v>8543137.0999999046</v>
      </c>
      <c r="EE127" s="235">
        <f t="shared" si="671"/>
        <v>10307029.5400002</v>
      </c>
      <c r="EF127" s="235">
        <f t="shared" si="671"/>
        <v>11315522.220000029</v>
      </c>
      <c r="EG127" s="235">
        <f t="shared" si="671"/>
        <v>11506282.75999999</v>
      </c>
      <c r="EH127" s="235">
        <f t="shared" si="671"/>
        <v>11506282.75999999</v>
      </c>
      <c r="EI127" s="235">
        <f t="shared" si="671"/>
        <v>11506282.75999999</v>
      </c>
      <c r="EJ127" s="235">
        <f t="shared" si="671"/>
        <v>11506282.75999999</v>
      </c>
      <c r="EK127" s="235">
        <f t="shared" si="671"/>
        <v>11506282.75999999</v>
      </c>
      <c r="EL127" s="235">
        <f t="shared" si="671"/>
        <v>11506282.75999999</v>
      </c>
      <c r="EM127" s="235">
        <f t="shared" si="671"/>
        <v>11506282.75999999</v>
      </c>
      <c r="EN127" s="235">
        <f>+SUM(EB127:EM127)</f>
        <v>125646711.45000005</v>
      </c>
    </row>
    <row r="128" spans="1:183" s="235" customFormat="1" x14ac:dyDescent="0.25">
      <c r="A128" s="234" t="s">
        <v>499</v>
      </c>
      <c r="B128" s="235">
        <f>+B35</f>
        <v>636869709.56999981</v>
      </c>
      <c r="C128" s="235">
        <f t="shared" ref="C128:M128" si="672">+C35</f>
        <v>634697887.49999976</v>
      </c>
      <c r="D128" s="235">
        <f t="shared" si="672"/>
        <v>632378810.37999976</v>
      </c>
      <c r="E128" s="235">
        <f t="shared" si="672"/>
        <v>630071109.53999972</v>
      </c>
      <c r="F128" s="235">
        <f t="shared" si="672"/>
        <v>627803623.65999973</v>
      </c>
      <c r="G128" s="235">
        <f t="shared" si="672"/>
        <v>625485032.5599997</v>
      </c>
      <c r="H128" s="235">
        <f t="shared" si="672"/>
        <v>622872200.41999972</v>
      </c>
      <c r="I128" s="235">
        <f t="shared" si="672"/>
        <v>639591919.32999969</v>
      </c>
      <c r="J128" s="235">
        <f t="shared" si="672"/>
        <v>644313079.3099997</v>
      </c>
      <c r="K128" s="235">
        <f t="shared" si="672"/>
        <v>641182468.97999966</v>
      </c>
      <c r="L128" s="235">
        <f t="shared" si="672"/>
        <v>638545997.26999962</v>
      </c>
      <c r="M128" s="235">
        <f t="shared" si="672"/>
        <v>636043492.23999965</v>
      </c>
      <c r="N128" s="235">
        <f>+M128</f>
        <v>636043492.23999965</v>
      </c>
      <c r="O128" s="235">
        <f>+O35</f>
        <v>653263520.0999999</v>
      </c>
      <c r="P128" s="235">
        <f t="shared" ref="P128:Z128" si="673">+P35</f>
        <v>650531466.15999985</v>
      </c>
      <c r="Q128" s="235">
        <f t="shared" si="673"/>
        <v>647681152.94999981</v>
      </c>
      <c r="R128" s="235">
        <f t="shared" si="673"/>
        <v>644745403.36999977</v>
      </c>
      <c r="S128" s="235">
        <f t="shared" si="673"/>
        <v>642419475.18999982</v>
      </c>
      <c r="T128" s="235">
        <f t="shared" si="673"/>
        <v>639330515.75999987</v>
      </c>
      <c r="U128" s="235">
        <f t="shared" si="673"/>
        <v>636527598.18999982</v>
      </c>
      <c r="V128" s="235">
        <f t="shared" si="673"/>
        <v>633693922.09999979</v>
      </c>
      <c r="W128" s="235">
        <f t="shared" si="673"/>
        <v>630993167.77999973</v>
      </c>
      <c r="X128" s="235">
        <f t="shared" si="673"/>
        <v>628375222.16999972</v>
      </c>
      <c r="Y128" s="235">
        <f t="shared" si="673"/>
        <v>625690958.44999969</v>
      </c>
      <c r="Z128" s="235">
        <f t="shared" si="673"/>
        <v>623223082.06999969</v>
      </c>
      <c r="AA128" s="235">
        <f>+Z128</f>
        <v>623223082.06999969</v>
      </c>
      <c r="AB128" s="235">
        <f>+AB35</f>
        <v>620769486.60000026</v>
      </c>
      <c r="AC128" s="235">
        <f t="shared" ref="AC128:AM128" si="674">+AC35</f>
        <v>618079411.21000028</v>
      </c>
      <c r="AD128" s="235">
        <f t="shared" si="674"/>
        <v>615843930.09000027</v>
      </c>
      <c r="AE128" s="235">
        <f t="shared" si="674"/>
        <v>613779215.16000032</v>
      </c>
      <c r="AF128" s="235">
        <f t="shared" si="674"/>
        <v>611815203.39000034</v>
      </c>
      <c r="AG128" s="235">
        <f t="shared" si="674"/>
        <v>609664523.42000031</v>
      </c>
      <c r="AH128" s="235">
        <f t="shared" si="674"/>
        <v>609241585.72000027</v>
      </c>
      <c r="AI128" s="235">
        <f t="shared" si="674"/>
        <v>607518652.11000025</v>
      </c>
      <c r="AJ128" s="235">
        <f t="shared" si="674"/>
        <v>600620634.4200002</v>
      </c>
      <c r="AK128" s="235">
        <f t="shared" si="674"/>
        <v>599357832.34000015</v>
      </c>
      <c r="AL128" s="235">
        <f t="shared" si="674"/>
        <v>598050296.57000017</v>
      </c>
      <c r="AM128" s="235">
        <f t="shared" si="674"/>
        <v>597586950.94000018</v>
      </c>
      <c r="AN128" s="235">
        <f>+AM128</f>
        <v>597586950.94000018</v>
      </c>
      <c r="AO128" s="235">
        <f>+AO35</f>
        <v>596269700.48999977</v>
      </c>
      <c r="AP128" s="235">
        <f t="shared" ref="AP128:AZ128" si="675">+AP35</f>
        <v>594840322.21999979</v>
      </c>
      <c r="AQ128" s="235">
        <f t="shared" si="675"/>
        <v>593360430.48999977</v>
      </c>
      <c r="AR128" s="235">
        <f t="shared" si="675"/>
        <v>591936176.42999983</v>
      </c>
      <c r="AS128" s="235">
        <f t="shared" si="675"/>
        <v>590425035.5799998</v>
      </c>
      <c r="AT128" s="235">
        <f t="shared" si="675"/>
        <v>589083557.38999975</v>
      </c>
      <c r="AU128" s="235">
        <f t="shared" si="675"/>
        <v>587740343.42999971</v>
      </c>
      <c r="AV128" s="235">
        <f t="shared" si="675"/>
        <v>584830720.22999966</v>
      </c>
      <c r="AW128" s="235">
        <f t="shared" si="675"/>
        <v>582948454.5599997</v>
      </c>
      <c r="AX128" s="235">
        <f t="shared" si="675"/>
        <v>581135705.76999974</v>
      </c>
      <c r="AY128" s="235">
        <f t="shared" si="675"/>
        <v>579975080.48999977</v>
      </c>
      <c r="AZ128" s="235">
        <f t="shared" si="675"/>
        <v>578464133.68999982</v>
      </c>
      <c r="BA128" s="235">
        <f>+AZ128</f>
        <v>578464133.68999982</v>
      </c>
      <c r="BB128" s="235">
        <f>+BB35</f>
        <v>577407467.30999994</v>
      </c>
      <c r="BC128" s="235">
        <f t="shared" ref="BC128:BM128" si="676">+BC35</f>
        <v>576234959.88999999</v>
      </c>
      <c r="BD128" s="235">
        <f t="shared" si="676"/>
        <v>575117381.51999998</v>
      </c>
      <c r="BE128" s="235">
        <f t="shared" si="676"/>
        <v>574511724.75</v>
      </c>
      <c r="BF128" s="235">
        <f t="shared" si="676"/>
        <v>573736025.79999995</v>
      </c>
      <c r="BG128" s="235">
        <f t="shared" si="676"/>
        <v>573877374.76999998</v>
      </c>
      <c r="BH128" s="235">
        <f t="shared" si="676"/>
        <v>593978590.98000002</v>
      </c>
      <c r="BI128" s="235">
        <f t="shared" si="676"/>
        <v>595289240.37</v>
      </c>
      <c r="BJ128" s="235">
        <f t="shared" si="676"/>
        <v>597355415.79999995</v>
      </c>
      <c r="BK128" s="235">
        <f t="shared" si="676"/>
        <v>599774235.46000004</v>
      </c>
      <c r="BL128" s="235">
        <f t="shared" si="676"/>
        <v>603054619.73000002</v>
      </c>
      <c r="BM128" s="235">
        <f t="shared" si="676"/>
        <v>606848758.82000005</v>
      </c>
      <c r="BN128" s="235">
        <f>+BM128</f>
        <v>606848758.82000005</v>
      </c>
      <c r="BO128" s="235">
        <f t="shared" ref="BO128:BT128" si="677">+BO35</f>
        <v>618780286.11000001</v>
      </c>
      <c r="BP128" s="235">
        <f t="shared" si="677"/>
        <v>623600051.48000002</v>
      </c>
      <c r="BQ128" s="235">
        <f t="shared" si="677"/>
        <v>629870246.53999996</v>
      </c>
      <c r="BR128" s="235">
        <f t="shared" si="677"/>
        <v>638041187.58000004</v>
      </c>
      <c r="BS128" s="235">
        <f t="shared" si="677"/>
        <v>647420575.25999999</v>
      </c>
      <c r="BT128" s="235">
        <f t="shared" si="677"/>
        <v>656823346.12</v>
      </c>
      <c r="BU128" s="235">
        <f t="shared" ref="BU128:BZ128" si="678">+BU126-BU127+BU129</f>
        <v>648626553.48503125</v>
      </c>
      <c r="BV128" s="235">
        <f t="shared" si="678"/>
        <v>640429760.85006249</v>
      </c>
      <c r="BW128" s="235">
        <f t="shared" si="678"/>
        <v>632232968.21509373</v>
      </c>
      <c r="BX128" s="235">
        <f t="shared" si="678"/>
        <v>624036175.58012497</v>
      </c>
      <c r="BY128" s="235">
        <f t="shared" si="678"/>
        <v>615839382.94515622</v>
      </c>
      <c r="BZ128" s="235">
        <f t="shared" si="678"/>
        <v>607642590.31018746</v>
      </c>
      <c r="CA128" s="235">
        <f t="shared" ref="CA128:CM128" si="679">+CA126-CA127+CA129</f>
        <v>607642590.31018746</v>
      </c>
      <c r="CB128" s="235">
        <f>+CB126-CB127+CB129</f>
        <v>610097552.88903844</v>
      </c>
      <c r="CC128" s="235">
        <f>+CC126-CC127+CC129</f>
        <v>612244688.67788947</v>
      </c>
      <c r="CD128" s="235">
        <f t="shared" si="679"/>
        <v>613471122.39674056</v>
      </c>
      <c r="CE128" s="235">
        <f t="shared" si="679"/>
        <v>612933663.67559135</v>
      </c>
      <c r="CF128" s="235">
        <f t="shared" si="679"/>
        <v>611387712.27444232</v>
      </c>
      <c r="CG128" s="235">
        <f t="shared" si="679"/>
        <v>609651000.33329332</v>
      </c>
      <c r="CH128" s="235">
        <f t="shared" si="679"/>
        <v>607914288.39214432</v>
      </c>
      <c r="CI128" s="235">
        <f t="shared" si="679"/>
        <v>606177576.45099533</v>
      </c>
      <c r="CJ128" s="235">
        <f t="shared" si="679"/>
        <v>604440864.50984633</v>
      </c>
      <c r="CK128" s="235">
        <f t="shared" si="679"/>
        <v>602704152.56869733</v>
      </c>
      <c r="CL128" s="235">
        <f t="shared" si="679"/>
        <v>600967440.62754834</v>
      </c>
      <c r="CM128" s="235">
        <f t="shared" si="679"/>
        <v>599230728.68639934</v>
      </c>
      <c r="CN128" s="235">
        <f>+CN126-CN127+CN129</f>
        <v>599230728.68639994</v>
      </c>
      <c r="CO128" s="235">
        <f>+CO126-CO127+CO129</f>
        <v>602386679.73389995</v>
      </c>
      <c r="CP128" s="235">
        <f t="shared" ref="CP128:CZ128" si="680">+CP126-CP127+CP129</f>
        <v>605234803.9914</v>
      </c>
      <c r="CQ128" s="235">
        <f t="shared" si="680"/>
        <v>607162226.17890012</v>
      </c>
      <c r="CR128" s="235">
        <f t="shared" si="680"/>
        <v>607325755.92639995</v>
      </c>
      <c r="CS128" s="235">
        <f t="shared" si="680"/>
        <v>606480792.99389994</v>
      </c>
      <c r="CT128" s="235">
        <f t="shared" si="680"/>
        <v>605445069.52139997</v>
      </c>
      <c r="CU128" s="235">
        <f t="shared" si="680"/>
        <v>604409346.04890001</v>
      </c>
      <c r="CV128" s="235">
        <f t="shared" si="680"/>
        <v>603373622.57640004</v>
      </c>
      <c r="CW128" s="235">
        <f t="shared" si="680"/>
        <v>602337899.10390007</v>
      </c>
      <c r="CX128" s="235">
        <f t="shared" si="680"/>
        <v>601302175.63140011</v>
      </c>
      <c r="CY128" s="235">
        <f t="shared" si="680"/>
        <v>600266452.15890014</v>
      </c>
      <c r="CZ128" s="235">
        <f t="shared" si="680"/>
        <v>599230728.68640018</v>
      </c>
      <c r="DA128" s="235">
        <f>+DA126-DA127+DA129</f>
        <v>599230728.68639994</v>
      </c>
      <c r="DB128" s="235">
        <f>+DB126-DB127+DB129</f>
        <v>581445561.1588999</v>
      </c>
      <c r="DC128" s="235">
        <f t="shared" ref="DC128:DM128" si="681">+DC126-DC127+DC129</f>
        <v>563352566.84139991</v>
      </c>
      <c r="DD128" s="235">
        <f t="shared" si="681"/>
        <v>544338870.45389998</v>
      </c>
      <c r="DE128" s="235">
        <f t="shared" si="681"/>
        <v>523561281.62639976</v>
      </c>
      <c r="DF128" s="235">
        <f t="shared" si="681"/>
        <v>501775200.1188997</v>
      </c>
      <c r="DG128" s="235">
        <f t="shared" si="681"/>
        <v>479798358.07139969</v>
      </c>
      <c r="DH128" s="235">
        <f t="shared" si="681"/>
        <v>457821516.02389967</v>
      </c>
      <c r="DI128" s="235">
        <f t="shared" si="681"/>
        <v>435844673.97639966</v>
      </c>
      <c r="DJ128" s="235">
        <f t="shared" si="681"/>
        <v>413867831.92889965</v>
      </c>
      <c r="DK128" s="235">
        <f t="shared" si="681"/>
        <v>391890989.88139963</v>
      </c>
      <c r="DL128" s="235">
        <f t="shared" si="681"/>
        <v>369914147.83389962</v>
      </c>
      <c r="DM128" s="235">
        <f t="shared" si="681"/>
        <v>347937305.7863996</v>
      </c>
      <c r="DN128" s="235">
        <f>+DN126-DN127+DN129</f>
        <v>347937305.78639984</v>
      </c>
      <c r="DO128" s="235">
        <f>+DO126-DO127+DO129</f>
        <v>351093256.83389986</v>
      </c>
      <c r="DP128" s="235">
        <f t="shared" ref="DP128:DZ128" si="682">+DP126-DP127+DP129</f>
        <v>353941381.09139991</v>
      </c>
      <c r="DQ128" s="235">
        <f t="shared" si="682"/>
        <v>355868803.27890003</v>
      </c>
      <c r="DR128" s="235">
        <f t="shared" si="682"/>
        <v>356032333.02639985</v>
      </c>
      <c r="DS128" s="235">
        <f t="shared" si="682"/>
        <v>355187370.09389985</v>
      </c>
      <c r="DT128" s="235">
        <f t="shared" si="682"/>
        <v>354151646.62139988</v>
      </c>
      <c r="DU128" s="235">
        <f t="shared" si="682"/>
        <v>353115923.14889991</v>
      </c>
      <c r="DV128" s="235">
        <f t="shared" si="682"/>
        <v>352080199.67639995</v>
      </c>
      <c r="DW128" s="235">
        <f t="shared" si="682"/>
        <v>351044476.20389998</v>
      </c>
      <c r="DX128" s="235">
        <f t="shared" si="682"/>
        <v>350008752.73140001</v>
      </c>
      <c r="DY128" s="235">
        <f t="shared" si="682"/>
        <v>348973029.25890005</v>
      </c>
      <c r="DZ128" s="235">
        <f t="shared" si="682"/>
        <v>347937305.78640008</v>
      </c>
      <c r="EA128" s="235">
        <f>+EA126-EA127+EA129</f>
        <v>347937305.78639984</v>
      </c>
      <c r="EB128" s="235">
        <f>+EB126-EB127+EB129</f>
        <v>351093256.83389986</v>
      </c>
      <c r="EC128" s="235">
        <f t="shared" ref="EC128:EM128" si="683">+EC126-EC127+EC129</f>
        <v>353941381.09139991</v>
      </c>
      <c r="ED128" s="235">
        <f t="shared" si="683"/>
        <v>355868803.27890003</v>
      </c>
      <c r="EE128" s="235">
        <f t="shared" si="683"/>
        <v>356032333.02639985</v>
      </c>
      <c r="EF128" s="235">
        <f t="shared" si="683"/>
        <v>355187370.09389985</v>
      </c>
      <c r="EG128" s="235">
        <f t="shared" si="683"/>
        <v>354151646.62139988</v>
      </c>
      <c r="EH128" s="235">
        <f t="shared" si="683"/>
        <v>353115923.14889991</v>
      </c>
      <c r="EI128" s="235">
        <f t="shared" si="683"/>
        <v>352080199.67639995</v>
      </c>
      <c r="EJ128" s="235">
        <f t="shared" si="683"/>
        <v>351044476.20389998</v>
      </c>
      <c r="EK128" s="235">
        <f t="shared" si="683"/>
        <v>350008752.73140001</v>
      </c>
      <c r="EL128" s="235">
        <f t="shared" si="683"/>
        <v>348973029.25890005</v>
      </c>
      <c r="EM128" s="235">
        <f t="shared" si="683"/>
        <v>347937305.78640008</v>
      </c>
      <c r="EN128" s="235">
        <f>+EN126-EN127+EN129</f>
        <v>347937305.78639984</v>
      </c>
    </row>
    <row r="129" spans="1:144" s="247" customFormat="1" x14ac:dyDescent="0.25">
      <c r="A129" s="237" t="s">
        <v>615</v>
      </c>
      <c r="B129" s="238" t="e">
        <f t="shared" ref="B129:AG129" si="684">+IF(B126-B127&lt;&gt;B128,B128-(B126-B127),0)</f>
        <v>#VALUE!</v>
      </c>
      <c r="C129" s="238">
        <f t="shared" si="684"/>
        <v>1342204.189999938</v>
      </c>
      <c r="D129" s="238">
        <f t="shared" si="684"/>
        <v>1123824.2000000477</v>
      </c>
      <c r="E129" s="238">
        <f t="shared" si="684"/>
        <v>1140861.0299998522</v>
      </c>
      <c r="F129" s="238">
        <f t="shared" si="684"/>
        <v>1200170.0800000429</v>
      </c>
      <c r="G129" s="238">
        <f t="shared" si="684"/>
        <v>1122873.3899999857</v>
      </c>
      <c r="H129" s="238">
        <f t="shared" si="684"/>
        <v>656173.88999998569</v>
      </c>
      <c r="I129" s="238">
        <f t="shared" si="684"/>
        <v>19932776.269999862</v>
      </c>
      <c r="J129" s="238">
        <f t="shared" si="684"/>
        <v>7749117.6100001335</v>
      </c>
      <c r="K129" s="238">
        <f t="shared" si="684"/>
        <v>113020.72999989986</v>
      </c>
      <c r="L129" s="238">
        <f t="shared" si="684"/>
        <v>1310816.8599998951</v>
      </c>
      <c r="M129" s="238">
        <f t="shared" si="684"/>
        <v>1127863.5399999619</v>
      </c>
      <c r="N129" s="238" t="e">
        <f t="shared" si="684"/>
        <v>#VALUE!</v>
      </c>
      <c r="O129" s="238">
        <f t="shared" si="684"/>
        <v>21009448.730000854</v>
      </c>
      <c r="P129" s="238">
        <f t="shared" si="684"/>
        <v>690669.96000003815</v>
      </c>
      <c r="Q129" s="238">
        <f t="shared" si="684"/>
        <v>464122.76999998093</v>
      </c>
      <c r="R129" s="238">
        <f t="shared" si="684"/>
        <v>317375.10000002384</v>
      </c>
      <c r="S129" s="238">
        <f t="shared" si="684"/>
        <v>865737.12999999523</v>
      </c>
      <c r="T129" s="238">
        <f t="shared" si="684"/>
        <v>129594.73000013828</v>
      </c>
      <c r="U129" s="238">
        <f t="shared" si="684"/>
        <v>599257.67999994755</v>
      </c>
      <c r="V129" s="238">
        <f t="shared" si="684"/>
        <v>523790.70999991894</v>
      </c>
      <c r="W129" s="238">
        <f t="shared" si="684"/>
        <v>742972.91999995708</v>
      </c>
      <c r="X129" s="238">
        <f t="shared" si="684"/>
        <v>867146.99999988079</v>
      </c>
      <c r="Y129" s="238">
        <f t="shared" si="684"/>
        <v>204966.42000007629</v>
      </c>
      <c r="Z129" s="238">
        <f t="shared" si="684"/>
        <v>488099.44999992847</v>
      </c>
      <c r="AA129" s="238">
        <f t="shared" si="684"/>
        <v>26903182.600000739</v>
      </c>
      <c r="AB129" s="238">
        <f t="shared" si="684"/>
        <v>846990.37000381947</v>
      </c>
      <c r="AC129" s="238">
        <f t="shared" si="684"/>
        <v>561701.04000008106</v>
      </c>
      <c r="AD129" s="238">
        <f t="shared" si="684"/>
        <v>1190733.3700000048</v>
      </c>
      <c r="AE129" s="238">
        <f t="shared" si="684"/>
        <v>1469072.439999938</v>
      </c>
      <c r="AF129" s="238">
        <f t="shared" si="684"/>
        <v>1674857.5499999523</v>
      </c>
      <c r="AG129" s="238">
        <f t="shared" si="684"/>
        <v>1421186.9800000191</v>
      </c>
      <c r="AH129" s="238">
        <f t="shared" ref="AH129:BM129" si="685">+IF(AH126-AH127&lt;&gt;AH128,AH128-(AH126-AH127),0)</f>
        <v>4411344.4800000191</v>
      </c>
      <c r="AI129" s="238">
        <f t="shared" si="685"/>
        <v>1704316.7700001001</v>
      </c>
      <c r="AJ129" s="238">
        <f t="shared" si="685"/>
        <v>-7179907.4400000572</v>
      </c>
      <c r="AK129" s="238">
        <f t="shared" si="685"/>
        <v>2624687.7599998713</v>
      </c>
      <c r="AL129" s="238">
        <f t="shared" si="685"/>
        <v>2321915.3499999046</v>
      </c>
      <c r="AM129" s="238">
        <f t="shared" si="685"/>
        <v>3216515.9499999285</v>
      </c>
      <c r="AN129" s="238">
        <f t="shared" si="685"/>
        <v>14263414.620003581</v>
      </c>
      <c r="AO129" s="238">
        <f t="shared" si="685"/>
        <v>2389274.3700004816</v>
      </c>
      <c r="AP129" s="238">
        <f t="shared" si="685"/>
        <v>2300391.25</v>
      </c>
      <c r="AQ129" s="238">
        <f t="shared" si="685"/>
        <v>2335433.379999876</v>
      </c>
      <c r="AR129" s="238">
        <f t="shared" si="685"/>
        <v>2367648.7300000191</v>
      </c>
      <c r="AS129" s="238">
        <f t="shared" si="685"/>
        <v>1647603.6200000048</v>
      </c>
      <c r="AT129" s="238">
        <f t="shared" si="685"/>
        <v>2166207.0899999142</v>
      </c>
      <c r="AU129" s="238">
        <f t="shared" si="685"/>
        <v>2485117.0099999905</v>
      </c>
      <c r="AV129" s="238">
        <f t="shared" si="685"/>
        <v>-432437.08000016212</v>
      </c>
      <c r="AW129" s="238">
        <f t="shared" si="685"/>
        <v>1500611.7900000811</v>
      </c>
      <c r="AX129" s="238">
        <f t="shared" si="685"/>
        <v>1380366.8199999332</v>
      </c>
      <c r="AY129" s="238">
        <f t="shared" si="685"/>
        <v>2265681.3199999332</v>
      </c>
      <c r="AZ129" s="238">
        <f t="shared" si="685"/>
        <v>2102852.9600000381</v>
      </c>
      <c r="BA129" s="238">
        <f t="shared" si="685"/>
        <v>22508751.26000011</v>
      </c>
      <c r="BB129" s="238">
        <f t="shared" si="685"/>
        <v>-1056666.379999876</v>
      </c>
      <c r="BC129" s="238">
        <f t="shared" si="685"/>
        <v>2762915.7899998426</v>
      </c>
      <c r="BD129" s="238">
        <f t="shared" si="685"/>
        <v>2982097.2600001097</v>
      </c>
      <c r="BE129" s="238">
        <f t="shared" si="685"/>
        <v>3585553.9600000381</v>
      </c>
      <c r="BF129" s="238">
        <f t="shared" si="685"/>
        <v>2928358.2799999714</v>
      </c>
      <c r="BG129" s="238">
        <f t="shared" si="685"/>
        <v>3308390.4800000191</v>
      </c>
      <c r="BH129" s="238">
        <f t="shared" si="685"/>
        <v>24410088.119999886</v>
      </c>
      <c r="BI129" s="238">
        <f t="shared" si="685"/>
        <v>4919899.4000002146</v>
      </c>
      <c r="BJ129" s="238">
        <f t="shared" si="685"/>
        <v>7378807.8599997759</v>
      </c>
      <c r="BK129" s="238">
        <f t="shared" si="685"/>
        <v>7323202.6100001335</v>
      </c>
      <c r="BL129" s="238">
        <f t="shared" si="685"/>
        <v>9433420.8099999428</v>
      </c>
      <c r="BM129" s="238">
        <f t="shared" si="685"/>
        <v>10537428.290000081</v>
      </c>
      <c r="BN129" s="238">
        <f t="shared" ref="BN129:BS129" si="686">+IF(BN126-BN127&lt;&gt;BN128,BN128-(BN126-BN127),0)</f>
        <v>78513496.480000138</v>
      </c>
      <c r="BO129" s="238">
        <f t="shared" si="686"/>
        <v>19246135.529999971</v>
      </c>
      <c r="BP129" s="238">
        <f t="shared" si="686"/>
        <v>12442200.399999976</v>
      </c>
      <c r="BQ129" s="238">
        <f t="shared" si="686"/>
        <v>14813332.159999847</v>
      </c>
      <c r="BR129" s="238">
        <f t="shared" si="686"/>
        <v>18477970.580000281</v>
      </c>
      <c r="BS129" s="238">
        <f t="shared" si="686"/>
        <v>20694909.899999976</v>
      </c>
      <c r="BT129" s="238">
        <f t="shared" ref="BT129" si="687">+IF(BT126-BT127&lt;&gt;BT128,BT128-(BT126-BT127),0)</f>
        <v>20909053.620000005</v>
      </c>
      <c r="BU129" s="238">
        <f t="shared" ref="BU129:BY129" si="688">+BV129</f>
        <v>3309490.1250312328</v>
      </c>
      <c r="BV129" s="238">
        <f t="shared" si="688"/>
        <v>3309490.1250312328</v>
      </c>
      <c r="BW129" s="238">
        <f t="shared" si="688"/>
        <v>3309490.1250312328</v>
      </c>
      <c r="BX129" s="238">
        <f t="shared" si="688"/>
        <v>3309490.1250312328</v>
      </c>
      <c r="BY129" s="238">
        <f t="shared" si="688"/>
        <v>3309490.1250312328</v>
      </c>
      <c r="BZ129" s="238">
        <f>+(CA129-SUM(BO129:BT129))/6</f>
        <v>3309490.1250312328</v>
      </c>
      <c r="CA129" s="238">
        <f>+HLOOKUP(CA122,'Control y Supuestos'!$G$17:$L$31,15,FALSE)*CA5+CA127-CA126</f>
        <v>126440542.94018745</v>
      </c>
      <c r="CB129" s="238">
        <f t="shared" ref="CB129:CK129" si="689">+CC129</f>
        <v>9769570.8188510444</v>
      </c>
      <c r="CC129" s="238">
        <f>+CD129</f>
        <v>9769570.8188510444</v>
      </c>
      <c r="CD129" s="238">
        <f t="shared" si="689"/>
        <v>9769570.8188510444</v>
      </c>
      <c r="CE129" s="238">
        <f t="shared" si="689"/>
        <v>9769570.8188510444</v>
      </c>
      <c r="CF129" s="238">
        <f t="shared" si="689"/>
        <v>9769570.8188510444</v>
      </c>
      <c r="CG129" s="238">
        <f t="shared" si="689"/>
        <v>9769570.8188510444</v>
      </c>
      <c r="CH129" s="238">
        <f t="shared" si="689"/>
        <v>9769570.8188510444</v>
      </c>
      <c r="CI129" s="238">
        <f t="shared" si="689"/>
        <v>9769570.8188510444</v>
      </c>
      <c r="CJ129" s="238">
        <f t="shared" si="689"/>
        <v>9769570.8188510444</v>
      </c>
      <c r="CK129" s="238">
        <f t="shared" si="689"/>
        <v>9769570.8188510444</v>
      </c>
      <c r="CL129" s="238">
        <f>+CM129</f>
        <v>9769570.8188510444</v>
      </c>
      <c r="CM129" s="238">
        <f>+CN129/12</f>
        <v>9769570.8188510444</v>
      </c>
      <c r="CN129" s="238">
        <f>+HLOOKUP(CN122,'Control y Supuestos'!$G$17:$L$31,15,FALSE)*CN5+CN127-CN126</f>
        <v>117234849.82621253</v>
      </c>
      <c r="CO129" s="238">
        <f t="shared" ref="CO129" si="690">+CP129</f>
        <v>10470559.287500003</v>
      </c>
      <c r="CP129" s="238">
        <f t="shared" ref="CP129" si="691">+CQ129</f>
        <v>10470559.287500003</v>
      </c>
      <c r="CQ129" s="238">
        <f t="shared" ref="CQ129" si="692">+CR129</f>
        <v>10470559.287500003</v>
      </c>
      <c r="CR129" s="238">
        <f t="shared" ref="CR129" si="693">+CS129</f>
        <v>10470559.287500003</v>
      </c>
      <c r="CS129" s="238">
        <f t="shared" ref="CS129" si="694">+CT129</f>
        <v>10470559.287500003</v>
      </c>
      <c r="CT129" s="238">
        <f t="shared" ref="CT129" si="695">+CU129</f>
        <v>10470559.287500003</v>
      </c>
      <c r="CU129" s="238">
        <f t="shared" ref="CU129" si="696">+CV129</f>
        <v>10470559.287500003</v>
      </c>
      <c r="CV129" s="238">
        <f t="shared" ref="CV129" si="697">+CW129</f>
        <v>10470559.287500003</v>
      </c>
      <c r="CW129" s="238">
        <f t="shared" ref="CW129" si="698">+CX129</f>
        <v>10470559.287500003</v>
      </c>
      <c r="CX129" s="238">
        <f t="shared" ref="CX129" si="699">+CY129</f>
        <v>10470559.287500003</v>
      </c>
      <c r="CY129" s="238">
        <f>+CZ129</f>
        <v>10470559.287500003</v>
      </c>
      <c r="CZ129" s="238">
        <f>+DA129/12</f>
        <v>10470559.287500003</v>
      </c>
      <c r="DA129" s="238">
        <f>+HLOOKUP(DA122,'Control y Supuestos'!$G$17:$L$31,15,FALSE)*DA5+DA127-DA126</f>
        <v>125646711.45000005</v>
      </c>
      <c r="DB129" s="238">
        <f t="shared" ref="DB129" si="700">+DC129</f>
        <v>-10470559.287500003</v>
      </c>
      <c r="DC129" s="238">
        <f t="shared" ref="DC129" si="701">+DD129</f>
        <v>-10470559.287500003</v>
      </c>
      <c r="DD129" s="238">
        <f t="shared" ref="DD129" si="702">+DE129</f>
        <v>-10470559.287500003</v>
      </c>
      <c r="DE129" s="238">
        <f t="shared" ref="DE129" si="703">+DF129</f>
        <v>-10470559.287500003</v>
      </c>
      <c r="DF129" s="238">
        <f t="shared" ref="DF129" si="704">+DG129</f>
        <v>-10470559.287500003</v>
      </c>
      <c r="DG129" s="238">
        <f t="shared" ref="DG129" si="705">+DH129</f>
        <v>-10470559.287500003</v>
      </c>
      <c r="DH129" s="238">
        <f t="shared" ref="DH129" si="706">+DI129</f>
        <v>-10470559.287500003</v>
      </c>
      <c r="DI129" s="238">
        <f t="shared" ref="DI129" si="707">+DJ129</f>
        <v>-10470559.287500003</v>
      </c>
      <c r="DJ129" s="238">
        <f t="shared" ref="DJ129" si="708">+DK129</f>
        <v>-10470559.287500003</v>
      </c>
      <c r="DK129" s="238">
        <f t="shared" ref="DK129" si="709">+DL129</f>
        <v>-10470559.287500003</v>
      </c>
      <c r="DL129" s="238">
        <f>+DM129</f>
        <v>-10470559.287500003</v>
      </c>
      <c r="DM129" s="238">
        <f>+DN129/12</f>
        <v>-10470559.287500003</v>
      </c>
      <c r="DN129" s="238">
        <f>+HLOOKUP(DN122,'Control y Supuestos'!$G$17:$L$31,15,FALSE)*DN5-DN127-DN126</f>
        <v>-125646711.45000005</v>
      </c>
      <c r="DO129" s="238">
        <f t="shared" ref="DO129" si="710">+DP129</f>
        <v>10470559.287500003</v>
      </c>
      <c r="DP129" s="238">
        <f t="shared" ref="DP129" si="711">+DQ129</f>
        <v>10470559.287500003</v>
      </c>
      <c r="DQ129" s="238">
        <f t="shared" ref="DQ129" si="712">+DR129</f>
        <v>10470559.287500003</v>
      </c>
      <c r="DR129" s="238">
        <f t="shared" ref="DR129" si="713">+DS129</f>
        <v>10470559.287500003</v>
      </c>
      <c r="DS129" s="238">
        <f t="shared" ref="DS129" si="714">+DT129</f>
        <v>10470559.287500003</v>
      </c>
      <c r="DT129" s="238">
        <f t="shared" ref="DT129" si="715">+DU129</f>
        <v>10470559.287500003</v>
      </c>
      <c r="DU129" s="238">
        <f t="shared" ref="DU129" si="716">+DV129</f>
        <v>10470559.287500003</v>
      </c>
      <c r="DV129" s="238">
        <f t="shared" ref="DV129" si="717">+DW129</f>
        <v>10470559.287500003</v>
      </c>
      <c r="DW129" s="238">
        <f t="shared" ref="DW129" si="718">+DX129</f>
        <v>10470559.287500003</v>
      </c>
      <c r="DX129" s="238">
        <f t="shared" ref="DX129" si="719">+DY129</f>
        <v>10470559.287500003</v>
      </c>
      <c r="DY129" s="238">
        <f>+DZ129</f>
        <v>10470559.287500003</v>
      </c>
      <c r="DZ129" s="238">
        <f>+EA129/12</f>
        <v>10470559.287500003</v>
      </c>
      <c r="EA129" s="238">
        <f>+HLOOKUP(EA122,'Control y Supuestos'!$G$17:$L$31,15,FALSE)*EA5-EA127-EA126</f>
        <v>125646711.45000005</v>
      </c>
      <c r="EB129" s="238">
        <f t="shared" ref="EB129" si="720">+EC129</f>
        <v>10470559.287500003</v>
      </c>
      <c r="EC129" s="238">
        <f t="shared" ref="EC129" si="721">+ED129</f>
        <v>10470559.287500003</v>
      </c>
      <c r="ED129" s="238">
        <f t="shared" ref="ED129" si="722">+EE129</f>
        <v>10470559.287500003</v>
      </c>
      <c r="EE129" s="238">
        <f t="shared" ref="EE129" si="723">+EF129</f>
        <v>10470559.287500003</v>
      </c>
      <c r="EF129" s="238">
        <f t="shared" ref="EF129" si="724">+EG129</f>
        <v>10470559.287500003</v>
      </c>
      <c r="EG129" s="238">
        <f t="shared" ref="EG129" si="725">+EH129</f>
        <v>10470559.287500003</v>
      </c>
      <c r="EH129" s="238">
        <f t="shared" ref="EH129" si="726">+EI129</f>
        <v>10470559.287500003</v>
      </c>
      <c r="EI129" s="238">
        <f t="shared" ref="EI129" si="727">+EJ129</f>
        <v>10470559.287500003</v>
      </c>
      <c r="EJ129" s="238">
        <f t="shared" ref="EJ129" si="728">+EK129</f>
        <v>10470559.287500003</v>
      </c>
      <c r="EK129" s="238">
        <f t="shared" ref="EK129" si="729">+EL129</f>
        <v>10470559.287500003</v>
      </c>
      <c r="EL129" s="238">
        <f>+EM129</f>
        <v>10470559.287500003</v>
      </c>
      <c r="EM129" s="238">
        <f>+EN129/12</f>
        <v>10470559.287500003</v>
      </c>
      <c r="EN129" s="238">
        <f>+HLOOKUP(EN122,'Control y Supuestos'!$G$17:$L$31,15,FALSE)*EN5-EN127-EN126</f>
        <v>125646711.45000005</v>
      </c>
    </row>
    <row r="130" spans="1:144" s="235" customFormat="1" x14ac:dyDescent="0.25">
      <c r="A130" s="234"/>
    </row>
    <row r="131" spans="1:144" x14ac:dyDescent="0.25">
      <c r="BT131" s="236">
        <f>+BT126-BT127+BT129</f>
        <v>656823346.12</v>
      </c>
      <c r="BU131" s="236">
        <f>+BU126-BU127+BU129</f>
        <v>648626553.48503125</v>
      </c>
      <c r="BV131" s="236">
        <f t="shared" ref="BV131:BZ131" si="730">+BV126-BV127+BV129</f>
        <v>640429760.85006249</v>
      </c>
      <c r="BW131" s="236">
        <f t="shared" si="730"/>
        <v>632232968.21509373</v>
      </c>
      <c r="BX131" s="236">
        <f t="shared" si="730"/>
        <v>624036175.58012497</v>
      </c>
      <c r="BY131" s="236">
        <f t="shared" si="730"/>
        <v>615839382.94515622</v>
      </c>
      <c r="BZ131" s="236">
        <f t="shared" si="730"/>
        <v>607642590.31018746</v>
      </c>
      <c r="CA131" s="236">
        <f>+CA126-CA127+CA129</f>
        <v>607642590.31018746</v>
      </c>
      <c r="CN131" s="236">
        <f>+CN126-CN127+CN129</f>
        <v>599230728.68639994</v>
      </c>
      <c r="CO131" s="236">
        <f>CO126-CO127+CO129</f>
        <v>602386679.73389995</v>
      </c>
      <c r="CP131" s="236">
        <f>CP126-CP127+CP129</f>
        <v>605234803.9914</v>
      </c>
      <c r="CQ131" s="236">
        <f t="shared" ref="CQ131:CX131" si="731">CQ126-CQ127+CQ129</f>
        <v>607162226.17890012</v>
      </c>
      <c r="CR131" s="236">
        <f t="shared" si="731"/>
        <v>607325755.92639995</v>
      </c>
      <c r="CS131" s="236">
        <f t="shared" si="731"/>
        <v>606480792.99389994</v>
      </c>
      <c r="CT131" s="236">
        <f t="shared" si="731"/>
        <v>605445069.52139997</v>
      </c>
      <c r="CU131" s="236">
        <f t="shared" si="731"/>
        <v>604409346.04890001</v>
      </c>
      <c r="CV131" s="236">
        <f t="shared" si="731"/>
        <v>603373622.57640004</v>
      </c>
      <c r="CW131" s="236">
        <f t="shared" si="731"/>
        <v>602337899.10390007</v>
      </c>
      <c r="CX131" s="236">
        <f t="shared" si="731"/>
        <v>601302175.63140011</v>
      </c>
      <c r="CY131" s="236">
        <f>CY126-CY127+CY129</f>
        <v>600266452.15890014</v>
      </c>
      <c r="CZ131" s="236">
        <f>CZ126-CZ127+CZ129</f>
        <v>599230728.68640018</v>
      </c>
      <c r="DA131" s="277">
        <f>+HLOOKUP(DA122,'Control y Supuestos'!$G$17:$L$31,15,FALSE)*DA5</f>
        <v>599230728.68639994</v>
      </c>
    </row>
    <row r="132" spans="1:144" x14ac:dyDescent="0.25">
      <c r="CA132" s="236">
        <f>CA128-BZ128</f>
        <v>0</v>
      </c>
      <c r="CN132" s="235"/>
      <c r="CO132" s="236">
        <f>CO131-CO128</f>
        <v>0</v>
      </c>
      <c r="CP132" s="236">
        <f t="shared" ref="CP132:CZ132" si="732">CP131-CP128</f>
        <v>0</v>
      </c>
      <c r="CQ132" s="236">
        <f t="shared" si="732"/>
        <v>0</v>
      </c>
      <c r="CR132" s="236">
        <f t="shared" si="732"/>
        <v>0</v>
      </c>
      <c r="CS132" s="236">
        <f t="shared" si="732"/>
        <v>0</v>
      </c>
      <c r="CT132" s="236">
        <f t="shared" si="732"/>
        <v>0</v>
      </c>
      <c r="CU132" s="236">
        <f t="shared" si="732"/>
        <v>0</v>
      </c>
      <c r="CV132" s="236">
        <f t="shared" si="732"/>
        <v>0</v>
      </c>
      <c r="CW132" s="236">
        <f t="shared" si="732"/>
        <v>0</v>
      </c>
      <c r="CX132" s="236">
        <f t="shared" si="732"/>
        <v>0</v>
      </c>
      <c r="CY132" s="236">
        <f t="shared" si="732"/>
        <v>0</v>
      </c>
      <c r="CZ132" s="236">
        <f t="shared" si="732"/>
        <v>0</v>
      </c>
      <c r="DA132" s="236">
        <f>+DA126-DA127+DA129</f>
        <v>599230728.68639994</v>
      </c>
    </row>
    <row r="133" spans="1:144" x14ac:dyDescent="0.25">
      <c r="BO133" s="236"/>
    </row>
    <row r="134" spans="1:144" x14ac:dyDescent="0.25">
      <c r="BO134" s="236"/>
      <c r="CM134" s="232" t="s">
        <v>625</v>
      </c>
      <c r="CN134" s="394">
        <v>0.27</v>
      </c>
    </row>
    <row r="135" spans="1:144" x14ac:dyDescent="0.25">
      <c r="CM135" s="232" t="s">
        <v>627</v>
      </c>
      <c r="CN135" s="394">
        <f>+(CN134+CN136)/2</f>
        <v>0.23949999999999999</v>
      </c>
    </row>
    <row r="136" spans="1:144" x14ac:dyDescent="0.25">
      <c r="CM136" s="232" t="s">
        <v>626</v>
      </c>
      <c r="CN136" s="395">
        <v>0.20899999999999999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94"/>
  <sheetViews>
    <sheetView topLeftCell="Q1" workbookViewId="0">
      <selection activeCell="AS15" sqref="AS15"/>
    </sheetView>
  </sheetViews>
  <sheetFormatPr baseColWidth="10" defaultColWidth="8.88671875" defaultRowHeight="13.8" outlineLevelCol="1" x14ac:dyDescent="0.25"/>
  <cols>
    <col min="1" max="1" width="10.6640625" style="194" bestFit="1" customWidth="1"/>
    <col min="2" max="3" width="10.6640625" style="194" customWidth="1"/>
    <col min="4" max="4" width="50.109375" style="194" customWidth="1"/>
    <col min="5" max="16" width="17.77734375" style="194" hidden="1" customWidth="1" outlineLevel="1"/>
    <col min="17" max="17" width="17.77734375" style="194" customWidth="1" collapsed="1"/>
    <col min="18" max="29" width="17.77734375" style="194" hidden="1" customWidth="1" outlineLevel="1"/>
    <col min="30" max="30" width="17.77734375" style="194" customWidth="1" collapsed="1"/>
    <col min="31" max="31" width="17.77734375" style="194" hidden="1" customWidth="1" outlineLevel="1"/>
    <col min="32" max="32" width="18.44140625" style="194" hidden="1" customWidth="1" outlineLevel="1"/>
    <col min="33" max="33" width="17.88671875" style="194" hidden="1" customWidth="1" outlineLevel="1"/>
    <col min="34" max="34" width="18.88671875" style="194" hidden="1" customWidth="1" outlineLevel="1"/>
    <col min="35" max="35" width="17.88671875" style="194" hidden="1" customWidth="1" outlineLevel="1"/>
    <col min="36" max="42" width="17.77734375" style="194" hidden="1" customWidth="1" outlineLevel="1"/>
    <col min="43" max="43" width="17.77734375" style="194" customWidth="1" collapsed="1"/>
    <col min="44" max="44" width="16.44140625" style="194" customWidth="1"/>
    <col min="45" max="49" width="16.21875" style="194" customWidth="1"/>
    <col min="50" max="50" width="13.6640625" style="194" bestFit="1" customWidth="1"/>
    <col min="51" max="55" width="8.88671875" style="194"/>
    <col min="56" max="16384" width="8.88671875" style="215"/>
  </cols>
  <sheetData>
    <row r="1" spans="1:55" ht="19.8" x14ac:dyDescent="0.3">
      <c r="A1" s="192"/>
      <c r="B1" s="192"/>
      <c r="C1" s="192"/>
      <c r="D1" s="417" t="s">
        <v>34</v>
      </c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</row>
    <row r="2" spans="1:55" ht="15.6" x14ac:dyDescent="0.3">
      <c r="A2" s="192"/>
      <c r="B2" s="192"/>
      <c r="C2" s="192"/>
      <c r="D2" s="416" t="s">
        <v>35</v>
      </c>
      <c r="E2" s="225">
        <v>44681</v>
      </c>
      <c r="F2" s="225">
        <f t="shared" ref="F2:P2" si="0">+EOMONTH(E2,1)</f>
        <v>44712</v>
      </c>
      <c r="G2" s="225">
        <f t="shared" si="0"/>
        <v>44742</v>
      </c>
      <c r="H2" s="225">
        <f t="shared" si="0"/>
        <v>44773</v>
      </c>
      <c r="I2" s="225">
        <f t="shared" si="0"/>
        <v>44804</v>
      </c>
      <c r="J2" s="225">
        <f t="shared" si="0"/>
        <v>44834</v>
      </c>
      <c r="K2" s="225">
        <f t="shared" si="0"/>
        <v>44865</v>
      </c>
      <c r="L2" s="225">
        <f t="shared" si="0"/>
        <v>44895</v>
      </c>
      <c r="M2" s="225">
        <f t="shared" si="0"/>
        <v>44926</v>
      </c>
      <c r="N2" s="225">
        <f t="shared" si="0"/>
        <v>44957</v>
      </c>
      <c r="O2" s="225">
        <f t="shared" si="0"/>
        <v>44985</v>
      </c>
      <c r="P2" s="225">
        <f t="shared" si="0"/>
        <v>45016</v>
      </c>
      <c r="Q2" s="226">
        <v>2022</v>
      </c>
      <c r="R2" s="225">
        <v>45046</v>
      </c>
      <c r="S2" s="225">
        <f>+EOMONTH(R2,1)</f>
        <v>45077</v>
      </c>
      <c r="T2" s="225">
        <f t="shared" ref="T2:AC2" si="1">+EOMONTH(S2,1)</f>
        <v>45107</v>
      </c>
      <c r="U2" s="225">
        <f t="shared" si="1"/>
        <v>45138</v>
      </c>
      <c r="V2" s="225">
        <f t="shared" si="1"/>
        <v>45169</v>
      </c>
      <c r="W2" s="225">
        <f t="shared" si="1"/>
        <v>45199</v>
      </c>
      <c r="X2" s="225">
        <f t="shared" si="1"/>
        <v>45230</v>
      </c>
      <c r="Y2" s="225">
        <f t="shared" si="1"/>
        <v>45260</v>
      </c>
      <c r="Z2" s="225">
        <f t="shared" si="1"/>
        <v>45291</v>
      </c>
      <c r="AA2" s="225">
        <f t="shared" si="1"/>
        <v>45322</v>
      </c>
      <c r="AB2" s="225">
        <f t="shared" si="1"/>
        <v>45351</v>
      </c>
      <c r="AC2" s="225">
        <f t="shared" si="1"/>
        <v>45382</v>
      </c>
      <c r="AD2" s="226">
        <v>2023</v>
      </c>
      <c r="AE2" s="225">
        <f>+EOMONTH(AC2,1)</f>
        <v>45412</v>
      </c>
      <c r="AF2" s="225">
        <f>+EOMONTH(AE2,1)</f>
        <v>45443</v>
      </c>
      <c r="AG2" s="225">
        <f t="shared" ref="AG2:AP2" si="2">+EOMONTH(AF2,1)</f>
        <v>45473</v>
      </c>
      <c r="AH2" s="225">
        <f t="shared" si="2"/>
        <v>45504</v>
      </c>
      <c r="AI2" s="225">
        <f t="shared" si="2"/>
        <v>45535</v>
      </c>
      <c r="AJ2" s="225">
        <f t="shared" si="2"/>
        <v>45565</v>
      </c>
      <c r="AK2" s="225">
        <f t="shared" si="2"/>
        <v>45596</v>
      </c>
      <c r="AL2" s="225">
        <f t="shared" si="2"/>
        <v>45626</v>
      </c>
      <c r="AM2" s="225">
        <f t="shared" si="2"/>
        <v>45657</v>
      </c>
      <c r="AN2" s="225">
        <f t="shared" si="2"/>
        <v>45688</v>
      </c>
      <c r="AO2" s="225">
        <f t="shared" si="2"/>
        <v>45716</v>
      </c>
      <c r="AP2" s="225">
        <f t="shared" si="2"/>
        <v>45747</v>
      </c>
      <c r="AQ2" s="226">
        <v>2024</v>
      </c>
      <c r="AR2" s="225">
        <f>+EOMONTH(AP2,1)</f>
        <v>45777</v>
      </c>
      <c r="AS2" s="225">
        <f>+EOMONTH(AR2,1)</f>
        <v>45808</v>
      </c>
      <c r="AT2" s="225">
        <f t="shared" ref="AT2:BC2" si="3">+EOMONTH(AS2,1)</f>
        <v>45838</v>
      </c>
      <c r="AU2" s="225">
        <f t="shared" si="3"/>
        <v>45869</v>
      </c>
      <c r="AV2" s="225">
        <f t="shared" si="3"/>
        <v>45900</v>
      </c>
      <c r="AW2" s="225">
        <f t="shared" si="3"/>
        <v>45930</v>
      </c>
      <c r="AX2" s="225">
        <f t="shared" si="3"/>
        <v>45961</v>
      </c>
      <c r="AY2" s="225">
        <f t="shared" si="3"/>
        <v>45991</v>
      </c>
      <c r="AZ2" s="225">
        <f t="shared" si="3"/>
        <v>46022</v>
      </c>
      <c r="BA2" s="225">
        <f t="shared" si="3"/>
        <v>46053</v>
      </c>
      <c r="BB2" s="225">
        <f t="shared" si="3"/>
        <v>46081</v>
      </c>
      <c r="BC2" s="225">
        <f t="shared" si="3"/>
        <v>46112</v>
      </c>
    </row>
    <row r="3" spans="1:55" x14ac:dyDescent="0.25"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E3" s="196"/>
      <c r="AF3" s="196"/>
    </row>
    <row r="4" spans="1:55" x14ac:dyDescent="0.25">
      <c r="A4" s="192" t="s">
        <v>0</v>
      </c>
      <c r="B4" s="192"/>
      <c r="C4" s="192"/>
      <c r="D4" s="192" t="s">
        <v>1</v>
      </c>
    </row>
    <row r="5" spans="1:55" s="526" customFormat="1" x14ac:dyDescent="0.25">
      <c r="A5" s="199" t="s">
        <v>2</v>
      </c>
      <c r="B5" s="199"/>
      <c r="C5" s="199"/>
      <c r="D5" s="199" t="s">
        <v>3</v>
      </c>
      <c r="E5" s="415">
        <f t="shared" ref="E5:O5" si="4">+SUM(E6:E7)</f>
        <v>33296493.399999995</v>
      </c>
      <c r="F5" s="415">
        <f t="shared" si="4"/>
        <v>27143425.57000003</v>
      </c>
      <c r="G5" s="415">
        <f t="shared" si="4"/>
        <v>26801770.579999994</v>
      </c>
      <c r="H5" s="415">
        <f t="shared" si="4"/>
        <v>33130220.829999976</v>
      </c>
      <c r="I5" s="415">
        <f t="shared" si="4"/>
        <v>40633231.509999976</v>
      </c>
      <c r="J5" s="415">
        <f t="shared" si="4"/>
        <v>34862424.859999985</v>
      </c>
      <c r="K5" s="415">
        <f t="shared" si="4"/>
        <v>39213250.199999966</v>
      </c>
      <c r="L5" s="415">
        <f t="shared" si="4"/>
        <v>39040759.199999981</v>
      </c>
      <c r="M5" s="415">
        <f t="shared" si="4"/>
        <v>45561564.069999978</v>
      </c>
      <c r="N5" s="415">
        <f t="shared" si="4"/>
        <v>25636546.149999995</v>
      </c>
      <c r="O5" s="415">
        <f t="shared" si="4"/>
        <v>28957889.349999998</v>
      </c>
      <c r="P5" s="415">
        <f>+SUM(P6:P7)</f>
        <v>43878384.819999978</v>
      </c>
      <c r="Q5" s="415">
        <f>+SUM(E5:P5)</f>
        <v>418155960.5399999</v>
      </c>
      <c r="R5" s="415">
        <f t="shared" ref="R5:AB5" si="5">+SUM(R6:R7)</f>
        <v>27830430.059999999</v>
      </c>
      <c r="S5" s="415">
        <f t="shared" si="5"/>
        <v>29395565.350000001</v>
      </c>
      <c r="T5" s="415">
        <f t="shared" si="5"/>
        <v>32325750.850000001</v>
      </c>
      <c r="U5" s="415">
        <f t="shared" si="5"/>
        <v>33791663.299999997</v>
      </c>
      <c r="V5" s="415">
        <f t="shared" si="5"/>
        <v>37781578.539999999</v>
      </c>
      <c r="W5" s="415">
        <f t="shared" si="5"/>
        <v>33754569.810000002</v>
      </c>
      <c r="X5" s="415">
        <f t="shared" si="5"/>
        <v>42512451.609999999</v>
      </c>
      <c r="Y5" s="415">
        <f t="shared" si="5"/>
        <v>35905824.469999999</v>
      </c>
      <c r="Z5" s="415">
        <f t="shared" si="5"/>
        <v>35422531.700000003</v>
      </c>
      <c r="AA5" s="415">
        <f t="shared" si="5"/>
        <v>55428653.460000001</v>
      </c>
      <c r="AB5" s="415">
        <f t="shared" si="5"/>
        <v>26525657.09</v>
      </c>
      <c r="AC5" s="415">
        <f>+SUM(AC6:AC7)</f>
        <v>47089941.869999997</v>
      </c>
      <c r="AD5" s="415">
        <f>+SUM(R5:AC5)</f>
        <v>437764618.10999995</v>
      </c>
      <c r="AE5" s="415">
        <f>+SUM(AE6:AE7)</f>
        <v>51738407.869999997</v>
      </c>
      <c r="AF5" s="415">
        <f>+AF6</f>
        <v>31208457.460000001</v>
      </c>
      <c r="AG5" s="415">
        <f>+VLOOKUP($A5,  [4]Hoja1!$A$5:$D$100,4,FALSE)</f>
        <v>28752480.579999998</v>
      </c>
      <c r="AH5" s="415">
        <f>+VLOOKUP($A5,  [5]Hoja1!$A$5:$D$100,4,FALSE)</f>
        <v>27246878.329999998</v>
      </c>
      <c r="AI5" s="415">
        <f>+VLOOKUP($A5,  [6]Hoja1!$A$5:$D$100,4,FALSE)</f>
        <v>32330703.41</v>
      </c>
      <c r="AJ5" s="415">
        <f>+VLOOKUP($A5,  [7]Hoja1!$A$5:$D$100,4,FALSE)</f>
        <v>28854165.98</v>
      </c>
      <c r="AK5" s="415">
        <f>+_xlfn.IFNA(VLOOKUP($A5,  [8]Hoja1!$A$5:$D$70,4,FALSE),0)</f>
        <v>27306657.91</v>
      </c>
      <c r="AL5" s="415">
        <f>+_xlfn.IFNA(VLOOKUP($A5, [9]Hoja1!$A$5:$D$70,4,FALSE),0)</f>
        <v>45750390.670000002</v>
      </c>
      <c r="AM5" s="415">
        <f>+_xlfn.IFNA(VLOOKUP($A5,[10]Hoja1!$A$5:$D$71,4,FALSE),0)</f>
        <v>32770688.190000001</v>
      </c>
      <c r="AN5" s="415">
        <f>+_xlfn.IFNA(VLOOKUP($A5,[11]Hoja1!$A$5:$D$71,4,FALSE),0)</f>
        <v>45612167.270000003</v>
      </c>
      <c r="AO5" s="415">
        <f>+_xlfn.IFNA(VLOOKUP($A5,[12]Hoja1!$A$5:$D$71,4,FALSE),0)</f>
        <v>39629762.890000001</v>
      </c>
      <c r="AP5" s="415">
        <f>+_xlfn.IFNA(VLOOKUP($A5,[13]Hoja1!$A$5:$D$71,4,FALSE),0)</f>
        <v>40921415.979999997</v>
      </c>
      <c r="AQ5" s="415">
        <f>+SUM(AE5:AP5)</f>
        <v>432122176.53999996</v>
      </c>
      <c r="AR5" s="415">
        <f>_xlfn.IFNA(+VLOOKUP(A5,[14]Hoja1!$A$5:$D$62,4,FALSE),0)</f>
        <v>36690257.549999997</v>
      </c>
      <c r="AS5" s="415">
        <f>_xlfn.IFNA(+VLOOKUP(A5,[15]Hoja1!$A$5:$D$65,4,FALSE),0)</f>
        <v>44235384.57</v>
      </c>
      <c r="AT5" s="415">
        <f>_xlfn.IFNA(+VLOOKUP(A5,[16]Hoja1!$A$4:$D$72,4,FALSE),0)</f>
        <v>39029367.32</v>
      </c>
      <c r="AU5" s="415">
        <f>_xlfn.IFNA(+VLOOKUP(A5,[17]Hoja1!$A$4:$D$68,4,FALSE),0)</f>
        <v>54197570.82</v>
      </c>
      <c r="AV5" s="415">
        <f>_xlfn.IFNA(+VLOOKUP(A5,[18]Hoja1!$A$4:$D$68,4,FALSE),0)</f>
        <v>24291089.52</v>
      </c>
      <c r="AW5" s="415">
        <f>_xlfn.IFNA(+VLOOKUP(A5,[19]Hoja1!$A$4:$D$68,4,FALSE),0)</f>
        <v>51938199.030000001</v>
      </c>
      <c r="AX5" s="199"/>
      <c r="AY5" s="199"/>
      <c r="AZ5" s="199"/>
      <c r="BA5" s="199"/>
      <c r="BB5" s="199"/>
      <c r="BC5" s="199"/>
    </row>
    <row r="6" spans="1:55" x14ac:dyDescent="0.25">
      <c r="A6" s="194" t="s">
        <v>4</v>
      </c>
      <c r="D6" s="194" t="s">
        <v>5</v>
      </c>
      <c r="E6" s="196">
        <f>+'EEFF base'!CB3</f>
        <v>33296493.399999995</v>
      </c>
      <c r="F6" s="196">
        <f>+'EEFF base'!CC3</f>
        <v>27143425.57000003</v>
      </c>
      <c r="G6" s="196">
        <f>+'EEFF base'!CD3</f>
        <v>26801770.579999994</v>
      </c>
      <c r="H6" s="196">
        <f>+'EEFF base'!CE3</f>
        <v>33130220.829999976</v>
      </c>
      <c r="I6" s="196">
        <f>+'EEFF base'!CF3</f>
        <v>40633231.509999976</v>
      </c>
      <c r="J6" s="196">
        <f>+'EEFF base'!CG3</f>
        <v>34862424.859999985</v>
      </c>
      <c r="K6" s="196">
        <f>+'EEFF base'!CH3</f>
        <v>39213250.199999966</v>
      </c>
      <c r="L6" s="196">
        <f>+'EEFF base'!CI3</f>
        <v>39040759.199999981</v>
      </c>
      <c r="M6" s="196">
        <f>+'EEFF base'!CJ3</f>
        <v>45561564.069999978</v>
      </c>
      <c r="N6" s="196">
        <f>+'EEFF base'!CK3</f>
        <v>25636546.149999995</v>
      </c>
      <c r="O6" s="196">
        <f>+'EEFF base'!CL3</f>
        <v>28957889.349999998</v>
      </c>
      <c r="P6" s="196">
        <f>+'EEFF base'!CM3</f>
        <v>43878384.819999978</v>
      </c>
      <c r="Q6" s="196">
        <f t="shared" ref="Q6:Q23" si="6">+SUM(E6:P6)</f>
        <v>418155960.5399999</v>
      </c>
      <c r="R6" s="196">
        <f>+_xlfn.IFNA(VLOOKUP($A6,[20]Hoja1!A$5:D$63,4,FALSE),0)</f>
        <v>27830430.059999999</v>
      </c>
      <c r="S6" s="196">
        <f>+_xlfn.IFNA(VLOOKUP($A6,[21]Hoja1!$A$5:$D$69,4,FALSE),0)</f>
        <v>29395565.350000001</v>
      </c>
      <c r="T6" s="196">
        <f>+_xlfn.IFNA(VLOOKUP($A6,[22]Hoja1!$A$5:$D$71,4,FALSE),0)</f>
        <v>32325750.850000001</v>
      </c>
      <c r="U6" s="196">
        <f>+_xlfn.IFNA(VLOOKUP($A6,[23]Hoja1!$A$5:$D$71,4,FALSE),0)</f>
        <v>33791663.299999997</v>
      </c>
      <c r="V6" s="196">
        <f>+_xlfn.IFNA(VLOOKUP($A6,[24]Hoja1!$A$5:$D$71,4,FALSE),0)</f>
        <v>37781578.539999999</v>
      </c>
      <c r="W6" s="196">
        <f>+_xlfn.IFNA(VLOOKUP($A6,[25]Hoja1!$A$5:$D$71,4,FALSE),0)</f>
        <v>33754569.810000002</v>
      </c>
      <c r="X6" s="196">
        <f>+_xlfn.IFNA(VLOOKUP($A6,[26]Hoja1!$A$5:$D$71,4,FALSE),0)</f>
        <v>42512451.609999999</v>
      </c>
      <c r="Y6" s="196">
        <f>+_xlfn.IFNA(VLOOKUP($A6,[27]Hoja1!$A$5:$D$71,4,FALSE),0)</f>
        <v>35905824.469999999</v>
      </c>
      <c r="Z6" s="196">
        <f>+_xlfn.IFNA(VLOOKUP($A6,[28]Hoja1!$A$5:$D$71,4,FALSE),0)</f>
        <v>35422531.700000003</v>
      </c>
      <c r="AA6" s="196">
        <f>+_xlfn.IFNA(VLOOKUP($A6,[29]Hoja1!$A$5:$D$71,4,FALSE),0)</f>
        <v>55428653.460000001</v>
      </c>
      <c r="AB6" s="196">
        <f>+_xlfn.IFNA(VLOOKUP($A6,[30]Hoja1!$A$5:$D$71,4,FALSE),0)</f>
        <v>26525657.09</v>
      </c>
      <c r="AC6" s="196">
        <f>+_xlfn.IFNA(VLOOKUP($A6,[31]Hoja1!$A$5:$D$71,4,FALSE),0)</f>
        <v>47089941.869999997</v>
      </c>
      <c r="AD6" s="196">
        <f t="shared" ref="AD6:AD23" si="7">+SUM(R6:AC6)</f>
        <v>437764618.10999995</v>
      </c>
      <c r="AE6" s="196">
        <f>+VLOOKUP($A6,  [32]Hoja1!$A$5:$D$100,4,FALSE)</f>
        <v>51738407.869999997</v>
      </c>
      <c r="AF6" s="196">
        <f>+VLOOKUP($A6,  [33]Hoja1!$A$5:$D$100,4,FALSE)</f>
        <v>31208457.460000001</v>
      </c>
      <c r="AG6" s="196">
        <f>+VLOOKUP($A6,  [4]Hoja1!$A$5:$D$100,4,FALSE)</f>
        <v>28752480.579999998</v>
      </c>
      <c r="AH6" s="196">
        <f>+VLOOKUP($A6,  [5]Hoja1!$A$5:$D$100,4,FALSE)</f>
        <v>27246878.329999998</v>
      </c>
      <c r="AI6" s="196">
        <f>+VLOOKUP($A6,  [6]Hoja1!$A$5:$D$100,4,FALSE)</f>
        <v>32330703.41</v>
      </c>
      <c r="AJ6" s="196">
        <f>+VLOOKUP($A6,  [7]Hoja1!$A$5:$D$100,4,FALSE)</f>
        <v>28854165.98</v>
      </c>
      <c r="AK6" s="196">
        <f>+_xlfn.IFNA(VLOOKUP($A6,  [8]Hoja1!$A$5:$D$70,4,FALSE),0)</f>
        <v>27281613.050000001</v>
      </c>
      <c r="AL6" s="196">
        <f>+_xlfn.IFNA(VLOOKUP($A6, [9]Hoja1!$A$5:$D$70,4,FALSE),0)</f>
        <v>45750390.670000002</v>
      </c>
      <c r="AM6" s="196">
        <f>+_xlfn.IFNA(VLOOKUP($A6,[10]Hoja1!$A$5:$D$71,4,FALSE),0)</f>
        <v>32770688.190000001</v>
      </c>
      <c r="AN6" s="196">
        <f>+_xlfn.IFNA(VLOOKUP($A6,[11]Hoja1!$A$5:$D$71,4,FALSE),0)</f>
        <v>45612167.270000003</v>
      </c>
      <c r="AO6" s="196">
        <f>+_xlfn.IFNA(VLOOKUP($A6,[12]Hoja1!$A$5:$D$71,4,FALSE),0)</f>
        <v>39629762.890000001</v>
      </c>
      <c r="AP6" s="196">
        <f>+_xlfn.IFNA(VLOOKUP($A6,[13]Hoja1!$A$5:$D$71,4,FALSE),0)</f>
        <v>40921415.979999997</v>
      </c>
      <c r="AQ6" s="196">
        <f t="shared" ref="AQ6:AQ23" si="8">+SUM(AE6:AP6)</f>
        <v>432097131.68000001</v>
      </c>
      <c r="AR6" s="196">
        <f>_xlfn.IFNA(+VLOOKUP(A6,[14]Hoja1!$A$5:$D$62,4,FALSE),0)</f>
        <v>36690257.549999997</v>
      </c>
      <c r="AS6" s="196">
        <f>_xlfn.IFNA(+VLOOKUP(A6,[15]Hoja1!$A$5:$D$65,4,FALSE),0)</f>
        <v>44197842.329999998</v>
      </c>
      <c r="AT6" s="196">
        <f>_xlfn.IFNA(+VLOOKUP(A6,[16]Hoja1!$A$4:$D$72,4,FALSE),0)</f>
        <v>39029367.32</v>
      </c>
      <c r="AU6" s="196">
        <f>_xlfn.IFNA(+VLOOKUP(A6,[17]Hoja1!$A$4:$D$68,4,FALSE),0)</f>
        <v>54197570.82</v>
      </c>
      <c r="AV6" s="196">
        <f>_xlfn.IFNA(+VLOOKUP(A6,[18]Hoja1!$A$4:$D$68,4,FALSE),0)</f>
        <v>24268121.52</v>
      </c>
      <c r="AW6" s="196">
        <f>_xlfn.IFNA(+VLOOKUP(A6,[19]Hoja1!$A$4:$D$68,4,FALSE),0)</f>
        <v>51938199.030000001</v>
      </c>
    </row>
    <row r="7" spans="1:55" x14ac:dyDescent="0.25">
      <c r="A7" s="194" t="s">
        <v>20</v>
      </c>
      <c r="D7" s="194" t="s">
        <v>21</v>
      </c>
      <c r="E7" s="196">
        <f>+'EEFF base'!CB4</f>
        <v>0</v>
      </c>
      <c r="F7" s="196">
        <f>+'EEFF base'!CC4</f>
        <v>0</v>
      </c>
      <c r="G7" s="196">
        <f>+'EEFF base'!CD4</f>
        <v>0</v>
      </c>
      <c r="H7" s="196">
        <f>+'EEFF base'!CE4</f>
        <v>0</v>
      </c>
      <c r="I7" s="196">
        <f>+'EEFF base'!CF4</f>
        <v>0</v>
      </c>
      <c r="J7" s="196">
        <f>+'EEFF base'!CG4</f>
        <v>0</v>
      </c>
      <c r="K7" s="196">
        <f>+'EEFF base'!CH4</f>
        <v>0</v>
      </c>
      <c r="L7" s="196">
        <f>+'EEFF base'!CI4</f>
        <v>0</v>
      </c>
      <c r="M7" s="196">
        <f>+'EEFF base'!CJ4</f>
        <v>0</v>
      </c>
      <c r="N7" s="196">
        <f>+'EEFF base'!CK4</f>
        <v>0</v>
      </c>
      <c r="O7" s="196">
        <f>+'EEFF base'!CL4</f>
        <v>0</v>
      </c>
      <c r="P7" s="196">
        <f>+'EEFF base'!CM4</f>
        <v>0</v>
      </c>
      <c r="Q7" s="196">
        <f t="shared" si="6"/>
        <v>0</v>
      </c>
      <c r="R7" s="196">
        <f>+_xlfn.IFNA(VLOOKUP(A7,[20]Hoja1!A$5:D$63,4,FALSE),0)</f>
        <v>0</v>
      </c>
      <c r="S7" s="196">
        <f>+_xlfn.IFNA(VLOOKUP($A7,[21]Hoja1!$A$5:$D$69,4,FALSE),0)</f>
        <v>0</v>
      </c>
      <c r="T7" s="196">
        <f>+_xlfn.IFNA(VLOOKUP($A7,[22]Hoja1!$A$5:$D$71,4,FALSE),0)</f>
        <v>0</v>
      </c>
      <c r="U7" s="196">
        <f>+_xlfn.IFNA(VLOOKUP($A7,[23]Hoja1!$A$5:$D$71,4,FALSE),0)</f>
        <v>0</v>
      </c>
      <c r="V7" s="196">
        <f>+_xlfn.IFNA(VLOOKUP($A7,[24]Hoja1!$A$5:$D$71,4,FALSE),0)</f>
        <v>0</v>
      </c>
      <c r="W7" s="196">
        <f>+_xlfn.IFNA(VLOOKUP($A7,[25]Hoja1!$A$5:$D$71,4,FALSE),0)</f>
        <v>0</v>
      </c>
      <c r="X7" s="196">
        <f>+_xlfn.IFNA(VLOOKUP($A7,[26]Hoja1!$A$5:$D$71,4,FALSE),0)</f>
        <v>0</v>
      </c>
      <c r="Y7" s="196">
        <f>+_xlfn.IFNA(VLOOKUP($A7,[27]Hoja1!$A$5:$D$71,4,FALSE),0)</f>
        <v>0</v>
      </c>
      <c r="Z7" s="196">
        <f>+_xlfn.IFNA(VLOOKUP($A7,[28]Hoja1!$A$5:$D$71,4,FALSE),0)</f>
        <v>0</v>
      </c>
      <c r="AA7" s="196">
        <f>+_xlfn.IFNA(VLOOKUP($A7,[29]Hoja1!$A$5:$D$71,4,FALSE),0)</f>
        <v>0</v>
      </c>
      <c r="AB7" s="196">
        <f>+_xlfn.IFNA(VLOOKUP($A7,[30]Hoja1!$A$5:$D$71,4,FALSE),0)</f>
        <v>0</v>
      </c>
      <c r="AC7" s="196">
        <f>+_xlfn.IFNA(VLOOKUP($A7,[31]Hoja1!$A$5:$D$71,4,FALSE),0)</f>
        <v>0</v>
      </c>
      <c r="AD7" s="196">
        <f t="shared" si="7"/>
        <v>0</v>
      </c>
      <c r="AE7" s="196">
        <v>0</v>
      </c>
      <c r="AF7" s="196">
        <v>0</v>
      </c>
      <c r="AG7" s="196">
        <v>0</v>
      </c>
      <c r="AH7" s="196">
        <v>0</v>
      </c>
      <c r="AI7" s="196">
        <v>0</v>
      </c>
      <c r="AJ7" s="196">
        <v>0</v>
      </c>
      <c r="AK7" s="196">
        <f>+_xlfn.IFNA(VLOOKUP($A7,  [8]Hoja1!$A$5:$D$70,4,FALSE),0)</f>
        <v>25044.86</v>
      </c>
      <c r="AL7" s="196">
        <f>+_xlfn.IFNA(VLOOKUP($A7, [9]Hoja1!$A$5:$D$70,4,FALSE),0)</f>
        <v>0</v>
      </c>
      <c r="AM7" s="196">
        <f>+_xlfn.IFNA(VLOOKUP($A7,[10]Hoja1!$A$5:$D$71,4,FALSE),0)</f>
        <v>0</v>
      </c>
      <c r="AN7" s="196">
        <f>+_xlfn.IFNA(VLOOKUP($A7,[11]Hoja1!$A$5:$D$71,4,FALSE),0)</f>
        <v>0</v>
      </c>
      <c r="AO7" s="196">
        <f>+_xlfn.IFNA(VLOOKUP($A7,[12]Hoja1!$A$5:$D$71,4,FALSE),0)</f>
        <v>0</v>
      </c>
      <c r="AP7" s="196">
        <f>+_xlfn.IFNA(VLOOKUP($A7,[13]Hoja1!$A$5:$D$71,4,FALSE),0)</f>
        <v>0</v>
      </c>
      <c r="AQ7" s="196">
        <f t="shared" si="8"/>
        <v>25044.86</v>
      </c>
      <c r="AR7" s="196">
        <f>_xlfn.IFNA(+VLOOKUP(A7,[14]Hoja1!$A$5:$D$62,4,FALSE),0)</f>
        <v>0</v>
      </c>
      <c r="AS7" s="196">
        <f>_xlfn.IFNA(+VLOOKUP(A7,[15]Hoja1!$A$5:$D$65,4,FALSE),0)</f>
        <v>37542.239999999998</v>
      </c>
      <c r="AT7" s="196">
        <f>_xlfn.IFNA(+VLOOKUP(A7,[16]Hoja1!$A$4:$D$72,4,FALSE),0)</f>
        <v>0</v>
      </c>
      <c r="AU7" s="196">
        <f>_xlfn.IFNA(+VLOOKUP(A7,[17]Hoja1!$A$4:$D$68,4,FALSE),0)</f>
        <v>0</v>
      </c>
      <c r="AV7" s="196">
        <f>_xlfn.IFNA(+VLOOKUP(A7,[18]Hoja1!$A$4:$D$68,4,FALSE),0)</f>
        <v>22968</v>
      </c>
      <c r="AW7" s="196">
        <f>_xlfn.IFNA(+VLOOKUP(A7,[19]Hoja1!$A$4:$D$68,4,FALSE),0)</f>
        <v>0</v>
      </c>
    </row>
    <row r="8" spans="1:55" x14ac:dyDescent="0.25">
      <c r="A8" s="194" t="s">
        <v>6</v>
      </c>
      <c r="D8" s="194" t="s">
        <v>7</v>
      </c>
      <c r="E8" s="196">
        <f>+'EEFF base'!CB5</f>
        <v>-21812900.989999998</v>
      </c>
      <c r="F8" s="196">
        <f>+'EEFF base'!CC5</f>
        <v>-25825361.879999999</v>
      </c>
      <c r="G8" s="196">
        <f>+'EEFF base'!CD5</f>
        <v>-23122363.149999991</v>
      </c>
      <c r="H8" s="196">
        <f>+'EEFF base'!CE5</f>
        <v>-22548912.140000008</v>
      </c>
      <c r="I8" s="196">
        <f>+'EEFF base'!CF5</f>
        <v>-24808191.81000001</v>
      </c>
      <c r="J8" s="196">
        <f>+'EEFF base'!CG5</f>
        <v>-26346447.489999972</v>
      </c>
      <c r="K8" s="196">
        <f>+'EEFF base'!CH5</f>
        <v>-25834123.49000001</v>
      </c>
      <c r="L8" s="196">
        <f>+'EEFF base'!CI5</f>
        <v>-27481272.009999987</v>
      </c>
      <c r="M8" s="196">
        <f>+'EEFF base'!CJ5</f>
        <v>-26375762.419999987</v>
      </c>
      <c r="N8" s="196">
        <f>+'EEFF base'!CK5</f>
        <v>-29198709.159999967</v>
      </c>
      <c r="O8" s="196">
        <f>+'EEFF base'!CL5</f>
        <v>-33771967.400000028</v>
      </c>
      <c r="P8" s="196">
        <f>+'EEFF base'!CM5</f>
        <v>-26525773.160000041</v>
      </c>
      <c r="Q8" s="196">
        <f t="shared" si="6"/>
        <v>-313651785.09999996</v>
      </c>
      <c r="R8" s="196">
        <f>+_xlfn.IFNA(VLOOKUP(A8,[20]Hoja1!A$5:D$63,4,FALSE),0)</f>
        <v>-25660843.129999999</v>
      </c>
      <c r="S8" s="196">
        <f>+_xlfn.IFNA(VLOOKUP($A8,[21]Hoja1!$A$5:$D$69,4,FALSE),0)</f>
        <v>-29103751.23</v>
      </c>
      <c r="T8" s="196">
        <f>+_xlfn.IFNA(VLOOKUP($A8,[22]Hoja1!$A$5:$D$71,4,FALSE),0)</f>
        <v>-26896296.43</v>
      </c>
      <c r="U8" s="196">
        <f>+_xlfn.IFNA(VLOOKUP($A8,[23]Hoja1!$A$5:$D$71,4,FALSE),0)</f>
        <v>-22900457.280000001</v>
      </c>
      <c r="V8" s="196">
        <f>+_xlfn.IFNA(VLOOKUP($A8,[24]Hoja1!$A$5:$D$71,4,FALSE),0)</f>
        <v>-26070343.530000001</v>
      </c>
      <c r="W8" s="196">
        <f>+_xlfn.IFNA(VLOOKUP($A8,[25]Hoja1!$A$5:$D$71,4,FALSE),0)</f>
        <v>-23634219.859999999</v>
      </c>
      <c r="X8" s="196">
        <f>+_xlfn.IFNA(VLOOKUP($A8,[26]Hoja1!$A$5:$D$71,4,FALSE),0)</f>
        <v>-23940070.66</v>
      </c>
      <c r="Y8" s="196">
        <f>+_xlfn.IFNA(VLOOKUP($A8,[27]Hoja1!$A$5:$D$71,4,FALSE),0)</f>
        <v>-34966942.149999999</v>
      </c>
      <c r="Z8" s="196">
        <f>+_xlfn.IFNA(VLOOKUP($A8,[28]Hoja1!$A$5:$D$71,4,FALSE),0)</f>
        <v>-22027243.370000001</v>
      </c>
      <c r="AA8" s="196">
        <f>+_xlfn.IFNA(VLOOKUP($A8,[29]Hoja1!$A$5:$D$71,4,FALSE),0)</f>
        <v>-29163361.449999999</v>
      </c>
      <c r="AB8" s="196">
        <f>+_xlfn.IFNA(VLOOKUP($A8,[30]Hoja1!$A$5:$D$71,4,FALSE),0)</f>
        <v>-27521643.870000001</v>
      </c>
      <c r="AC8" s="196">
        <f>+_xlfn.IFNA(VLOOKUP($A8,[31]Hoja1!$A$5:$D$71,4,FALSE),0)</f>
        <v>-35136626.670000002</v>
      </c>
      <c r="AD8" s="196">
        <f t="shared" si="7"/>
        <v>-327021799.63</v>
      </c>
      <c r="AE8" s="196">
        <f>+VLOOKUP($A8,  [32]Hoja1!$A$5:$D$100,4,FALSE)</f>
        <v>-33832217.420000002</v>
      </c>
      <c r="AF8" s="196">
        <f>+VLOOKUP($A8,  [33]Hoja1!$A$5:$D$100,4,FALSE)</f>
        <v>-31825420.550000001</v>
      </c>
      <c r="AG8" s="196">
        <f>+VLOOKUP($A8,  [4]Hoja1!$A$5:$D$100,4,FALSE)</f>
        <v>-28825967.93</v>
      </c>
      <c r="AH8" s="196">
        <f>+VLOOKUP($A8,  [5]Hoja1!$A$5:$D$100,4,FALSE)</f>
        <v>-30193661.010000002</v>
      </c>
      <c r="AI8" s="196">
        <f>+VLOOKUP($A8,  [6]Hoja1!$A$5:$D$100,4,FALSE)</f>
        <v>-27845660.010000002</v>
      </c>
      <c r="AJ8" s="196">
        <f>+VLOOKUP($A8,  [7]Hoja1!$A$5:$D$100,4,FALSE)</f>
        <v>-16075418.42</v>
      </c>
      <c r="AK8" s="196">
        <f>+_xlfn.IFNA(VLOOKUP($A8,  [8]Hoja1!$A$5:$D$70,4,FALSE),0)</f>
        <v>-18501311.039999999</v>
      </c>
      <c r="AL8" s="196">
        <f>+_xlfn.IFNA(VLOOKUP($A8, [9]Hoja1!$A$5:$D$70,4,FALSE),0)</f>
        <v>-27622010.460000001</v>
      </c>
      <c r="AM8" s="196">
        <f>+_xlfn.IFNA(VLOOKUP($A8,[10]Hoja1!$A$5:$D$71,4,FALSE),0)</f>
        <v>-28637596.780000001</v>
      </c>
      <c r="AN8" s="196">
        <f>+_xlfn.IFNA(VLOOKUP($A8,[11]Hoja1!$A$5:$D$71,4,FALSE),0)</f>
        <v>-27596156.079999998</v>
      </c>
      <c r="AO8" s="196">
        <f>+_xlfn.IFNA(VLOOKUP($A8,[12]Hoja1!$A$5:$D$71,4,FALSE),0)</f>
        <v>-33592476.380000003</v>
      </c>
      <c r="AP8" s="196">
        <f>+_xlfn.IFNA(VLOOKUP($A8,[13]Hoja1!$A$5:$D$71,4,FALSE),0)</f>
        <v>-40794323.18</v>
      </c>
      <c r="AQ8" s="196">
        <f t="shared" si="8"/>
        <v>-345342219.25999999</v>
      </c>
      <c r="AR8" s="196">
        <f>_xlfn.IFNA(+VLOOKUP(A8,[14]Hoja1!$A$5:$D$62,4,FALSE),0)</f>
        <v>-31039969.25</v>
      </c>
      <c r="AS8" s="196">
        <f>_xlfn.IFNA(+VLOOKUP(A8,[15]Hoja1!$A$5:$D$65,4,FALSE),0)</f>
        <v>-29106507.039999999</v>
      </c>
      <c r="AT8" s="196">
        <f>_xlfn.IFNA(+VLOOKUP(A8,[16]Hoja1!$A$4:$D$72,4,FALSE),0)</f>
        <v>-26748165.920000002</v>
      </c>
      <c r="AU8" s="196">
        <f>_xlfn.IFNA(+VLOOKUP(A8,[17]Hoja1!$A$4:$D$68,4,FALSE),0)</f>
        <v>-28476868.149999999</v>
      </c>
      <c r="AV8" s="196">
        <f>_xlfn.IFNA(+VLOOKUP(A8,[18]Hoja1!$A$4:$D$68,4,FALSE),0)</f>
        <v>-19961082.350000001</v>
      </c>
      <c r="AW8" s="196">
        <f>_xlfn.IFNA(+VLOOKUP(A8,[19]Hoja1!$A$4:$D$68,4,FALSE),0)</f>
        <v>-22927242.530000001</v>
      </c>
    </row>
    <row r="9" spans="1:55" s="527" customFormat="1" x14ac:dyDescent="0.25">
      <c r="A9" s="197"/>
      <c r="B9" s="197"/>
      <c r="C9" s="197"/>
      <c r="D9" s="197" t="s">
        <v>589</v>
      </c>
      <c r="E9" s="198">
        <f>+SUM(E6:E8)</f>
        <v>11483592.409999996</v>
      </c>
      <c r="F9" s="198">
        <f t="shared" ref="F9:P9" si="9">+SUM(F6:F8)</f>
        <v>1318063.6900000311</v>
      </c>
      <c r="G9" s="198">
        <f t="shared" si="9"/>
        <v>3679407.4300000034</v>
      </c>
      <c r="H9" s="198">
        <f t="shared" si="9"/>
        <v>10581308.689999968</v>
      </c>
      <c r="I9" s="198">
        <f t="shared" si="9"/>
        <v>15825039.699999966</v>
      </c>
      <c r="J9" s="198">
        <f t="shared" si="9"/>
        <v>8515977.3700000122</v>
      </c>
      <c r="K9" s="198">
        <f t="shared" si="9"/>
        <v>13379126.709999956</v>
      </c>
      <c r="L9" s="198">
        <f t="shared" si="9"/>
        <v>11559487.189999994</v>
      </c>
      <c r="M9" s="198">
        <f t="shared" si="9"/>
        <v>19185801.649999991</v>
      </c>
      <c r="N9" s="198">
        <f t="shared" si="9"/>
        <v>-3562163.0099999718</v>
      </c>
      <c r="O9" s="198">
        <f t="shared" si="9"/>
        <v>-4814078.0500000305</v>
      </c>
      <c r="P9" s="198">
        <f t="shared" si="9"/>
        <v>17352611.659999937</v>
      </c>
      <c r="Q9" s="198">
        <f t="shared" si="6"/>
        <v>104504175.43999985</v>
      </c>
      <c r="R9" s="198">
        <f>+SUM(R6:R8)</f>
        <v>2169586.9299999997</v>
      </c>
      <c r="S9" s="198">
        <f t="shared" ref="S9:AC9" si="10">+SUM(S6:S8)</f>
        <v>291814.12000000104</v>
      </c>
      <c r="T9" s="198">
        <f t="shared" si="10"/>
        <v>5429454.4200000018</v>
      </c>
      <c r="U9" s="198">
        <f t="shared" si="10"/>
        <v>10891206.019999996</v>
      </c>
      <c r="V9" s="198">
        <f t="shared" si="10"/>
        <v>11711235.009999998</v>
      </c>
      <c r="W9" s="198">
        <f t="shared" si="10"/>
        <v>10120349.950000003</v>
      </c>
      <c r="X9" s="198">
        <f t="shared" si="10"/>
        <v>18572380.949999999</v>
      </c>
      <c r="Y9" s="198">
        <f t="shared" si="10"/>
        <v>938882.3200000003</v>
      </c>
      <c r="Z9" s="198">
        <f t="shared" si="10"/>
        <v>13395288.330000002</v>
      </c>
      <c r="AA9" s="198">
        <f t="shared" si="10"/>
        <v>26265292.010000002</v>
      </c>
      <c r="AB9" s="198">
        <f t="shared" si="10"/>
        <v>-995986.78000000119</v>
      </c>
      <c r="AC9" s="198">
        <f t="shared" si="10"/>
        <v>11953315.199999996</v>
      </c>
      <c r="AD9" s="198">
        <f t="shared" si="7"/>
        <v>110742818.48000002</v>
      </c>
      <c r="AE9" s="198">
        <f>+AE5+AE8</f>
        <v>17906190.449999996</v>
      </c>
      <c r="AF9" s="198">
        <f t="shared" ref="AF9:AL9" si="11">+AF5+AF8</f>
        <v>-616963.08999999985</v>
      </c>
      <c r="AG9" s="198">
        <f t="shared" si="11"/>
        <v>-73487.35000000149</v>
      </c>
      <c r="AH9" s="198">
        <f t="shared" si="11"/>
        <v>-2946782.6800000034</v>
      </c>
      <c r="AI9" s="198">
        <f t="shared" si="11"/>
        <v>4485043.3999999985</v>
      </c>
      <c r="AJ9" s="198">
        <f t="shared" si="11"/>
        <v>12778747.560000001</v>
      </c>
      <c r="AK9" s="198">
        <f t="shared" si="11"/>
        <v>8805346.870000001</v>
      </c>
      <c r="AL9" s="198">
        <f t="shared" si="11"/>
        <v>18128380.210000001</v>
      </c>
      <c r="AM9" s="198">
        <f t="shared" ref="AM9:AW9" si="12">+AM5+AM8</f>
        <v>4133091.41</v>
      </c>
      <c r="AN9" s="198">
        <f t="shared" si="12"/>
        <v>18016011.190000005</v>
      </c>
      <c r="AO9" s="198">
        <f t="shared" si="12"/>
        <v>6037286.5099999979</v>
      </c>
      <c r="AP9" s="198">
        <f t="shared" si="12"/>
        <v>127092.79999999702</v>
      </c>
      <c r="AQ9" s="198">
        <f t="shared" si="8"/>
        <v>86779957.279999986</v>
      </c>
      <c r="AR9" s="198">
        <f t="shared" si="12"/>
        <v>5650288.299999997</v>
      </c>
      <c r="AS9" s="198">
        <f t="shared" si="12"/>
        <v>15128877.530000001</v>
      </c>
      <c r="AT9" s="198">
        <f t="shared" si="12"/>
        <v>12281201.399999999</v>
      </c>
      <c r="AU9" s="198">
        <f t="shared" si="12"/>
        <v>25720702.670000002</v>
      </c>
      <c r="AV9" s="198">
        <f t="shared" si="12"/>
        <v>4330007.1699999981</v>
      </c>
      <c r="AW9" s="198">
        <f t="shared" si="12"/>
        <v>29010956.5</v>
      </c>
      <c r="AX9" s="197"/>
      <c r="AY9" s="197"/>
      <c r="AZ9" s="197"/>
      <c r="BA9" s="197"/>
      <c r="BB9" s="197"/>
      <c r="BC9" s="197"/>
    </row>
    <row r="10" spans="1:55" x14ac:dyDescent="0.25">
      <c r="A10" s="194" t="s">
        <v>8</v>
      </c>
      <c r="D10" s="194" t="s">
        <v>9</v>
      </c>
      <c r="E10" s="196">
        <f>+'EEFF base'!CB9</f>
        <v>-913384.01000000013</v>
      </c>
      <c r="F10" s="196">
        <f>+'EEFF base'!CC9</f>
        <v>-1232982.29</v>
      </c>
      <c r="G10" s="196">
        <f>+'EEFF base'!CD9</f>
        <v>-1621716.66</v>
      </c>
      <c r="H10" s="196">
        <f>+'EEFF base'!CE9</f>
        <v>-825555.24</v>
      </c>
      <c r="I10" s="196">
        <f>+'EEFF base'!CF9</f>
        <v>-753230.84</v>
      </c>
      <c r="J10" s="196">
        <f>+'EEFF base'!CG9</f>
        <v>-874034.76000000059</v>
      </c>
      <c r="K10" s="196">
        <f>+'EEFF base'!CH9</f>
        <v>-863225.07999999984</v>
      </c>
      <c r="L10" s="196">
        <f>+'EEFF base'!CI9</f>
        <v>-721682.14000000013</v>
      </c>
      <c r="M10" s="196">
        <f>+'EEFF base'!CJ9</f>
        <v>-1183761.8699999999</v>
      </c>
      <c r="N10" s="196">
        <f>+'EEFF base'!CK9</f>
        <v>-766293.41</v>
      </c>
      <c r="O10" s="196">
        <f>+'EEFF base'!CL9</f>
        <v>-736838.49000000011</v>
      </c>
      <c r="P10" s="196">
        <f>+'EEFF base'!CM9</f>
        <v>-851507.81000000017</v>
      </c>
      <c r="Q10" s="196">
        <f t="shared" si="6"/>
        <v>-11344212.600000001</v>
      </c>
      <c r="R10" s="196">
        <f>+_xlfn.IFNA(VLOOKUP(A10,[20]Hoja1!A$5:D$63,4,FALSE),0)</f>
        <v>-753872.57</v>
      </c>
      <c r="S10" s="196">
        <f>+_xlfn.IFNA(VLOOKUP($A10,[21]Hoja1!$A$5:$D$69,4,FALSE),0)</f>
        <v>-940756.54</v>
      </c>
      <c r="T10" s="196">
        <f>+_xlfn.IFNA(VLOOKUP($A10,[22]Hoja1!$A$5:$D$71,4,FALSE),0)</f>
        <v>-992983.88</v>
      </c>
      <c r="U10" s="196">
        <f>+_xlfn.IFNA(VLOOKUP($A10,[23]Hoja1!$A$5:$D$71,4,FALSE),0)</f>
        <v>-778109.73</v>
      </c>
      <c r="V10" s="196">
        <f>+_xlfn.IFNA(VLOOKUP($A10,[24]Hoja1!$A$5:$D$71,4,FALSE),0)</f>
        <v>-1110318.0800000001</v>
      </c>
      <c r="W10" s="196">
        <f>+_xlfn.IFNA(VLOOKUP($A10,[25]Hoja1!$A$5:$D$71,4,FALSE),0)</f>
        <v>-1479437.93</v>
      </c>
      <c r="X10" s="196">
        <f>+_xlfn.IFNA(VLOOKUP($A10,[26]Hoja1!$A$5:$D$71,4,FALSE),0)</f>
        <v>-1015844.17</v>
      </c>
      <c r="Y10" s="196">
        <f>+_xlfn.IFNA(VLOOKUP($A10,[27]Hoja1!$A$5:$D$71,4,FALSE),0)</f>
        <v>-865259.05</v>
      </c>
      <c r="Z10" s="196">
        <f>+_xlfn.IFNA(VLOOKUP($A10,[28]Hoja1!$A$5:$D$71,4,FALSE),0)</f>
        <v>-1088031.07</v>
      </c>
      <c r="AA10" s="196">
        <f>+_xlfn.IFNA(VLOOKUP($A10,[29]Hoja1!$A$5:$D$71,4,FALSE),0)</f>
        <v>-705014.41</v>
      </c>
      <c r="AB10" s="196">
        <f>+_xlfn.IFNA(VLOOKUP($A10,[30]Hoja1!$A$5:$D$71,4,FALSE),0)</f>
        <v>-812545.65</v>
      </c>
      <c r="AC10" s="196">
        <f>+_xlfn.IFNA(VLOOKUP($A10,[31]Hoja1!$A$5:$D$71,4,FALSE),0)</f>
        <v>-1069544.78</v>
      </c>
      <c r="AD10" s="196">
        <f t="shared" si="7"/>
        <v>-11611717.859999999</v>
      </c>
      <c r="AE10" s="196">
        <f>+VLOOKUP($A10,  [32]Hoja1!$A$5:$D$100,4,FALSE)</f>
        <v>-762056.68</v>
      </c>
      <c r="AF10" s="196">
        <f>+VLOOKUP($A10,  [33]Hoja1!$A$5:$D$100,4,FALSE)</f>
        <v>-803591.32</v>
      </c>
      <c r="AG10" s="196">
        <f>+VLOOKUP($A10,  [4]Hoja1!$A$5:$D$100,4,FALSE)</f>
        <v>-1372664.15</v>
      </c>
      <c r="AH10" s="196">
        <f>+VLOOKUP($A10,  [5]Hoja1!$A$5:$D$100,4,FALSE)</f>
        <v>-899199.17</v>
      </c>
      <c r="AI10" s="196">
        <f>+VLOOKUP($A10,  [6]Hoja1!$A$5:$D$100,4,FALSE)</f>
        <v>-744969.87</v>
      </c>
      <c r="AJ10" s="196">
        <f>+VLOOKUP($A10,  [7]Hoja1!$A$5:$D$100,4,FALSE)</f>
        <v>-821586.58</v>
      </c>
      <c r="AK10" s="196">
        <f>+_xlfn.IFNA(VLOOKUP($A10,  [8]Hoja1!$A$5:$D$70,4,FALSE),0)</f>
        <v>-782527.88</v>
      </c>
      <c r="AL10" s="196">
        <f>+_xlfn.IFNA(VLOOKUP($A10, [9]Hoja1!$A$5:$D$70,4,FALSE),0)</f>
        <v>-1080400.23</v>
      </c>
      <c r="AM10" s="196">
        <f>+_xlfn.IFNA(VLOOKUP($A10,[10]Hoja1!$A$5:$D$71,4,FALSE),0)</f>
        <v>-950464.02</v>
      </c>
      <c r="AN10" s="196">
        <f>+_xlfn.IFNA(VLOOKUP($A10,[11]Hoja1!$A$5:$D$71,4,FALSE),0)</f>
        <v>-723857.37</v>
      </c>
      <c r="AO10" s="196">
        <f>+_xlfn.IFNA(VLOOKUP($A10,[12]Hoja1!$A$5:$D$71,4,FALSE),0)</f>
        <v>-722581.34</v>
      </c>
      <c r="AP10" s="196">
        <f>+_xlfn.IFNA(VLOOKUP($A10,[13]Hoja1!$A$5:$D$71,4,FALSE),0)</f>
        <v>-998115.77</v>
      </c>
      <c r="AQ10" s="196">
        <f t="shared" si="8"/>
        <v>-10662014.379999997</v>
      </c>
      <c r="AR10" s="196">
        <f>_xlfn.IFNA(+VLOOKUP(A10,[14]Hoja1!$A$5:$D$62,4,FALSE),0)</f>
        <v>-818156.95</v>
      </c>
      <c r="AS10" s="196">
        <f>_xlfn.IFNA(+VLOOKUP(A10,[15]Hoja1!$A$5:$D$65,4,FALSE),0)</f>
        <v>-753385.32</v>
      </c>
      <c r="AT10" s="196">
        <f>_xlfn.IFNA(+VLOOKUP(A10,[16]Hoja1!$A$4:$D$72,4,FALSE),0)</f>
        <v>-1268038.97</v>
      </c>
      <c r="AU10" s="196">
        <f>_xlfn.IFNA(+VLOOKUP(A10,[17]Hoja1!$A$4:$D$68,4,FALSE),0)</f>
        <v>-883562.16</v>
      </c>
      <c r="AV10" s="196">
        <f>_xlfn.IFNA(+VLOOKUP(A10,[18]Hoja1!$A$4:$D$68,4,FALSE),0)</f>
        <v>-1308160.83</v>
      </c>
      <c r="AW10" s="196">
        <f>_xlfn.IFNA(+VLOOKUP(A10,[19]Hoja1!$A$4:$D$68,4,FALSE),0)</f>
        <v>-1228978.45</v>
      </c>
    </row>
    <row r="11" spans="1:55" x14ac:dyDescent="0.25">
      <c r="A11" s="194" t="s">
        <v>10</v>
      </c>
      <c r="D11" s="194" t="s">
        <v>11</v>
      </c>
      <c r="E11" s="196">
        <f>+'EEFF base'!CB10</f>
        <v>-4213270.66</v>
      </c>
      <c r="F11" s="196">
        <f>+'EEFF base'!CC10</f>
        <v>-4324148.3899999941</v>
      </c>
      <c r="G11" s="196">
        <f>+'EEFF base'!CD10</f>
        <v>-4537455.9400000013</v>
      </c>
      <c r="H11" s="196">
        <f>+'EEFF base'!CE10</f>
        <v>-4342952.6800000025</v>
      </c>
      <c r="I11" s="196">
        <f>+'EEFF base'!CF10</f>
        <v>-4892960.3200000059</v>
      </c>
      <c r="J11" s="196">
        <f>+'EEFF base'!CG10</f>
        <v>-5209167.1600000011</v>
      </c>
      <c r="K11" s="196">
        <f>+'EEFF base'!CH10</f>
        <v>-5623047.6700000009</v>
      </c>
      <c r="L11" s="196">
        <f>+'EEFF base'!CI10</f>
        <v>-4823771.5600000098</v>
      </c>
      <c r="M11" s="196">
        <f>+'EEFF base'!CJ10</f>
        <v>-5546281.0600000145</v>
      </c>
      <c r="N11" s="196">
        <f>+'EEFF base'!CK10</f>
        <v>-4260102.5799999973</v>
      </c>
      <c r="O11" s="196">
        <f>+'EEFF base'!CL10</f>
        <v>-4010633.9199999985</v>
      </c>
      <c r="P11" s="196">
        <f>+'EEFF base'!CM10</f>
        <v>-4638387.0699999966</v>
      </c>
      <c r="Q11" s="196">
        <f t="shared" si="6"/>
        <v>-56422179.01000002</v>
      </c>
      <c r="R11" s="196">
        <f>+_xlfn.IFNA(VLOOKUP(A11,[20]Hoja1!A$5:D$63,4,FALSE),0)</f>
        <v>-4349703.57</v>
      </c>
      <c r="S11" s="196">
        <f>+_xlfn.IFNA(VLOOKUP($A11,[21]Hoja1!$A$5:$D$69,4,FALSE),0)</f>
        <v>-5670219.0899999999</v>
      </c>
      <c r="T11" s="196">
        <f>+_xlfn.IFNA(VLOOKUP($A11,[22]Hoja1!$A$5:$D$71,4,FALSE),0)</f>
        <v>-5062639.82</v>
      </c>
      <c r="U11" s="196">
        <f>+_xlfn.IFNA(VLOOKUP($A11,[23]Hoja1!$A$5:$D$71,4,FALSE),0)</f>
        <v>-5039066.82</v>
      </c>
      <c r="V11" s="196">
        <f>+_xlfn.IFNA(VLOOKUP($A11,[24]Hoja1!$A$5:$D$71,4,FALSE),0)</f>
        <v>-5355148.21</v>
      </c>
      <c r="W11" s="196">
        <f>+_xlfn.IFNA(VLOOKUP($A11,[25]Hoja1!$A$5:$D$71,4,FALSE),0)</f>
        <v>-5162504.74</v>
      </c>
      <c r="X11" s="196">
        <f>+_xlfn.IFNA(VLOOKUP($A11,[26]Hoja1!$A$5:$D$71,4,FALSE),0)</f>
        <v>-6580880.2000000002</v>
      </c>
      <c r="Y11" s="196">
        <f>+_xlfn.IFNA(VLOOKUP($A11,[27]Hoja1!$A$5:$D$71,4,FALSE),0)</f>
        <v>-5431534.9000000004</v>
      </c>
      <c r="Z11" s="196">
        <f>+_xlfn.IFNA(VLOOKUP($A11,[28]Hoja1!$A$5:$D$71,4,FALSE),0)</f>
        <v>-5458995.5700000003</v>
      </c>
      <c r="AA11" s="196">
        <f>+_xlfn.IFNA(VLOOKUP($A11,[29]Hoja1!$A$5:$D$71,4,FALSE),0)</f>
        <v>-5118902.97</v>
      </c>
      <c r="AB11" s="196">
        <f>+_xlfn.IFNA(VLOOKUP($A11,[30]Hoja1!$A$5:$D$71,4,FALSE),0)</f>
        <v>-5156803.29</v>
      </c>
      <c r="AC11" s="196">
        <f>+_xlfn.IFNA(VLOOKUP($A11,[31]Hoja1!$A$5:$D$71,4,FALSE),0)</f>
        <v>-7871570.8200000003</v>
      </c>
      <c r="AD11" s="196">
        <f t="shared" si="7"/>
        <v>-66257970</v>
      </c>
      <c r="AE11" s="196">
        <f>+VLOOKUP($A11,  [32]Hoja1!$A$5:$D$100,4,FALSE)</f>
        <v>-5624672.1600000001</v>
      </c>
      <c r="AF11" s="196">
        <f>+VLOOKUP($A11,  [33]Hoja1!$A$5:$D$100,4,FALSE)</f>
        <v>-6318041.1500000004</v>
      </c>
      <c r="AG11" s="196">
        <f>+VLOOKUP($A11,  [4]Hoja1!$A$5:$D$100,4,FALSE)</f>
        <v>-5292556.83</v>
      </c>
      <c r="AH11" s="196">
        <f>+VLOOKUP($A11,  [5]Hoja1!$A$5:$D$100,4,FALSE)</f>
        <v>-5662959.6200000001</v>
      </c>
      <c r="AI11" s="196">
        <f>+VLOOKUP($A11,  [6]Hoja1!$A$5:$D$100,4,FALSE)</f>
        <v>-4586425.58</v>
      </c>
      <c r="AJ11" s="196">
        <f>+VLOOKUP($A11,  [7]Hoja1!$A$5:$D$100,4,FALSE)</f>
        <v>-4122134.53</v>
      </c>
      <c r="AK11" s="196">
        <f>+_xlfn.IFNA(VLOOKUP($A11,  [8]Hoja1!$A$5:$D$70,4,FALSE),0)</f>
        <v>-3533010.88</v>
      </c>
      <c r="AL11" s="196">
        <f>+_xlfn.IFNA(VLOOKUP($A11, [9]Hoja1!$A$5:$D$70,4,FALSE),0)</f>
        <v>-3000055.49</v>
      </c>
      <c r="AM11" s="196">
        <f>+_xlfn.IFNA(VLOOKUP($A11,[10]Hoja1!$A$5:$D$71,4,FALSE),0)</f>
        <v>-3143658.66</v>
      </c>
      <c r="AN11" s="196">
        <f>+_xlfn.IFNA(VLOOKUP($A11,[11]Hoja1!$A$5:$D$71,4,FALSE),0)</f>
        <v>-2706383.8</v>
      </c>
      <c r="AO11" s="196">
        <f>+_xlfn.IFNA(VLOOKUP($A11,[12]Hoja1!$A$5:$D$71,4,FALSE),0)</f>
        <v>-2425202.79</v>
      </c>
      <c r="AP11" s="196">
        <f>+_xlfn.IFNA(VLOOKUP($A11,[13]Hoja1!$A$5:$D$71,4,FALSE),0)</f>
        <v>-2728198.04</v>
      </c>
      <c r="AQ11" s="196">
        <f t="shared" si="8"/>
        <v>-49143299.530000001</v>
      </c>
      <c r="AR11" s="196">
        <f>_xlfn.IFNA(+VLOOKUP(A11,[14]Hoja1!$A$5:$D$62,4,FALSE),0)</f>
        <v>-2036367.94</v>
      </c>
      <c r="AS11" s="196">
        <f>_xlfn.IFNA(+VLOOKUP(A11,[15]Hoja1!$A$5:$D$65,4,FALSE),0)</f>
        <v>-2150087.54</v>
      </c>
      <c r="AT11" s="196">
        <f>_xlfn.IFNA(+VLOOKUP(A11,[16]Hoja1!$A$4:$D$72,4,FALSE),0)</f>
        <v>-2151965.6</v>
      </c>
      <c r="AU11" s="196">
        <f>_xlfn.IFNA(+VLOOKUP(A11,[17]Hoja1!$A$4:$D$68,4,FALSE),0)</f>
        <v>-2082448.3</v>
      </c>
      <c r="AV11" s="196">
        <f>_xlfn.IFNA(+VLOOKUP(A11,[18]Hoja1!$A$4:$D$68,4,FALSE),0)</f>
        <v>-1909851.08</v>
      </c>
      <c r="AW11" s="196">
        <f>_xlfn.IFNA(+VLOOKUP(A11,[19]Hoja1!$A$4:$D$68,4,FALSE),0)</f>
        <v>-2215088.13</v>
      </c>
    </row>
    <row r="12" spans="1:55" s="527" customFormat="1" x14ac:dyDescent="0.25">
      <c r="A12" s="197"/>
      <c r="B12" s="197"/>
      <c r="C12" s="197"/>
      <c r="D12" s="197" t="s">
        <v>22</v>
      </c>
      <c r="E12" s="198">
        <f>+SUM(E9:E11)</f>
        <v>6356937.7399999965</v>
      </c>
      <c r="F12" s="198">
        <f t="shared" ref="F12:P12" si="13">+SUM(F9:F11)</f>
        <v>-4239066.989999963</v>
      </c>
      <c r="G12" s="198">
        <f t="shared" si="13"/>
        <v>-2479765.1699999981</v>
      </c>
      <c r="H12" s="198">
        <f t="shared" si="13"/>
        <v>5412800.7699999651</v>
      </c>
      <c r="I12" s="198">
        <f t="shared" si="13"/>
        <v>10178848.53999996</v>
      </c>
      <c r="J12" s="198">
        <f t="shared" si="13"/>
        <v>2432775.4500000104</v>
      </c>
      <c r="K12" s="198">
        <f t="shared" si="13"/>
        <v>6892853.9599999553</v>
      </c>
      <c r="L12" s="198">
        <f t="shared" si="13"/>
        <v>6014033.4899999835</v>
      </c>
      <c r="M12" s="198">
        <f t="shared" si="13"/>
        <v>12455758.719999976</v>
      </c>
      <c r="N12" s="198">
        <f t="shared" si="13"/>
        <v>-8588558.9999999702</v>
      </c>
      <c r="O12" s="198">
        <f t="shared" si="13"/>
        <v>-9561550.4600000288</v>
      </c>
      <c r="P12" s="198">
        <f t="shared" si="13"/>
        <v>11862716.77999994</v>
      </c>
      <c r="Q12" s="198">
        <f t="shared" si="6"/>
        <v>36737783.829999827</v>
      </c>
      <c r="R12" s="198">
        <f>+SUM(R9:R11)</f>
        <v>-2933989.2100000004</v>
      </c>
      <c r="S12" s="198">
        <f t="shared" ref="S12:AC12" si="14">+SUM(S9:S11)</f>
        <v>-6319161.5099999988</v>
      </c>
      <c r="T12" s="198">
        <f t="shared" si="14"/>
        <v>-626169.2799999984</v>
      </c>
      <c r="U12" s="198">
        <f t="shared" si="14"/>
        <v>5074029.4699999951</v>
      </c>
      <c r="V12" s="198">
        <f t="shared" si="14"/>
        <v>5245768.7199999979</v>
      </c>
      <c r="W12" s="198">
        <f t="shared" si="14"/>
        <v>3478407.2800000031</v>
      </c>
      <c r="X12" s="198">
        <f t="shared" si="14"/>
        <v>10975656.579999998</v>
      </c>
      <c r="Y12" s="198">
        <f t="shared" si="14"/>
        <v>-5357911.63</v>
      </c>
      <c r="Z12" s="198">
        <f t="shared" si="14"/>
        <v>6848261.6900000013</v>
      </c>
      <c r="AA12" s="198">
        <f t="shared" si="14"/>
        <v>20441374.630000003</v>
      </c>
      <c r="AB12" s="198">
        <f t="shared" si="14"/>
        <v>-6965335.7200000007</v>
      </c>
      <c r="AC12" s="198">
        <f t="shared" si="14"/>
        <v>3012199.5999999959</v>
      </c>
      <c r="AD12" s="198">
        <f t="shared" si="7"/>
        <v>32873130.619999997</v>
      </c>
      <c r="AE12" s="198">
        <f>+AE9+AE10+AE11</f>
        <v>11519461.609999996</v>
      </c>
      <c r="AF12" s="198">
        <f t="shared" ref="AF12:AL12" si="15">+AF9+AF10+AF11</f>
        <v>-7738595.5600000005</v>
      </c>
      <c r="AG12" s="198">
        <f t="shared" si="15"/>
        <v>-6738708.3300000019</v>
      </c>
      <c r="AH12" s="198">
        <f t="shared" si="15"/>
        <v>-9508941.4700000025</v>
      </c>
      <c r="AI12" s="198">
        <f t="shared" si="15"/>
        <v>-846352.05000000168</v>
      </c>
      <c r="AJ12" s="198">
        <f t="shared" si="15"/>
        <v>7835026.4500000011</v>
      </c>
      <c r="AK12" s="198">
        <f t="shared" si="15"/>
        <v>4489808.1100000013</v>
      </c>
      <c r="AL12" s="198">
        <f t="shared" si="15"/>
        <v>14047924.49</v>
      </c>
      <c r="AM12" s="198">
        <f t="shared" ref="AM12:AW12" si="16">+AM9+AM10+AM11</f>
        <v>38968.729999999981</v>
      </c>
      <c r="AN12" s="198">
        <f t="shared" si="16"/>
        <v>14585770.020000003</v>
      </c>
      <c r="AO12" s="198">
        <f t="shared" si="16"/>
        <v>2889502.379999998</v>
      </c>
      <c r="AP12" s="198">
        <f t="shared" si="16"/>
        <v>-3599221.010000003</v>
      </c>
      <c r="AQ12" s="198">
        <f t="shared" si="8"/>
        <v>26974643.36999999</v>
      </c>
      <c r="AR12" s="198">
        <f t="shared" si="16"/>
        <v>2795763.4099999969</v>
      </c>
      <c r="AS12" s="198">
        <f t="shared" si="16"/>
        <v>12225404.670000002</v>
      </c>
      <c r="AT12" s="198">
        <f t="shared" si="16"/>
        <v>8861196.8299999982</v>
      </c>
      <c r="AU12" s="198">
        <f t="shared" si="16"/>
        <v>22754692.210000001</v>
      </c>
      <c r="AV12" s="198">
        <f t="shared" si="16"/>
        <v>1111995.2599999979</v>
      </c>
      <c r="AW12" s="198">
        <f t="shared" si="16"/>
        <v>25566889.920000002</v>
      </c>
      <c r="AX12" s="197"/>
      <c r="AY12" s="197"/>
      <c r="AZ12" s="197"/>
      <c r="BA12" s="197"/>
      <c r="BB12" s="197"/>
      <c r="BC12" s="197"/>
    </row>
    <row r="13" spans="1:55" ht="15.75" customHeight="1" x14ac:dyDescent="0.25">
      <c r="A13" s="194" t="s">
        <v>23</v>
      </c>
      <c r="D13" s="194" t="s">
        <v>24</v>
      </c>
      <c r="E13" s="196">
        <f>+'EEFF base'!CB14</f>
        <v>38876.79</v>
      </c>
      <c r="F13" s="196">
        <f>+'EEFF base'!CC14</f>
        <v>46608.480000000003</v>
      </c>
      <c r="G13" s="196">
        <f>+'EEFF base'!CD14</f>
        <v>80515.73</v>
      </c>
      <c r="H13" s="196">
        <f>+'EEFF base'!CE14</f>
        <v>149963.35999999999</v>
      </c>
      <c r="I13" s="196">
        <f>+'EEFF base'!CF14</f>
        <v>57309.2</v>
      </c>
      <c r="J13" s="196">
        <f>+'EEFF base'!CG14</f>
        <v>71397.649999999994</v>
      </c>
      <c r="K13" s="196">
        <f>+'EEFF base'!CH14</f>
        <v>76816.86</v>
      </c>
      <c r="L13" s="196">
        <f>+'EEFF base'!CI14</f>
        <v>155046.49</v>
      </c>
      <c r="M13" s="196">
        <f>+'EEFF base'!CJ14</f>
        <v>12872143.050000001</v>
      </c>
      <c r="N13" s="196">
        <f>+'EEFF base'!CK14</f>
        <v>68669.709999999992</v>
      </c>
      <c r="O13" s="196">
        <f>+'EEFF base'!CL14</f>
        <v>138062.44999999998</v>
      </c>
      <c r="P13" s="196">
        <f>+'EEFF base'!CM14</f>
        <v>120533.15</v>
      </c>
      <c r="Q13" s="196">
        <f t="shared" si="6"/>
        <v>13875942.920000002</v>
      </c>
      <c r="R13" s="196">
        <f>+_xlfn.IFNA(VLOOKUP(A13,[20]Hoja1!A$5:D$63,4,FALSE),0)</f>
        <v>204054.82</v>
      </c>
      <c r="S13" s="196">
        <f>+_xlfn.IFNA(VLOOKUP($A13,[21]Hoja1!$A$5:$D$69,4,FALSE),0)</f>
        <v>60155.73</v>
      </c>
      <c r="T13" s="196">
        <f>+_xlfn.IFNA(VLOOKUP($A13,[22]Hoja1!$A$5:$D$71,4,FALSE),0)</f>
        <v>208616.46</v>
      </c>
      <c r="U13" s="196">
        <f>+_xlfn.IFNA(VLOOKUP($A13,[23]Hoja1!$A$5:$D$71,4,FALSE),0)</f>
        <v>113066.23</v>
      </c>
      <c r="V13" s="196">
        <f>+_xlfn.IFNA(VLOOKUP($A13,[24]Hoja1!$A$5:$D$71,4,FALSE),0)</f>
        <v>88553.97</v>
      </c>
      <c r="W13" s="196">
        <f>+_xlfn.IFNA(VLOOKUP($A13,[25]Hoja1!$A$5:$D$71,4,FALSE),0)</f>
        <v>195441.1</v>
      </c>
      <c r="X13" s="196">
        <f>+_xlfn.IFNA(VLOOKUP($A13,[26]Hoja1!$A$5:$D$71,4,FALSE),0)</f>
        <v>109603.97</v>
      </c>
      <c r="Y13" s="196">
        <f>+_xlfn.IFNA(VLOOKUP($A13,[27]Hoja1!$A$5:$D$71,4,FALSE),0)</f>
        <v>2691627.48</v>
      </c>
      <c r="Z13" s="196">
        <f>+_xlfn.IFNA(VLOOKUP($A13,[28]Hoja1!$A$5:$D$71,4,FALSE),0)</f>
        <v>226389.98</v>
      </c>
      <c r="AA13" s="196">
        <f>+_xlfn.IFNA(VLOOKUP($A13,[29]Hoja1!$A$5:$D$71,4,FALSE),0)</f>
        <v>40099.949999999997</v>
      </c>
      <c r="AB13" s="196">
        <f>+_xlfn.IFNA(VLOOKUP($A13,[30]Hoja1!$A$5:$D$71,4,FALSE),0)</f>
        <v>222572.97</v>
      </c>
      <c r="AC13" s="196">
        <f>+_xlfn.IFNA(VLOOKUP($A13,[31]Hoja1!$A$5:$D$71,4,FALSE),0)</f>
        <v>210667.34</v>
      </c>
      <c r="AD13" s="196">
        <f t="shared" si="7"/>
        <v>4370850</v>
      </c>
      <c r="AE13" s="196">
        <f>+VLOOKUP($A13,  [32]Hoja1!$A$5:$D$100,4,FALSE)</f>
        <v>206387.52</v>
      </c>
      <c r="AF13" s="196">
        <f>+VLOOKUP($A13,  [33]Hoja1!$A$5:$D$100,4,FALSE)</f>
        <v>197190.01</v>
      </c>
      <c r="AG13" s="196">
        <f>+VLOOKUP($A13,  [4]Hoja1!$A$5:$D$100,4,FALSE)</f>
        <v>172127.68</v>
      </c>
      <c r="AH13" s="196">
        <f>+VLOOKUP($A13,  [5]Hoja1!$A$5:$D$100,4,FALSE)</f>
        <v>164642.03</v>
      </c>
      <c r="AI13" s="196">
        <f>+VLOOKUP($A13,  [6]Hoja1!$A$5:$D$100,4,FALSE)</f>
        <v>129621.78</v>
      </c>
      <c r="AJ13" s="196">
        <f>+VLOOKUP($A13,  [7]Hoja1!$A$5:$D$100,4,FALSE)</f>
        <v>92235.03</v>
      </c>
      <c r="AK13" s="196">
        <f>+_xlfn.IFNA(VLOOKUP($A13,  [8]Hoja1!$A$5:$D$70,4,FALSE),0)</f>
        <v>146241.28</v>
      </c>
      <c r="AL13" s="196">
        <f>+_xlfn.IFNA(VLOOKUP($A13, [9]Hoja1!$A$5:$D$70,4,FALSE),0)</f>
        <v>179949.73</v>
      </c>
      <c r="AM13" s="196">
        <f>+_xlfn.IFNA(VLOOKUP($A13,[10]Hoja1!$A$5:$D$71,4,FALSE),0)</f>
        <v>191874.45</v>
      </c>
      <c r="AN13" s="196">
        <f>+_xlfn.IFNA(VLOOKUP($A13,[11]Hoja1!$A$5:$D$71,4,FALSE),0)</f>
        <v>55968.1</v>
      </c>
      <c r="AO13" s="196">
        <f>+_xlfn.IFNA(VLOOKUP($A13,[12]Hoja1!$A$5:$D$71,4,FALSE),0)</f>
        <v>106212.38</v>
      </c>
      <c r="AP13" s="196">
        <f>+_xlfn.IFNA(VLOOKUP($A13,[13]Hoja1!$A$5:$D$71,4,FALSE),0)</f>
        <v>101548.56</v>
      </c>
      <c r="AQ13" s="196">
        <f t="shared" si="8"/>
        <v>1743998.5500000003</v>
      </c>
      <c r="AR13" s="196">
        <f>_xlfn.IFNA(+VLOOKUP(A13,[14]Hoja1!$A$5:$D$62,4,FALSE),0)</f>
        <v>83870.320000000007</v>
      </c>
      <c r="AS13" s="196">
        <f>_xlfn.IFNA(+VLOOKUP(A13,[15]Hoja1!$A$5:$D$65,4,FALSE),0)</f>
        <v>68434.11</v>
      </c>
      <c r="AT13" s="196">
        <f>_xlfn.IFNA(+VLOOKUP(A13,[16]Hoja1!$A$4:$D$72,4,FALSE),0)</f>
        <v>48570.64</v>
      </c>
      <c r="AU13" s="196">
        <f>_xlfn.IFNA(+VLOOKUP(A13,[17]Hoja1!$A$4:$D$68,4,FALSE),0)</f>
        <v>55375.72</v>
      </c>
      <c r="AV13" s="196">
        <f>_xlfn.IFNA(+VLOOKUP(A13,[18]Hoja1!$A$4:$D$68,4,FALSE),0)</f>
        <v>167136.71</v>
      </c>
      <c r="AW13" s="196">
        <f>_xlfn.IFNA(+VLOOKUP(A13,[19]Hoja1!$A$4:$D$68,4,FALSE),0)</f>
        <v>112111.89</v>
      </c>
    </row>
    <row r="14" spans="1:55" x14ac:dyDescent="0.25">
      <c r="A14" s="194" t="s">
        <v>32</v>
      </c>
      <c r="D14" s="194" t="s">
        <v>33</v>
      </c>
      <c r="Q14" s="196">
        <f t="shared" si="6"/>
        <v>0</v>
      </c>
      <c r="R14" s="196">
        <f>+_xlfn.IFNA(VLOOKUP(A14,[20]Hoja1!A$5:D$63,4,FALSE),0)</f>
        <v>9082.7999999999993</v>
      </c>
      <c r="S14" s="196">
        <f>+_xlfn.IFNA(VLOOKUP($A14,[21]Hoja1!$A$5:$D$69,4,FALSE),0)</f>
        <v>173.62</v>
      </c>
      <c r="T14" s="196">
        <f>+_xlfn.IFNA(VLOOKUP($A14,[22]Hoja1!$A$5:$D$71,4,FALSE),0)</f>
        <v>522</v>
      </c>
      <c r="U14" s="196">
        <f>+_xlfn.IFNA(VLOOKUP($A14,[23]Hoja1!$A$5:$D$71,4,FALSE),0)</f>
        <v>0</v>
      </c>
      <c r="V14" s="196">
        <f>+_xlfn.IFNA(VLOOKUP($A14,[24]Hoja1!$A$5:$D$71,4,FALSE),0)</f>
        <v>170514.43</v>
      </c>
      <c r="W14" s="196">
        <f>+_xlfn.IFNA(VLOOKUP($A14,[25]Hoja1!$A$5:$D$71,4,FALSE),0)</f>
        <v>130186.8</v>
      </c>
      <c r="X14" s="196">
        <f>+_xlfn.IFNA(VLOOKUP($A14,[26]Hoja1!$A$5:$D$71,4,FALSE),0)</f>
        <v>0</v>
      </c>
      <c r="Y14" s="196">
        <f>+_xlfn.IFNA(VLOOKUP($A14,[27]Hoja1!$A$5:$D$71,4,FALSE),0)</f>
        <v>10049424.98</v>
      </c>
      <c r="Z14" s="196">
        <f>+_xlfn.IFNA(VLOOKUP($A14,[28]Hoja1!$A$5:$D$71,4,FALSE),0)</f>
        <v>530.70000000000005</v>
      </c>
      <c r="AA14" s="196">
        <f>+_xlfn.IFNA(VLOOKUP($A14,[29]Hoja1!$A$5:$D$71,4,FALSE),0)</f>
        <v>56646.74</v>
      </c>
      <c r="AB14" s="196">
        <f>+_xlfn.IFNA(VLOOKUP($A14,[30]Hoja1!$A$5:$D$71,4,FALSE),0)</f>
        <v>887.4</v>
      </c>
      <c r="AC14" s="196">
        <f>+_xlfn.IFNA(VLOOKUP($A14,[31]Hoja1!$A$5:$D$71,4,FALSE),0)</f>
        <v>0</v>
      </c>
      <c r="AD14" s="196">
        <f t="shared" si="7"/>
        <v>10417969.470000001</v>
      </c>
      <c r="AH14" s="196"/>
      <c r="AI14" s="196">
        <v>168771.3</v>
      </c>
      <c r="AK14" s="196">
        <f>+_xlfn.IFNA(VLOOKUP($A14,  [8]Hoja1!$A$5:$D$70,4,FALSE),0)</f>
        <v>0</v>
      </c>
      <c r="AL14" s="196">
        <f>+_xlfn.IFNA(VLOOKUP($A14, [9]Hoja1!$A$5:$D$70,4,FALSE),0)</f>
        <v>203588.7</v>
      </c>
      <c r="AM14" s="196">
        <f>+_xlfn.IFNA(VLOOKUP($A14,[10]Hoja1!$A$5:$D$71,4,FALSE),0)</f>
        <v>0</v>
      </c>
      <c r="AN14" s="196">
        <f>+_xlfn.IFNA(VLOOKUP($A14,[11]Hoja1!$A$5:$D$71,4,FALSE),0)</f>
        <v>14378.94</v>
      </c>
      <c r="AO14" s="196">
        <f>+_xlfn.IFNA(VLOOKUP($A14,[12]Hoja1!$A$5:$D$71,4,FALSE),0)</f>
        <v>0</v>
      </c>
      <c r="AP14" s="196">
        <f>+_xlfn.IFNA(VLOOKUP($A14,[13]Hoja1!$A$5:$D$71,4,FALSE),0)</f>
        <v>0</v>
      </c>
      <c r="AQ14" s="196">
        <f t="shared" si="8"/>
        <v>386738.94</v>
      </c>
      <c r="AR14" s="196">
        <f>_xlfn.IFNA(+VLOOKUP(A14,[14]Hoja1!$A$5:$D$62,4,FALSE),0)</f>
        <v>0</v>
      </c>
      <c r="AS14" s="196">
        <f>_xlfn.IFNA(+VLOOKUP(A14,[15]Hoja1!$A$5:$D$65,4,FALSE),0)</f>
        <v>205.32</v>
      </c>
      <c r="AT14" s="196">
        <f>_xlfn.IFNA(+VLOOKUP(A14,[16]Hoja1!$A$4:$D$72,4,FALSE),0)</f>
        <v>0</v>
      </c>
      <c r="AU14" s="196">
        <f>_xlfn.IFNA(+VLOOKUP(A14,[17]Hoja1!$A$4:$D$68,4,FALSE),0)</f>
        <v>0</v>
      </c>
      <c r="AV14" s="196">
        <f>_xlfn.IFNA(+VLOOKUP(A14,[18]Hoja1!$A$4:$D$68,4,FALSE),0)</f>
        <v>60.9</v>
      </c>
      <c r="AW14" s="196">
        <f>_xlfn.IFNA(+VLOOKUP(A14,[19]Hoja1!$A$4:$D$68,4,FALSE),0)</f>
        <v>0</v>
      </c>
    </row>
    <row r="15" spans="1:55" x14ac:dyDescent="0.25">
      <c r="A15" s="194" t="s">
        <v>27</v>
      </c>
      <c r="D15" s="194" t="s">
        <v>28</v>
      </c>
      <c r="E15" s="203">
        <f>+'EEFF base'!CB15</f>
        <v>168736.4</v>
      </c>
      <c r="F15" s="203">
        <f>+'EEFF base'!CC15</f>
        <v>216258.47999999998</v>
      </c>
      <c r="G15" s="203">
        <f>+'EEFF base'!CD15</f>
        <v>27595.09</v>
      </c>
      <c r="H15" s="203">
        <f>+'EEFF base'!CE15</f>
        <v>96452.88</v>
      </c>
      <c r="I15" s="203">
        <f>+'EEFF base'!CF15</f>
        <v>79215.919999999984</v>
      </c>
      <c r="J15" s="203">
        <f>+'EEFF base'!CG15</f>
        <v>33263.58</v>
      </c>
      <c r="K15" s="203">
        <f>+'EEFF base'!CH15</f>
        <v>91618.48</v>
      </c>
      <c r="L15" s="203">
        <f>+'EEFF base'!CI15</f>
        <v>121374.14</v>
      </c>
      <c r="M15" s="203">
        <f>+'EEFF base'!CJ15</f>
        <v>73623.47</v>
      </c>
      <c r="N15" s="203">
        <f>+'EEFF base'!CK15</f>
        <v>31518.230000000003</v>
      </c>
      <c r="O15" s="203">
        <f>+'EEFF base'!CL15</f>
        <v>20783.97</v>
      </c>
      <c r="P15" s="203">
        <f>+'EEFF base'!CM15</f>
        <v>191238.50000000003</v>
      </c>
      <c r="Q15" s="196">
        <f t="shared" si="6"/>
        <v>1151679.1399999999</v>
      </c>
      <c r="R15" s="196">
        <f>+_xlfn.IFNA(VLOOKUP(A15,[20]Hoja1!A$5:D$63,4,FALSE),0)</f>
        <v>19354.11</v>
      </c>
      <c r="S15" s="196">
        <f>+_xlfn.IFNA(VLOOKUP($A15,[21]Hoja1!$A$5:$D$69,4,FALSE),0)</f>
        <v>54798.33</v>
      </c>
      <c r="T15" s="196">
        <f>+_xlfn.IFNA(VLOOKUP($A15,[22]Hoja1!$A$5:$D$71,4,FALSE),0)</f>
        <v>42743.45</v>
      </c>
      <c r="U15" s="196">
        <f>+_xlfn.IFNA(VLOOKUP($A15,[23]Hoja1!$A$5:$D$71,4,FALSE),0)</f>
        <v>19539.53</v>
      </c>
      <c r="V15" s="196">
        <f>+_xlfn.IFNA(VLOOKUP($A15,[24]Hoja1!$A$5:$D$71,4,FALSE),0)</f>
        <v>168486.49</v>
      </c>
      <c r="W15" s="196">
        <f>+_xlfn.IFNA(VLOOKUP($A15,[25]Hoja1!$A$5:$D$71,4,FALSE),0)</f>
        <v>90015.15</v>
      </c>
      <c r="X15" s="196">
        <f>+_xlfn.IFNA(VLOOKUP($A15,[26]Hoja1!$A$5:$D$71,4,FALSE),0)</f>
        <v>21544.49</v>
      </c>
      <c r="Y15" s="196">
        <f>+_xlfn.IFNA(VLOOKUP($A15,[27]Hoja1!$A$5:$D$71,4,FALSE),0)</f>
        <v>105866.52</v>
      </c>
      <c r="Z15" s="196">
        <f>+_xlfn.IFNA(VLOOKUP($A15,[28]Hoja1!$A$5:$D$71,4,FALSE),0)</f>
        <v>22101.48</v>
      </c>
      <c r="AA15" s="196">
        <f>+_xlfn.IFNA(VLOOKUP($A15,[29]Hoja1!$A$5:$D$71,4,FALSE),0)</f>
        <v>147637.4</v>
      </c>
      <c r="AB15" s="196">
        <f>+_xlfn.IFNA(VLOOKUP($A15,[30]Hoja1!$A$5:$D$71,4,FALSE),0)</f>
        <v>713169.82</v>
      </c>
      <c r="AC15" s="196">
        <f>+_xlfn.IFNA(VLOOKUP($A15,[31]Hoja1!$A$5:$D$71,4,FALSE),0)</f>
        <v>32722.3</v>
      </c>
      <c r="AD15" s="196">
        <f t="shared" si="7"/>
        <v>1437979.07</v>
      </c>
      <c r="AE15" s="196">
        <f>+VLOOKUP($A15,  [32]Hoja1!$A$5:$D$100,4,FALSE)</f>
        <v>1193419.92</v>
      </c>
      <c r="AF15" s="196">
        <f>+VLOOKUP($A15,  [33]Hoja1!$A$5:$D$100,4,FALSE)</f>
        <v>58535.44</v>
      </c>
      <c r="AG15" s="196">
        <f>+VLOOKUP($A15,  [4]Hoja1!$A$5:$D$100,4,FALSE)</f>
        <v>45027.76</v>
      </c>
      <c r="AH15" s="196">
        <f>+VLOOKUP($A15,  [5]Hoja1!$A$5:$D$100,4,FALSE)</f>
        <v>42406.48</v>
      </c>
      <c r="AI15" s="196">
        <f>+VLOOKUP($A15,  [6]Hoja1!$A$5:$D$100,4,FALSE)</f>
        <v>70481.91</v>
      </c>
      <c r="AJ15" s="196">
        <f>+VLOOKUP($A15,  [7]Hoja1!$A$5:$D$100,4,FALSE)</f>
        <v>213758.22</v>
      </c>
      <c r="AK15" s="196">
        <f>+_xlfn.IFNA(VLOOKUP($A15,  [8]Hoja1!$A$5:$D$70,4,FALSE),0)</f>
        <v>26707.46</v>
      </c>
      <c r="AL15" s="196">
        <f>+_xlfn.IFNA(VLOOKUP($A15, [9]Hoja1!$A$5:$D$70,4,FALSE),0)</f>
        <v>87047.09</v>
      </c>
      <c r="AM15" s="196">
        <f>+_xlfn.IFNA(VLOOKUP($A15,[10]Hoja1!$A$5:$D$71,4,FALSE),0)</f>
        <v>92051.74</v>
      </c>
      <c r="AN15" s="196">
        <f>+_xlfn.IFNA(VLOOKUP($A15,[11]Hoja1!$A$5:$D$71,4,FALSE),0)</f>
        <v>244555.91</v>
      </c>
      <c r="AO15" s="196">
        <f>+_xlfn.IFNA(VLOOKUP($A15,[12]Hoja1!$A$5:$D$71,4,FALSE),0)</f>
        <v>323969.21999999997</v>
      </c>
      <c r="AP15" s="196">
        <f>+_xlfn.IFNA(VLOOKUP($A15,[13]Hoja1!$A$5:$D$71,4,FALSE),0)</f>
        <v>2433912.1</v>
      </c>
      <c r="AQ15" s="196">
        <f t="shared" si="8"/>
        <v>4831873.25</v>
      </c>
      <c r="AR15" s="196">
        <f>_xlfn.IFNA(+VLOOKUP(A15,[14]Hoja1!$A$5:$D$62,4,FALSE),0)</f>
        <v>255056.27</v>
      </c>
      <c r="AS15" s="196">
        <f>_xlfn.IFNA(+VLOOKUP(A15,[15]Hoja1!$A$5:$D$65,4,FALSE),0)</f>
        <v>208296.05</v>
      </c>
      <c r="AT15" s="196">
        <f>_xlfn.IFNA(+VLOOKUP(A15,[16]Hoja1!$A$4:$D$72,4,FALSE),0)</f>
        <v>370933.23</v>
      </c>
      <c r="AU15" s="196">
        <f>_xlfn.IFNA(+VLOOKUP(A15,[17]Hoja1!$A$4:$D$68,4,FALSE),0)</f>
        <v>261520.24</v>
      </c>
      <c r="AV15" s="196">
        <f>_xlfn.IFNA(+VLOOKUP(A15,[18]Hoja1!$A$4:$D$68,4,FALSE),0)</f>
        <v>181363.76</v>
      </c>
      <c r="AW15" s="196">
        <f>_xlfn.IFNA(+VLOOKUP(A15,[19]Hoja1!$A$4:$D$68,4,FALSE),0)</f>
        <v>524200.93</v>
      </c>
    </row>
    <row r="16" spans="1:55" x14ac:dyDescent="0.25">
      <c r="A16" s="194" t="s">
        <v>16</v>
      </c>
      <c r="D16" s="194" t="s">
        <v>17</v>
      </c>
      <c r="E16" s="196">
        <f>+'EEFF base'!CB17</f>
        <v>-2405318.649999999</v>
      </c>
      <c r="F16" s="196">
        <f>+'EEFF base'!CC17</f>
        <v>-2454876.2499999991</v>
      </c>
      <c r="G16" s="196">
        <f>+'EEFF base'!CD17</f>
        <v>-203534.79000000004</v>
      </c>
      <c r="H16" s="196">
        <f>+'EEFF base'!CE17</f>
        <v>-292838.07</v>
      </c>
      <c r="I16" s="196">
        <f>+'EEFF base'!CF17</f>
        <v>-357508.74</v>
      </c>
      <c r="J16" s="196">
        <f>+'EEFF base'!CG17</f>
        <v>-564420.19999999995</v>
      </c>
      <c r="K16" s="196">
        <f>+'EEFF base'!CH17</f>
        <v>-1325856.1700000002</v>
      </c>
      <c r="L16" s="196">
        <f>+'EEFF base'!CI17</f>
        <v>-1235619.02</v>
      </c>
      <c r="M16" s="196">
        <f>+'EEFF base'!CJ17</f>
        <v>-11789437.569999997</v>
      </c>
      <c r="N16" s="196">
        <f>+'EEFF base'!CK17</f>
        <v>-775393.8</v>
      </c>
      <c r="O16" s="196">
        <f>+'EEFF base'!CL17</f>
        <v>-214753.69999999998</v>
      </c>
      <c r="P16" s="196">
        <f>+'EEFF base'!CM17</f>
        <v>-409839.18999999994</v>
      </c>
      <c r="Q16" s="196">
        <f t="shared" si="6"/>
        <v>-22029396.149999995</v>
      </c>
      <c r="R16" s="196">
        <f>+_xlfn.IFNA(VLOOKUP(A16,[20]Hoja1!A$5:D$63,4,FALSE),0)</f>
        <v>-1829666.2</v>
      </c>
      <c r="S16" s="196">
        <f>+_xlfn.IFNA(VLOOKUP($A16,[21]Hoja1!$A$5:$D$69,4,FALSE),0)</f>
        <v>-1586735.98</v>
      </c>
      <c r="T16" s="196">
        <f>+_xlfn.IFNA(VLOOKUP($A16,[22]Hoja1!$A$5:$D$71,4,FALSE),0)</f>
        <v>-1451195.94</v>
      </c>
      <c r="U16" s="196">
        <f>+_xlfn.IFNA(VLOOKUP($A16,[23]Hoja1!$A$5:$D$71,4,FALSE),0)</f>
        <v>-2247323.69</v>
      </c>
      <c r="V16" s="196">
        <f>+_xlfn.IFNA(VLOOKUP($A16,[24]Hoja1!$A$5:$D$71,4,FALSE),0)</f>
        <v>-364725.72</v>
      </c>
      <c r="W16" s="196">
        <f>+_xlfn.IFNA(VLOOKUP($A16,[25]Hoja1!$A$5:$D$71,4,FALSE),0)</f>
        <v>1798344.47</v>
      </c>
      <c r="X16" s="196">
        <f>+_xlfn.IFNA(VLOOKUP($A16,[26]Hoja1!$A$5:$D$71,4,FALSE),0)</f>
        <v>-1218625.26</v>
      </c>
      <c r="Y16" s="196">
        <f>+_xlfn.IFNA(VLOOKUP($A16,[27]Hoja1!$A$5:$D$71,4,FALSE),0)</f>
        <v>-6034836.2199999997</v>
      </c>
      <c r="Z16" s="196">
        <f>+_xlfn.IFNA(VLOOKUP($A16,[28]Hoja1!$A$5:$D$71,4,FALSE),0)</f>
        <v>-376597.48</v>
      </c>
      <c r="AA16" s="196">
        <f>+_xlfn.IFNA(VLOOKUP($A16,[29]Hoja1!$A$5:$D$71,4,FALSE),0)</f>
        <v>-89926.43</v>
      </c>
      <c r="AB16" s="196">
        <f>+_xlfn.IFNA(VLOOKUP($A16,[30]Hoja1!$A$5:$D$71,4,FALSE),0)</f>
        <v>-89926.43</v>
      </c>
      <c r="AC16" s="196">
        <f>+_xlfn.IFNA(VLOOKUP($A16,[31]Hoja1!$A$5:$D$71,4,FALSE),0)</f>
        <v>-84055.37</v>
      </c>
      <c r="AD16" s="196">
        <f t="shared" si="7"/>
        <v>-13575270.249999998</v>
      </c>
      <c r="AE16" s="196">
        <f>+VLOOKUP($A16,  [32]Hoja1!$A$5:$D$100,4,FALSE)</f>
        <v>-848920.56</v>
      </c>
      <c r="AF16" s="196">
        <f>+VLOOKUP($A16,  [33]Hoja1!$A$5:$D$100,4,FALSE)</f>
        <v>-138669.5</v>
      </c>
      <c r="AG16" s="196">
        <f>+VLOOKUP($A16,  [4]Hoja1!$A$5:$D$100,4,FALSE)</f>
        <v>546058.29</v>
      </c>
      <c r="AH16" s="196">
        <f>+VLOOKUP($A16,  [5]Hoja1!$A$5:$D$100,4,FALSE)</f>
        <v>-7342795.04</v>
      </c>
      <c r="AI16" s="196">
        <f>+VLOOKUP($A16,  [6]Hoja1!$A$5:$D$100,4,FALSE)</f>
        <v>-852429.9</v>
      </c>
      <c r="AJ16" s="196">
        <f>+VLOOKUP($A16,  [7]Hoja1!$A$5:$D$100,4,FALSE)</f>
        <v>-2532600.83</v>
      </c>
      <c r="AK16" s="196">
        <f>+_xlfn.IFNA(VLOOKUP($A16,  [8]Hoja1!$A$5:$D$70,4,FALSE),0)</f>
        <v>1130959.99</v>
      </c>
      <c r="AL16" s="196">
        <f>+_xlfn.IFNA(VLOOKUP($A16, [9]Hoja1!$A$5:$D$70,4,FALSE),0)</f>
        <v>-362376.9</v>
      </c>
      <c r="AM16" s="196">
        <f>+_xlfn.IFNA(VLOOKUP($A16,[10]Hoja1!$A$5:$D$71,4,FALSE),0)</f>
        <v>1264981.51</v>
      </c>
      <c r="AN16" s="196">
        <f>+_xlfn.IFNA(VLOOKUP($A16,[11]Hoja1!$A$5:$D$71,4,FALSE),0)</f>
        <v>-59208.52</v>
      </c>
      <c r="AO16" s="196">
        <f>+_xlfn.IFNA(VLOOKUP($A16,[12]Hoja1!$A$5:$D$71,4,FALSE),0)</f>
        <v>-187048.48</v>
      </c>
      <c r="AP16" s="196">
        <f>+_xlfn.IFNA(VLOOKUP($A16,[13]Hoja1!$A$5:$D$71,4,FALSE),0)</f>
        <v>1463755.44</v>
      </c>
      <c r="AQ16" s="196">
        <f t="shared" si="8"/>
        <v>-7918294.5000000019</v>
      </c>
      <c r="AR16" s="196">
        <f>_xlfn.IFNA(+VLOOKUP(A16,[14]Hoja1!$A$5:$D$62,4,FALSE),0)</f>
        <v>-2441564.71</v>
      </c>
      <c r="AS16" s="196">
        <f>_xlfn.IFNA(+VLOOKUP(A16,[15]Hoja1!$A$5:$D$65,4,FALSE),0)</f>
        <v>501683.3</v>
      </c>
      <c r="AT16" s="196">
        <f>_xlfn.IFNA(+VLOOKUP(A16,[16]Hoja1!$A$4:$D$72,4,FALSE),0)</f>
        <v>-124328.92</v>
      </c>
      <c r="AU16" s="196">
        <f>_xlfn.IFNA(+VLOOKUP(A16,[17]Hoja1!$A$4:$D$68,4,FALSE),0)</f>
        <v>-454029.7</v>
      </c>
      <c r="AV16" s="196">
        <f>_xlfn.IFNA(+VLOOKUP(A16,[18]Hoja1!$A$4:$D$68,4,FALSE),0)</f>
        <v>-23329.43</v>
      </c>
      <c r="AW16" s="196">
        <f>_xlfn.IFNA(+VLOOKUP(A16,[19]Hoja1!$A$4:$D$68,4,FALSE),0)</f>
        <v>-11164075.189999999</v>
      </c>
    </row>
    <row r="17" spans="1:55" ht="17.25" customHeight="1" x14ac:dyDescent="0.25">
      <c r="A17" s="194" t="s">
        <v>18</v>
      </c>
      <c r="D17" s="194" t="s">
        <v>19</v>
      </c>
      <c r="E17" s="196">
        <f>+'EEFF base'!CB18+'EEFF base'!CB19</f>
        <v>118798.62999999999</v>
      </c>
      <c r="F17" s="196">
        <f>+'EEFF base'!CC18+'EEFF base'!CC19</f>
        <v>148014.04</v>
      </c>
      <c r="G17" s="196">
        <f>+'EEFF base'!CD18+'EEFF base'!CD19</f>
        <v>194882.7</v>
      </c>
      <c r="H17" s="196">
        <f>+'EEFF base'!CE18+'EEFF base'!CE19</f>
        <v>227703.15000000005</v>
      </c>
      <c r="I17" s="196">
        <f>+'EEFF base'!CF18+'EEFF base'!CF19</f>
        <v>274154.34000000008</v>
      </c>
      <c r="J17" s="196">
        <f>+'EEFF base'!CG18+'EEFF base'!CG19</f>
        <v>222470.83999999997</v>
      </c>
      <c r="K17" s="196">
        <f>+'EEFF base'!CH18+'EEFF base'!CH19</f>
        <v>156060.74000000008</v>
      </c>
      <c r="L17" s="196">
        <f>+'EEFF base'!CI18+'EEFF base'!CI19</f>
        <v>315962.43</v>
      </c>
      <c r="M17" s="196">
        <f>+'EEFF base'!CJ18+'EEFF base'!CJ19</f>
        <v>470525.31999999995</v>
      </c>
      <c r="N17" s="196">
        <f>+'EEFF base'!CK18+'EEFF base'!CK19</f>
        <v>364788.64000000031</v>
      </c>
      <c r="O17" s="196">
        <f>+'EEFF base'!CL18+'EEFF base'!CL19</f>
        <v>363910.10999999987</v>
      </c>
      <c r="P17" s="196">
        <f>+'EEFF base'!CM18+'EEFF base'!CM19</f>
        <v>336678.53000000014</v>
      </c>
      <c r="Q17" s="196">
        <f t="shared" si="6"/>
        <v>3193949.47</v>
      </c>
      <c r="R17" s="196">
        <f>+_xlfn.IFNA(VLOOKUP(A17,[20]Hoja1!A$5:D$63,4,FALSE),0)</f>
        <v>320878.40000000002</v>
      </c>
      <c r="S17" s="196">
        <f>+_xlfn.IFNA(VLOOKUP($A17,[21]Hoja1!$A$5:$D$69,4,FALSE),0)</f>
        <v>322891.92</v>
      </c>
      <c r="T17" s="196">
        <f>+_xlfn.IFNA(VLOOKUP($A17,[22]Hoja1!$A$5:$D$71,4,FALSE),0)</f>
        <v>341682.8</v>
      </c>
      <c r="U17" s="196">
        <f>+_xlfn.IFNA(VLOOKUP($A17,[23]Hoja1!$A$5:$D$71,4,FALSE),0)</f>
        <v>340623.34</v>
      </c>
      <c r="V17" s="196">
        <f>+_xlfn.IFNA(VLOOKUP($A17,[24]Hoja1!$A$5:$D$71,4,FALSE),0)</f>
        <v>314545.05</v>
      </c>
      <c r="W17" s="196">
        <f>+_xlfn.IFNA(VLOOKUP($A17,[25]Hoja1!$A$5:$D$71,4,FALSE),0)</f>
        <v>331640.11</v>
      </c>
      <c r="X17" s="196">
        <f>+_xlfn.IFNA(VLOOKUP($A17,[26]Hoja1!$A$5:$D$71,4,FALSE),0)</f>
        <v>313095.5</v>
      </c>
      <c r="Y17" s="196">
        <f>+_xlfn.IFNA(VLOOKUP($A17,[27]Hoja1!$A$5:$D$71,4,FALSE),0)</f>
        <v>211737.19</v>
      </c>
      <c r="Z17" s="196">
        <f>+_xlfn.IFNA(VLOOKUP($A17,[28]Hoja1!$A$5:$D$71,4,FALSE),0)</f>
        <v>139828.34</v>
      </c>
      <c r="AA17" s="196">
        <f>+_xlfn.IFNA(VLOOKUP($A17,[29]Hoja1!$A$5:$D$71,4,FALSE),0)</f>
        <v>165144.13</v>
      </c>
      <c r="AB17" s="196">
        <f>+_xlfn.IFNA(VLOOKUP($A17,[30]Hoja1!$A$5:$D$71,4,FALSE),0)</f>
        <v>141913</v>
      </c>
      <c r="AC17" s="196">
        <f>+_xlfn.IFNA(VLOOKUP($A17,[31]Hoja1!$A$5:$D$71,4,FALSE),0)</f>
        <v>179363.58</v>
      </c>
      <c r="AD17" s="196">
        <f t="shared" si="7"/>
        <v>3123343.3599999999</v>
      </c>
      <c r="AE17" s="196">
        <f>+VLOOKUP($A17,  [32]Hoja1!$A$5:$D$100,4,FALSE)</f>
        <v>289680.15999999997</v>
      </c>
      <c r="AF17" s="196">
        <f>+VLOOKUP($A17,  [33]Hoja1!$A$5:$D$100,4,FALSE)</f>
        <v>183952.1</v>
      </c>
      <c r="AG17" s="196">
        <f>+VLOOKUP($A17,  [4]Hoja1!$A$5:$D$100,4,FALSE)</f>
        <v>-12614.83</v>
      </c>
      <c r="AH17" s="196">
        <f>+VLOOKUP($A17,  [5]Hoja1!$A$5:$D$100,4,FALSE)</f>
        <v>-155955.42000000001</v>
      </c>
      <c r="AI17" s="196">
        <f>+VLOOKUP($A17,  [6]Hoja1!$A$5:$D$100,4,FALSE)</f>
        <v>302165.61</v>
      </c>
      <c r="AJ17" s="196">
        <f>+VLOOKUP($A17,  [7]Hoja1!$A$5:$D$100,4,FALSE)</f>
        <v>-1350640.1</v>
      </c>
      <c r="AK17" s="196">
        <f>+_xlfn.IFNA(VLOOKUP($A17,  [8]Hoja1!$A$5:$D$70,4,FALSE),0)</f>
        <v>197778.98</v>
      </c>
      <c r="AL17" s="196">
        <f>+_xlfn.IFNA(VLOOKUP($A17, [9]Hoja1!$A$5:$D$70,4,FALSE),0)</f>
        <v>-771323.72</v>
      </c>
      <c r="AM17" s="196">
        <f>+_xlfn.IFNA(VLOOKUP($A17,[10]Hoja1!$A$5:$D$71,4,FALSE),0)</f>
        <v>-415922.54</v>
      </c>
      <c r="AN17" s="196">
        <f>+_xlfn.IFNA(VLOOKUP($A17,[11]Hoja1!$A$5:$D$71,4,FALSE),0)</f>
        <v>951277.21</v>
      </c>
      <c r="AO17" s="196">
        <f>+_xlfn.IFNA(VLOOKUP($A17,[12]Hoja1!$A$5:$D$71,4,FALSE),0)</f>
        <v>-1002953.4</v>
      </c>
      <c r="AP17" s="196">
        <f>+_xlfn.IFNA(VLOOKUP($A17,[13]Hoja1!$A$5:$D$71,4,FALSE),0)</f>
        <v>129858.06</v>
      </c>
      <c r="AQ17" s="196">
        <f t="shared" si="8"/>
        <v>-1654697.8900000001</v>
      </c>
      <c r="AR17" s="196">
        <f>_xlfn.IFNA(+VLOOKUP(A17,[14]Hoja1!$A$5:$D$62,4,FALSE),0)</f>
        <v>100450.42</v>
      </c>
      <c r="AS17" s="196">
        <f>_xlfn.IFNA(+VLOOKUP(A17,[15]Hoja1!$A$5:$D$65,4,FALSE),0)</f>
        <v>-820162.4</v>
      </c>
      <c r="AT17" s="196">
        <f>_xlfn.IFNA(+VLOOKUP(A17,[16]Hoja1!$A$4:$D$72,4,FALSE),0)</f>
        <v>206523.75</v>
      </c>
      <c r="AU17" s="196">
        <f>_xlfn.IFNA(+VLOOKUP(A17,[17]Hoja1!$A$4:$D$68,4,FALSE),0)</f>
        <v>-2156719.37</v>
      </c>
      <c r="AV17" s="196">
        <f>_xlfn.IFNA(+VLOOKUP(A17,[18]Hoja1!$A$4:$D$68,4,FALSE),0)</f>
        <v>229843.22</v>
      </c>
      <c r="AW17" s="196">
        <f>_xlfn.IFNA(+VLOOKUP(A17,[19]Hoja1!$A$4:$D$68,4,FALSE),0)</f>
        <v>1070053.44</v>
      </c>
    </row>
    <row r="18" spans="1:55" s="527" customFormat="1" x14ac:dyDescent="0.25">
      <c r="A18" s="197"/>
      <c r="B18" s="197"/>
      <c r="C18" s="197"/>
      <c r="D18" s="197" t="s">
        <v>29</v>
      </c>
      <c r="E18" s="198">
        <f>+SUM(E12:E17)</f>
        <v>4278030.9099999983</v>
      </c>
      <c r="F18" s="198">
        <f t="shared" ref="F18:P18" si="17">+SUM(F12:F17)</f>
        <v>-6283062.239999962</v>
      </c>
      <c r="G18" s="198">
        <f t="shared" si="17"/>
        <v>-2380306.4399999981</v>
      </c>
      <c r="H18" s="198">
        <f t="shared" si="17"/>
        <v>5594082.0899999654</v>
      </c>
      <c r="I18" s="198">
        <f t="shared" si="17"/>
        <v>10232019.259999959</v>
      </c>
      <c r="J18" s="198">
        <f t="shared" si="17"/>
        <v>2195487.3200000105</v>
      </c>
      <c r="K18" s="198">
        <f t="shared" si="17"/>
        <v>5891493.8699999563</v>
      </c>
      <c r="L18" s="198">
        <f t="shared" si="17"/>
        <v>5370797.5299999826</v>
      </c>
      <c r="M18" s="198">
        <f t="shared" si="17"/>
        <v>14082612.98999998</v>
      </c>
      <c r="N18" s="198">
        <f t="shared" si="17"/>
        <v>-8898976.219999969</v>
      </c>
      <c r="O18" s="198">
        <f t="shared" si="17"/>
        <v>-9253547.6300000288</v>
      </c>
      <c r="P18" s="198">
        <f t="shared" si="17"/>
        <v>12101327.76999994</v>
      </c>
      <c r="Q18" s="198">
        <f t="shared" si="6"/>
        <v>32929959.20999983</v>
      </c>
      <c r="R18" s="198">
        <f>+SUM(R12:R17)</f>
        <v>-4210285.28</v>
      </c>
      <c r="S18" s="198">
        <f t="shared" ref="S18:AC18" si="18">+SUM(S12:S17)</f>
        <v>-7467877.8899999987</v>
      </c>
      <c r="T18" s="198">
        <f t="shared" si="18"/>
        <v>-1483800.5099999984</v>
      </c>
      <c r="U18" s="198">
        <f t="shared" si="18"/>
        <v>3299934.8799999957</v>
      </c>
      <c r="V18" s="198">
        <f t="shared" si="18"/>
        <v>5623142.9399999976</v>
      </c>
      <c r="W18" s="198">
        <f t="shared" si="18"/>
        <v>6024034.9100000029</v>
      </c>
      <c r="X18" s="198">
        <f t="shared" si="18"/>
        <v>10201275.279999999</v>
      </c>
      <c r="Y18" s="198">
        <f t="shared" si="18"/>
        <v>1665908.3199999998</v>
      </c>
      <c r="Z18" s="198">
        <f t="shared" si="18"/>
        <v>6860514.7100000028</v>
      </c>
      <c r="AA18" s="198">
        <f t="shared" si="18"/>
        <v>20760976.419999998</v>
      </c>
      <c r="AB18" s="198">
        <f t="shared" si="18"/>
        <v>-5976718.96</v>
      </c>
      <c r="AC18" s="198">
        <f t="shared" si="18"/>
        <v>3350897.4499999955</v>
      </c>
      <c r="AD18" s="198">
        <f t="shared" si="7"/>
        <v>38648002.269999996</v>
      </c>
      <c r="AE18" s="198">
        <f t="shared" ref="AE18:AL18" si="19">+SUM(AE12:AE17)</f>
        <v>12360028.649999995</v>
      </c>
      <c r="AF18" s="198">
        <f t="shared" si="19"/>
        <v>-7437587.5100000007</v>
      </c>
      <c r="AG18" s="198">
        <f t="shared" si="19"/>
        <v>-5988109.4300000025</v>
      </c>
      <c r="AH18" s="198">
        <f t="shared" si="19"/>
        <v>-16800643.420000006</v>
      </c>
      <c r="AI18" s="198">
        <f t="shared" si="19"/>
        <v>-1027741.3500000016</v>
      </c>
      <c r="AJ18" s="198">
        <f t="shared" si="19"/>
        <v>4257778.7700000014</v>
      </c>
      <c r="AK18" s="198">
        <f t="shared" si="19"/>
        <v>5991495.8200000022</v>
      </c>
      <c r="AL18" s="198">
        <f t="shared" si="19"/>
        <v>13384809.389999999</v>
      </c>
      <c r="AM18" s="198">
        <f t="shared" ref="AM18:AW18" si="20">+SUM(AM12:AM17)</f>
        <v>1171953.8899999999</v>
      </c>
      <c r="AN18" s="198">
        <f t="shared" si="20"/>
        <v>15792741.660000004</v>
      </c>
      <c r="AO18" s="198">
        <f t="shared" si="20"/>
        <v>2129682.0999999978</v>
      </c>
      <c r="AP18" s="198">
        <f t="shared" si="20"/>
        <v>529853.14999999711</v>
      </c>
      <c r="AQ18" s="198">
        <f t="shared" si="8"/>
        <v>24364261.719999984</v>
      </c>
      <c r="AR18" s="198">
        <f t="shared" si="20"/>
        <v>793575.70999999682</v>
      </c>
      <c r="AS18" s="198">
        <f t="shared" si="20"/>
        <v>12183861.050000003</v>
      </c>
      <c r="AT18" s="198">
        <f t="shared" si="20"/>
        <v>9362895.5299999993</v>
      </c>
      <c r="AU18" s="198">
        <f t="shared" si="20"/>
        <v>20460839.099999998</v>
      </c>
      <c r="AV18" s="198">
        <f t="shared" si="20"/>
        <v>1667070.4199999978</v>
      </c>
      <c r="AW18" s="198">
        <f t="shared" si="20"/>
        <v>16109180.990000002</v>
      </c>
      <c r="AX18" s="197"/>
      <c r="AY18" s="197"/>
      <c r="AZ18" s="197"/>
      <c r="BA18" s="197"/>
      <c r="BB18" s="197"/>
      <c r="BC18" s="197"/>
    </row>
    <row r="19" spans="1:55" x14ac:dyDescent="0.25">
      <c r="A19" s="194" t="s">
        <v>25</v>
      </c>
      <c r="D19" s="194" t="s">
        <v>26</v>
      </c>
      <c r="E19" s="196">
        <f>+'EEFF base'!CB16</f>
        <v>5975.24</v>
      </c>
      <c r="F19" s="196">
        <f>+'EEFF base'!CC16</f>
        <v>339.01</v>
      </c>
      <c r="G19" s="196">
        <f>+'EEFF base'!CD16</f>
        <v>62.86</v>
      </c>
      <c r="H19" s="196">
        <f>+'EEFF base'!CE16</f>
        <v>120.50999999999999</v>
      </c>
      <c r="I19" s="196">
        <f>+'EEFF base'!CF16</f>
        <v>63.87</v>
      </c>
      <c r="J19" s="196">
        <f>+'EEFF base'!CG16</f>
        <v>181.09</v>
      </c>
      <c r="K19" s="196">
        <f>+'EEFF base'!CH16</f>
        <v>162.69000000000003</v>
      </c>
      <c r="L19" s="196">
        <f>+'EEFF base'!CI16</f>
        <v>376.58</v>
      </c>
      <c r="M19" s="196">
        <f>+'EEFF base'!CJ16</f>
        <v>727.29</v>
      </c>
      <c r="N19" s="196">
        <f>+'EEFF base'!CK16</f>
        <v>891.67</v>
      </c>
      <c r="O19" s="196">
        <f>+'EEFF base'!CL16</f>
        <v>214.60999999999999</v>
      </c>
      <c r="P19" s="196">
        <f>+'EEFF base'!CM16</f>
        <v>727.95</v>
      </c>
      <c r="Q19" s="196">
        <f t="shared" si="6"/>
        <v>9843.3700000000008</v>
      </c>
      <c r="R19" s="196">
        <f>+_xlfn.IFNA(VLOOKUP(A19,[20]Hoja1!A$5:D$63,4,FALSE),0)</f>
        <v>319.75</v>
      </c>
      <c r="S19" s="196">
        <f>+_xlfn.IFNA(VLOOKUP($A19,[21]Hoja1!$A$5:$D$69,4,FALSE),0)</f>
        <v>43.1</v>
      </c>
      <c r="T19" s="196">
        <f>+_xlfn.IFNA(VLOOKUP($A19,[22]Hoja1!$A$5:$D$71,4,FALSE),0)</f>
        <v>41.06</v>
      </c>
      <c r="U19" s="196">
        <f>+_xlfn.IFNA(VLOOKUP($A19,[23]Hoja1!$A$5:$D$71,4,FALSE),0)</f>
        <v>115.79</v>
      </c>
      <c r="V19" s="196">
        <f>+_xlfn.IFNA(VLOOKUP($A19,[24]Hoja1!$A$5:$D$71,4,FALSE),0)</f>
        <v>437.07</v>
      </c>
      <c r="W19" s="196">
        <f>+_xlfn.IFNA(VLOOKUP($A19,[25]Hoja1!$A$5:$D$71,4,FALSE),0)</f>
        <v>2733.81</v>
      </c>
      <c r="X19" s="196">
        <f>+_xlfn.IFNA(VLOOKUP($A19,[26]Hoja1!$A$5:$D$71,4,FALSE),0)</f>
        <v>5323.77</v>
      </c>
      <c r="Y19" s="196">
        <f>+_xlfn.IFNA(VLOOKUP($A19,[27]Hoja1!$A$5:$D$71,4,FALSE),0)</f>
        <v>6654.28</v>
      </c>
      <c r="Z19" s="196">
        <f>+_xlfn.IFNA(VLOOKUP($A19,[28]Hoja1!$A$5:$D$71,4,FALSE),0)</f>
        <v>1502.63</v>
      </c>
      <c r="AA19" s="196">
        <f>+_xlfn.IFNA(VLOOKUP($A19,[29]Hoja1!$A$5:$D$71,4,FALSE),0)</f>
        <v>390.37</v>
      </c>
      <c r="AB19" s="196">
        <f>+_xlfn.IFNA(VLOOKUP($A19,[30]Hoja1!$A$5:$D$71,4,FALSE),0)</f>
        <v>714.74</v>
      </c>
      <c r="AC19" s="196">
        <f>+_xlfn.IFNA(VLOOKUP($A19,[31]Hoja1!$A$5:$D$71,4,FALSE),0)</f>
        <v>2481.04</v>
      </c>
      <c r="AD19" s="196">
        <f t="shared" si="7"/>
        <v>20757.410000000003</v>
      </c>
      <c r="AE19" s="196">
        <f>+VLOOKUP($A19,  [32]Hoja1!$A$5:$D$100,4,FALSE)</f>
        <v>2766.49</v>
      </c>
      <c r="AF19" s="196">
        <f>+VLOOKUP($A19,  [33]Hoja1!$A$5:$D$100,4,FALSE)</f>
        <v>137.06</v>
      </c>
      <c r="AG19" s="196">
        <f>+VLOOKUP($A19,  [4]Hoja1!$A$5:$D$100,4,FALSE)</f>
        <v>94.89</v>
      </c>
      <c r="AH19" s="196">
        <f>+VLOOKUP($A19,  [5]Hoja1!$A$5:$D$100,4,FALSE)</f>
        <v>708.41</v>
      </c>
      <c r="AI19" s="196">
        <f>+VLOOKUP($A19,  [6]Hoja1!$A$5:$D$100,4,FALSE)</f>
        <v>2048.98</v>
      </c>
      <c r="AJ19" s="196">
        <f>+VLOOKUP($A19,  [7]Hoja1!$A$5:$D$100,4,FALSE)</f>
        <v>5131.42</v>
      </c>
      <c r="AK19" s="196">
        <f>+_xlfn.IFNA(VLOOKUP($A19,  [8]Hoja1!$A$5:$D$70,4,FALSE),0)</f>
        <v>10725.22</v>
      </c>
      <c r="AL19" s="196">
        <f>+_xlfn.IFNA(VLOOKUP($A19, [9]Hoja1!$A$5:$D$70,4,FALSE),0)</f>
        <v>12255.14</v>
      </c>
      <c r="AM19" s="196">
        <f>+_xlfn.IFNA(VLOOKUP($A19,[10]Hoja1!$A$5:$D$71,4,FALSE),0)</f>
        <v>6836.05</v>
      </c>
      <c r="AN19" s="196">
        <f>+_xlfn.IFNA(VLOOKUP($A19,[11]Hoja1!$A$5:$D$71,4,FALSE),0)</f>
        <v>1714.06</v>
      </c>
      <c r="AO19" s="196">
        <f>+_xlfn.IFNA(VLOOKUP($A19,[12]Hoja1!$A$5:$D$71,4,FALSE),0)</f>
        <v>1795.13</v>
      </c>
      <c r="AP19" s="196">
        <f>+_xlfn.IFNA(VLOOKUP($A19,[13]Hoja1!$A$5:$D$71,4,FALSE),0)</f>
        <v>5021.97</v>
      </c>
      <c r="AQ19" s="196">
        <f t="shared" si="8"/>
        <v>49234.82</v>
      </c>
      <c r="AR19" s="196">
        <f>_xlfn.IFNA(+VLOOKUP(A19,[14]Hoja1!$A$5:$D$62,4,FALSE),0)</f>
        <v>2198.42</v>
      </c>
      <c r="AS19" s="196">
        <f>_xlfn.IFNA(+VLOOKUP(A19,[15]Hoja1!$A$5:$D$65,4,FALSE),0)</f>
        <v>2395.2399999999998</v>
      </c>
      <c r="AT19" s="196">
        <f>_xlfn.IFNA(+VLOOKUP(A19,[16]Hoja1!$A$4:$D$72,4,FALSE),0)</f>
        <v>2184.69</v>
      </c>
      <c r="AU19" s="196">
        <f>_xlfn.IFNA(+VLOOKUP(A19,[17]Hoja1!$A$4:$D$68,4,FALSE),0)</f>
        <v>3502.33</v>
      </c>
      <c r="AV19" s="196">
        <f>_xlfn.IFNA(+VLOOKUP(A19,[18]Hoja1!$A$4:$D$68,4,FALSE),0)</f>
        <v>28456.83</v>
      </c>
      <c r="AW19" s="196">
        <f>_xlfn.IFNA(+VLOOKUP(A19,[19]Hoja1!$A$4:$D$68,4,FALSE),0)</f>
        <v>58623.19</v>
      </c>
    </row>
    <row r="20" spans="1:55" x14ac:dyDescent="0.25">
      <c r="A20" s="194" t="s">
        <v>12</v>
      </c>
      <c r="D20" s="194" t="s">
        <v>13</v>
      </c>
      <c r="E20" s="196">
        <f>+'EEFF base'!CB11</f>
        <v>-1424907.9999999998</v>
      </c>
      <c r="F20" s="196">
        <f>+'EEFF base'!CC11</f>
        <v>-1469716.7599999998</v>
      </c>
      <c r="G20" s="196">
        <f>+'EEFF base'!CD11</f>
        <v>-1142734.1799999997</v>
      </c>
      <c r="H20" s="196">
        <f>+'EEFF base'!CE11</f>
        <v>-1493928.92</v>
      </c>
      <c r="I20" s="196">
        <f>+'EEFF base'!CF11</f>
        <v>-1618608.13</v>
      </c>
      <c r="J20" s="196">
        <f>+'EEFF base'!CG11</f>
        <v>-1428648.6299999997</v>
      </c>
      <c r="K20" s="196">
        <f>+'EEFF base'!CH11</f>
        <v>-1445803.5299999998</v>
      </c>
      <c r="L20" s="196">
        <f>+'EEFF base'!CI11</f>
        <v>-1398007.0000000002</v>
      </c>
      <c r="M20" s="196">
        <f>+'EEFF base'!CJ11</f>
        <v>-1451325.02</v>
      </c>
      <c r="N20" s="196">
        <f>+'EEFF base'!CK11</f>
        <v>-1467267.7900000014</v>
      </c>
      <c r="O20" s="196">
        <f>+'EEFF base'!CL11</f>
        <v>-1304587.93</v>
      </c>
      <c r="P20" s="196">
        <f>+'EEFF base'!CM11</f>
        <v>-1435712.19</v>
      </c>
      <c r="Q20" s="196">
        <f t="shared" si="6"/>
        <v>-17081248.079999998</v>
      </c>
      <c r="R20" s="196">
        <f>+_xlfn.IFNA(VLOOKUP(A20,[20]Hoja1!A$5:D$63,4,FALSE),0)</f>
        <v>-1428130.67</v>
      </c>
      <c r="S20" s="196">
        <f>+_xlfn.IFNA(VLOOKUP($A20,[21]Hoja1!$A$5:$D$69,4,FALSE),0)</f>
        <v>-1550198.65</v>
      </c>
      <c r="T20" s="196">
        <f>+_xlfn.IFNA(VLOOKUP($A20,[22]Hoja1!$A$5:$D$71,4,FALSE),0)</f>
        <v>-1528023.11</v>
      </c>
      <c r="U20" s="196">
        <f>+_xlfn.IFNA(VLOOKUP($A20,[23]Hoja1!$A$5:$D$71,4,FALSE),0)</f>
        <v>-1366927.4</v>
      </c>
      <c r="V20" s="196">
        <f>+_xlfn.IFNA(VLOOKUP($A20,[24]Hoja1!$A$5:$D$71,4,FALSE),0)</f>
        <v>-1499093.8</v>
      </c>
      <c r="W20" s="196">
        <f>+_xlfn.IFNA(VLOOKUP($A20,[25]Hoja1!$A$5:$D$71,4,FALSE),0)</f>
        <v>-1768757.02</v>
      </c>
      <c r="X20" s="196">
        <f>+_xlfn.IFNA(VLOOKUP($A20,[26]Hoja1!$A$5:$D$71,4,FALSE),0)</f>
        <v>-1397973.27</v>
      </c>
      <c r="Y20" s="196">
        <f>+_xlfn.IFNA(VLOOKUP($A20,[27]Hoja1!$A$5:$D$71,4,FALSE),0)</f>
        <v>-1708563.65</v>
      </c>
      <c r="Z20" s="196">
        <f>+_xlfn.IFNA(VLOOKUP($A20,[28]Hoja1!$A$5:$D$71,4,FALSE),0)</f>
        <v>-1122665.52</v>
      </c>
      <c r="AA20" s="196">
        <f>+_xlfn.IFNA(VLOOKUP($A20,[29]Hoja1!$A$5:$D$71,4,FALSE),0)</f>
        <v>-1580420.16</v>
      </c>
      <c r="AB20" s="196">
        <f>+_xlfn.IFNA(VLOOKUP($A20,[30]Hoja1!$A$5:$D$71,4,FALSE),0)</f>
        <v>-1303987.3</v>
      </c>
      <c r="AC20" s="196">
        <f>+_xlfn.IFNA(VLOOKUP($A20,[31]Hoja1!$A$5:$D$71,4,FALSE),0)</f>
        <v>-1892984.83</v>
      </c>
      <c r="AD20" s="196">
        <f t="shared" si="7"/>
        <v>-18147725.380000003</v>
      </c>
      <c r="AE20" s="196">
        <f>+VLOOKUP($A20,  [32]Hoja1!$A$5:$D$100,4,FALSE)</f>
        <v>-1400464.9</v>
      </c>
      <c r="AF20" s="196">
        <f>+VLOOKUP($A20,  [33]Hoja1!$A$5:$D$100,4,FALSE)</f>
        <v>-1557350.96</v>
      </c>
      <c r="AG20" s="196">
        <f>+VLOOKUP($A20,  [4]Hoja1!$A$5:$D$100,4,FALSE)</f>
        <v>-1446720.36</v>
      </c>
      <c r="AH20" s="196">
        <f>+VLOOKUP($A20,  [5]Hoja1!$A$5:$D$100,4,FALSE)</f>
        <v>-1037954.43</v>
      </c>
      <c r="AI20" s="196">
        <f>+VLOOKUP($A20,  [6]Hoja1!$A$5:$D$100,4,FALSE)</f>
        <v>-2577036.27</v>
      </c>
      <c r="AJ20" s="196">
        <f>+VLOOKUP($A20,  [7]Hoja1!$A$5:$D$100,4,FALSE)</f>
        <v>-1764992.39</v>
      </c>
      <c r="AK20" s="196">
        <f>+_xlfn.IFNA(VLOOKUP($A20,  [8]Hoja1!$A$5:$D$70,4,FALSE),0)</f>
        <v>-2235816.35</v>
      </c>
      <c r="AL20" s="196">
        <f>+_xlfn.IFNA(VLOOKUP($A20, [9]Hoja1!$A$5:$D$70,4,FALSE),0)</f>
        <v>-1498697.25</v>
      </c>
      <c r="AM20" s="196">
        <f>+_xlfn.IFNA(VLOOKUP($A20,[10]Hoja1!$A$5:$D$71,4,FALSE),0)</f>
        <v>-1269811.45</v>
      </c>
      <c r="AN20" s="196">
        <f>+_xlfn.IFNA(VLOOKUP($A20,[11]Hoja1!$A$5:$D$71,4,FALSE),0)</f>
        <v>-1310646.57</v>
      </c>
      <c r="AO20" s="196">
        <f>+_xlfn.IFNA(VLOOKUP($A20,[12]Hoja1!$A$5:$D$71,4,FALSE),0)</f>
        <v>-1205097.01</v>
      </c>
      <c r="AP20" s="196">
        <f>+_xlfn.IFNA(VLOOKUP($A20,[13]Hoja1!$A$5:$D$71,4,FALSE),0)</f>
        <v>-1240499.82</v>
      </c>
      <c r="AQ20" s="196">
        <f t="shared" si="8"/>
        <v>-18545087.760000002</v>
      </c>
      <c r="AR20" s="196">
        <f>_xlfn.IFNA(+VLOOKUP(A20,[14]Hoja1!$A$5:$D$62,4,FALSE),0)</f>
        <v>-1183277.51</v>
      </c>
      <c r="AS20" s="196">
        <f>_xlfn.IFNA(+VLOOKUP(A20,[15]Hoja1!$A$5:$D$65,4,FALSE),0)</f>
        <v>-1171166.6200000001</v>
      </c>
      <c r="AT20" s="196">
        <f>_xlfn.IFNA(+VLOOKUP(A20,[16]Hoja1!$A$4:$D$72,4,FALSE),0)</f>
        <v>-1089673.06</v>
      </c>
      <c r="AU20" s="196">
        <f>_xlfn.IFNA(+VLOOKUP(A20,[17]Hoja1!$A$4:$D$68,4,FALSE),0)</f>
        <v>-1196803.3999999999</v>
      </c>
      <c r="AV20" s="196">
        <f>_xlfn.IFNA(+VLOOKUP(A20,[18]Hoja1!$A$4:$D$68,4,FALSE),0)</f>
        <v>-1193736.7</v>
      </c>
      <c r="AW20" s="196">
        <f>_xlfn.IFNA(+VLOOKUP(A20,[19]Hoja1!$A$4:$D$68,4,FALSE),0)</f>
        <v>-1171095.53</v>
      </c>
    </row>
    <row r="21" spans="1:55" s="527" customFormat="1" x14ac:dyDescent="0.25">
      <c r="A21" s="197"/>
      <c r="B21" s="197"/>
      <c r="C21" s="197"/>
      <c r="D21" s="197" t="s">
        <v>30</v>
      </c>
      <c r="E21" s="198">
        <f>+SUM(E18:E20)</f>
        <v>2859098.1499999985</v>
      </c>
      <c r="F21" s="198">
        <f t="shared" ref="F21:P21" si="21">+SUM(F18:F20)</f>
        <v>-7752439.989999962</v>
      </c>
      <c r="G21" s="198">
        <f t="shared" si="21"/>
        <v>-3522977.7599999979</v>
      </c>
      <c r="H21" s="198">
        <f t="shared" si="21"/>
        <v>4100273.6799999652</v>
      </c>
      <c r="I21" s="198">
        <f t="shared" si="21"/>
        <v>8613474.999999959</v>
      </c>
      <c r="J21" s="198">
        <f t="shared" si="21"/>
        <v>767019.78000001074</v>
      </c>
      <c r="K21" s="198">
        <f t="shared" si="21"/>
        <v>4445853.0299999565</v>
      </c>
      <c r="L21" s="198">
        <f t="shared" si="21"/>
        <v>3973167.1099999826</v>
      </c>
      <c r="M21" s="198">
        <f t="shared" si="21"/>
        <v>12632015.259999979</v>
      </c>
      <c r="N21" s="198">
        <f t="shared" si="21"/>
        <v>-10365352.33999997</v>
      </c>
      <c r="O21" s="198">
        <f t="shared" si="21"/>
        <v>-10557920.950000029</v>
      </c>
      <c r="P21" s="198">
        <f t="shared" si="21"/>
        <v>10666343.52999994</v>
      </c>
      <c r="Q21" s="198">
        <f t="shared" si="6"/>
        <v>15858554.499999834</v>
      </c>
      <c r="R21" s="198">
        <f>+SUM(R18:R20)</f>
        <v>-5638096.2000000002</v>
      </c>
      <c r="S21" s="198">
        <f t="shared" ref="S21:AC21" si="22">+SUM(S18:S20)</f>
        <v>-9018033.4399999995</v>
      </c>
      <c r="T21" s="198">
        <f t="shared" si="22"/>
        <v>-3011782.5599999987</v>
      </c>
      <c r="U21" s="198">
        <f t="shared" si="22"/>
        <v>1933123.2699999958</v>
      </c>
      <c r="V21" s="198">
        <f t="shared" si="22"/>
        <v>4124486.2099999981</v>
      </c>
      <c r="W21" s="198">
        <f t="shared" si="22"/>
        <v>4258011.700000003</v>
      </c>
      <c r="X21" s="198">
        <f t="shared" si="22"/>
        <v>8808625.7799999993</v>
      </c>
      <c r="Y21" s="198">
        <f t="shared" si="22"/>
        <v>-36001.050000000047</v>
      </c>
      <c r="Z21" s="198">
        <f t="shared" si="22"/>
        <v>5739351.8200000022</v>
      </c>
      <c r="AA21" s="198">
        <f t="shared" si="22"/>
        <v>19180946.629999999</v>
      </c>
      <c r="AB21" s="198">
        <f t="shared" si="22"/>
        <v>-7279991.5199999996</v>
      </c>
      <c r="AC21" s="198">
        <f t="shared" si="22"/>
        <v>1460393.6599999955</v>
      </c>
      <c r="AD21" s="198">
        <f t="shared" si="7"/>
        <v>20521034.299999993</v>
      </c>
      <c r="AE21" s="198">
        <f>+AE18+AE19+AE20</f>
        <v>10962330.239999995</v>
      </c>
      <c r="AF21" s="198">
        <f t="shared" ref="AF21:AL21" si="23">+AF18+AF19+AF20</f>
        <v>-8994801.4100000001</v>
      </c>
      <c r="AG21" s="198">
        <f t="shared" si="23"/>
        <v>-7434734.9000000032</v>
      </c>
      <c r="AH21" s="198">
        <f t="shared" si="23"/>
        <v>-17837889.440000005</v>
      </c>
      <c r="AI21" s="198">
        <f t="shared" si="23"/>
        <v>-3602728.6400000015</v>
      </c>
      <c r="AJ21" s="198">
        <f t="shared" si="23"/>
        <v>2497917.8000000017</v>
      </c>
      <c r="AK21" s="198">
        <f t="shared" si="23"/>
        <v>3766404.6900000018</v>
      </c>
      <c r="AL21" s="198">
        <f t="shared" si="23"/>
        <v>11898367.279999999</v>
      </c>
      <c r="AM21" s="198">
        <f t="shared" ref="AM21:AW21" si="24">+AM18+AM19+AM20</f>
        <v>-91021.510000000009</v>
      </c>
      <c r="AN21" s="198">
        <f t="shared" si="24"/>
        <v>14483809.150000004</v>
      </c>
      <c r="AO21" s="198">
        <f t="shared" si="24"/>
        <v>926380.21999999764</v>
      </c>
      <c r="AP21" s="198">
        <f t="shared" si="24"/>
        <v>-705624.70000000298</v>
      </c>
      <c r="AQ21" s="198">
        <f t="shared" si="8"/>
        <v>5868408.7799999872</v>
      </c>
      <c r="AR21" s="198">
        <f t="shared" si="24"/>
        <v>-387503.38000000315</v>
      </c>
      <c r="AS21" s="198">
        <f t="shared" si="24"/>
        <v>11015089.670000002</v>
      </c>
      <c r="AT21" s="198">
        <f t="shared" si="24"/>
        <v>8275407.1599999983</v>
      </c>
      <c r="AU21" s="198">
        <f t="shared" si="24"/>
        <v>19267538.029999997</v>
      </c>
      <c r="AV21" s="198">
        <f t="shared" si="24"/>
        <v>501790.54999999795</v>
      </c>
      <c r="AW21" s="198">
        <f t="shared" si="24"/>
        <v>14996708.650000002</v>
      </c>
      <c r="AX21" s="197"/>
      <c r="AY21" s="197"/>
      <c r="AZ21" s="197"/>
      <c r="BA21" s="197"/>
      <c r="BB21" s="197"/>
      <c r="BC21" s="197"/>
    </row>
    <row r="22" spans="1:55" x14ac:dyDescent="0.25">
      <c r="A22" s="194" t="s">
        <v>14</v>
      </c>
      <c r="D22" s="194" t="s">
        <v>15</v>
      </c>
      <c r="E22" s="196">
        <f>+'EEFF base'!CB12</f>
        <v>-1194803.4300000002</v>
      </c>
      <c r="F22" s="196">
        <f>+'EEFF base'!CC12</f>
        <v>-986983.62999999989</v>
      </c>
      <c r="G22" s="196">
        <f>+'EEFF base'!CD12</f>
        <v>-1023626.3999999999</v>
      </c>
      <c r="H22" s="196">
        <f>+'EEFF base'!CE12</f>
        <v>-1530247.1300000001</v>
      </c>
      <c r="I22" s="196">
        <f>+'EEFF base'!CF12</f>
        <v>-1850078.78</v>
      </c>
      <c r="J22" s="196">
        <f>+'EEFF base'!CG12</f>
        <v>-1825250.7099999997</v>
      </c>
      <c r="K22" s="196">
        <f>+'EEFF base'!CH12</f>
        <v>-2441202.9100000006</v>
      </c>
      <c r="L22" s="196">
        <f>+'EEFF base'!CI12</f>
        <v>-1816652.1199999996</v>
      </c>
      <c r="M22" s="196">
        <f>+'EEFF base'!CJ12</f>
        <v>-2174496.5799999996</v>
      </c>
      <c r="N22" s="196">
        <f>+'EEFF base'!CK12</f>
        <v>-1151196.9800000004</v>
      </c>
      <c r="O22" s="196">
        <f>+'EEFF base'!CL12</f>
        <v>-1150123.9400000002</v>
      </c>
      <c r="P22" s="196">
        <f>+'EEFF base'!CM12</f>
        <v>-1816464.95</v>
      </c>
      <c r="Q22" s="196">
        <f t="shared" si="6"/>
        <v>-18961127.559999999</v>
      </c>
      <c r="R22" s="196">
        <f>+_xlfn.IFNA(VLOOKUP(A22,[20]Hoja1!A$5:D$63,4,FALSE),0)</f>
        <v>-984960.49</v>
      </c>
      <c r="S22" s="196">
        <f>+_xlfn.IFNA(VLOOKUP($A22,[21]Hoja1!$A$5:$D$69,4,FALSE),0)</f>
        <v>-1029388.33</v>
      </c>
      <c r="T22" s="196">
        <f>+_xlfn.IFNA(VLOOKUP($A22,[22]Hoja1!$A$5:$D$71,4,FALSE),0)</f>
        <v>-1386067.02</v>
      </c>
      <c r="U22" s="196">
        <f>+_xlfn.IFNA(VLOOKUP($A22,[23]Hoja1!$A$5:$D$71,4,FALSE),0)</f>
        <v>-1659345.75</v>
      </c>
      <c r="V22" s="196">
        <f>+_xlfn.IFNA(VLOOKUP($A22,[24]Hoja1!$A$5:$D$71,4,FALSE),0)</f>
        <v>-1821794.29</v>
      </c>
      <c r="W22" s="196">
        <f>+_xlfn.IFNA(VLOOKUP($A22,[25]Hoja1!$A$5:$D$71,4,FALSE),0)</f>
        <v>-2086413.84</v>
      </c>
      <c r="X22" s="196">
        <f>+_xlfn.IFNA(VLOOKUP($A22,[26]Hoja1!$A$5:$D$71,4,FALSE),0)</f>
        <v>-1967310.83</v>
      </c>
      <c r="Y22" s="196">
        <f>+_xlfn.IFNA(VLOOKUP($A22,[27]Hoja1!$A$5:$D$71,4,FALSE),0)</f>
        <v>-2086132.3</v>
      </c>
      <c r="Z22" s="196">
        <f>+_xlfn.IFNA(VLOOKUP($A22,[28]Hoja1!$A$5:$D$71,4,FALSE),0)</f>
        <v>-1713209.02</v>
      </c>
      <c r="AA22" s="196">
        <f>+_xlfn.IFNA(VLOOKUP($A22,[29]Hoja1!$A$5:$D$71,4,FALSE),0)</f>
        <v>-1926358</v>
      </c>
      <c r="AB22" s="196">
        <f>+_xlfn.IFNA(VLOOKUP($A22,[30]Hoja1!$A$5:$D$71,4,FALSE),0)</f>
        <v>-1022615.69</v>
      </c>
      <c r="AC22" s="196">
        <f>+_xlfn.IFNA(VLOOKUP($A22,[31]Hoja1!$A$5:$D$71,4,FALSE),0)</f>
        <v>-1887531.99</v>
      </c>
      <c r="AD22" s="196">
        <f t="shared" si="7"/>
        <v>-19571127.550000001</v>
      </c>
      <c r="AE22" s="196">
        <f>+VLOOKUP($A22,  [32]Hoja1!$A$5:$D$100,4,FALSE)</f>
        <v>-1794189.6</v>
      </c>
      <c r="AF22" s="196">
        <f>+VLOOKUP($A22,  [33]Hoja1!$A$5:$D$100,4,FALSE)</f>
        <v>-1099608.99</v>
      </c>
      <c r="AG22" s="196">
        <f>+VLOOKUP($A22,  [4]Hoja1!$A$5:$D$100,4,FALSE)</f>
        <v>-1466793.75</v>
      </c>
      <c r="AH22" s="196">
        <f>+VLOOKUP($A22,  [5]Hoja1!$A$5:$D$100,4,FALSE)</f>
        <v>-1221670.54</v>
      </c>
      <c r="AI22" s="196">
        <f>+VLOOKUP($A22,  [6]Hoja1!$A$5:$D$100,4,FALSE)</f>
        <v>-1274221</v>
      </c>
      <c r="AJ22" s="196">
        <f>+VLOOKUP($A22,  [7]Hoja1!$A$5:$D$100,4,FALSE)</f>
        <v>-1503925.92</v>
      </c>
      <c r="AK22" s="196">
        <f>+_xlfn.IFNA(VLOOKUP($A22,  [8]Hoja1!$A$5:$D$70,4,FALSE),0)</f>
        <v>-1327577.01</v>
      </c>
      <c r="AL22" s="196">
        <f>+_xlfn.IFNA(VLOOKUP($A22, [9]Hoja1!$A$5:$D$70,4,FALSE),0)</f>
        <v>-1826703.19</v>
      </c>
      <c r="AM22" s="196">
        <f>+_xlfn.IFNA(VLOOKUP($A22,[10]Hoja1!$A$5:$D$71,4,FALSE),0)</f>
        <v>-1861510.74</v>
      </c>
      <c r="AN22" s="196">
        <f>+_xlfn.IFNA(VLOOKUP($A22,[11]Hoja1!$A$5:$D$71,4,FALSE),0)</f>
        <v>-1710650.3</v>
      </c>
      <c r="AO22" s="196">
        <f>+_xlfn.IFNA(VLOOKUP($A22,[12]Hoja1!$A$5:$D$71,4,FALSE),0)</f>
        <v>-1778091.3</v>
      </c>
      <c r="AP22" s="196">
        <f>+_xlfn.IFNA(VLOOKUP($A22,[13]Hoja1!$A$5:$D$71,4,FALSE),0)</f>
        <v>-2005693.5</v>
      </c>
      <c r="AQ22" s="196">
        <f t="shared" si="8"/>
        <v>-18870635.84</v>
      </c>
      <c r="AR22" s="196">
        <f>_xlfn.IFNA(+VLOOKUP(A22,[14]Hoja1!$A$5:$D$62,4,FALSE),0)</f>
        <v>-1657161</v>
      </c>
      <c r="AS22" s="196">
        <f>_xlfn.IFNA(+VLOOKUP(A22,[15]Hoja1!$A$5:$D$65,4,FALSE),0)</f>
        <v>-1669831</v>
      </c>
      <c r="AT22" s="196">
        <f>_xlfn.IFNA(+VLOOKUP(A22,[16]Hoja1!$A$4:$D$72,4,FALSE),0)</f>
        <v>-1573809.6</v>
      </c>
      <c r="AU22" s="196">
        <f>_xlfn.IFNA(+VLOOKUP(A22,[17]Hoja1!$A$4:$D$68,4,FALSE),0)</f>
        <v>-2668229.71</v>
      </c>
      <c r="AV22" s="196">
        <f>_xlfn.IFNA(+VLOOKUP(A22,[18]Hoja1!$A$4:$D$68,4,FALSE),0)</f>
        <v>-1232903.27</v>
      </c>
      <c r="AW22" s="196">
        <f>_xlfn.IFNA(+VLOOKUP(A22,[19]Hoja1!$A$4:$D$68,4,FALSE),0)</f>
        <v>-2132452.96</v>
      </c>
    </row>
    <row r="23" spans="1:55" s="527" customFormat="1" ht="16.5" customHeight="1" x14ac:dyDescent="0.25">
      <c r="A23" s="197"/>
      <c r="B23" s="197"/>
      <c r="C23" s="197"/>
      <c r="D23" s="197" t="s">
        <v>31</v>
      </c>
      <c r="E23" s="198">
        <f>+SUM(E21:E22)</f>
        <v>1664294.7199999983</v>
      </c>
      <c r="F23" s="198">
        <f t="shared" ref="F23:P23" si="25">+SUM(F21:F22)</f>
        <v>-8739423.6199999619</v>
      </c>
      <c r="G23" s="198">
        <f t="shared" si="25"/>
        <v>-4546604.1599999983</v>
      </c>
      <c r="H23" s="198">
        <f t="shared" si="25"/>
        <v>2570026.5499999654</v>
      </c>
      <c r="I23" s="198">
        <f t="shared" si="25"/>
        <v>6763396.2199999588</v>
      </c>
      <c r="J23" s="198">
        <f t="shared" si="25"/>
        <v>-1058230.929999989</v>
      </c>
      <c r="K23" s="198">
        <f t="shared" si="25"/>
        <v>2004650.1199999559</v>
      </c>
      <c r="L23" s="198">
        <f t="shared" si="25"/>
        <v>2156514.989999983</v>
      </c>
      <c r="M23" s="198">
        <f t="shared" si="25"/>
        <v>10457518.679999979</v>
      </c>
      <c r="N23" s="198">
        <f t="shared" si="25"/>
        <v>-11516549.31999997</v>
      </c>
      <c r="O23" s="198">
        <f t="shared" si="25"/>
        <v>-11708044.890000029</v>
      </c>
      <c r="P23" s="198">
        <f t="shared" si="25"/>
        <v>8849878.5799999405</v>
      </c>
      <c r="Q23" s="198">
        <f t="shared" si="6"/>
        <v>-3102573.0600001663</v>
      </c>
      <c r="R23" s="198">
        <f>+SUM(R21:R22)</f>
        <v>-6623056.6900000004</v>
      </c>
      <c r="S23" s="198">
        <f t="shared" ref="S23:AC23" si="26">+SUM(S21:S22)</f>
        <v>-10047421.77</v>
      </c>
      <c r="T23" s="198">
        <f t="shared" si="26"/>
        <v>-4397849.5799999982</v>
      </c>
      <c r="U23" s="198">
        <f t="shared" si="26"/>
        <v>273777.51999999583</v>
      </c>
      <c r="V23" s="198">
        <f t="shared" si="26"/>
        <v>2302691.9199999981</v>
      </c>
      <c r="W23" s="198">
        <f t="shared" si="26"/>
        <v>2171597.8600000031</v>
      </c>
      <c r="X23" s="198">
        <f t="shared" si="26"/>
        <v>6841314.9499999993</v>
      </c>
      <c r="Y23" s="198">
        <f t="shared" si="26"/>
        <v>-2122133.35</v>
      </c>
      <c r="Z23" s="198">
        <f t="shared" si="26"/>
        <v>4026142.8000000021</v>
      </c>
      <c r="AA23" s="198">
        <f t="shared" si="26"/>
        <v>17254588.629999999</v>
      </c>
      <c r="AB23" s="198">
        <f t="shared" si="26"/>
        <v>-8302607.209999999</v>
      </c>
      <c r="AC23" s="198">
        <f t="shared" si="26"/>
        <v>-427138.3300000045</v>
      </c>
      <c r="AD23" s="198">
        <f t="shared" si="7"/>
        <v>949906.74999999558</v>
      </c>
      <c r="AE23" s="198">
        <f>+AE21+AE22</f>
        <v>9168140.639999995</v>
      </c>
      <c r="AF23" s="198">
        <f t="shared" ref="AF23:AL23" si="27">+AF21+AF22</f>
        <v>-10094410.4</v>
      </c>
      <c r="AG23" s="198">
        <f t="shared" si="27"/>
        <v>-8901528.6500000022</v>
      </c>
      <c r="AH23" s="198">
        <f t="shared" si="27"/>
        <v>-19059559.980000004</v>
      </c>
      <c r="AI23" s="198">
        <f t="shared" si="27"/>
        <v>-4876949.6400000015</v>
      </c>
      <c r="AJ23" s="198">
        <f t="shared" si="27"/>
        <v>993991.88000000175</v>
      </c>
      <c r="AK23" s="198">
        <f t="shared" si="27"/>
        <v>2438827.6800000016</v>
      </c>
      <c r="AL23" s="198">
        <f t="shared" si="27"/>
        <v>10071664.09</v>
      </c>
      <c r="AM23" s="198">
        <f>+AM21+AM22</f>
        <v>-1952532.25</v>
      </c>
      <c r="AN23" s="198">
        <f>+AN21+AN22</f>
        <v>12773158.850000003</v>
      </c>
      <c r="AO23" s="198">
        <f t="shared" ref="AO23:AW23" si="28">+AO21+AO22</f>
        <v>-851711.0800000024</v>
      </c>
      <c r="AP23" s="198">
        <f t="shared" si="28"/>
        <v>-2711318.200000003</v>
      </c>
      <c r="AQ23" s="198">
        <f t="shared" si="8"/>
        <v>-13002227.060000015</v>
      </c>
      <c r="AR23" s="198">
        <f t="shared" si="28"/>
        <v>-2044664.3800000031</v>
      </c>
      <c r="AS23" s="198">
        <f t="shared" si="28"/>
        <v>9345258.6700000018</v>
      </c>
      <c r="AT23" s="198">
        <f t="shared" si="28"/>
        <v>6701597.5599999987</v>
      </c>
      <c r="AU23" s="198">
        <f t="shared" si="28"/>
        <v>16599308.319999997</v>
      </c>
      <c r="AV23" s="198">
        <f t="shared" si="28"/>
        <v>-731112.72000000207</v>
      </c>
      <c r="AW23" s="198">
        <f t="shared" si="28"/>
        <v>12864255.690000001</v>
      </c>
      <c r="AX23" s="197"/>
      <c r="AY23" s="197"/>
      <c r="AZ23" s="197"/>
      <c r="BA23" s="197"/>
      <c r="BB23" s="197"/>
      <c r="BC23" s="197"/>
    </row>
    <row r="24" spans="1:55" x14ac:dyDescent="0.25"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</row>
    <row r="25" spans="1:55" x14ac:dyDescent="0.25">
      <c r="D25" s="199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6"/>
    </row>
    <row r="26" spans="1:55" x14ac:dyDescent="0.25"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</row>
    <row r="27" spans="1:55" x14ac:dyDescent="0.25"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E27" s="196"/>
      <c r="AF27" s="196"/>
    </row>
    <row r="28" spans="1:55" ht="19.8" x14ac:dyDescent="0.3">
      <c r="D28" s="417" t="s">
        <v>86</v>
      </c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E28" s="196"/>
      <c r="AF28" s="196"/>
    </row>
    <row r="29" spans="1:55" x14ac:dyDescent="0.25">
      <c r="A29" s="192"/>
      <c r="B29" s="192"/>
      <c r="C29" s="192"/>
      <c r="D29" s="192" t="s">
        <v>35</v>
      </c>
      <c r="E29" s="225">
        <f t="shared" ref="E29:AD29" si="29">+E2</f>
        <v>44681</v>
      </c>
      <c r="F29" s="225">
        <f t="shared" si="29"/>
        <v>44712</v>
      </c>
      <c r="G29" s="225">
        <f t="shared" si="29"/>
        <v>44742</v>
      </c>
      <c r="H29" s="225">
        <f t="shared" si="29"/>
        <v>44773</v>
      </c>
      <c r="I29" s="225">
        <f t="shared" si="29"/>
        <v>44804</v>
      </c>
      <c r="J29" s="225">
        <f t="shared" si="29"/>
        <v>44834</v>
      </c>
      <c r="K29" s="225">
        <f t="shared" si="29"/>
        <v>44865</v>
      </c>
      <c r="L29" s="225">
        <f t="shared" si="29"/>
        <v>44895</v>
      </c>
      <c r="M29" s="225">
        <f t="shared" si="29"/>
        <v>44926</v>
      </c>
      <c r="N29" s="225">
        <f t="shared" si="29"/>
        <v>44957</v>
      </c>
      <c r="O29" s="225">
        <f t="shared" si="29"/>
        <v>44985</v>
      </c>
      <c r="P29" s="225">
        <f t="shared" si="29"/>
        <v>45016</v>
      </c>
      <c r="Q29" s="226">
        <f t="shared" si="29"/>
        <v>2022</v>
      </c>
      <c r="R29" s="225">
        <f t="shared" si="29"/>
        <v>45046</v>
      </c>
      <c r="S29" s="225">
        <f t="shared" si="29"/>
        <v>45077</v>
      </c>
      <c r="T29" s="225">
        <f t="shared" si="29"/>
        <v>45107</v>
      </c>
      <c r="U29" s="225">
        <f t="shared" si="29"/>
        <v>45138</v>
      </c>
      <c r="V29" s="225">
        <f t="shared" si="29"/>
        <v>45169</v>
      </c>
      <c r="W29" s="225">
        <f t="shared" si="29"/>
        <v>45199</v>
      </c>
      <c r="X29" s="225">
        <f t="shared" si="29"/>
        <v>45230</v>
      </c>
      <c r="Y29" s="225">
        <f t="shared" si="29"/>
        <v>45260</v>
      </c>
      <c r="Z29" s="225">
        <f t="shared" si="29"/>
        <v>45291</v>
      </c>
      <c r="AA29" s="225">
        <f t="shared" si="29"/>
        <v>45322</v>
      </c>
      <c r="AB29" s="225">
        <f t="shared" si="29"/>
        <v>45351</v>
      </c>
      <c r="AC29" s="225">
        <f t="shared" si="29"/>
        <v>45382</v>
      </c>
      <c r="AD29" s="226">
        <f t="shared" si="29"/>
        <v>2023</v>
      </c>
      <c r="AE29" s="225">
        <f>+AE2</f>
        <v>45412</v>
      </c>
      <c r="AF29" s="225">
        <f t="shared" ref="AF29:AP29" si="30">+AF2</f>
        <v>45443</v>
      </c>
      <c r="AG29" s="225">
        <f t="shared" si="30"/>
        <v>45473</v>
      </c>
      <c r="AH29" s="225">
        <f t="shared" si="30"/>
        <v>45504</v>
      </c>
      <c r="AI29" s="225">
        <f t="shared" si="30"/>
        <v>45535</v>
      </c>
      <c r="AJ29" s="225">
        <f t="shared" si="30"/>
        <v>45565</v>
      </c>
      <c r="AK29" s="225">
        <f t="shared" si="30"/>
        <v>45596</v>
      </c>
      <c r="AL29" s="225">
        <f t="shared" si="30"/>
        <v>45626</v>
      </c>
      <c r="AM29" s="225">
        <f t="shared" si="30"/>
        <v>45657</v>
      </c>
      <c r="AN29" s="225">
        <f t="shared" si="30"/>
        <v>45688</v>
      </c>
      <c r="AO29" s="225">
        <f t="shared" si="30"/>
        <v>45716</v>
      </c>
      <c r="AP29" s="225">
        <f t="shared" si="30"/>
        <v>45747</v>
      </c>
      <c r="AQ29" s="226">
        <f t="shared" ref="AQ29:AV29" si="31">+AQ2</f>
        <v>2024</v>
      </c>
      <c r="AR29" s="205">
        <f t="shared" si="31"/>
        <v>45777</v>
      </c>
      <c r="AS29" s="205">
        <f t="shared" si="31"/>
        <v>45808</v>
      </c>
      <c r="AT29" s="205">
        <f t="shared" si="31"/>
        <v>45838</v>
      </c>
      <c r="AU29" s="205">
        <f t="shared" si="31"/>
        <v>45869</v>
      </c>
      <c r="AV29" s="205">
        <f t="shared" si="31"/>
        <v>45900</v>
      </c>
      <c r="AW29" s="205"/>
    </row>
    <row r="30" spans="1:55" x14ac:dyDescent="0.25"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E30" s="196"/>
      <c r="AF30" s="196"/>
    </row>
    <row r="31" spans="1:55" s="526" customFormat="1" x14ac:dyDescent="0.25">
      <c r="A31" s="199" t="s">
        <v>36</v>
      </c>
      <c r="B31" s="200">
        <v>100000</v>
      </c>
      <c r="C31" s="199">
        <f>+B31*10000</f>
        <v>1000000000</v>
      </c>
      <c r="D31" s="199" t="s">
        <v>37</v>
      </c>
      <c r="E31" s="200">
        <f>+E32+E36</f>
        <v>1044044377.6200004</v>
      </c>
      <c r="F31" s="200">
        <f t="shared" ref="F31:P31" si="32">+F32+F36</f>
        <v>1044831610.8100009</v>
      </c>
      <c r="G31" s="200">
        <f t="shared" si="32"/>
        <v>1025566257.3000007</v>
      </c>
      <c r="H31" s="200">
        <f t="shared" si="32"/>
        <v>1033810024.2600007</v>
      </c>
      <c r="I31" s="200">
        <f t="shared" si="32"/>
        <v>1042077236.1800005</v>
      </c>
      <c r="J31" s="200">
        <f t="shared" si="32"/>
        <v>1046950033.0200005</v>
      </c>
      <c r="K31" s="200">
        <f t="shared" si="32"/>
        <v>1061465289.1800002</v>
      </c>
      <c r="L31" s="200">
        <f t="shared" si="32"/>
        <v>1068477726.0200003</v>
      </c>
      <c r="M31" s="200">
        <f t="shared" si="32"/>
        <v>1069752469.7500001</v>
      </c>
      <c r="N31" s="200">
        <f t="shared" si="32"/>
        <v>1049358984.0199999</v>
      </c>
      <c r="O31" s="200">
        <f t="shared" si="32"/>
        <v>1034546059.9400001</v>
      </c>
      <c r="P31" s="200">
        <f t="shared" si="32"/>
        <v>1035685142.64</v>
      </c>
      <c r="Q31" s="200">
        <f>+P31</f>
        <v>1035685142.64</v>
      </c>
      <c r="R31" s="200">
        <f t="shared" ref="R31:AC31" si="33">+R32+R36</f>
        <v>1034645761.5999997</v>
      </c>
      <c r="S31" s="200">
        <f t="shared" si="33"/>
        <v>1028138647.1900001</v>
      </c>
      <c r="T31" s="200">
        <f t="shared" si="33"/>
        <v>1021257188.8200003</v>
      </c>
      <c r="U31" s="200">
        <f t="shared" si="33"/>
        <v>1027426811.4300005</v>
      </c>
      <c r="V31" s="200">
        <f t="shared" si="33"/>
        <v>1034775969.8400004</v>
      </c>
      <c r="W31" s="200">
        <f t="shared" si="33"/>
        <v>1045234037.6700003</v>
      </c>
      <c r="X31" s="200">
        <f t="shared" si="33"/>
        <v>1052010247.4200007</v>
      </c>
      <c r="Y31" s="200">
        <f t="shared" si="33"/>
        <v>1050743377.5300006</v>
      </c>
      <c r="Z31" s="200">
        <f t="shared" si="33"/>
        <v>1056005296.5900006</v>
      </c>
      <c r="AA31" s="200">
        <f t="shared" si="33"/>
        <v>1069743118.7000005</v>
      </c>
      <c r="AB31" s="200">
        <f t="shared" si="33"/>
        <v>1066406722.3000007</v>
      </c>
      <c r="AC31" s="200">
        <f t="shared" si="33"/>
        <v>1069794273.7900008</v>
      </c>
      <c r="AD31" s="200">
        <f>+AC31</f>
        <v>1069794273.7900008</v>
      </c>
      <c r="AE31" s="200">
        <f>_xlfn.IFNA(+VLOOKUP($C31, [34]Hoja1!$A$5:$E$171,5,FALSE),0)+_xlfn.IFNA(+VLOOKUP($A31, [34]Hoja1!$A$5:$E$171,5,FALSE),0)</f>
        <v>1226252834.02</v>
      </c>
      <c r="AF31" s="200">
        <f>_xlfn.IFNA(+VLOOKUP($C31, [35]Hoja1!$A$5:$E$171,5,FALSE),0)+_xlfn.IFNA(+VLOOKUP($A31, [34]Hoja1!$A$5:$E$171,5,FALSE),0)</f>
        <v>1209093692.05</v>
      </c>
      <c r="AG31" s="200">
        <f>_xlfn.IFNA(+VLOOKUP($C31, [36]Hoja1!$A$5:$E$171,5,FALSE),0)+_xlfn.IFNA(+VLOOKUP($A31, [34]Hoja1!$A$5:$E$171,5,FALSE),0)</f>
        <v>1203216861.04</v>
      </c>
      <c r="AH31" s="200">
        <f>_xlfn.IFNA(+VLOOKUP($C31, [37]Hoja1!$A$5:$E$171,5,FALSE),0)+_xlfn.IFNA(+VLOOKUP($A31, [34]Hoja1!$A$5:$E$171,5,FALSE),0)</f>
        <v>1200147249.8900001</v>
      </c>
      <c r="AI31" s="200">
        <f>_xlfn.IFNA(+VLOOKUP($C31, [38]Hoja1!$A$5:$E$171,5,FALSE),0)+_xlfn.IFNA(+VLOOKUP($A31, [34]Hoja1!$A$5:$E$171,5,FALSE),0)</f>
        <v>1193361842.76</v>
      </c>
      <c r="AJ31" s="200">
        <f>_xlfn.IFNA(+VLOOKUP($C31, [39]Hoja1!$A$5:$E$171,5,FALSE),0)+_xlfn.IFNA(+VLOOKUP($A31, [34]Hoja1!$A$5:$E$171,5,FALSE),0)</f>
        <v>1200356187.52</v>
      </c>
      <c r="AK31" s="200">
        <f>_xlfn.IFNA(+VLOOKUP($C31,[40]Hoja1!$A$6:$E$180,5,FALSE),0)</f>
        <v>1198780331.8099999</v>
      </c>
      <c r="AL31" s="200">
        <f>_xlfn.IFNA(+VLOOKUP($C31,[41]Hoja1!$A$6:$E$182,5,FALSE),0)</f>
        <v>1180498045.99</v>
      </c>
      <c r="AM31" s="200">
        <f>_xlfn.IFNA(+VLOOKUP($C31,[42]Hoja1!$A$6:$E$183,5,FALSE),0)</f>
        <v>1174787431.1199999</v>
      </c>
      <c r="AN31" s="200">
        <f>_xlfn.IFNA(+VLOOKUP($C31,[43]Hoja1!$A$6:$E$183,5,FALSE),0)</f>
        <v>1194106075.0899999</v>
      </c>
      <c r="AO31" s="200">
        <f>_xlfn.IFNA(+VLOOKUP($C31,[44]Hoja1!$A$5:$E$186,5,FALSE),0)</f>
        <v>1180929374.8599999</v>
      </c>
      <c r="AP31" s="200">
        <f>_xlfn.IFNA(+VLOOKUP($A31,[45]Hoja1!$A$5:$E$172,5,FALSE),0)</f>
        <v>1189080750.1400001</v>
      </c>
      <c r="AQ31" s="200">
        <f>+AP31</f>
        <v>1189080750.1400001</v>
      </c>
      <c r="AR31" s="200">
        <f>+VLOOKUP(C31,[46]Hoja1!$A$6:$C$179,3,FALSE)</f>
        <v>1185192302.24</v>
      </c>
      <c r="AS31" s="200">
        <f>+VLOOKUP(C31,[47]Hoja1!$A$6:$E$182,5,FALSE)</f>
        <v>1189325503.6300001</v>
      </c>
      <c r="AT31" s="200">
        <f>+AT32+AT36</f>
        <v>1203445272.1700001</v>
      </c>
      <c r="AU31" s="200">
        <f>+AU32+AU36</f>
        <v>1212847153.55</v>
      </c>
      <c r="AV31" s="200">
        <f>+AV32+AV36</f>
        <v>1223298754.48</v>
      </c>
      <c r="AW31" s="200">
        <f>+AW32+AW36</f>
        <v>1247244146.8499999</v>
      </c>
      <c r="AY31" s="199"/>
      <c r="AZ31" s="199"/>
      <c r="BA31" s="199"/>
      <c r="BB31" s="199"/>
      <c r="BC31" s="199"/>
    </row>
    <row r="32" spans="1:55" s="526" customFormat="1" x14ac:dyDescent="0.25">
      <c r="A32" s="199"/>
      <c r="B32" s="200"/>
      <c r="C32" s="199"/>
      <c r="D32" s="199" t="s">
        <v>587</v>
      </c>
      <c r="E32" s="200">
        <f>+SUM(E33:E35)</f>
        <v>332111560.9800002</v>
      </c>
      <c r="F32" s="200">
        <f>+SUM(F33:F35)</f>
        <v>332633709.32000053</v>
      </c>
      <c r="G32" s="200">
        <f t="shared" ref="G32:P32" si="34">+SUM(G33:G35)</f>
        <v>309830930.85000038</v>
      </c>
      <c r="H32" s="200">
        <f t="shared" si="34"/>
        <v>321494787.73000038</v>
      </c>
      <c r="I32" s="200">
        <f t="shared" si="34"/>
        <v>332955718.21000016</v>
      </c>
      <c r="J32" s="200">
        <f t="shared" si="34"/>
        <v>340820206.2700001</v>
      </c>
      <c r="K32" s="200">
        <f t="shared" si="34"/>
        <v>357641023.21000004</v>
      </c>
      <c r="L32" s="200">
        <f t="shared" si="34"/>
        <v>361815301.32000005</v>
      </c>
      <c r="M32" s="200">
        <f t="shared" si="34"/>
        <v>371208970.26999986</v>
      </c>
      <c r="N32" s="200">
        <f t="shared" si="34"/>
        <v>352652877.49999976</v>
      </c>
      <c r="O32" s="200">
        <f t="shared" si="34"/>
        <v>339716973.37999982</v>
      </c>
      <c r="P32" s="200">
        <f t="shared" si="34"/>
        <v>341157433.04999983</v>
      </c>
      <c r="Q32" s="200">
        <f t="shared" ref="Q32:Q59" si="35">+P32</f>
        <v>341157433.04999983</v>
      </c>
      <c r="R32" s="200">
        <f t="shared" ref="R32:AC32" si="36">+SUM(R33:R35)</f>
        <v>342450652.53999996</v>
      </c>
      <c r="S32" s="200">
        <f t="shared" si="36"/>
        <v>337333837.23000026</v>
      </c>
      <c r="T32" s="200">
        <f t="shared" si="36"/>
        <v>332087348.96000051</v>
      </c>
      <c r="U32" s="200">
        <f t="shared" si="36"/>
        <v>341962546.34000063</v>
      </c>
      <c r="V32" s="200">
        <f t="shared" si="36"/>
        <v>353803584.62000066</v>
      </c>
      <c r="W32" s="200">
        <f t="shared" si="36"/>
        <v>363716217.69000071</v>
      </c>
      <c r="X32" s="200">
        <f t="shared" si="36"/>
        <v>373272136.80000091</v>
      </c>
      <c r="Y32" s="200">
        <f t="shared" si="36"/>
        <v>370608047.23000085</v>
      </c>
      <c r="Z32" s="200">
        <f t="shared" si="36"/>
        <v>377805145.8100009</v>
      </c>
      <c r="AA32" s="200">
        <f t="shared" si="36"/>
        <v>394377225.4700008</v>
      </c>
      <c r="AB32" s="200">
        <f t="shared" si="36"/>
        <v>392475167.04000092</v>
      </c>
      <c r="AC32" s="200">
        <f t="shared" si="36"/>
        <v>394891085.14000094</v>
      </c>
      <c r="AD32" s="200">
        <f t="shared" ref="AD32:AD59" si="37">+AC32</f>
        <v>394891085.14000094</v>
      </c>
      <c r="AE32" s="200">
        <f t="shared" ref="AE32:AO32" si="38">+SUM(AE33:AE35)</f>
        <v>396208151.27999997</v>
      </c>
      <c r="AF32" s="200">
        <f t="shared" si="38"/>
        <v>378083046.75</v>
      </c>
      <c r="AG32" s="200">
        <f t="shared" si="38"/>
        <v>376112494.98000002</v>
      </c>
      <c r="AH32" s="200">
        <f t="shared" si="38"/>
        <v>374433643.11000001</v>
      </c>
      <c r="AI32" s="200">
        <f t="shared" si="38"/>
        <v>370620770.71000004</v>
      </c>
      <c r="AJ32" s="200">
        <f t="shared" si="38"/>
        <v>379603192.31</v>
      </c>
      <c r="AK32" s="200">
        <f t="shared" si="38"/>
        <v>328733844.79999995</v>
      </c>
      <c r="AL32" s="200">
        <f t="shared" si="38"/>
        <v>316094053.09000003</v>
      </c>
      <c r="AM32" s="200">
        <f t="shared" si="38"/>
        <v>309395656.06999999</v>
      </c>
      <c r="AN32" s="200">
        <f t="shared" si="38"/>
        <v>325062865.84000003</v>
      </c>
      <c r="AO32" s="200">
        <f t="shared" si="38"/>
        <v>307393575.09999996</v>
      </c>
      <c r="AP32" s="200">
        <f>+SUM(AP33:AP35)</f>
        <v>291967827.03999996</v>
      </c>
      <c r="AQ32" s="200">
        <f t="shared" ref="AQ32:AQ59" si="39">+AP32</f>
        <v>291967827.03999996</v>
      </c>
      <c r="AR32" s="200">
        <f t="shared" ref="AR32:AW32" si="40">+SUM(AR33:AR35)</f>
        <v>282437086.19</v>
      </c>
      <c r="AS32" s="200">
        <f t="shared" si="40"/>
        <v>281104211.13</v>
      </c>
      <c r="AT32" s="200">
        <f t="shared" si="40"/>
        <v>288909896.63999999</v>
      </c>
      <c r="AU32" s="200">
        <f t="shared" si="40"/>
        <v>291153144.41000003</v>
      </c>
      <c r="AV32" s="200">
        <f t="shared" si="40"/>
        <v>291023973.69999999</v>
      </c>
      <c r="AW32" s="200">
        <f t="shared" si="40"/>
        <v>330284738.49000001</v>
      </c>
      <c r="AY32" s="199"/>
      <c r="AZ32" s="199"/>
      <c r="BA32" s="199"/>
      <c r="BB32" s="199"/>
      <c r="BC32" s="199"/>
    </row>
    <row r="33" spans="1:55" x14ac:dyDescent="0.25">
      <c r="A33" s="194" t="s">
        <v>38</v>
      </c>
      <c r="B33" s="201">
        <v>110000</v>
      </c>
      <c r="C33" s="194">
        <f t="shared" ref="C33:C57" si="41">+B33*10000</f>
        <v>1100000000</v>
      </c>
      <c r="D33" s="194" t="s">
        <v>39</v>
      </c>
      <c r="E33" s="201">
        <f>+'EEFF base'!CB26</f>
        <v>5174107.6499999538</v>
      </c>
      <c r="F33" s="201">
        <f>+'EEFF base'!CC26+E33</f>
        <v>20029886.82000006</v>
      </c>
      <c r="G33" s="201">
        <f>+'EEFF base'!CD26+F33</f>
        <v>7337619.1900000032</v>
      </c>
      <c r="H33" s="201">
        <f>+'EEFF base'!CE26+G33</f>
        <v>7954036.3600000171</v>
      </c>
      <c r="I33" s="201">
        <f>+'EEFF base'!CF26+H33</f>
        <v>5723235.9199999012</v>
      </c>
      <c r="J33" s="201">
        <f>+'EEFF base'!CG26+I33</f>
        <v>7317249.1899998877</v>
      </c>
      <c r="K33" s="201">
        <f>+'EEFF base'!CH26+J33</f>
        <v>6323706.9099998586</v>
      </c>
      <c r="L33" s="201">
        <f>+'EEFF base'!CI26+K33</f>
        <v>11944405.559999809</v>
      </c>
      <c r="M33" s="201">
        <f>+'EEFF base'!CJ26+L33</f>
        <v>13163444.369999656</v>
      </c>
      <c r="N33" s="201">
        <f>+'EEFF base'!CK26+M33</f>
        <v>8803088.3799995463</v>
      </c>
      <c r="O33" s="201">
        <f>+'EEFF base'!CL26+N33</f>
        <v>6595858.1899995683</v>
      </c>
      <c r="P33" s="201">
        <f>+'EEFF base'!CM26+O33</f>
        <v>12166376.869999437</v>
      </c>
      <c r="Q33" s="201">
        <f t="shared" si="35"/>
        <v>12166376.869999437</v>
      </c>
      <c r="R33" s="201">
        <f>+'EEFF base'!CO26</f>
        <v>10399824.860000012</v>
      </c>
      <c r="S33" s="201">
        <f>+'EEFF base'!CP26+R33</f>
        <v>8321351.7300000358</v>
      </c>
      <c r="T33" s="201">
        <f>+'EEFF base'!CQ26+S33</f>
        <v>6024972.9300000351</v>
      </c>
      <c r="U33" s="201">
        <f>+'EEFF base'!CR26+T33</f>
        <v>7514422.849999981</v>
      </c>
      <c r="V33" s="201">
        <f>+'EEFF base'!CS26+U33</f>
        <v>9050403.4299999289</v>
      </c>
      <c r="W33" s="201">
        <f>+'EEFF base'!CT26+V33</f>
        <v>9009832.6999999434</v>
      </c>
      <c r="X33" s="201">
        <f>+'EEFF base'!CU26+W33</f>
        <v>18051730.739999987</v>
      </c>
      <c r="Y33" s="201">
        <f>+'EEFF base'!CV26+X33</f>
        <v>13429721.380000023</v>
      </c>
      <c r="Z33" s="201">
        <f>+'EEFF base'!CW26+Y33</f>
        <v>10428538.070000038</v>
      </c>
      <c r="AA33" s="201">
        <f>+'EEFF base'!CX26+Z33</f>
        <v>14088710.930000057</v>
      </c>
      <c r="AB33" s="201">
        <f>+'EEFF base'!CY26+AA33</f>
        <v>12732382.220000058</v>
      </c>
      <c r="AC33" s="201">
        <f>+'EEFF base'!CZ26+AB33</f>
        <v>5632242.2300000209</v>
      </c>
      <c r="AD33" s="201">
        <f t="shared" si="37"/>
        <v>5632242.2300000209</v>
      </c>
      <c r="AE33" s="201">
        <f>_xlfn.IFNA(+VLOOKUP($C33, [34]Hoja1!$A$5:$E$171,5,FALSE),0)+_xlfn.IFNA(+VLOOKUP($A33, [34]Hoja1!$A$5:$E$171,5,FALSE),0)</f>
        <v>8274482.5</v>
      </c>
      <c r="AF33" s="201">
        <f>_xlfn.IFNA(+VLOOKUP($C33, [35]Hoja1!$A$5:$E$171,5,FALSE),0)+_xlfn.IFNA(+VLOOKUP($A33, [34]Hoja1!$A$5:$E$171,5,FALSE),0)</f>
        <v>10847381.98</v>
      </c>
      <c r="AG33" s="201">
        <f>_xlfn.IFNA(+VLOOKUP($C33, [36]Hoja1!$A$5:$E$171,5,FALSE),0)+_xlfn.IFNA(+VLOOKUP($A33, [34]Hoja1!$A$5:$E$171,5,FALSE),0)</f>
        <v>6469042.5499999998</v>
      </c>
      <c r="AH33" s="201">
        <f>_xlfn.IFNA(+VLOOKUP($C33, [37]Hoja1!$A$5:$E$171,5,FALSE),0)+_xlfn.IFNA(+VLOOKUP($A33, [34]Hoja1!$A$5:$E$171,5,FALSE),0)</f>
        <v>5096890.55</v>
      </c>
      <c r="AI33" s="201">
        <f>_xlfn.IFNA(+VLOOKUP($C33, [38]Hoja1!$A$5:$E$171,5,FALSE),0)+_xlfn.IFNA(+VLOOKUP($A33, [34]Hoja1!$A$5:$E$171,5,FALSE),0)</f>
        <v>9562091.4900000002</v>
      </c>
      <c r="AJ33" s="201">
        <f>_xlfn.IFNA(+VLOOKUP($C33, [39]Hoja1!$A$5:$E$171,5,FALSE),0)+_xlfn.IFNA(+VLOOKUP($A33, [34]Hoja1!$A$5:$E$171,5,FALSE),0)</f>
        <v>10439955.130000001</v>
      </c>
      <c r="AK33" s="201">
        <f>_xlfn.IFNA(+VLOOKUP($C33,[40]Hoja1!$A$6:$E$180,5,FALSE),0)</f>
        <v>8680537.5399999991</v>
      </c>
      <c r="AL33" s="201">
        <f>_xlfn.IFNA(+VLOOKUP($C33,[41]Hoja1!$A$6:$E$182,5,FALSE),0)</f>
        <v>12962870.710000001</v>
      </c>
      <c r="AM33" s="201">
        <f>_xlfn.IFNA(+VLOOKUP($C33,[42]Hoja1!$A$6:$E$183,5,FALSE),0)</f>
        <v>7911061.54</v>
      </c>
      <c r="AN33" s="201">
        <f>_xlfn.IFNA(+VLOOKUP($C33,[43]Hoja1!$A$6:$E$183,5,FALSE),0)</f>
        <v>10209517.119999999</v>
      </c>
      <c r="AO33" s="201">
        <f>_xlfn.IFNA(+VLOOKUP($C33,[44]Hoja1!$A$5:$E$186,5,FALSE),0)</f>
        <v>4369183.42</v>
      </c>
      <c r="AP33" s="201">
        <f>_xlfn.IFNA(+VLOOKUP($A33,[45]Hoja1!$A$5:$E$172,5,FALSE),0)</f>
        <v>11931058.91</v>
      </c>
      <c r="AQ33" s="201">
        <f t="shared" si="39"/>
        <v>11931058.91</v>
      </c>
      <c r="AR33" s="201">
        <f>+VLOOKUP(C33,[46]Hoja1!$A$6:$C$179,3,FALSE)</f>
        <v>12086234.789999999</v>
      </c>
      <c r="AS33" s="201">
        <f>+VLOOKUP(C33,[47]Hoja1!$A$6:$E$182,5,FALSE)</f>
        <v>8375310.6600000001</v>
      </c>
      <c r="AT33" s="201">
        <f>+VLOOKUP(A33,[48]Hoja1!$A$6:$E$192,5,FALSE)</f>
        <v>19513742.5</v>
      </c>
      <c r="AU33" s="201">
        <f>+VLOOKUP(C33,[49]Hoja1!$A$6:$E$194,5,FALSE)</f>
        <v>18370738.02</v>
      </c>
      <c r="AV33" s="201">
        <f>+VLOOKUP(A33,[50]Hoja1!A$6:E$171,5,FALSE)</f>
        <v>11752391.220000001</v>
      </c>
      <c r="AW33" s="201">
        <f>+VLOOKUP(C33,[51]Hoja1!$A$5:$E$188,5,FALSE)</f>
        <v>40497311.859999999</v>
      </c>
      <c r="AX33" s="215"/>
    </row>
    <row r="34" spans="1:55" x14ac:dyDescent="0.25">
      <c r="A34" s="194" t="s">
        <v>40</v>
      </c>
      <c r="B34" s="201">
        <v>120000</v>
      </c>
      <c r="C34" s="194">
        <f t="shared" si="41"/>
        <v>1200000000</v>
      </c>
      <c r="D34" s="194" t="s">
        <v>41</v>
      </c>
      <c r="E34" s="201">
        <f>+'EEFF base'!CB27+'EEFF base'!CB28</f>
        <v>127179245.18000013</v>
      </c>
      <c r="F34" s="201">
        <f>+'EEFF base'!CC27+'EEFF base'!CC28+E34</f>
        <v>124687655.34000012</v>
      </c>
      <c r="G34" s="201">
        <f>+'EEFF base'!CD27+'EEFF base'!CD28+F34</f>
        <v>120853130.88000013</v>
      </c>
      <c r="H34" s="201">
        <f>+'EEFF base'!CE27+'EEFF base'!CE28+G34</f>
        <v>124786823.44000012</v>
      </c>
      <c r="I34" s="201">
        <f>+'EEFF base'!CF27+'EEFF base'!CF28+H34</f>
        <v>134096041.89000015</v>
      </c>
      <c r="J34" s="201">
        <f>+'EEFF base'!CG27+'EEFF base'!CG28+I34</f>
        <v>134908161.84000015</v>
      </c>
      <c r="K34" s="201">
        <f>+'EEFF base'!CH27+'EEFF base'!CH28+J34</f>
        <v>139036165.6300002</v>
      </c>
      <c r="L34" s="201">
        <f>+'EEFF base'!CI27+'EEFF base'!CI28+K34</f>
        <v>140483358.7900002</v>
      </c>
      <c r="M34" s="201">
        <f>+'EEFF base'!CJ27+'EEFF base'!CJ28+L34</f>
        <v>156974295.49000019</v>
      </c>
      <c r="N34" s="201">
        <f>+'EEFF base'!CK27+'EEFF base'!CK28+M34</f>
        <v>149437751.2300002</v>
      </c>
      <c r="O34" s="201">
        <f>+'EEFF base'!CL27+'EEFF base'!CL28+N34</f>
        <v>152992765.7000002</v>
      </c>
      <c r="P34" s="201">
        <f>+'EEFF base'!CM27+'EEFF base'!CM28+O34</f>
        <v>159704577.21000022</v>
      </c>
      <c r="Q34" s="201">
        <f t="shared" si="35"/>
        <v>159704577.21000022</v>
      </c>
      <c r="R34" s="201">
        <f>+'EEFF base'!CO27+'EEFF base'!CO28</f>
        <v>163159462.23000008</v>
      </c>
      <c r="S34" s="201">
        <f>+'EEFF base'!CP27+'EEFF base'!CP28+R34</f>
        <v>159612699.12000006</v>
      </c>
      <c r="T34" s="201">
        <f>+'EEFF base'!CQ27+'EEFF base'!CQ28+S34</f>
        <v>157034175.36000004</v>
      </c>
      <c r="U34" s="201">
        <f>+'EEFF base'!CR27+'EEFF base'!CR28+T34</f>
        <v>157300372.85000005</v>
      </c>
      <c r="V34" s="201">
        <f>+'EEFF base'!CS27+'EEFF base'!CS28+U34</f>
        <v>161878149.35000002</v>
      </c>
      <c r="W34" s="201">
        <f>+'EEFF base'!CT27+'EEFF base'!CT28+V34</f>
        <v>166784802.54000002</v>
      </c>
      <c r="X34" s="201">
        <f>+'EEFF base'!CU27+'EEFF base'!CU28+W34</f>
        <v>159760223.77000001</v>
      </c>
      <c r="Y34" s="201">
        <f>+'EEFF base'!CV27+'EEFF base'!CV28+X34</f>
        <v>155430028.77999997</v>
      </c>
      <c r="Z34" s="201">
        <f>+'EEFF base'!CW27+'EEFF base'!CW28+Y34</f>
        <v>162279442.94999999</v>
      </c>
      <c r="AA34" s="201">
        <f>+'EEFF base'!CX27+'EEFF base'!CX28+Z34</f>
        <v>183678855.51999998</v>
      </c>
      <c r="AB34" s="201">
        <f>+'EEFF base'!CY27+'EEFF base'!CY28+AA34</f>
        <v>188125725.38</v>
      </c>
      <c r="AC34" s="201">
        <f>+'EEFF base'!CZ27+'EEFF base'!CZ28+AB34</f>
        <v>209315786.50999999</v>
      </c>
      <c r="AD34" s="201">
        <f t="shared" si="37"/>
        <v>209315786.50999999</v>
      </c>
      <c r="AE34" s="201">
        <f>_xlfn.IFNA(+VLOOKUP($C34, [34]Hoja1!$A$5:$E$171,5,FALSE),0)+_xlfn.IFNA(+VLOOKUP($A34, [34]Hoja1!$A$5:$E$171,5,FALSE),0)</f>
        <v>216486403.37</v>
      </c>
      <c r="AF34" s="201">
        <f>_xlfn.IFNA(+VLOOKUP($C34, [35]Hoja1!$A$5:$E$171,5,FALSE),0)+_xlfn.IFNA(+VLOOKUP($A34, [34]Hoja1!$A$5:$E$171,5,FALSE),0)</f>
        <v>201446278.08000001</v>
      </c>
      <c r="AG34" s="201">
        <f>_xlfn.IFNA(+VLOOKUP($C34, [36]Hoja1!$A$5:$E$171,5,FALSE),0)+_xlfn.IFNA(+VLOOKUP($A34, [34]Hoja1!$A$5:$E$171,5,FALSE),0)</f>
        <v>203437186.94999999</v>
      </c>
      <c r="AH34" s="201">
        <f>_xlfn.IFNA(+VLOOKUP($C34, [37]Hoja1!$A$5:$E$171,5,FALSE),0)+_xlfn.IFNA(+VLOOKUP($A34, [34]Hoja1!$A$5:$E$171,5,FALSE),0)</f>
        <v>211365020.41999999</v>
      </c>
      <c r="AI34" s="201">
        <f>_xlfn.IFNA(+VLOOKUP($C34, [38]Hoja1!$A$5:$E$171,5,FALSE),0)+_xlfn.IFNA(+VLOOKUP($A34, [34]Hoja1!$A$5:$E$171,5,FALSE),0)</f>
        <v>209873215.41999999</v>
      </c>
      <c r="AJ34" s="201">
        <f>_xlfn.IFNA(+VLOOKUP($C34, [39]Hoja1!$A$5:$E$171,5,FALSE),0)+_xlfn.IFNA(+VLOOKUP($A34, [34]Hoja1!$A$5:$E$171,5,FALSE),0)</f>
        <v>207112289.69</v>
      </c>
      <c r="AK34" s="201">
        <f>_xlfn.IFNA(+VLOOKUP($C34,[40]Hoja1!$A$6:$E$180,5,FALSE),0)</f>
        <v>154382124.25999999</v>
      </c>
      <c r="AL34" s="201">
        <f>_xlfn.IFNA(+VLOOKUP($C34,[41]Hoja1!$A$6:$E$182,5,FALSE),0)</f>
        <v>148933035.16999999</v>
      </c>
      <c r="AM34" s="201">
        <f>_xlfn.IFNA(+VLOOKUP($C34,[42]Hoja1!$A$6:$E$183,5,FALSE),0)</f>
        <v>148242277.19999999</v>
      </c>
      <c r="AN34" s="201">
        <f>_xlfn.IFNA(+VLOOKUP($C34,[43]Hoja1!$A$6:$E$183,5,FALSE),0)</f>
        <v>163576910.56</v>
      </c>
      <c r="AO34" s="201">
        <f>_xlfn.IFNA(+VLOOKUP($C34,[44]Hoja1!$A$5:$E$186,5,FALSE),0)</f>
        <v>158302317.44999999</v>
      </c>
      <c r="AP34" s="201">
        <f>_xlfn.IFNA(+VLOOKUP($A34,[45]Hoja1!$A$5:$E$172,5,FALSE),0)</f>
        <v>151740053.16999999</v>
      </c>
      <c r="AQ34" s="201">
        <f t="shared" si="39"/>
        <v>151740053.16999999</v>
      </c>
      <c r="AR34" s="201">
        <f>+VLOOKUP(C34,[46]Hoja1!$A$6:$C$179,3,FALSE)</f>
        <v>149561205.00999999</v>
      </c>
      <c r="AS34" s="201">
        <f>+VLOOKUP(C34,[47]Hoja1!$A$6:$E$182,5,FALSE)</f>
        <v>154045142.69</v>
      </c>
      <c r="AT34" s="201">
        <f>+VLOOKUP(A34,[48]Hoja1!$A$6:$E$170,5,FALSE)</f>
        <v>153094520.88999999</v>
      </c>
      <c r="AU34" s="201">
        <f>+VLOOKUP(C34,[49]Hoja1!$A$6:$E$194,5,FALSE)</f>
        <v>155139438.56</v>
      </c>
      <c r="AV34" s="201">
        <f>+VLOOKUP(A34,[50]Hoja1!A$6:E$171,5,FALSE)</f>
        <v>152419182.38999999</v>
      </c>
      <c r="AW34" s="201">
        <f>+VLOOKUP(C34,[51]Hoja1!$A$5:$E$188,5,FALSE)</f>
        <v>150538351.36000001</v>
      </c>
      <c r="AX34" s="215"/>
    </row>
    <row r="35" spans="1:55" x14ac:dyDescent="0.25">
      <c r="A35" s="194" t="s">
        <v>42</v>
      </c>
      <c r="B35" s="201">
        <v>130000</v>
      </c>
      <c r="C35" s="194">
        <f t="shared" si="41"/>
        <v>1300000000</v>
      </c>
      <c r="D35" s="194" t="s">
        <v>43</v>
      </c>
      <c r="E35" s="201">
        <f>'EEFF base'!CB29</f>
        <v>199758208.15000013</v>
      </c>
      <c r="F35" s="201">
        <f>'EEFF base'!CC29+E35</f>
        <v>187916167.16000035</v>
      </c>
      <c r="G35" s="201">
        <f>'EEFF base'!CD29+F35</f>
        <v>181640180.78000027</v>
      </c>
      <c r="H35" s="201">
        <f>'EEFF base'!CE29+G35</f>
        <v>188753927.93000025</v>
      </c>
      <c r="I35" s="201">
        <f>'EEFF base'!CF29+H35</f>
        <v>193136440.4000001</v>
      </c>
      <c r="J35" s="201">
        <f>'EEFF base'!CG29+I35</f>
        <v>198594795.24000004</v>
      </c>
      <c r="K35" s="201">
        <f>'EEFF base'!CH29+J35</f>
        <v>212281150.67000002</v>
      </c>
      <c r="L35" s="201">
        <f>'EEFF base'!CI29+K35</f>
        <v>209387536.97000006</v>
      </c>
      <c r="M35" s="201">
        <f>'EEFF base'!CJ29+L35</f>
        <v>201071230.41</v>
      </c>
      <c r="N35" s="201">
        <f>'EEFF base'!CK29+M35</f>
        <v>194412037.88999999</v>
      </c>
      <c r="O35" s="201">
        <f>'EEFF base'!CL29+N35</f>
        <v>180128349.49000004</v>
      </c>
      <c r="P35" s="201">
        <f>'EEFF base'!CM29+O35</f>
        <v>169286478.97000015</v>
      </c>
      <c r="Q35" s="201">
        <f t="shared" si="35"/>
        <v>169286478.97000015</v>
      </c>
      <c r="R35" s="201">
        <f>'EEFF base'!CO29</f>
        <v>168891365.4499999</v>
      </c>
      <c r="S35" s="201">
        <f>'EEFF base'!CP29+R35</f>
        <v>169399786.38000014</v>
      </c>
      <c r="T35" s="201">
        <f>'EEFF base'!CQ29+S35</f>
        <v>169028200.6700004</v>
      </c>
      <c r="U35" s="201">
        <f>'EEFF base'!CR29+T35</f>
        <v>177147750.64000055</v>
      </c>
      <c r="V35" s="201">
        <f>'EEFF base'!CS29+U35</f>
        <v>182875031.84000072</v>
      </c>
      <c r="W35" s="201">
        <f>'EEFF base'!CT29+V35</f>
        <v>187921582.45000076</v>
      </c>
      <c r="X35" s="201">
        <f>'EEFF base'!CU29+W35</f>
        <v>195460182.29000089</v>
      </c>
      <c r="Y35" s="201">
        <f>'EEFF base'!CV29+X35</f>
        <v>201748297.07000086</v>
      </c>
      <c r="Z35" s="201">
        <f>'EEFF base'!CW29+Y35</f>
        <v>205097164.79000089</v>
      </c>
      <c r="AA35" s="201">
        <f>'EEFF base'!CX29+Z35</f>
        <v>196609659.02000076</v>
      </c>
      <c r="AB35" s="201">
        <f>'EEFF base'!CY29+AA35</f>
        <v>191617059.44000089</v>
      </c>
      <c r="AC35" s="201">
        <f>'EEFF base'!CZ29+AB35</f>
        <v>179943056.40000093</v>
      </c>
      <c r="AD35" s="201">
        <f t="shared" si="37"/>
        <v>179943056.40000093</v>
      </c>
      <c r="AE35" s="201">
        <f>_xlfn.IFNA(+VLOOKUP($C35, [34]Hoja1!$A$5:$E$171,5,FALSE),0)+_xlfn.IFNA(+VLOOKUP($A35, [34]Hoja1!$A$5:$E$171,5,FALSE),0)</f>
        <v>171447265.41</v>
      </c>
      <c r="AF35" s="201">
        <f>_xlfn.IFNA(+VLOOKUP($C35, [35]Hoja1!$A$5:$E$171,5,FALSE),0)+_xlfn.IFNA(+VLOOKUP($A35, [34]Hoja1!$A$5:$E$171,5,FALSE),0)</f>
        <v>165789386.69</v>
      </c>
      <c r="AG35" s="201">
        <f>_xlfn.IFNA(+VLOOKUP($C35, [36]Hoja1!$A$5:$E$171,5,FALSE),0)+_xlfn.IFNA(+VLOOKUP($A35, [34]Hoja1!$A$5:$E$171,5,FALSE),0)</f>
        <v>166206265.47999999</v>
      </c>
      <c r="AH35" s="201">
        <f>_xlfn.IFNA(+VLOOKUP($C35, [37]Hoja1!$A$5:$E$171,5,FALSE),0)+_xlfn.IFNA(+VLOOKUP($A35, [34]Hoja1!$A$5:$E$171,5,FALSE),0)</f>
        <v>157971732.13999999</v>
      </c>
      <c r="AI35" s="201">
        <f>_xlfn.IFNA(+VLOOKUP($C35, [38]Hoja1!$A$5:$E$171,5,FALSE),0)+_xlfn.IFNA(+VLOOKUP($A35, [34]Hoja1!$A$5:$E$171,5,FALSE),0)</f>
        <v>151185463.80000001</v>
      </c>
      <c r="AJ35" s="201">
        <f>_xlfn.IFNA(+VLOOKUP($C35, [39]Hoja1!$A$5:$E$171,5,FALSE),0)+_xlfn.IFNA(+VLOOKUP($A35, [34]Hoja1!$A$5:$E$171,5,FALSE),0)</f>
        <v>162050947.49000001</v>
      </c>
      <c r="AK35" s="201">
        <f>_xlfn.IFNA(+VLOOKUP($C35,[40]Hoja1!$A$6:$E$180,5,FALSE),0)</f>
        <v>165671183</v>
      </c>
      <c r="AL35" s="201">
        <f>_xlfn.IFNA(+VLOOKUP($C35,[41]Hoja1!$A$6:$E$182,5,FALSE),0)</f>
        <v>154198147.21000001</v>
      </c>
      <c r="AM35" s="201">
        <f>_xlfn.IFNA(+VLOOKUP($C35,[42]Hoja1!$A$6:$E$183,5,FALSE),0)</f>
        <v>153242317.33000001</v>
      </c>
      <c r="AN35" s="201">
        <f>_xlfn.IFNA(+VLOOKUP($C35,[43]Hoja1!$A$6:$E$183,5,FALSE),0)</f>
        <v>151276438.16</v>
      </c>
      <c r="AO35" s="201">
        <f>_xlfn.IFNA(+VLOOKUP($C35,[44]Hoja1!$A$5:$E$186,5,FALSE),0)</f>
        <v>144722074.22999999</v>
      </c>
      <c r="AP35" s="201">
        <f>_xlfn.IFNA(+VLOOKUP($A35,[45]Hoja1!$A$5:$E$172,5,FALSE),0)</f>
        <v>128296714.95999999</v>
      </c>
      <c r="AQ35" s="201">
        <f t="shared" si="39"/>
        <v>128296714.95999999</v>
      </c>
      <c r="AR35" s="201">
        <f>+VLOOKUP(C35,[46]Hoja1!$A$6:$C$179,3,FALSE)</f>
        <v>120789646.39</v>
      </c>
      <c r="AS35" s="201">
        <f>+VLOOKUP(C35,[47]Hoja1!$A$6:$E$182,5,FALSE)</f>
        <v>118683757.78</v>
      </c>
      <c r="AT35" s="201">
        <f>+VLOOKUP(A35,[48]Hoja1!$A$6:$E$170,5,FALSE)</f>
        <v>116301633.25</v>
      </c>
      <c r="AU35" s="201">
        <f>+VLOOKUP(C35,[49]Hoja1!$A$6:$E$194,5,FALSE)</f>
        <v>117642967.83</v>
      </c>
      <c r="AV35" s="201">
        <f>+VLOOKUP(A35,[50]Hoja1!A$6:E$171,5,FALSE)</f>
        <v>126852400.09</v>
      </c>
      <c r="AW35" s="201">
        <f>+VLOOKUP(C35,[51]Hoja1!$A$5:$E$188,5,FALSE)</f>
        <v>139249075.27000001</v>
      </c>
      <c r="AX35" s="215"/>
    </row>
    <row r="36" spans="1:55" x14ac:dyDescent="0.25">
      <c r="B36" s="200"/>
      <c r="D36" s="199" t="s">
        <v>588</v>
      </c>
      <c r="E36" s="200">
        <f>+SUM(E37:E40)</f>
        <v>711932816.64000022</v>
      </c>
      <c r="F36" s="200">
        <f>+SUM(F37:F40)</f>
        <v>712197901.49000037</v>
      </c>
      <c r="G36" s="200">
        <f t="shared" ref="G36:P36" si="42">+SUM(G37:G40)</f>
        <v>715735326.45000029</v>
      </c>
      <c r="H36" s="200">
        <f t="shared" si="42"/>
        <v>712315236.53000033</v>
      </c>
      <c r="I36" s="200">
        <f t="shared" si="42"/>
        <v>709121517.97000039</v>
      </c>
      <c r="J36" s="200">
        <f t="shared" si="42"/>
        <v>706129826.75000036</v>
      </c>
      <c r="K36" s="200">
        <f t="shared" si="42"/>
        <v>703824265.97000015</v>
      </c>
      <c r="L36" s="200">
        <f t="shared" si="42"/>
        <v>706662424.70000029</v>
      </c>
      <c r="M36" s="200">
        <f t="shared" si="42"/>
        <v>698543499.48000026</v>
      </c>
      <c r="N36" s="200">
        <f t="shared" si="42"/>
        <v>696706106.5200001</v>
      </c>
      <c r="O36" s="200">
        <f t="shared" si="42"/>
        <v>694829086.56000018</v>
      </c>
      <c r="P36" s="200">
        <f t="shared" si="42"/>
        <v>694527709.59000015</v>
      </c>
      <c r="Q36" s="200">
        <f t="shared" si="35"/>
        <v>694527709.59000015</v>
      </c>
      <c r="R36" s="200">
        <f t="shared" ref="R36:AC36" si="43">+SUM(R37:R40)</f>
        <v>692195109.0599997</v>
      </c>
      <c r="S36" s="200">
        <f t="shared" si="43"/>
        <v>690804809.9599998</v>
      </c>
      <c r="T36" s="200">
        <f t="shared" si="43"/>
        <v>689169839.85999978</v>
      </c>
      <c r="U36" s="200">
        <f t="shared" si="43"/>
        <v>685464265.08999991</v>
      </c>
      <c r="V36" s="200">
        <f t="shared" si="43"/>
        <v>680972385.21999979</v>
      </c>
      <c r="W36" s="200">
        <f t="shared" si="43"/>
        <v>681517819.97999966</v>
      </c>
      <c r="X36" s="200">
        <f t="shared" si="43"/>
        <v>678738110.61999977</v>
      </c>
      <c r="Y36" s="200">
        <f t="shared" si="43"/>
        <v>680135330.29999971</v>
      </c>
      <c r="Z36" s="200">
        <f t="shared" si="43"/>
        <v>678200150.77999973</v>
      </c>
      <c r="AA36" s="200">
        <f t="shared" si="43"/>
        <v>675365893.22999978</v>
      </c>
      <c r="AB36" s="200">
        <f t="shared" si="43"/>
        <v>673931555.25999975</v>
      </c>
      <c r="AC36" s="200">
        <f t="shared" si="43"/>
        <v>674903188.64999986</v>
      </c>
      <c r="AD36" s="200">
        <f t="shared" si="37"/>
        <v>674903188.64999986</v>
      </c>
      <c r="AE36" s="200">
        <f>+SUM(AE37:AE40)</f>
        <v>830044682.73999989</v>
      </c>
      <c r="AF36" s="200">
        <f t="shared" ref="AF36:AW36" si="44">+SUM(AF37:AF40)</f>
        <v>831010645.29999995</v>
      </c>
      <c r="AG36" s="200">
        <f t="shared" si="44"/>
        <v>827104366.06000006</v>
      </c>
      <c r="AH36" s="200">
        <f t="shared" si="44"/>
        <v>825713606.77999997</v>
      </c>
      <c r="AI36" s="200">
        <f t="shared" si="44"/>
        <v>822741072.04999995</v>
      </c>
      <c r="AJ36" s="200">
        <f t="shared" si="44"/>
        <v>820752995.20999992</v>
      </c>
      <c r="AK36" s="200">
        <f t="shared" si="44"/>
        <v>870046487.00999999</v>
      </c>
      <c r="AL36" s="200">
        <f t="shared" si="44"/>
        <v>864403992.9000001</v>
      </c>
      <c r="AM36" s="200">
        <f t="shared" si="44"/>
        <v>865391775.04999995</v>
      </c>
      <c r="AN36" s="200">
        <f t="shared" si="44"/>
        <v>869043209.25</v>
      </c>
      <c r="AO36" s="200">
        <f t="shared" si="44"/>
        <v>873535799.76000011</v>
      </c>
      <c r="AP36" s="200">
        <f t="shared" si="44"/>
        <v>897112923.10000002</v>
      </c>
      <c r="AQ36" s="200">
        <f t="shared" si="39"/>
        <v>897112923.10000002</v>
      </c>
      <c r="AR36" s="200">
        <f t="shared" si="44"/>
        <v>902755216.05000007</v>
      </c>
      <c r="AS36" s="200">
        <f t="shared" si="44"/>
        <v>908221292.50000012</v>
      </c>
      <c r="AT36" s="200">
        <f t="shared" si="44"/>
        <v>914535375.52999997</v>
      </c>
      <c r="AU36" s="200">
        <f t="shared" si="44"/>
        <v>921694009.13999999</v>
      </c>
      <c r="AV36" s="200">
        <f t="shared" si="44"/>
        <v>932274780.78000009</v>
      </c>
      <c r="AW36" s="200">
        <f t="shared" si="44"/>
        <v>916959408.36000001</v>
      </c>
      <c r="AX36" s="215"/>
    </row>
    <row r="37" spans="1:55" x14ac:dyDescent="0.25">
      <c r="A37" s="194" t="s">
        <v>44</v>
      </c>
      <c r="B37" s="201">
        <v>140000</v>
      </c>
      <c r="C37" s="194">
        <f t="shared" si="41"/>
        <v>1400000000</v>
      </c>
      <c r="D37" s="194" t="s">
        <v>45</v>
      </c>
      <c r="E37" s="201">
        <f>+'EEFF base'!CB31</f>
        <v>620769486.60000026</v>
      </c>
      <c r="F37" s="201">
        <f>+'EEFF base'!CC31+E37</f>
        <v>618079411.21000028</v>
      </c>
      <c r="G37" s="201">
        <f>+'EEFF base'!CD31+F37</f>
        <v>615843930.09000027</v>
      </c>
      <c r="H37" s="201">
        <f>+'EEFF base'!CE31+G37</f>
        <v>613779215.16000032</v>
      </c>
      <c r="I37" s="201">
        <f>+'EEFF base'!CF31+H37</f>
        <v>611815203.39000034</v>
      </c>
      <c r="J37" s="201">
        <f>+'EEFF base'!CG31+I37</f>
        <v>609664523.42000031</v>
      </c>
      <c r="K37" s="201">
        <f>+'EEFF base'!CH31+J37</f>
        <v>609241585.72000027</v>
      </c>
      <c r="L37" s="201">
        <f>+'EEFF base'!CI31+K37</f>
        <v>607518652.11000025</v>
      </c>
      <c r="M37" s="201">
        <f>+'EEFF base'!CJ31+L37</f>
        <v>600620634.4200002</v>
      </c>
      <c r="N37" s="201">
        <f>+'EEFF base'!CK31+M37</f>
        <v>599357832.34000015</v>
      </c>
      <c r="O37" s="201">
        <f>+'EEFF base'!CL31+N37</f>
        <v>598050296.57000017</v>
      </c>
      <c r="P37" s="201">
        <f>+'EEFF base'!CM31+O37</f>
        <v>597586950.94000018</v>
      </c>
      <c r="Q37" s="201">
        <f t="shared" si="35"/>
        <v>597586950.94000018</v>
      </c>
      <c r="R37" s="201">
        <f>+'EEFF base'!CO31</f>
        <v>596269700.48999977</v>
      </c>
      <c r="S37" s="201">
        <f>+'EEFF base'!CP31+R37</f>
        <v>594840322.21999979</v>
      </c>
      <c r="T37" s="201">
        <f>+'EEFF base'!CQ31+S37</f>
        <v>593360430.48999977</v>
      </c>
      <c r="U37" s="201">
        <f>+'EEFF base'!CR31+T37</f>
        <v>591936176.42999983</v>
      </c>
      <c r="V37" s="201">
        <f>+'EEFF base'!CS31+U37</f>
        <v>590425035.5799998</v>
      </c>
      <c r="W37" s="201">
        <f>+'EEFF base'!CT31+V37</f>
        <v>589083557.38999975</v>
      </c>
      <c r="X37" s="201">
        <f>+'EEFF base'!CU31+W37</f>
        <v>587740343.42999971</v>
      </c>
      <c r="Y37" s="201">
        <f>+'EEFF base'!CV31+X37</f>
        <v>584830720.22999966</v>
      </c>
      <c r="Z37" s="201">
        <f>+'EEFF base'!CW31+Y37</f>
        <v>582948454.5599997</v>
      </c>
      <c r="AA37" s="201">
        <f>+'EEFF base'!CX31+Z37</f>
        <v>581135705.76999974</v>
      </c>
      <c r="AB37" s="201">
        <f>+'EEFF base'!CY31+AA37</f>
        <v>579975080.48999977</v>
      </c>
      <c r="AC37" s="201">
        <f>+'EEFF base'!CZ31+AB37</f>
        <v>578464133.68999982</v>
      </c>
      <c r="AD37" s="201">
        <f t="shared" si="37"/>
        <v>578464133.68999982</v>
      </c>
      <c r="AE37" s="201">
        <f>_xlfn.IFNA(+VLOOKUP($C37, [34]Hoja1!$A$5:$E$171,5,FALSE),0)+_xlfn.IFNA(+VLOOKUP($A37, [34]Hoja1!$A$5:$E$171,5,FALSE),0)</f>
        <v>577407467.30999994</v>
      </c>
      <c r="AF37" s="201">
        <f>_xlfn.IFNA(+VLOOKUP($C37, [35]Hoja1!$A$5:$E$171,5,FALSE),0)+_xlfn.IFNA(+VLOOKUP($A37, [34]Hoja1!$A$5:$E$171,5,FALSE),0)</f>
        <v>576234959.88999999</v>
      </c>
      <c r="AG37" s="201">
        <f>_xlfn.IFNA(+VLOOKUP($C37, [36]Hoja1!$A$5:$E$171,5,FALSE),0)+_xlfn.IFNA(+VLOOKUP($A37, [34]Hoja1!$A$5:$E$171,5,FALSE),0)</f>
        <v>575117381.51999998</v>
      </c>
      <c r="AH37" s="201">
        <f>_xlfn.IFNA(+VLOOKUP($C37, [37]Hoja1!$A$5:$E$171,5,FALSE),0)+_xlfn.IFNA(+VLOOKUP($A37, [34]Hoja1!$A$5:$E$171,5,FALSE),0)</f>
        <v>574511724.75</v>
      </c>
      <c r="AI37" s="201">
        <f>_xlfn.IFNA(+VLOOKUP($C37, [38]Hoja1!$A$5:$E$171,5,FALSE),0)+_xlfn.IFNA(+VLOOKUP($A37, [34]Hoja1!$A$5:$E$171,5,FALSE),0)</f>
        <v>573736025.79999995</v>
      </c>
      <c r="AJ37" s="201">
        <f>_xlfn.IFNA(+VLOOKUP($C37, [39]Hoja1!$A$5:$E$171,5,FALSE),0)+_xlfn.IFNA(+VLOOKUP($A37, [34]Hoja1!$A$5:$E$171,5,FALSE),0)</f>
        <v>573877374.76999998</v>
      </c>
      <c r="AK37" s="201">
        <f>_xlfn.IFNA(+VLOOKUP($C37,[40]Hoja1!$A$6:$E$180,5,FALSE),0)</f>
        <v>593978590.98000002</v>
      </c>
      <c r="AL37" s="201">
        <f>_xlfn.IFNA(+VLOOKUP($C37,[41]Hoja1!$A$6:$E$182,5,FALSE),0)</f>
        <v>595289240.37</v>
      </c>
      <c r="AM37" s="201">
        <f>_xlfn.IFNA(+VLOOKUP($C37,[42]Hoja1!$A$6:$E$183,5,FALSE),0)</f>
        <v>597355415.79999995</v>
      </c>
      <c r="AN37" s="201">
        <f>_xlfn.IFNA(+VLOOKUP($C37,[43]Hoja1!$A$6:$E$183,5,FALSE),0)</f>
        <v>599774235.46000004</v>
      </c>
      <c r="AO37" s="201">
        <f>_xlfn.IFNA(+VLOOKUP($C37,[44]Hoja1!$A$5:$E$186,5,FALSE),0)</f>
        <v>603054619.73000002</v>
      </c>
      <c r="AP37" s="201">
        <f>_xlfn.IFNA(+VLOOKUP($A37,[45]Hoja1!$A$5:$E$172,5,FALSE),0)</f>
        <v>606848758.82000005</v>
      </c>
      <c r="AQ37" s="201">
        <f t="shared" si="39"/>
        <v>606848758.82000005</v>
      </c>
      <c r="AR37" s="201">
        <f>+VLOOKUP(C37,[46]Hoja1!$A$6:$C$179,3,FALSE)</f>
        <v>618780286.11000001</v>
      </c>
      <c r="AS37" s="201">
        <f>+VLOOKUP(C37,[47]Hoja1!$A$6:$E$182,5,FALSE)</f>
        <v>623600051.48000002</v>
      </c>
      <c r="AT37" s="201">
        <f>+VLOOKUP(A37,[48]Hoja1!$A$6:$E$170,5,FALSE)</f>
        <v>629870246.53999996</v>
      </c>
      <c r="AU37" s="201">
        <f>+VLOOKUP(C37,[49]Hoja1!$A$6:$E$194,5,FALSE)</f>
        <v>638041187.58000004</v>
      </c>
      <c r="AV37" s="201">
        <f>+VLOOKUP(A37,[50]Hoja1!A$6:E$171,5,FALSE)</f>
        <v>647420575.25999999</v>
      </c>
      <c r="AW37" s="201">
        <f>+VLOOKUP(C37,[51]Hoja1!$A$5:$E$188,5,FALSE)</f>
        <v>656823346.12</v>
      </c>
      <c r="AX37" s="215"/>
    </row>
    <row r="38" spans="1:55" x14ac:dyDescent="0.25">
      <c r="A38" s="194" t="s">
        <v>46</v>
      </c>
      <c r="B38" s="201">
        <v>150000</v>
      </c>
      <c r="C38" s="194">
        <f t="shared" si="41"/>
        <v>1500000000</v>
      </c>
      <c r="D38" s="194" t="s">
        <v>47</v>
      </c>
      <c r="E38" s="201">
        <f>+'EEFF base'!CB35</f>
        <v>47156207.290000007</v>
      </c>
      <c r="F38" s="201">
        <f>+'EEFF base'!CC35+E38</f>
        <v>45976827.63000001</v>
      </c>
      <c r="G38" s="201">
        <f>+'EEFF base'!CD35+F38</f>
        <v>46186031.010000013</v>
      </c>
      <c r="H38" s="201">
        <f>+'EEFF base'!CE35+G38</f>
        <v>46267946.63000001</v>
      </c>
      <c r="I38" s="201">
        <f>+'EEFF base'!CF35+H38</f>
        <v>46295916.110000007</v>
      </c>
      <c r="J38" s="201">
        <f>+'EEFF base'!CG35+I38</f>
        <v>46662949.370000005</v>
      </c>
      <c r="K38" s="201">
        <f>+'EEFF base'!CH35+J38</f>
        <v>45813433.760000005</v>
      </c>
      <c r="L38" s="201">
        <f>+'EEFF base'!CI35+K38</f>
        <v>45807452.750000007</v>
      </c>
      <c r="M38" s="201">
        <f>+'EEFF base'!CJ35+L38</f>
        <v>45540146.000000007</v>
      </c>
      <c r="N38" s="201">
        <f>+'EEFF base'!CK35+M38</f>
        <v>45540146.000000007</v>
      </c>
      <c r="O38" s="201">
        <f>+'EEFF base'!CL35+N38</f>
        <v>45540146.000000007</v>
      </c>
      <c r="P38" s="201">
        <f>+'EEFF base'!CM35+O38</f>
        <v>45540146.000000007</v>
      </c>
      <c r="Q38" s="201">
        <f t="shared" si="35"/>
        <v>45540146.000000007</v>
      </c>
      <c r="R38" s="201">
        <f>+'EEFF base'!CO35</f>
        <v>43710479.870000012</v>
      </c>
      <c r="S38" s="201">
        <f>+'EEFF base'!CP35+R38</f>
        <v>43149472.340000011</v>
      </c>
      <c r="T38" s="201">
        <f>+'EEFF base'!CQ35+S38</f>
        <v>41801644.830000013</v>
      </c>
      <c r="U38" s="201">
        <f>+'EEFF base'!CR35+T38</f>
        <v>39648427.430000015</v>
      </c>
      <c r="V38" s="201">
        <f>+'EEFF base'!CS35+U38</f>
        <v>39380401.140000015</v>
      </c>
      <c r="W38" s="201">
        <f>+'EEFF base'!CT35+V38</f>
        <v>41268672.040000014</v>
      </c>
      <c r="X38" s="201">
        <f>+'EEFF base'!CU35+W38</f>
        <v>40141293.680000015</v>
      </c>
      <c r="Y38" s="201">
        <f>+'EEFF base'!CV35+X38</f>
        <v>38195478.200000018</v>
      </c>
      <c r="Z38" s="201">
        <f>+'EEFF base'!CW35+Y38</f>
        <v>37912703.140000015</v>
      </c>
      <c r="AA38" s="201">
        <f>+'EEFF base'!CX35+Z38</f>
        <v>37912703.140000015</v>
      </c>
      <c r="AB38" s="201">
        <f>+'EEFF base'!CY35+AA38</f>
        <v>37912703.140000015</v>
      </c>
      <c r="AC38" s="201">
        <f>+'EEFF base'!CZ35+AB38</f>
        <v>37885832.580000013</v>
      </c>
      <c r="AD38" s="201">
        <f t="shared" si="37"/>
        <v>37885832.580000013</v>
      </c>
      <c r="AE38" s="201">
        <f>_xlfn.IFNA(+VLOOKUP($C38, [34]Hoja1!$A$5:$E$171,5,FALSE),0)+_xlfn.IFNA(+VLOOKUP($A38, [34]Hoja1!$A$5:$E$171,5,FALSE),0)</f>
        <v>37051364.509999998</v>
      </c>
      <c r="AF38" s="201">
        <f>_xlfn.IFNA(+VLOOKUP($C38, [35]Hoja1!$A$5:$E$171,5,FALSE),0)+_xlfn.IFNA(+VLOOKUP($A38, [34]Hoja1!$A$5:$E$171,5,FALSE),0)</f>
        <v>36914396.200000003</v>
      </c>
      <c r="AG38" s="201">
        <f>_xlfn.IFNA(+VLOOKUP($C38, [36]Hoja1!$A$5:$E$171,5,FALSE),0)+_xlfn.IFNA(+VLOOKUP($A38, [34]Hoja1!$A$5:$E$171,5,FALSE),0)</f>
        <v>37460407.840000004</v>
      </c>
      <c r="AH38" s="201">
        <f>_xlfn.IFNA(+VLOOKUP($C38, [37]Hoja1!$A$5:$E$171,5,FALSE),0)+_xlfn.IFNA(+VLOOKUP($A38, [34]Hoja1!$A$5:$E$171,5,FALSE),0)</f>
        <v>30316718.539999999</v>
      </c>
      <c r="AI38" s="201">
        <f>_xlfn.IFNA(+VLOOKUP($C38, [38]Hoja1!$A$5:$E$171,5,FALSE),0)+_xlfn.IFNA(+VLOOKUP($A38, [34]Hoja1!$A$5:$E$171,5,FALSE),0)</f>
        <v>29464288.640000001</v>
      </c>
      <c r="AJ38" s="201">
        <f>_xlfn.IFNA(+VLOOKUP($C38, [39]Hoja1!$A$5:$E$171,5,FALSE),0)+_xlfn.IFNA(+VLOOKUP($A38, [34]Hoja1!$A$5:$E$171,5,FALSE),0)</f>
        <v>26931687.809999999</v>
      </c>
      <c r="AK38" s="201">
        <f>_xlfn.IFNA(+VLOOKUP($C38,[40]Hoja1!$A$6:$E$180,5,FALSE),0)</f>
        <v>27486228.059999999</v>
      </c>
      <c r="AL38" s="201">
        <f>_xlfn.IFNA(+VLOOKUP($C38,[41]Hoja1!$A$6:$E$182,5,FALSE),0)</f>
        <v>27685380.489999998</v>
      </c>
      <c r="AM38" s="201">
        <f>_xlfn.IFNA(+VLOOKUP($C38,[42]Hoja1!$A$6:$E$183,5,FALSE),0)</f>
        <v>28976725</v>
      </c>
      <c r="AN38" s="201">
        <f>_xlfn.IFNA(+VLOOKUP($C38,[43]Hoja1!$A$6:$E$183,5,FALSE),0)</f>
        <v>28976725</v>
      </c>
      <c r="AO38" s="201">
        <f>_xlfn.IFNA(+VLOOKUP($C38,[44]Hoja1!$A$5:$E$186,5,FALSE),0)</f>
        <v>28976725</v>
      </c>
      <c r="AP38" s="201">
        <f>_xlfn.IFNA(+VLOOKUP($A38,[45]Hoja1!$A$5:$E$172,5,FALSE),0)</f>
        <v>28976725</v>
      </c>
      <c r="AQ38" s="201">
        <f t="shared" si="39"/>
        <v>28976725</v>
      </c>
      <c r="AR38" s="201">
        <f>+VLOOKUP(C38,[46]Hoja1!$A$6:$C$179,3,FALSE)</f>
        <v>26733326.16</v>
      </c>
      <c r="AS38" s="201">
        <f>+VLOOKUP(C38,[47]Hoja1!$A$6:$E$182,5,FALSE)</f>
        <v>27267113.940000001</v>
      </c>
      <c r="AT38" s="201">
        <f>+VLOOKUP(A38,[48]Hoja1!$A$6:$E$170,5,FALSE)</f>
        <v>27153742.420000002</v>
      </c>
      <c r="AU38" s="201">
        <f>+VLOOKUP(C38,[49]Hoja1!$A$6:$E$194,5,FALSE)</f>
        <v>26704628.670000002</v>
      </c>
      <c r="AV38" s="201">
        <f>+VLOOKUP(A38,[50]Hoja1!A$6:E$171,5,FALSE)</f>
        <v>26722097.09</v>
      </c>
      <c r="AW38" s="201">
        <f>+VLOOKUP(C38,[51]Hoja1!$A$5:$E$188,5,FALSE)</f>
        <v>603320.01</v>
      </c>
      <c r="AX38" s="215"/>
    </row>
    <row r="39" spans="1:55" x14ac:dyDescent="0.25">
      <c r="A39" s="194" t="s">
        <v>48</v>
      </c>
      <c r="B39" s="201">
        <v>160000</v>
      </c>
      <c r="C39" s="194">
        <f t="shared" si="41"/>
        <v>1600000000</v>
      </c>
      <c r="D39" s="194" t="s">
        <v>49</v>
      </c>
      <c r="E39" s="201">
        <f>+'EEFF base'!CB36</f>
        <v>38948708.630000003</v>
      </c>
      <c r="F39" s="201">
        <f>+'EEFF base'!CC36+E39</f>
        <v>39183260.830000006</v>
      </c>
      <c r="G39" s="201">
        <f>+'EEFF base'!CD36+F39</f>
        <v>39486905.770000003</v>
      </c>
      <c r="H39" s="201">
        <f>+'EEFF base'!CE36+G39</f>
        <v>39464816.220000006</v>
      </c>
      <c r="I39" s="201">
        <f>+'EEFF base'!CF36+H39</f>
        <v>39690451.440000005</v>
      </c>
      <c r="J39" s="201">
        <f>+'EEFF base'!CG36+I39</f>
        <v>39886808.060000002</v>
      </c>
      <c r="K39" s="201">
        <f>+'EEFF base'!CH36+J39</f>
        <v>40026506.560000002</v>
      </c>
      <c r="L39" s="201">
        <f>+'EEFF base'!CI36+K39</f>
        <v>45831442.810000002</v>
      </c>
      <c r="M39" s="201">
        <f>+'EEFF base'!CJ36+L39</f>
        <v>46125041.120000005</v>
      </c>
      <c r="N39" s="201">
        <f>+'EEFF base'!CK36+M39</f>
        <v>46252328.650000006</v>
      </c>
      <c r="O39" s="201">
        <f>+'EEFF base'!CL36+N39</f>
        <v>46365281.270000003</v>
      </c>
      <c r="P39" s="201">
        <f>+'EEFF base'!CM36+O39</f>
        <v>46228674.510000005</v>
      </c>
      <c r="Q39" s="201">
        <f t="shared" si="35"/>
        <v>46228674.510000005</v>
      </c>
      <c r="R39" s="201">
        <f>+'EEFF base'!CO36</f>
        <v>47062845.059999995</v>
      </c>
      <c r="S39" s="201">
        <f>+'EEFF base'!CP36+R39</f>
        <v>47752858.189999998</v>
      </c>
      <c r="T39" s="201">
        <f>+'EEFF base'!CQ36+S39</f>
        <v>48684217.169999994</v>
      </c>
      <c r="U39" s="201">
        <f>+'EEFF base'!CR36+T39</f>
        <v>48749562.379999995</v>
      </c>
      <c r="V39" s="201">
        <f>+'EEFF base'!CS36+U39</f>
        <v>46149621.969999999</v>
      </c>
      <c r="W39" s="201">
        <f>+'EEFF base'!CT36+V39</f>
        <v>46380406.899999999</v>
      </c>
      <c r="X39" s="201">
        <f>+'EEFF base'!CU36+W39</f>
        <v>46301813.079999998</v>
      </c>
      <c r="Y39" s="201">
        <f>+'EEFF base'!CV36+X39</f>
        <v>42596593.589999996</v>
      </c>
      <c r="Z39" s="201">
        <f>+'EEFF base'!CW36+Y39</f>
        <v>42666066.239999995</v>
      </c>
      <c r="AA39" s="201">
        <f>+'EEFF base'!CX36+Z39</f>
        <v>43043432.709999993</v>
      </c>
      <c r="AB39" s="201">
        <f>+'EEFF base'!CY36+AA39</f>
        <v>42863700.379999995</v>
      </c>
      <c r="AC39" s="201">
        <f>+'EEFF base'!CZ36+AB39</f>
        <v>45451803.739999995</v>
      </c>
      <c r="AD39" s="201">
        <f t="shared" si="37"/>
        <v>45451803.739999995</v>
      </c>
      <c r="AE39" s="201">
        <f>_xlfn.IFNA(+VLOOKUP($C39, [34]Hoja1!$A$5:$E$171,5,FALSE),0)+_xlfn.IFNA(+VLOOKUP($A39, [34]Hoja1!$A$5:$E$171,5,FALSE),0)</f>
        <v>202484432.28</v>
      </c>
      <c r="AF39" s="201">
        <f>_xlfn.IFNA(+VLOOKUP($C39, [35]Hoja1!$A$5:$E$171,5,FALSE),0)+_xlfn.IFNA(+VLOOKUP($A39, [34]Hoja1!$A$5:$E$171,5,FALSE),0)</f>
        <v>204678078.66</v>
      </c>
      <c r="AG39" s="201">
        <f>_xlfn.IFNA(+VLOOKUP($C39, [36]Hoja1!$A$5:$E$171,5,FALSE),0)+_xlfn.IFNA(+VLOOKUP($A39, [34]Hoja1!$A$5:$E$171,5,FALSE),0)</f>
        <v>201399467.86000001</v>
      </c>
      <c r="AH39" s="201">
        <f>_xlfn.IFNA(+VLOOKUP($C39, [37]Hoja1!$A$5:$E$171,5,FALSE),0)+_xlfn.IFNA(+VLOOKUP($A39, [34]Hoja1!$A$5:$E$171,5,FALSE),0)</f>
        <v>207733553.13999999</v>
      </c>
      <c r="AI39" s="201">
        <f>_xlfn.IFNA(+VLOOKUP($C39, [38]Hoja1!$A$5:$E$171,5,FALSE),0)+_xlfn.IFNA(+VLOOKUP($A39, [34]Hoja1!$A$5:$E$171,5,FALSE),0)</f>
        <v>206446193.16999999</v>
      </c>
      <c r="AJ39" s="201">
        <f>_xlfn.IFNA(+VLOOKUP($C39, [39]Hoja1!$A$5:$E$171,5,FALSE),0)+_xlfn.IFNA(+VLOOKUP($A39, [34]Hoja1!$A$5:$E$171,5,FALSE),0)</f>
        <v>206893907.47</v>
      </c>
      <c r="AK39" s="201">
        <f>_xlfn.IFNA(+VLOOKUP($C39,[40]Hoja1!$A$6:$E$180,5,FALSE),0)</f>
        <v>235468006.78</v>
      </c>
      <c r="AL39" s="201">
        <f>_xlfn.IFNA(+VLOOKUP($C39,[41]Hoja1!$A$6:$E$182,5,FALSE),0)</f>
        <v>222428756.72</v>
      </c>
      <c r="AM39" s="201">
        <f>_xlfn.IFNA(+VLOOKUP($C39,[42]Hoja1!$A$6:$E$183,5,FALSE),0)</f>
        <v>221487582.08000001</v>
      </c>
      <c r="AN39" s="201">
        <f>_xlfn.IFNA(+VLOOKUP($C39,[43]Hoja1!$A$6:$E$183,5,FALSE),0)</f>
        <v>223866504.13999999</v>
      </c>
      <c r="AO39" s="201">
        <f>_xlfn.IFNA(+VLOOKUP($C39,[44]Hoja1!$A$5:$E$186,5,FALSE),0)</f>
        <v>225824215.34</v>
      </c>
      <c r="AP39" s="201">
        <f>_xlfn.IFNA(+VLOOKUP($A39,[45]Hoja1!$A$5:$E$172,5,FALSE),0)</f>
        <v>245738275.00999999</v>
      </c>
      <c r="AQ39" s="201">
        <f t="shared" si="39"/>
        <v>245738275.00999999</v>
      </c>
      <c r="AR39" s="201">
        <f>+VLOOKUP(C39,[46]Hoja1!$A$6:$C$179,3,FALSE)</f>
        <v>247370321.58000001</v>
      </c>
      <c r="AS39" s="201">
        <f>+VLOOKUP(C39,[47]Hoja1!$A$6:$E$182,5,FALSE)</f>
        <v>247957348.84</v>
      </c>
      <c r="AT39" s="201">
        <f>+VLOOKUP(A39,[48]Hoja1!$A$6:$E$170,5,FALSE)</f>
        <v>246646147.31</v>
      </c>
      <c r="AU39" s="201">
        <f>+VLOOKUP(C39,[49]Hoja1!$A$6:$E$194,5,FALSE)</f>
        <v>247033809.97999999</v>
      </c>
      <c r="AV39" s="201">
        <f>+VLOOKUP(A39,[50]Hoja1!A$6:E$171,5,FALSE)</f>
        <v>249110100.96000001</v>
      </c>
      <c r="AW39" s="201">
        <f>+VLOOKUP(C39,[51]Hoja1!$A$5:$E$188,5,FALSE)</f>
        <v>251020680.83000001</v>
      </c>
      <c r="AX39" s="215"/>
    </row>
    <row r="40" spans="1:55" x14ac:dyDescent="0.25">
      <c r="A40" s="194" t="s">
        <v>50</v>
      </c>
      <c r="B40" s="201">
        <v>170000</v>
      </c>
      <c r="C40" s="194">
        <f t="shared" si="41"/>
        <v>1700000000</v>
      </c>
      <c r="D40" s="194" t="s">
        <v>51</v>
      </c>
      <c r="E40" s="201">
        <f>+'EEFF base'!CB34</f>
        <v>5058414.1199999992</v>
      </c>
      <c r="F40" s="201">
        <f>+'EEFF base'!CC34+E40</f>
        <v>8958401.8199999984</v>
      </c>
      <c r="G40" s="201">
        <f>+'EEFF base'!CD34+F40</f>
        <v>14218459.579999998</v>
      </c>
      <c r="H40" s="201">
        <f>+'EEFF base'!CE34+G40</f>
        <v>12803258.519999998</v>
      </c>
      <c r="I40" s="201">
        <f>+'EEFF base'!CF34+H40</f>
        <v>11319947.029999997</v>
      </c>
      <c r="J40" s="201">
        <f>+'EEFF base'!CG34+I40</f>
        <v>9915545.8999999985</v>
      </c>
      <c r="K40" s="201">
        <f>+'EEFF base'!CH34+J40</f>
        <v>8742739.9299999978</v>
      </c>
      <c r="L40" s="201">
        <f>+'EEFF base'!CI34+K40</f>
        <v>7504877.0299999975</v>
      </c>
      <c r="M40" s="201">
        <f>+'EEFF base'!CJ34+L40</f>
        <v>6257677.9399999976</v>
      </c>
      <c r="N40" s="201">
        <f>+'EEFF base'!CK34+M40</f>
        <v>5555799.5299999975</v>
      </c>
      <c r="O40" s="201">
        <f>+'EEFF base'!CL34+N40</f>
        <v>4873362.7199999969</v>
      </c>
      <c r="P40" s="201">
        <f>+'EEFF base'!CM34+O40</f>
        <v>5171938.1399999969</v>
      </c>
      <c r="Q40" s="201">
        <f t="shared" si="35"/>
        <v>5171938.1399999969</v>
      </c>
      <c r="R40" s="201">
        <f>+'EEFF base'!CO34</f>
        <v>5152083.6399999969</v>
      </c>
      <c r="S40" s="201">
        <f>+'EEFF base'!CP34+R40</f>
        <v>5062157.2099999972</v>
      </c>
      <c r="T40" s="201">
        <f>+'EEFF base'!CQ34+S40</f>
        <v>5323547.3699999973</v>
      </c>
      <c r="U40" s="201">
        <f>+'EEFF base'!CR34+T40</f>
        <v>5130098.8499999978</v>
      </c>
      <c r="V40" s="201">
        <f>+'EEFF base'!CS34+U40</f>
        <v>5017326.5299999975</v>
      </c>
      <c r="W40" s="201">
        <f>+'EEFF base'!CT34+V40</f>
        <v>4785183.6499999976</v>
      </c>
      <c r="X40" s="201">
        <f>+'EEFF base'!CU34+W40</f>
        <v>4554660.4299999978</v>
      </c>
      <c r="Y40" s="201">
        <f>+'EEFF base'!CV34+X40</f>
        <v>14512538.279999997</v>
      </c>
      <c r="Z40" s="201">
        <f>+'EEFF base'!CW34+Y40</f>
        <v>14672926.839999998</v>
      </c>
      <c r="AA40" s="201">
        <f>+'EEFF base'!CX34+Z40</f>
        <v>13274051.609999998</v>
      </c>
      <c r="AB40" s="201">
        <f>+'EEFF base'!CY34+AA40</f>
        <v>13180071.249999998</v>
      </c>
      <c r="AC40" s="201">
        <f>+'EEFF base'!CZ34+AB40</f>
        <v>13101418.639999999</v>
      </c>
      <c r="AD40" s="201">
        <f t="shared" si="37"/>
        <v>13101418.639999999</v>
      </c>
      <c r="AE40" s="201">
        <f>_xlfn.IFNA(+VLOOKUP($C40, [34]Hoja1!$A$5:$E$171,5,FALSE),0)+_xlfn.IFNA(+VLOOKUP($A40, [34]Hoja1!$A$5:$E$171,5,FALSE),0)</f>
        <v>13101418.640000001</v>
      </c>
      <c r="AF40" s="201">
        <f>_xlfn.IFNA(+VLOOKUP($C40, [35]Hoja1!$A$5:$E$171,5,FALSE),0)+_xlfn.IFNA(+VLOOKUP($A40, [34]Hoja1!$A$5:$E$171,5,FALSE),0)</f>
        <v>13183210.550000001</v>
      </c>
      <c r="AG40" s="201">
        <f>_xlfn.IFNA(+VLOOKUP($C40, [36]Hoja1!$A$5:$E$171,5,FALSE),0)+_xlfn.IFNA(+VLOOKUP($A40, [34]Hoja1!$A$5:$E$171,5,FALSE),0)</f>
        <v>13127108.84</v>
      </c>
      <c r="AH40" s="201">
        <f>_xlfn.IFNA(+VLOOKUP($C40, [37]Hoja1!$A$5:$E$171,5,FALSE),0)+_xlfn.IFNA(+VLOOKUP($A40, [34]Hoja1!$A$5:$E$171,5,FALSE),0)</f>
        <v>13151610.35</v>
      </c>
      <c r="AI40" s="201">
        <f>_xlfn.IFNA(+VLOOKUP($C40, [38]Hoja1!$A$5:$E$171,5,FALSE),0)+_xlfn.IFNA(+VLOOKUP($A40, [34]Hoja1!$A$5:$E$171,5,FALSE),0)</f>
        <v>13094564.439999999</v>
      </c>
      <c r="AJ40" s="201">
        <f>_xlfn.IFNA(+VLOOKUP($C40, [39]Hoja1!$A$5:$E$171,5,FALSE),0)+_xlfn.IFNA(+VLOOKUP($A40, [34]Hoja1!$A$5:$E$171,5,FALSE),0)</f>
        <v>13050025.16</v>
      </c>
      <c r="AK40" s="201">
        <f>_xlfn.IFNA(+VLOOKUP($C40,[40]Hoja1!$A$6:$E$180,5,FALSE),0)</f>
        <v>13113661.189999999</v>
      </c>
      <c r="AL40" s="201">
        <f>_xlfn.IFNA(+VLOOKUP($C40,[41]Hoja1!$A$6:$E$182,5,FALSE),0)</f>
        <v>19000615.32</v>
      </c>
      <c r="AM40" s="201">
        <f>_xlfn.IFNA(+VLOOKUP($C40,[42]Hoja1!$A$6:$E$183,5,FALSE),0)</f>
        <v>17572052.170000002</v>
      </c>
      <c r="AN40" s="201">
        <f>_xlfn.IFNA(+VLOOKUP($C40,[43]Hoja1!$A$6:$E$183,5,FALSE),0)</f>
        <v>16425744.65</v>
      </c>
      <c r="AO40" s="201">
        <f>_xlfn.IFNA(+VLOOKUP($C40,[44]Hoja1!$A$5:$E$186,5,FALSE),0)</f>
        <v>15680239.689999999</v>
      </c>
      <c r="AP40" s="201">
        <f>_xlfn.IFNA(+VLOOKUP($A40,[45]Hoja1!$A$5:$E$172,5,FALSE),0)</f>
        <v>15549164.27</v>
      </c>
      <c r="AQ40" s="201">
        <f t="shared" si="39"/>
        <v>15549164.27</v>
      </c>
      <c r="AR40" s="201">
        <f>+VLOOKUP(C40,[46]Hoja1!$A$6:$C$179,3,FALSE)</f>
        <v>9871282.1999999993</v>
      </c>
      <c r="AS40" s="201">
        <f>+VLOOKUP(C40,[47]Hoja1!$A$6:$E$182,5,FALSE)</f>
        <v>9396778.2400000002</v>
      </c>
      <c r="AT40" s="201">
        <f>+VLOOKUP(A40,[48]Hoja1!$A$6:$E$170,5,FALSE)</f>
        <v>10865239.26</v>
      </c>
      <c r="AU40" s="201">
        <f>+VLOOKUP(C40,[49]Hoja1!$A$6:$E$194,5,FALSE)</f>
        <v>9914382.9100000001</v>
      </c>
      <c r="AV40" s="201">
        <f>+VLOOKUP(A40,[50]Hoja1!A$6:E$171,5,FALSE)</f>
        <v>9022007.4700000007</v>
      </c>
      <c r="AW40" s="201">
        <f>+VLOOKUP(C40,[51]Hoja1!$A$5:$E$188,5,FALSE)</f>
        <v>8512061.4000000004</v>
      </c>
      <c r="AX40" s="215"/>
    </row>
    <row r="41" spans="1:55" x14ac:dyDescent="0.25">
      <c r="A41" s="199" t="s">
        <v>52</v>
      </c>
      <c r="B41" s="200">
        <v>200000</v>
      </c>
      <c r="C41" s="194">
        <f t="shared" si="41"/>
        <v>2000000000</v>
      </c>
      <c r="D41" s="199" t="s">
        <v>53</v>
      </c>
      <c r="E41" s="200">
        <f>+E42+E50</f>
        <v>503142401.62</v>
      </c>
      <c r="F41" s="200">
        <f t="shared" ref="F41:P41" si="45">+F42+F50</f>
        <v>514869601.09999996</v>
      </c>
      <c r="G41" s="200">
        <f t="shared" si="45"/>
        <v>498453680.94999999</v>
      </c>
      <c r="H41" s="200">
        <f t="shared" si="45"/>
        <v>506708962.58999997</v>
      </c>
      <c r="I41" s="200">
        <f t="shared" si="45"/>
        <v>506668130.02999997</v>
      </c>
      <c r="J41" s="200">
        <f t="shared" si="45"/>
        <v>509400415.51999974</v>
      </c>
      <c r="K41" s="200">
        <f t="shared" si="45"/>
        <v>521957507.25999987</v>
      </c>
      <c r="L41" s="200">
        <f t="shared" si="45"/>
        <v>524118866.39999986</v>
      </c>
      <c r="M41" s="200">
        <f t="shared" si="45"/>
        <v>512797071.11999989</v>
      </c>
      <c r="N41" s="200">
        <f t="shared" si="45"/>
        <v>497778095.92999983</v>
      </c>
      <c r="O41" s="200">
        <f t="shared" si="45"/>
        <v>496014754.11999977</v>
      </c>
      <c r="P41" s="200">
        <f t="shared" si="45"/>
        <v>489210001.55999976</v>
      </c>
      <c r="Q41" s="200">
        <f t="shared" si="35"/>
        <v>489210001.55999976</v>
      </c>
      <c r="R41" s="200">
        <f t="shared" ref="R41:AC41" si="46">+R42+R50</f>
        <v>492301949.25999999</v>
      </c>
      <c r="S41" s="200">
        <f t="shared" si="46"/>
        <v>497090653.34000003</v>
      </c>
      <c r="T41" s="200">
        <f t="shared" si="46"/>
        <v>496602273.04000002</v>
      </c>
      <c r="U41" s="200">
        <f t="shared" si="46"/>
        <v>504045831</v>
      </c>
      <c r="V41" s="200">
        <f t="shared" si="46"/>
        <v>503366532.29000008</v>
      </c>
      <c r="W41" s="200">
        <f t="shared" si="46"/>
        <v>511439871.86000013</v>
      </c>
      <c r="X41" s="200">
        <f t="shared" si="46"/>
        <v>513336011.35000014</v>
      </c>
      <c r="Y41" s="200">
        <f t="shared" si="46"/>
        <v>515829068.98000014</v>
      </c>
      <c r="Z41" s="200">
        <f t="shared" si="46"/>
        <v>515393890.15000021</v>
      </c>
      <c r="AA41" s="200">
        <f t="shared" si="46"/>
        <v>509090336.64000022</v>
      </c>
      <c r="AB41" s="200">
        <f t="shared" si="46"/>
        <v>515546134.45000023</v>
      </c>
      <c r="AC41" s="200">
        <f t="shared" si="46"/>
        <v>513050959.05000031</v>
      </c>
      <c r="AD41" s="200">
        <f t="shared" si="37"/>
        <v>513050959.05000031</v>
      </c>
      <c r="AE41" s="200">
        <f>+AE42+AE50</f>
        <v>754867770.47000003</v>
      </c>
      <c r="AF41" s="200">
        <f t="shared" ref="AF41:AP41" si="47">+AF42+AF50</f>
        <v>746536777.51999998</v>
      </c>
      <c r="AG41" s="200">
        <f t="shared" si="47"/>
        <v>748226616.88999999</v>
      </c>
      <c r="AH41" s="200">
        <f t="shared" si="47"/>
        <v>762801986.75</v>
      </c>
      <c r="AI41" s="200">
        <f t="shared" si="47"/>
        <v>759399229.58999991</v>
      </c>
      <c r="AJ41" s="200">
        <f t="shared" si="47"/>
        <v>763564152.35000002</v>
      </c>
      <c r="AK41" s="200">
        <f t="shared" si="47"/>
        <v>757313581.36000001</v>
      </c>
      <c r="AL41" s="200">
        <f t="shared" si="47"/>
        <v>726178676.73000002</v>
      </c>
      <c r="AM41" s="200">
        <f t="shared" si="47"/>
        <v>718985188.03999996</v>
      </c>
      <c r="AN41" s="200">
        <f t="shared" si="47"/>
        <v>721793070.00999999</v>
      </c>
      <c r="AO41" s="200">
        <f t="shared" si="47"/>
        <v>705150185.15999997</v>
      </c>
      <c r="AP41" s="200">
        <f t="shared" si="47"/>
        <v>711103566.56999993</v>
      </c>
      <c r="AQ41" s="200">
        <f t="shared" si="39"/>
        <v>711103566.56999993</v>
      </c>
      <c r="AR41" s="200">
        <f t="shared" ref="AR41:AW41" si="48">+AR42+AR50</f>
        <v>703957067.43999994</v>
      </c>
      <c r="AS41" s="200">
        <f t="shared" si="48"/>
        <v>693128246.71000004</v>
      </c>
      <c r="AT41" s="200">
        <f t="shared" si="48"/>
        <v>694007364.37</v>
      </c>
      <c r="AU41" s="200">
        <f t="shared" si="48"/>
        <v>678480450.50999999</v>
      </c>
      <c r="AV41" s="200">
        <f t="shared" si="48"/>
        <v>680353631.44000006</v>
      </c>
      <c r="AW41" s="200">
        <f t="shared" si="48"/>
        <v>682332140.07999992</v>
      </c>
      <c r="AX41" s="215"/>
    </row>
    <row r="42" spans="1:55" s="526" customFormat="1" x14ac:dyDescent="0.25">
      <c r="A42" s="199" t="s">
        <v>54</v>
      </c>
      <c r="B42" s="200">
        <v>210000</v>
      </c>
      <c r="C42" s="199">
        <f t="shared" si="41"/>
        <v>2100000000</v>
      </c>
      <c r="D42" s="199" t="s">
        <v>55</v>
      </c>
      <c r="E42" s="200">
        <f>+SUM(E43:E49)</f>
        <v>172183983.19</v>
      </c>
      <c r="F42" s="200">
        <f>+SUM(F43:F49)</f>
        <v>179464204.5</v>
      </c>
      <c r="G42" s="200">
        <f t="shared" ref="G42:P42" si="49">+SUM(G43:G49)</f>
        <v>157123199.21999997</v>
      </c>
      <c r="H42" s="200">
        <f t="shared" si="49"/>
        <v>164401419.54999995</v>
      </c>
      <c r="I42" s="200">
        <f t="shared" si="49"/>
        <v>155357872.75999996</v>
      </c>
      <c r="J42" s="200">
        <f t="shared" si="49"/>
        <v>145096552.63999975</v>
      </c>
      <c r="K42" s="200">
        <f t="shared" si="49"/>
        <v>157417734.29999986</v>
      </c>
      <c r="L42" s="200">
        <f t="shared" si="49"/>
        <v>161311883.46999982</v>
      </c>
      <c r="M42" s="200">
        <f t="shared" si="49"/>
        <v>129996030.16999982</v>
      </c>
      <c r="N42" s="200">
        <f t="shared" si="49"/>
        <v>114563396.75999983</v>
      </c>
      <c r="O42" s="200">
        <f t="shared" si="49"/>
        <v>112402882.2399998</v>
      </c>
      <c r="P42" s="200">
        <f t="shared" si="49"/>
        <v>235831875.68999973</v>
      </c>
      <c r="Q42" s="200">
        <f t="shared" si="35"/>
        <v>235831875.68999973</v>
      </c>
      <c r="R42" s="200">
        <f t="shared" ref="R42:AC42" si="50">+SUM(R43:R49)</f>
        <v>200940878.72999999</v>
      </c>
      <c r="S42" s="200">
        <f t="shared" si="50"/>
        <v>204427203.14000002</v>
      </c>
      <c r="T42" s="200">
        <f t="shared" si="50"/>
        <v>202032967.80000001</v>
      </c>
      <c r="U42" s="200">
        <f t="shared" si="50"/>
        <v>207346244.20000002</v>
      </c>
      <c r="V42" s="200">
        <f t="shared" si="50"/>
        <v>206925893.07000005</v>
      </c>
      <c r="W42" s="200">
        <f t="shared" si="50"/>
        <v>202037707.19000009</v>
      </c>
      <c r="X42" s="200">
        <f t="shared" si="50"/>
        <v>203297009.97000015</v>
      </c>
      <c r="Y42" s="200">
        <f t="shared" si="50"/>
        <v>204772337.70000014</v>
      </c>
      <c r="Z42" s="200">
        <f t="shared" si="50"/>
        <v>202136938.7900002</v>
      </c>
      <c r="AA42" s="200">
        <f t="shared" si="50"/>
        <v>195016305.54000026</v>
      </c>
      <c r="AB42" s="200">
        <f t="shared" si="50"/>
        <v>200763120.86000025</v>
      </c>
      <c r="AC42" s="200">
        <f t="shared" si="50"/>
        <v>292504269.39000028</v>
      </c>
      <c r="AD42" s="200">
        <f t="shared" si="37"/>
        <v>292504269.39000028</v>
      </c>
      <c r="AE42" s="200">
        <f>-_xlfn.IFNA(+VLOOKUP($C42, [34]Hoja1!$A$5:$E$1710,5,FALSE),0)-_xlfn.IFNA(+VLOOKUP($A42, [34]Hoja1!$A$5:$E$171,5,FALSE),0)</f>
        <v>281900037.5</v>
      </c>
      <c r="AF42" s="200">
        <f>-_xlfn.IFNA(+VLOOKUP($C42, [35]Hoja1!$A$5:$E$1710,5,FALSE),0)-_xlfn.IFNA(+VLOOKUP($A42, [34]Hoja1!$A$5:$E$171,5,FALSE),0)</f>
        <v>274565118.44999999</v>
      </c>
      <c r="AG42" s="200">
        <f>-_xlfn.IFNA(+VLOOKUP($C42, [36]Hoja1!$A$5:$E$1710,5,FALSE),0)-_xlfn.IFNA(+VLOOKUP($A42, [34]Hoja1!$A$5:$E$171,5,FALSE),0)</f>
        <v>277439420.77999997</v>
      </c>
      <c r="AH42" s="200">
        <f>-_xlfn.IFNA(+VLOOKUP($C42, [37]Hoja1!$A$5:$E$1710,5,FALSE),0)-_xlfn.IFNA(+VLOOKUP($A42, [34]Hoja1!$A$5:$E$171,5,FALSE),0)</f>
        <v>292665170.48000002</v>
      </c>
      <c r="AI42" s="200">
        <f>-_xlfn.IFNA(+VLOOKUP($C42, [38]Hoja1!$A$5:$E$1710,5,FALSE),0)-_xlfn.IFNA(+VLOOKUP($A42, [34]Hoja1!$A$5:$E$171,5,FALSE),0)</f>
        <v>174184233.44</v>
      </c>
      <c r="AJ42" s="200">
        <f>-_xlfn.IFNA(+VLOOKUP($C42, [39]Hoja1!$A$5:$E$1710,5,FALSE),0)-_xlfn.IFNA(+VLOOKUP($A42, [34]Hoja1!$A$5:$E$171,5,FALSE),0)</f>
        <v>179103444.66</v>
      </c>
      <c r="AK42" s="200">
        <f>-_xlfn.IFNA(+VLOOKUP($C42,[40]Hoja1!$A$6:$E$180,5,FALSE),0)</f>
        <v>176184806.28999999</v>
      </c>
      <c r="AL42" s="200">
        <f>-_xlfn.IFNA(+VLOOKUP($C42,[41]Hoja1!$A$6:$E$182,5,FALSE),0)</f>
        <v>151929325.19999999</v>
      </c>
      <c r="AM42" s="200">
        <f>-_xlfn.IFNA(+VLOOKUP($C42,[42]Hoja1!$A$6:$E$183,5,FALSE),0)</f>
        <v>140444523.75999999</v>
      </c>
      <c r="AN42" s="200">
        <f>-_xlfn.IFNA(+VLOOKUP($C42,[43]Hoja1!$A$6:$E$183,5,FALSE),0)</f>
        <v>137269115.63</v>
      </c>
      <c r="AO42" s="200">
        <f>-_xlfn.IFNA(+VLOOKUP($C42,[44]Hoja1!$A$5:$E$186,5,FALSE),0)</f>
        <v>131321370.3</v>
      </c>
      <c r="AP42" s="200">
        <f>-_xlfn.IFNA(+VLOOKUP($A42,[45]Hoja1!$A$5:$E$172,5,FALSE),0)</f>
        <v>185466510.41999999</v>
      </c>
      <c r="AQ42" s="200">
        <f t="shared" si="39"/>
        <v>185466510.41999999</v>
      </c>
      <c r="AR42" s="200">
        <f>+-VLOOKUP(C42,[46]Hoja1!$A$6:$C$179,3,FALSE)</f>
        <v>178935834.91999999</v>
      </c>
      <c r="AS42" s="200">
        <f>-+VLOOKUP(C42,[47]Hoja1!$A$6:$E$182,5,FALSE)</f>
        <v>165736428.94999999</v>
      </c>
      <c r="AT42" s="200">
        <f>-+VLOOKUP(A42,[48]Hoja1!$A$6:$E$170,5,FALSE)</f>
        <v>154191602.84</v>
      </c>
      <c r="AU42" s="200">
        <f>+SUM(AU43:AU49)</f>
        <v>134145804.74999999</v>
      </c>
      <c r="AV42" s="200">
        <f>+SUM(AV43:AV49)</f>
        <v>142585386.95000002</v>
      </c>
      <c r="AW42" s="200">
        <f>+SUM(AW43:AW49)</f>
        <v>140461624.53999999</v>
      </c>
      <c r="AY42" s="199"/>
      <c r="AZ42" s="199"/>
      <c r="BA42" s="199"/>
      <c r="BB42" s="199"/>
      <c r="BC42" s="199"/>
    </row>
    <row r="43" spans="1:55" ht="15.75" customHeight="1" x14ac:dyDescent="0.25">
      <c r="A43" s="194" t="s">
        <v>56</v>
      </c>
      <c r="B43" s="201">
        <v>210100</v>
      </c>
      <c r="C43" s="194">
        <f t="shared" si="41"/>
        <v>2101000000</v>
      </c>
      <c r="D43" s="194" t="s">
        <v>57</v>
      </c>
      <c r="E43" s="201">
        <f>+'EEFF base'!CB40</f>
        <v>56664068.629999988</v>
      </c>
      <c r="F43" s="201">
        <f>+'EEFF base'!CC40+E43</f>
        <v>49780927.639999986</v>
      </c>
      <c r="G43" s="201">
        <f>+'EEFF base'!CD40+F43</f>
        <v>43827488.539999947</v>
      </c>
      <c r="H43" s="201">
        <f>+'EEFF base'!CE40+G43</f>
        <v>52935137.219999939</v>
      </c>
      <c r="I43" s="201">
        <f>+'EEFF base'!CF40+H43</f>
        <v>59243196.319999933</v>
      </c>
      <c r="J43" s="201">
        <f>+'EEFF base'!CG40+I43</f>
        <v>59502047.799999744</v>
      </c>
      <c r="K43" s="201">
        <f>+'EEFF base'!CH40+J43</f>
        <v>71666564.059999824</v>
      </c>
      <c r="L43" s="201">
        <f>+'EEFF base'!CI40+K43</f>
        <v>76582156.83999981</v>
      </c>
      <c r="M43" s="201">
        <f>+'EEFF base'!CJ40+L43</f>
        <v>71892652.019999787</v>
      </c>
      <c r="N43" s="201">
        <f>+'EEFF base'!CK40+M43</f>
        <v>62964855.519999787</v>
      </c>
      <c r="O43" s="201">
        <f>+'EEFF base'!CL40+N43</f>
        <v>61536901.399999782</v>
      </c>
      <c r="P43" s="201">
        <f>+'EEFF base'!CM40+O43</f>
        <v>58682731.029999763</v>
      </c>
      <c r="Q43" s="201">
        <f t="shared" si="35"/>
        <v>58682731.029999763</v>
      </c>
      <c r="R43" s="201">
        <f>+'EEFF base'!CO40</f>
        <v>62291980.449999988</v>
      </c>
      <c r="S43" s="201">
        <f>+'EEFF base'!CP40+R43</f>
        <v>63904402.629999995</v>
      </c>
      <c r="T43" s="201">
        <f>+'EEFF base'!CQ40+S43</f>
        <v>65377409.409999982</v>
      </c>
      <c r="U43" s="201">
        <f>+'EEFF base'!CR40+T43</f>
        <v>74511642.659999996</v>
      </c>
      <c r="V43" s="201">
        <f>+'EEFF base'!CS40+U43</f>
        <v>78566086.64000003</v>
      </c>
      <c r="W43" s="201">
        <f>+'EEFF base'!CT40+V43</f>
        <v>83198223.690000087</v>
      </c>
      <c r="X43" s="201">
        <f>+'EEFF base'!CU40+W43</f>
        <v>86066083.6300001</v>
      </c>
      <c r="Y43" s="201">
        <f>+'EEFF base'!CV40+X43</f>
        <v>102243385.16000013</v>
      </c>
      <c r="Z43" s="201">
        <f>+'EEFF base'!CW40+Y43</f>
        <v>101152676.1000002</v>
      </c>
      <c r="AA43" s="201">
        <f>+'EEFF base'!CX40+Z43</f>
        <v>90193294.610000223</v>
      </c>
      <c r="AB43" s="201">
        <f>+'EEFF base'!CY40+AA43</f>
        <v>95727205.230000243</v>
      </c>
      <c r="AC43" s="201">
        <f>+'EEFF base'!CZ40+AB43</f>
        <v>93869404.130000234</v>
      </c>
      <c r="AD43" s="201">
        <f t="shared" si="37"/>
        <v>93869404.130000234</v>
      </c>
      <c r="AE43" s="201">
        <f>-_xlfn.IFNA(+VLOOKUP($C43, [34]Hoja1!$A$5:$E$1710,5,FALSE),0)-_xlfn.IFNA(+VLOOKUP($A43, [34]Hoja1!$A$5:$E$171,5,FALSE),0)</f>
        <v>87962502.299999997</v>
      </c>
      <c r="AF43" s="201">
        <f>-_xlfn.IFNA(+VLOOKUP($C43, [35]Hoja1!$A$5:$E$1710,5,FALSE),0)-_xlfn.IFNA(+VLOOKUP($A43, [34]Hoja1!$A$5:$E$171,5,FALSE),0)</f>
        <v>81323339.670000002</v>
      </c>
      <c r="AG43" s="201">
        <f>-_xlfn.IFNA(+VLOOKUP($C43, [36]Hoja1!$A$5:$E$1710,5,FALSE),0)-_xlfn.IFNA(+VLOOKUP($A43, [34]Hoja1!$A$5:$E$171,5,FALSE),0)</f>
        <v>88003493.219999999</v>
      </c>
      <c r="AH43" s="201">
        <f>-_xlfn.IFNA(+VLOOKUP($C43, [37]Hoja1!$A$5:$E$1710,5,FALSE),0)-_xlfn.IFNA(+VLOOKUP($A43, [34]Hoja1!$A$5:$E$171,5,FALSE),0)</f>
        <v>95517562.670000002</v>
      </c>
      <c r="AI43" s="201">
        <f>-_xlfn.IFNA(+VLOOKUP($C43, [38]Hoja1!$A$5:$E$1710,5,FALSE),0)-_xlfn.IFNA(+VLOOKUP($A43, [34]Hoja1!$A$5:$E$171,5,FALSE),0)</f>
        <v>93283717.599999994</v>
      </c>
      <c r="AJ43" s="201">
        <f>-_xlfn.IFNA(+VLOOKUP($C43, [39]Hoja1!$A$5:$E$1710,5,FALSE),0)-_xlfn.IFNA(+VLOOKUP($A43, [34]Hoja1!$A$5:$E$171,5,FALSE),0)</f>
        <v>94747597.950000003</v>
      </c>
      <c r="AK43" s="201">
        <f>-_xlfn.IFNA(+VLOOKUP($C43,[40]Hoja1!$A$6:$E$180,5,FALSE),0)</f>
        <v>94137158.340000004</v>
      </c>
      <c r="AL43" s="201">
        <f>-_xlfn.IFNA(+VLOOKUP($C43,[41]Hoja1!$A$6:$E$182,5,FALSE),0)</f>
        <v>84949997.200000003</v>
      </c>
      <c r="AM43" s="201">
        <f>-_xlfn.IFNA(+VLOOKUP($C43,[42]Hoja1!$A$6:$E$183,5,FALSE),0)</f>
        <v>86662849.409999996</v>
      </c>
      <c r="AN43" s="201">
        <f>-_xlfn.IFNA(+VLOOKUP($C43,[43]Hoja1!$A$6:$E$183,5,FALSE),0)</f>
        <v>86133346.349999994</v>
      </c>
      <c r="AO43" s="201">
        <f>-_xlfn.IFNA(+VLOOKUP($C43,[44]Hoja1!$A$5:$E$186,5,FALSE),0)</f>
        <v>78075837.459999993</v>
      </c>
      <c r="AP43" s="201">
        <f>-_xlfn.IFNA(+VLOOKUP($A43,[45]Hoja1!$A$5:$E$172,5,FALSE),0)</f>
        <v>77121055.799999997</v>
      </c>
      <c r="AQ43" s="201">
        <f t="shared" si="39"/>
        <v>77121055.799999997</v>
      </c>
      <c r="AR43" s="201">
        <f>+-VLOOKUP(C43,[46]Hoja1!$A$6:$C$179,3,FALSE)</f>
        <v>72935259.060000002</v>
      </c>
      <c r="AS43" s="201">
        <f>-+VLOOKUP(C43,[47]Hoja1!$A$6:$E$182,5,FALSE)</f>
        <v>67859483.439999998</v>
      </c>
      <c r="AT43" s="201">
        <f>-+VLOOKUP(A43,[48]Hoja1!$A$6:$E$170,5,FALSE)</f>
        <v>68760797</v>
      </c>
      <c r="AU43" s="201">
        <f>-+VLOOKUP(C43,[49]Hoja1!$A$6:$E$194,5,FALSE)</f>
        <v>53008341.93</v>
      </c>
      <c r="AV43" s="201">
        <f>+-VLOOKUP(A43,[50]Hoja1!A$6:E$171,5,FALSE)</f>
        <v>57119802.200000003</v>
      </c>
      <c r="AW43" s="201">
        <f>-+VLOOKUP(C43,[51]Hoja1!$A$5:$E$188,5,FALSE)</f>
        <v>55950400.299999997</v>
      </c>
      <c r="AX43" s="215"/>
    </row>
    <row r="44" spans="1:55" x14ac:dyDescent="0.25">
      <c r="A44" s="194" t="s">
        <v>58</v>
      </c>
      <c r="B44" s="201">
        <v>210200</v>
      </c>
      <c r="C44" s="194">
        <f t="shared" si="41"/>
        <v>2102000000</v>
      </c>
      <c r="D44" s="194" t="s">
        <v>59</v>
      </c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>
        <f t="shared" si="35"/>
        <v>0</v>
      </c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>
        <f t="shared" si="37"/>
        <v>0</v>
      </c>
      <c r="AE44" s="201">
        <f>-_xlfn.IFNA(+VLOOKUP($C44, [34]Hoja1!$A$5:$E$1710,5,FALSE),0)-_xlfn.IFNA(+VLOOKUP($A44, [34]Hoja1!$A$5:$E$171,5,FALSE),0)</f>
        <v>6437726.5</v>
      </c>
      <c r="AF44" s="201">
        <f>-_xlfn.IFNA(+VLOOKUP($C44, [35]Hoja1!$A$5:$E$1710,5,FALSE),0)-_xlfn.IFNA(+VLOOKUP($A44, [34]Hoja1!$A$5:$E$171,5,FALSE),0)</f>
        <v>5875019.9900000002</v>
      </c>
      <c r="AG44" s="201">
        <f>-_xlfn.IFNA(+VLOOKUP($C44, [36]Hoja1!$A$5:$E$1710,5,FALSE),0)-_xlfn.IFNA(+VLOOKUP($A44, [34]Hoja1!$A$5:$E$171,5,FALSE),0)</f>
        <v>5321590.3</v>
      </c>
      <c r="AH44" s="201">
        <f>-_xlfn.IFNA(+VLOOKUP($C44, [37]Hoja1!$A$5:$E$1710,5,FALSE),0)-_xlfn.IFNA(+VLOOKUP($A44, [34]Hoja1!$A$5:$E$171,5,FALSE),0)</f>
        <v>4948862.18</v>
      </c>
      <c r="AI44" s="201">
        <f>-_xlfn.IFNA(+VLOOKUP($C44, [38]Hoja1!$A$5:$E$1710,5,FALSE),0)-_xlfn.IFNA(+VLOOKUP($A44, [34]Hoja1!$A$5:$E$171,5,FALSE),0)</f>
        <v>5788138.4500000002</v>
      </c>
      <c r="AJ44" s="201">
        <f>-_xlfn.IFNA(+VLOOKUP($C44, [39]Hoja1!$A$5:$E$1710,5,FALSE),0)-_xlfn.IFNA(+VLOOKUP($A44, [34]Hoja1!$A$5:$E$171,5,FALSE),0)</f>
        <v>5246640.38</v>
      </c>
      <c r="AK44" s="201">
        <f>-_xlfn.IFNA(+VLOOKUP($C44,[40]Hoja1!$A$6:$E$180,5,FALSE),0)</f>
        <v>4644479.7300000004</v>
      </c>
      <c r="AL44" s="201">
        <f>-_xlfn.IFNA(+VLOOKUP($C44,[41]Hoja1!$A$6:$E$182,5,FALSE),0)</f>
        <v>4067185.11</v>
      </c>
      <c r="AM44" s="201">
        <f>-_xlfn.IFNA(+VLOOKUP($C44,[42]Hoja1!$A$6:$E$183,5,FALSE),0)</f>
        <v>2781051.09</v>
      </c>
      <c r="AN44" s="201">
        <f>-_xlfn.IFNA(+VLOOKUP($C44,[43]Hoja1!$A$6:$E$183,5,FALSE),0)</f>
        <v>5537014.25</v>
      </c>
      <c r="AO44" s="201">
        <f>-_xlfn.IFNA(+VLOOKUP($C44,[44]Hoja1!$A$5:$E$186,5,FALSE),0)</f>
        <v>5720829.8899999997</v>
      </c>
      <c r="AP44" s="201">
        <f>-_xlfn.IFNA(+VLOOKUP($A44,[45]Hoja1!$A$5:$E$172,5,FALSE),0)</f>
        <v>3097670.09</v>
      </c>
      <c r="AQ44" s="201">
        <f t="shared" si="39"/>
        <v>3097670.09</v>
      </c>
      <c r="AR44" s="201">
        <f>+-VLOOKUP(C44,[46]Hoja1!$A$6:$C$179,3,FALSE)</f>
        <v>2991397.1</v>
      </c>
      <c r="AS44" s="201">
        <f>-+VLOOKUP(C44,[47]Hoja1!$A$6:$E$182,5,FALSE)</f>
        <v>3044694.21</v>
      </c>
      <c r="AT44" s="201">
        <f>-+VLOOKUP(A44,[48]Hoja1!$A$6:$E$170,5,FALSE)</f>
        <v>2710769.92</v>
      </c>
      <c r="AU44" s="201">
        <f>-+VLOOKUP(C44,[49]Hoja1!$A$6:$E$194,5,FALSE)</f>
        <v>2411790.4300000002</v>
      </c>
      <c r="AV44" s="201">
        <f>+-VLOOKUP(A44,[50]Hoja1!A$6:E$171,5,FALSE)</f>
        <v>2414154.5099999998</v>
      </c>
      <c r="AW44" s="201">
        <f>-+VLOOKUP(C44,[51]Hoja1!$A$5:$E$188,5,FALSE)</f>
        <v>2123218.17</v>
      </c>
      <c r="AX44" s="215"/>
    </row>
    <row r="45" spans="1:55" x14ac:dyDescent="0.25">
      <c r="A45" s="194" t="s">
        <v>60</v>
      </c>
      <c r="B45" s="201">
        <v>210400</v>
      </c>
      <c r="C45" s="194">
        <f t="shared" si="41"/>
        <v>2104000000</v>
      </c>
      <c r="D45" s="194" t="s">
        <v>61</v>
      </c>
      <c r="E45" s="201">
        <f>+'EEFF base'!CB39</f>
        <v>64490571.88000001</v>
      </c>
      <c r="F45" s="201">
        <f>+'EEFF base'!CC39+E45</f>
        <v>61499010.610000007</v>
      </c>
      <c r="G45" s="201">
        <f>+'EEFF base'!CD39+F45</f>
        <v>54945888.000000007</v>
      </c>
      <c r="H45" s="201">
        <f>+'EEFF base'!CE39+G45</f>
        <v>52457197.360000007</v>
      </c>
      <c r="I45" s="201">
        <f>+'EEFF base'!CF39+H45</f>
        <v>40631322.600000009</v>
      </c>
      <c r="J45" s="201">
        <f>+'EEFF base'!CG39+I45</f>
        <v>28875794.340000004</v>
      </c>
      <c r="K45" s="201">
        <f>+'EEFF base'!CH39+J45</f>
        <v>26272200.000000004</v>
      </c>
      <c r="L45" s="201">
        <f>+'EEFF base'!CI39+K45</f>
        <v>26217410.780000005</v>
      </c>
      <c r="M45" s="201">
        <f>+'EEFF base'!CJ39+L45</f>
        <v>6591791.420000013</v>
      </c>
      <c r="N45" s="201">
        <f>+'EEFF base'!CK39+M45</f>
        <v>4464551.8000000129</v>
      </c>
      <c r="O45" s="201">
        <f>+'EEFF base'!CL39+N45</f>
        <v>3668846.3000000129</v>
      </c>
      <c r="P45" s="201">
        <f>+'EEFF base'!CM39+O45</f>
        <v>125937305.91999999</v>
      </c>
      <c r="Q45" s="201">
        <f t="shared" si="35"/>
        <v>125937305.91999999</v>
      </c>
      <c r="R45" s="201">
        <f>+'EEFF base'!CO39</f>
        <v>86693082.25999999</v>
      </c>
      <c r="S45" s="201">
        <f>+'EEFF base'!CP39+R45</f>
        <v>85790548.499999985</v>
      </c>
      <c r="T45" s="201">
        <f>+'EEFF base'!CQ39+S45</f>
        <v>86119882.199999988</v>
      </c>
      <c r="U45" s="201">
        <f>+'EEFF base'!CR39+T45</f>
        <v>81797908.799999982</v>
      </c>
      <c r="V45" s="201">
        <f>+'EEFF base'!CS39+U45</f>
        <v>82172183.949999988</v>
      </c>
      <c r="W45" s="201">
        <f>+'EEFF base'!CT39+V45</f>
        <v>68836268.669999987</v>
      </c>
      <c r="X45" s="201">
        <f>+'EEFF base'!CU39+W45</f>
        <v>67370147.079999983</v>
      </c>
      <c r="Y45" s="201">
        <f>+'EEFF base'!CV39+X45</f>
        <v>68510144.729999989</v>
      </c>
      <c r="Z45" s="201">
        <f>+'EEFF base'!CW39+Y45</f>
        <v>64654077.109999985</v>
      </c>
      <c r="AA45" s="201">
        <f>+'EEFF base'!CX39+Z45</f>
        <v>64756350.989999987</v>
      </c>
      <c r="AB45" s="201">
        <f>+'EEFF base'!CY39+AA45</f>
        <v>65052384.609999985</v>
      </c>
      <c r="AC45" s="201">
        <f>+'EEFF base'!CZ39+AB45</f>
        <v>157985559.02999997</v>
      </c>
      <c r="AD45" s="201">
        <f t="shared" si="37"/>
        <v>157985559.02999997</v>
      </c>
      <c r="AE45" s="201">
        <f>-_xlfn.IFNA(+VLOOKUP($C45, [34]Hoja1!$A$5:$E$1710,5,FALSE),0)-_xlfn.IFNA(+VLOOKUP($A45, [34]Hoja1!$A$5:$E$171,5,FALSE),0)</f>
        <v>157466210.15000001</v>
      </c>
      <c r="AF45" s="201">
        <f>-_xlfn.IFNA(+VLOOKUP($C45, [35]Hoja1!$A$5:$E$1710,5,FALSE),0)-_xlfn.IFNA(+VLOOKUP($A45, [34]Hoja1!$A$5:$E$171,5,FALSE),0)</f>
        <v>157614200.46000001</v>
      </c>
      <c r="AG45" s="201">
        <f>-_xlfn.IFNA(+VLOOKUP($C45, [36]Hoja1!$A$5:$E$1710,5,FALSE),0)-_xlfn.IFNA(+VLOOKUP($A45, [34]Hoja1!$A$5:$E$171,5,FALSE),0)</f>
        <v>157301125.74000001</v>
      </c>
      <c r="AH45" s="201">
        <f>-_xlfn.IFNA(+VLOOKUP($C45, [37]Hoja1!$A$5:$E$1710,5,FALSE),0)-_xlfn.IFNA(+VLOOKUP($A45, [34]Hoja1!$A$5:$E$171,5,FALSE),0)</f>
        <v>155724430.13</v>
      </c>
      <c r="AI45" s="201">
        <f>-_xlfn.IFNA(+VLOOKUP($C45, [38]Hoja1!$A$5:$E$1710,5,FALSE),0)-_xlfn.IFNA(+VLOOKUP($A45, [34]Hoja1!$A$5:$E$171,5,FALSE),0)</f>
        <v>38013624.460000001</v>
      </c>
      <c r="AJ45" s="201">
        <f>-_xlfn.IFNA(+VLOOKUP($C45, [39]Hoja1!$A$5:$E$1710,5,FALSE),0)-_xlfn.IFNA(+VLOOKUP($A45, [34]Hoja1!$A$5:$E$171,5,FALSE),0)</f>
        <v>37397831.950000003</v>
      </c>
      <c r="AK45" s="201">
        <f>-_xlfn.IFNA(+VLOOKUP($C45,[40]Hoja1!$A$6:$E$180,5,FALSE),0)</f>
        <v>14393185.32</v>
      </c>
      <c r="AL45" s="201">
        <f>-_xlfn.IFNA(+VLOOKUP($C45,[41]Hoja1!$A$6:$E$182,5,FALSE),0)</f>
        <v>14122143.859999999</v>
      </c>
      <c r="AM45" s="201">
        <f>-_xlfn.IFNA(+VLOOKUP($C45,[42]Hoja1!$A$6:$E$183,5,FALSE),0)</f>
        <v>11319759.359999999</v>
      </c>
      <c r="AN45" s="201">
        <f>-_xlfn.IFNA(+VLOOKUP($C45,[43]Hoja1!$A$6:$E$183,5,FALSE),0)</f>
        <v>8036301</v>
      </c>
      <c r="AO45" s="201">
        <f>-_xlfn.IFNA(+VLOOKUP($C45,[44]Hoja1!$A$5:$E$186,5,FALSE),0)</f>
        <v>4022779.71</v>
      </c>
      <c r="AP45" s="201">
        <f>-_xlfn.IFNA(+VLOOKUP($A45,[45]Hoja1!$A$5:$E$172,5,FALSE),0)</f>
        <v>55901487.469999999</v>
      </c>
      <c r="AQ45" s="201">
        <f t="shared" si="39"/>
        <v>55901487.469999999</v>
      </c>
      <c r="AR45" s="201">
        <f>+-VLOOKUP(C45,[46]Hoja1!$A$6:$C$179,3,FALSE)</f>
        <v>56266793.719999999</v>
      </c>
      <c r="AS45" s="201">
        <f>-+VLOOKUP(C45,[47]Hoja1!$A$6:$E$182,5,FALSE)</f>
        <v>56400418.789999999</v>
      </c>
      <c r="AT45" s="201">
        <f>-+VLOOKUP(A45,[48]Hoja1!$A$6:$E$170,5,FALSE)</f>
        <v>43051023.969999999</v>
      </c>
      <c r="AU45" s="201">
        <f>-+VLOOKUP(C45,[49]Hoja1!$A$6:$E$194,5,FALSE)</f>
        <v>43795319.780000001</v>
      </c>
      <c r="AV45" s="201">
        <f>+-VLOOKUP(A45,[50]Hoja1!A$6:E$171,5,FALSE)</f>
        <v>44431976.850000001</v>
      </c>
      <c r="AW45" s="201">
        <f>-+VLOOKUP(C45,[51]Hoja1!$A$5:$E$188,5,FALSE)</f>
        <v>43804585.740000002</v>
      </c>
      <c r="AX45" s="215"/>
    </row>
    <row r="46" spans="1:55" ht="15.75" customHeight="1" x14ac:dyDescent="0.25">
      <c r="A46" s="194" t="s">
        <v>62</v>
      </c>
      <c r="B46" s="201">
        <v>210500</v>
      </c>
      <c r="C46" s="194">
        <f t="shared" si="41"/>
        <v>2105000000</v>
      </c>
      <c r="D46" s="194" t="s">
        <v>63</v>
      </c>
      <c r="E46" s="201">
        <f>+'EEFF base'!CB42</f>
        <v>2.2373569663614035E-10</v>
      </c>
      <c r="F46" s="201">
        <f>+'EEFF base'!CC42+E46</f>
        <v>-1.6761987353675067E-9</v>
      </c>
      <c r="G46" s="201">
        <f>+'EEFF base'!CD42+F46</f>
        <v>-6.0344973462633789E-9</v>
      </c>
      <c r="H46" s="201">
        <f>+'EEFF base'!CE42+G46</f>
        <v>-2.8303475119173527E-9</v>
      </c>
      <c r="I46" s="201">
        <f>+'EEFF base'!CF42+H46</f>
        <v>-1.3405951904132962E-9</v>
      </c>
      <c r="J46" s="201">
        <f>+'EEFF base'!CG42+I46</f>
        <v>6.9303496275097132E-9</v>
      </c>
      <c r="K46" s="201">
        <f>+'EEFF base'!CH42+J46</f>
        <v>8.4946805145591497E-9</v>
      </c>
      <c r="L46" s="201">
        <f>+'EEFF base'!CI42+K46</f>
        <v>1.4082615962252021E-8</v>
      </c>
      <c r="M46" s="201">
        <f>+'EEFF base'!CJ42+L46</f>
        <v>3.8753569242544472E-9</v>
      </c>
      <c r="N46" s="201">
        <f>+'EEFF base'!CK42+M46</f>
        <v>2.1982486941851676E-9</v>
      </c>
      <c r="O46" s="201">
        <f>+'EEFF base'!CL42+N46</f>
        <v>-1.0795702110044658E-9</v>
      </c>
      <c r="P46" s="201">
        <f>+'EEFF base'!CM42+O46</f>
        <v>-1.7694219422992319E-8</v>
      </c>
      <c r="Q46" s="201">
        <f t="shared" si="35"/>
        <v>-1.7694219422992319E-8</v>
      </c>
      <c r="R46" s="201">
        <f>+'EEFF base'!CO42</f>
        <v>5.4387783166021109E-9</v>
      </c>
      <c r="S46" s="201">
        <f>+'EEFF base'!CP42+R46</f>
        <v>5.8489604271017015E-9</v>
      </c>
      <c r="T46" s="201">
        <f>+'EEFF base'!CQ42+S46</f>
        <v>1.7696038412395865E-8</v>
      </c>
      <c r="U46" s="201">
        <f>+'EEFF base'!CR42+T46</f>
        <v>1.5833393263164908E-8</v>
      </c>
      <c r="V46" s="201">
        <f>+'EEFF base'!CS42+U46</f>
        <v>1.5758814697619528E-8</v>
      </c>
      <c r="W46" s="201">
        <f>+'EEFF base'!CT42+V46</f>
        <v>1.7397724150214344E-8</v>
      </c>
      <c r="X46" s="201">
        <f>+'EEFF base'!CU42+W46</f>
        <v>1.5311343304347247E-8</v>
      </c>
      <c r="Y46" s="201">
        <f>+'EEFF base'!CV42+X46</f>
        <v>9.2022673925384879E-9</v>
      </c>
      <c r="Z46" s="201">
        <f>+'EEFF base'!CW42+Y46</f>
        <v>1.1548763723112643E-8</v>
      </c>
      <c r="AA46" s="201">
        <f>+'EEFF base'!CX42+Z46</f>
        <v>3.3416654332540929E-8</v>
      </c>
      <c r="AB46" s="201">
        <f>+'EEFF base'!CY42+AA46</f>
        <v>3.2001025829231367E-8</v>
      </c>
      <c r="AC46" s="201">
        <f>+'EEFF base'!CZ42+AB46</f>
        <v>4.1314251575386152E-8</v>
      </c>
      <c r="AD46" s="201">
        <f t="shared" si="37"/>
        <v>4.1314251575386152E-8</v>
      </c>
      <c r="AE46" s="201">
        <f>-_xlfn.IFNA(+VLOOKUP($C46, [34]Hoja1!$A$5:$E$1710,5,FALSE),0)-_xlfn.IFNA(+VLOOKUP($A46, [34]Hoja1!$A$5:$E$171,5,FALSE),0)</f>
        <v>0</v>
      </c>
      <c r="AF46" s="201">
        <f>-_xlfn.IFNA(+VLOOKUP($C46, [35]Hoja1!$A$5:$E$1710,5,FALSE),0)-_xlfn.IFNA(+VLOOKUP($A46, [34]Hoja1!$A$5:$E$171,5,FALSE),0)</f>
        <v>0</v>
      </c>
      <c r="AG46" s="201">
        <f>-_xlfn.IFNA(+VLOOKUP($C46, [36]Hoja1!$A$5:$E$1710,5,FALSE),0)-_xlfn.IFNA(+VLOOKUP($A46, [34]Hoja1!$A$5:$E$171,5,FALSE),0)</f>
        <v>0</v>
      </c>
      <c r="AH46" s="201">
        <f>-_xlfn.IFNA(+VLOOKUP($C46, [37]Hoja1!$A$5:$E$1710,5,FALSE),0)-_xlfn.IFNA(+VLOOKUP($A46, [34]Hoja1!$A$5:$E$171,5,FALSE),0)</f>
        <v>0</v>
      </c>
      <c r="AI46" s="201">
        <f>-_xlfn.IFNA(+VLOOKUP($C46, [38]Hoja1!$A$5:$E$1710,5,FALSE),0)-_xlfn.IFNA(+VLOOKUP($A46, [34]Hoja1!$A$5:$E$171,5,FALSE),0)</f>
        <v>0</v>
      </c>
      <c r="AJ46" s="201">
        <f>-_xlfn.IFNA(+VLOOKUP($C46, [39]Hoja1!$A$5:$E$1710,5,FALSE),0)-_xlfn.IFNA(+VLOOKUP($A46, [34]Hoja1!$A$5:$E$171,5,FALSE),0)</f>
        <v>0</v>
      </c>
      <c r="AK46" s="201">
        <f>-_xlfn.IFNA(+VLOOKUP($C46,[40]Hoja1!$A$6:$E$180,5,FALSE),0)</f>
        <v>0</v>
      </c>
      <c r="AL46" s="201">
        <f>-_xlfn.IFNA(+VLOOKUP($C46,[41]Hoja1!$A$6:$E$182,5,FALSE),0)</f>
        <v>0</v>
      </c>
      <c r="AM46" s="201">
        <f>-_xlfn.IFNA(+VLOOKUP($C46,[42]Hoja1!$A$6:$E$183,5,FALSE),0)</f>
        <v>0</v>
      </c>
      <c r="AN46" s="201">
        <f>-_xlfn.IFNA(+VLOOKUP($C46,[43]Hoja1!$A$6:$E$183,5,FALSE),0)</f>
        <v>0</v>
      </c>
      <c r="AO46" s="201">
        <f>-_xlfn.IFNA(+VLOOKUP($C46,[44]Hoja1!$A$5:$E$186,5,FALSE),0)</f>
        <v>1</v>
      </c>
      <c r="AP46" s="201">
        <f>-_xlfn.IFNA(+VLOOKUP($A46,[45]Hoja1!$A$5:$E$172,5,FALSE),0)</f>
        <v>0</v>
      </c>
      <c r="AQ46" s="201">
        <f t="shared" si="39"/>
        <v>0</v>
      </c>
      <c r="AR46" s="201">
        <f>+-VLOOKUP(C46,[46]Hoja1!$A$6:$C$179,3,FALSE)</f>
        <v>0</v>
      </c>
      <c r="AS46" s="201">
        <f>-+VLOOKUP(C46,[47]Hoja1!$A$6:$E$182,5,FALSE)</f>
        <v>0</v>
      </c>
      <c r="AT46" s="201">
        <f>-+VLOOKUP(A46,[48]Hoja1!$A$6:$E$170,5,FALSE)</f>
        <v>0</v>
      </c>
      <c r="AU46" s="201">
        <f>-+VLOOKUP(C46,[49]Hoja1!$A$6:$E$194,5,FALSE)</f>
        <v>0</v>
      </c>
      <c r="AV46" s="201">
        <f>+-VLOOKUP(A46,[50]Hoja1!A$6:E$171,5,FALSE)</f>
        <v>0</v>
      </c>
      <c r="AW46" s="201">
        <f>-+VLOOKUP(C46,[51]Hoja1!$A$5:$E$188,5,FALSE)</f>
        <v>0</v>
      </c>
      <c r="AX46" s="215"/>
    </row>
    <row r="47" spans="1:55" x14ac:dyDescent="0.25">
      <c r="A47" s="194" t="s">
        <v>64</v>
      </c>
      <c r="B47" s="201">
        <v>210600</v>
      </c>
      <c r="C47" s="194">
        <f t="shared" si="41"/>
        <v>2106000000</v>
      </c>
      <c r="D47" s="194" t="s">
        <v>65</v>
      </c>
      <c r="E47" s="201">
        <f>+'EEFF base'!CB43</f>
        <v>19573288.050000001</v>
      </c>
      <c r="F47" s="201">
        <f>+'EEFF base'!CC43+E47</f>
        <v>33051902.620000001</v>
      </c>
      <c r="G47" s="201">
        <f>+'EEFF base'!CD43+F47</f>
        <v>32893820.32</v>
      </c>
      <c r="H47" s="201">
        <f>+'EEFF base'!CE43+G47</f>
        <v>32514039.41</v>
      </c>
      <c r="I47" s="201">
        <f>+'EEFF base'!CF43+H47</f>
        <v>33068966.07</v>
      </c>
      <c r="J47" s="201">
        <f>+'EEFF base'!CG43+I47</f>
        <v>33276638.359999999</v>
      </c>
      <c r="K47" s="201">
        <f>+'EEFF base'!CH43+J47</f>
        <v>32750132.870000001</v>
      </c>
      <c r="L47" s="201">
        <f>+'EEFF base'!CI43+K47</f>
        <v>32350278.440000001</v>
      </c>
      <c r="M47" s="201">
        <f>+'EEFF base'!CJ43+L47</f>
        <v>30855957.950000003</v>
      </c>
      <c r="N47" s="201">
        <f>+'EEFF base'!CK43+M47</f>
        <v>30582613.760000002</v>
      </c>
      <c r="O47" s="201">
        <f>+'EEFF base'!CL43+N47</f>
        <v>30572990.710000001</v>
      </c>
      <c r="P47" s="201">
        <f>+'EEFF base'!CM43+O47</f>
        <v>30658471.16</v>
      </c>
      <c r="Q47" s="201">
        <f t="shared" si="35"/>
        <v>30658471.16</v>
      </c>
      <c r="R47" s="201">
        <f>+'EEFF base'!CO43</f>
        <v>29146422.879999995</v>
      </c>
      <c r="S47" s="201">
        <f>+'EEFF base'!CP43+R47</f>
        <v>28560057.869999997</v>
      </c>
      <c r="T47" s="201">
        <f>+'EEFF base'!CQ43+S47</f>
        <v>23638821.029999997</v>
      </c>
      <c r="U47" s="201">
        <f>+'EEFF base'!CR43+T47</f>
        <v>23503328.809999999</v>
      </c>
      <c r="V47" s="201">
        <f>+'EEFF base'!CS43+U47</f>
        <v>24624378.879999999</v>
      </c>
      <c r="W47" s="201">
        <f>+'EEFF base'!CT43+V47</f>
        <v>23210575.359999999</v>
      </c>
      <c r="X47" s="201">
        <f>+'EEFF base'!CU43+W47</f>
        <v>21216264.310000002</v>
      </c>
      <c r="Y47" s="201">
        <f>+'EEFF base'!CV43+X47</f>
        <v>7014449.4900000021</v>
      </c>
      <c r="Z47" s="201">
        <f>+'EEFF base'!CW43+Y47</f>
        <v>14505879.500000002</v>
      </c>
      <c r="AA47" s="201">
        <f>+'EEFF base'!CX43+Z47</f>
        <v>15628410.370000001</v>
      </c>
      <c r="AB47" s="201">
        <f>+'EEFF base'!CY43+AA47</f>
        <v>14990065.67</v>
      </c>
      <c r="AC47" s="201">
        <f>+'EEFF base'!CZ43+AB47</f>
        <v>11341890.550000001</v>
      </c>
      <c r="AD47" s="201">
        <f t="shared" si="37"/>
        <v>11341890.550000001</v>
      </c>
      <c r="AE47" s="201">
        <f>-_xlfn.IFNA(+VLOOKUP($C47, [34]Hoja1!$A$5:$E$1710,5,FALSE),0)-_xlfn.IFNA(+VLOOKUP($A47, [34]Hoja1!$A$5:$E$171,5,FALSE),0)</f>
        <v>15928872.67</v>
      </c>
      <c r="AF47" s="201">
        <f>-_xlfn.IFNA(+VLOOKUP($C47, [35]Hoja1!$A$5:$E$1710,5,FALSE),0)-_xlfn.IFNA(+VLOOKUP($A47, [34]Hoja1!$A$5:$E$171,5,FALSE),0)</f>
        <v>17175431.600000001</v>
      </c>
      <c r="AG47" s="201">
        <f>-_xlfn.IFNA(+VLOOKUP($C47, [36]Hoja1!$A$5:$E$1710,5,FALSE),0)-_xlfn.IFNA(+VLOOKUP($A47, [34]Hoja1!$A$5:$E$171,5,FALSE),0)</f>
        <v>13727871.6</v>
      </c>
      <c r="AH47" s="201">
        <f>-_xlfn.IFNA(+VLOOKUP($C47, [37]Hoja1!$A$5:$E$1710,5,FALSE),0)-_xlfn.IFNA(+VLOOKUP($A47, [34]Hoja1!$A$5:$E$171,5,FALSE),0)</f>
        <v>22770279.039999999</v>
      </c>
      <c r="AI47" s="201">
        <f>-_xlfn.IFNA(+VLOOKUP($C47, [38]Hoja1!$A$5:$E$1710,5,FALSE),0)-_xlfn.IFNA(+VLOOKUP($A47, [34]Hoja1!$A$5:$E$171,5,FALSE),0)</f>
        <v>22650669.210000001</v>
      </c>
      <c r="AJ47" s="201">
        <f>-_xlfn.IFNA(+VLOOKUP($C47, [39]Hoja1!$A$5:$E$1710,5,FALSE),0)-_xlfn.IFNA(+VLOOKUP($A47, [34]Hoja1!$A$5:$E$171,5,FALSE),0)</f>
        <v>25001086.57</v>
      </c>
      <c r="AK47" s="201">
        <f>-_xlfn.IFNA(+VLOOKUP($C47,[40]Hoja1!$A$6:$E$180,5,FALSE),0)</f>
        <v>26369339.260000002</v>
      </c>
      <c r="AL47" s="201">
        <f>-_xlfn.IFNA(+VLOOKUP($C47,[41]Hoja1!$A$6:$E$182,5,FALSE),0)</f>
        <v>27567655.670000002</v>
      </c>
      <c r="AM47" s="201">
        <f>-_xlfn.IFNA(+VLOOKUP($C47,[42]Hoja1!$A$6:$E$183,5,FALSE),0)</f>
        <v>28045944</v>
      </c>
      <c r="AN47" s="201">
        <f>-_xlfn.IFNA(+VLOOKUP($C47,[43]Hoja1!$A$6:$E$183,5,FALSE),0)</f>
        <v>28090409.800000001</v>
      </c>
      <c r="AO47" s="201">
        <f>-_xlfn.IFNA(+VLOOKUP($C47,[44]Hoja1!$A$5:$E$186,5,FALSE),0)</f>
        <v>20353698.719999999</v>
      </c>
      <c r="AP47" s="201">
        <f>-_xlfn.IFNA(+VLOOKUP($A47,[45]Hoja1!$A$5:$E$172,5,FALSE),0)</f>
        <v>22520089.329999998</v>
      </c>
      <c r="AQ47" s="201">
        <f t="shared" si="39"/>
        <v>22520089.329999998</v>
      </c>
      <c r="AR47" s="201">
        <f>+-VLOOKUP(C47,[46]Hoja1!$A$6:$C$179,3,FALSE)</f>
        <v>21053139.969999999</v>
      </c>
      <c r="AS47" s="201">
        <f>-+VLOOKUP(C47,[47]Hoja1!$A$6:$E$182,5,FALSE)</f>
        <v>18074872.52</v>
      </c>
      <c r="AT47" s="201">
        <f>-+VLOOKUP(A47,[48]Hoja1!$A$6:$E$170,5,FALSE)</f>
        <v>19408100.84</v>
      </c>
      <c r="AU47" s="201">
        <f>-+VLOOKUP(C47,[49]Hoja1!$A$6:$E$194,5,FALSE)</f>
        <v>12272580.93</v>
      </c>
      <c r="AV47" s="201">
        <f>+-VLOOKUP(A47,[50]Hoja1!A$6:E$171,5,FALSE)</f>
        <v>12942187.220000001</v>
      </c>
      <c r="AW47" s="201">
        <f>-+VLOOKUP(C47,[51]Hoja1!$A$5:$E$188,5,FALSE)</f>
        <v>12672584.609999999</v>
      </c>
      <c r="AX47" s="215"/>
    </row>
    <row r="48" spans="1:55" x14ac:dyDescent="0.25">
      <c r="A48" s="194" t="s">
        <v>66</v>
      </c>
      <c r="B48" s="201">
        <v>210700</v>
      </c>
      <c r="C48" s="194">
        <f t="shared" si="41"/>
        <v>2107000000</v>
      </c>
      <c r="D48" s="194" t="s">
        <v>67</v>
      </c>
      <c r="E48" s="201">
        <f>+'EEFF base'!CB41</f>
        <v>31456054.630000006</v>
      </c>
      <c r="F48" s="201">
        <f>+'EEFF base'!CC41+E48</f>
        <v>35132363.630000003</v>
      </c>
      <c r="G48" s="201">
        <f>+'EEFF base'!CD41+F48</f>
        <v>25456002.359999999</v>
      </c>
      <c r="H48" s="201">
        <f>+'EEFF base'!CE41+G48</f>
        <v>26495045.560000002</v>
      </c>
      <c r="I48" s="201">
        <f>+'EEFF base'!CF41+H48</f>
        <v>22414387.770000007</v>
      </c>
      <c r="J48" s="201">
        <f>+'EEFF base'!CG41+I48</f>
        <v>23442072.140000008</v>
      </c>
      <c r="K48" s="201">
        <f>+'EEFF base'!CH41+J48</f>
        <v>26728837.370000008</v>
      </c>
      <c r="L48" s="201">
        <f>+'EEFF base'!CI41+K48</f>
        <v>26162037.410000008</v>
      </c>
      <c r="M48" s="201">
        <f>+'EEFF base'!CJ41+L48</f>
        <v>20655628.780000016</v>
      </c>
      <c r="N48" s="201">
        <f>+'EEFF base'!CK41+M48</f>
        <v>16551375.680000016</v>
      </c>
      <c r="O48" s="201">
        <f>+'EEFF base'!CL41+N48</f>
        <v>16624143.830000017</v>
      </c>
      <c r="P48" s="201">
        <f>+'EEFF base'!CM41+O48</f>
        <v>20553367.580000017</v>
      </c>
      <c r="Q48" s="201">
        <f t="shared" si="35"/>
        <v>20553367.580000017</v>
      </c>
      <c r="R48" s="201">
        <f>+'EEFF base'!CO41</f>
        <v>22809393.140000012</v>
      </c>
      <c r="S48" s="201">
        <f>+'EEFF base'!CP41+R48</f>
        <v>26172194.140000012</v>
      </c>
      <c r="T48" s="201">
        <f>+'EEFF base'!CQ41+S48</f>
        <v>26896855.160000011</v>
      </c>
      <c r="U48" s="201">
        <f>+'EEFF base'!CR41+T48</f>
        <v>27533363.930000003</v>
      </c>
      <c r="V48" s="201">
        <f>+'EEFF base'!CS41+U48</f>
        <v>21563243.600000005</v>
      </c>
      <c r="W48" s="201">
        <f>+'EEFF base'!CT41+V48</f>
        <v>26792639.470000006</v>
      </c>
      <c r="X48" s="201">
        <f>+'EEFF base'!CU41+W48</f>
        <v>28644514.95000001</v>
      </c>
      <c r="Y48" s="201">
        <f>+'EEFF base'!CV41+X48</f>
        <v>27004358.320000019</v>
      </c>
      <c r="Z48" s="201">
        <f>+'EEFF base'!CW41+Y48</f>
        <v>21824306.080000024</v>
      </c>
      <c r="AA48" s="201">
        <f>+'EEFF base'!CX41+Z48</f>
        <v>24438249.570000026</v>
      </c>
      <c r="AB48" s="201">
        <f>+'EEFF base'!CY41+AA48</f>
        <v>24993465.350000028</v>
      </c>
      <c r="AC48" s="201">
        <f>+'EEFF base'!CZ41+AB48</f>
        <v>29307415.68000003</v>
      </c>
      <c r="AD48" s="201">
        <f t="shared" si="37"/>
        <v>29307415.68000003</v>
      </c>
      <c r="AE48" s="201">
        <f>-_xlfn.IFNA(+VLOOKUP($C48, [34]Hoja1!$A$5:$E$1710,5,FALSE),0)-_xlfn.IFNA(+VLOOKUP($A48, [34]Hoja1!$A$5:$E$171,5,FALSE),0)</f>
        <v>11324973.789999999</v>
      </c>
      <c r="AF48" s="201">
        <f>-_xlfn.IFNA(+VLOOKUP($C48, [35]Hoja1!$A$5:$E$1710,5,FALSE),0)-_xlfn.IFNA(+VLOOKUP($A48, [34]Hoja1!$A$5:$E$171,5,FALSE),0)</f>
        <v>10739211.84</v>
      </c>
      <c r="AG48" s="201">
        <f>-_xlfn.IFNA(+VLOOKUP($C48, [36]Hoja1!$A$5:$E$1710,5,FALSE),0)-_xlfn.IFNA(+VLOOKUP($A48, [34]Hoja1!$A$5:$E$171,5,FALSE),0)</f>
        <v>11519713.6</v>
      </c>
      <c r="AH48" s="201">
        <f>-_xlfn.IFNA(+VLOOKUP($C48, [37]Hoja1!$A$5:$E$1710,5,FALSE),0)-_xlfn.IFNA(+VLOOKUP($A48, [34]Hoja1!$A$5:$E$171,5,FALSE),0)</f>
        <v>12208854.85</v>
      </c>
      <c r="AI48" s="201">
        <f>-_xlfn.IFNA(+VLOOKUP($C48, [38]Hoja1!$A$5:$E$1710,5,FALSE),0)-_xlfn.IFNA(+VLOOKUP($A48, [34]Hoja1!$A$5:$E$171,5,FALSE),0)</f>
        <v>12801984.779999999</v>
      </c>
      <c r="AJ48" s="201">
        <f>-_xlfn.IFNA(+VLOOKUP($C48, [39]Hoja1!$A$5:$E$1710,5,FALSE),0)-_xlfn.IFNA(+VLOOKUP($A48, [34]Hoja1!$A$5:$E$171,5,FALSE),0)</f>
        <v>13525194.27</v>
      </c>
      <c r="AK48" s="201">
        <f>-_xlfn.IFNA(+VLOOKUP($C48,[40]Hoja1!$A$6:$E$180,5,FALSE),0)</f>
        <v>14193495.4</v>
      </c>
      <c r="AL48" s="201">
        <f>-_xlfn.IFNA(+VLOOKUP($C48,[41]Hoja1!$A$6:$E$182,5,FALSE),0)</f>
        <v>14882362.220000001</v>
      </c>
      <c r="AM48" s="201">
        <f>-_xlfn.IFNA(+VLOOKUP($C48,[42]Hoja1!$A$6:$E$183,5,FALSE),0)</f>
        <v>7234498.46</v>
      </c>
      <c r="AN48" s="201">
        <f>-_xlfn.IFNA(+VLOOKUP($C48,[43]Hoja1!$A$6:$E$183,5,FALSE),0)</f>
        <v>7926969.0199999996</v>
      </c>
      <c r="AO48" s="201">
        <f>-_xlfn.IFNA(+VLOOKUP($C48,[44]Hoja1!$A$5:$E$186,5,FALSE),0)</f>
        <v>8625258.9600000009</v>
      </c>
      <c r="AP48" s="201">
        <f>-_xlfn.IFNA(+VLOOKUP($A48,[45]Hoja1!$A$5:$E$172,5,FALSE),0)</f>
        <v>12003839.960000001</v>
      </c>
      <c r="AQ48" s="201">
        <f t="shared" si="39"/>
        <v>12003839.960000001</v>
      </c>
      <c r="AR48" s="201">
        <f>+-VLOOKUP(C48,[46]Hoja1!$A$6:$C$179,3,FALSE)</f>
        <v>13293361.279999999</v>
      </c>
      <c r="AS48" s="201">
        <f>-+VLOOKUP(C48,[47]Hoja1!$A$6:$E$182,5,FALSE)</f>
        <v>11824166.91</v>
      </c>
      <c r="AT48" s="201">
        <f>-+VLOOKUP(A48,[48]Hoja1!$A$6:$E$170,5,FALSE)</f>
        <v>10099014.65</v>
      </c>
      <c r="AU48" s="201">
        <f>-+VLOOKUP(C48,[49]Hoja1!$A$6:$E$194,5,FALSE)</f>
        <v>10820424.300000001</v>
      </c>
      <c r="AV48" s="201">
        <f>+-VLOOKUP(A48,[50]Hoja1!A$6:E$171,5,FALSE)</f>
        <v>11597223.9</v>
      </c>
      <c r="AW48" s="201">
        <f>-+VLOOKUP(C48,[51]Hoja1!$A$5:$E$188,5,FALSE)</f>
        <v>12337061.99</v>
      </c>
      <c r="AX48" s="215"/>
    </row>
    <row r="49" spans="1:55" x14ac:dyDescent="0.25">
      <c r="A49" s="194" t="s">
        <v>68</v>
      </c>
      <c r="B49" s="201">
        <v>210800</v>
      </c>
      <c r="C49" s="194">
        <f t="shared" si="41"/>
        <v>2108000000</v>
      </c>
      <c r="D49" s="194" t="s">
        <v>69</v>
      </c>
      <c r="E49" s="201">
        <f>+'EEFF base'!CB44</f>
        <v>0</v>
      </c>
      <c r="F49" s="201">
        <f>+'EEFF base'!CC44+E49</f>
        <v>0</v>
      </c>
      <c r="G49" s="201">
        <f>+'EEFF base'!CD44+F49</f>
        <v>0</v>
      </c>
      <c r="H49" s="201">
        <f>+'EEFF base'!CE44+G49</f>
        <v>0</v>
      </c>
      <c r="I49" s="201">
        <f>+'EEFF base'!CF44+H49</f>
        <v>0</v>
      </c>
      <c r="J49" s="201">
        <f>+'EEFF base'!CG44+I49</f>
        <v>0</v>
      </c>
      <c r="K49" s="201">
        <f>+'EEFF base'!CH44+J49</f>
        <v>0</v>
      </c>
      <c r="L49" s="201">
        <f>+'EEFF base'!CI44+K49</f>
        <v>0</v>
      </c>
      <c r="M49" s="201">
        <f>+'EEFF base'!CJ44+L49</f>
        <v>0</v>
      </c>
      <c r="N49" s="201">
        <f>+'EEFF base'!CK44+M49</f>
        <v>0</v>
      </c>
      <c r="O49" s="201">
        <f>+'EEFF base'!CL44+N49</f>
        <v>0</v>
      </c>
      <c r="P49" s="201">
        <f>+'EEFF base'!CM44+O49</f>
        <v>0</v>
      </c>
      <c r="Q49" s="201">
        <f t="shared" si="35"/>
        <v>0</v>
      </c>
      <c r="R49" s="201">
        <f>+'EEFF base'!CO44</f>
        <v>0</v>
      </c>
      <c r="S49" s="201">
        <f>+'EEFF base'!CP44+R49</f>
        <v>0</v>
      </c>
      <c r="T49" s="201">
        <f>+'EEFF base'!CQ44+S49</f>
        <v>0</v>
      </c>
      <c r="U49" s="201">
        <f>+'EEFF base'!CR44+T49</f>
        <v>0</v>
      </c>
      <c r="V49" s="201">
        <f>+'EEFF base'!CS44+U49</f>
        <v>0</v>
      </c>
      <c r="W49" s="201">
        <f>+'EEFF base'!CT44+V49</f>
        <v>0</v>
      </c>
      <c r="X49" s="201">
        <f>+'EEFF base'!CU44+W49</f>
        <v>0</v>
      </c>
      <c r="Y49" s="201">
        <f>+'EEFF base'!CV44+X49</f>
        <v>0</v>
      </c>
      <c r="Z49" s="201">
        <f>+'EEFF base'!CW44+Y49</f>
        <v>0</v>
      </c>
      <c r="AA49" s="201">
        <f>+'EEFF base'!CX44+Z49</f>
        <v>0</v>
      </c>
      <c r="AB49" s="201">
        <f>+'EEFF base'!CY44+AA49</f>
        <v>0</v>
      </c>
      <c r="AC49" s="201">
        <f>+'EEFF base'!CZ44+AB49</f>
        <v>0</v>
      </c>
      <c r="AD49" s="201">
        <f t="shared" si="37"/>
        <v>0</v>
      </c>
      <c r="AE49" s="201">
        <f>-_xlfn.IFNA(+VLOOKUP($C49, [34]Hoja1!$A$5:$E$1710,5,FALSE),0)-_xlfn.IFNA(+VLOOKUP($A49, [34]Hoja1!$A$5:$E$171,5,FALSE),0)</f>
        <v>2779752.09</v>
      </c>
      <c r="AF49" s="201">
        <f>-_xlfn.IFNA(+VLOOKUP($C49, [35]Hoja1!$A$5:$E$1710,5,FALSE),0)-_xlfn.IFNA(+VLOOKUP($A49, [34]Hoja1!$A$5:$E$171,5,FALSE),0)</f>
        <v>1837914.89</v>
      </c>
      <c r="AG49" s="201">
        <f>-_xlfn.IFNA(+VLOOKUP($C49, [36]Hoja1!$A$5:$E$1710,5,FALSE),0)-_xlfn.IFNA(+VLOOKUP($A49, [34]Hoja1!$A$5:$E$171,5,FALSE),0)</f>
        <v>1565626.32</v>
      </c>
      <c r="AH49" s="201">
        <f>-_xlfn.IFNA(+VLOOKUP($C49, [37]Hoja1!$A$5:$E$1710,5,FALSE),0)-_xlfn.IFNA(+VLOOKUP($A49, [34]Hoja1!$A$5:$E$171,5,FALSE),0)</f>
        <v>1495181.61</v>
      </c>
      <c r="AI49" s="201">
        <f>-_xlfn.IFNA(+VLOOKUP($C49, [38]Hoja1!$A$5:$E$1710,5,FALSE),0)-_xlfn.IFNA(+VLOOKUP($A49, [34]Hoja1!$A$5:$E$171,5,FALSE),0)</f>
        <v>1646098.94</v>
      </c>
      <c r="AJ49" s="201">
        <f>-_xlfn.IFNA(+VLOOKUP($C49, [39]Hoja1!$A$5:$E$1710,5,FALSE),0)-_xlfn.IFNA(+VLOOKUP($A49, [34]Hoja1!$A$5:$E$171,5,FALSE),0)</f>
        <v>3185093.54</v>
      </c>
      <c r="AK49" s="201">
        <f>-_xlfn.IFNA(+VLOOKUP($C49,[40]Hoja1!$A$6:$E$180,5,FALSE),0)</f>
        <v>22447148.239999998</v>
      </c>
      <c r="AL49" s="201">
        <f>-_xlfn.IFNA(+VLOOKUP($C49,[41]Hoja1!$A$6:$E$182,5,FALSE),0)</f>
        <v>6339981.1399999997</v>
      </c>
      <c r="AM49" s="201">
        <f>-_xlfn.IFNA(+VLOOKUP($C49,[42]Hoja1!$A$6:$E$183,5,FALSE),0)</f>
        <v>4400421.4400000004</v>
      </c>
      <c r="AN49" s="201">
        <f>-_xlfn.IFNA(+VLOOKUP($C49,[43]Hoja1!$A$6:$E$183,5,FALSE),0)</f>
        <v>1545075.21</v>
      </c>
      <c r="AO49" s="201">
        <f>-_xlfn.IFNA(+VLOOKUP($C49,[44]Hoja1!$A$5:$E$186,5,FALSE),0)</f>
        <v>14522964.560000001</v>
      </c>
      <c r="AP49" s="201">
        <f>-_xlfn.IFNA(+VLOOKUP($A49,[45]Hoja1!$A$5:$E$172,5,FALSE),0)</f>
        <v>14822367.77</v>
      </c>
      <c r="AQ49" s="201">
        <f t="shared" si="39"/>
        <v>14822367.77</v>
      </c>
      <c r="AR49" s="201">
        <f>+-VLOOKUP(C49,[46]Hoja1!$A$6:$C$179,3,FALSE)</f>
        <v>12395883.789999999</v>
      </c>
      <c r="AS49" s="201">
        <f>-+VLOOKUP(C49,[47]Hoja1!$A$6:$E$182,5,FALSE)</f>
        <v>8532793.0800000001</v>
      </c>
      <c r="AT49" s="201">
        <f>-+VLOOKUP(A49,[48]Hoja1!$A$6:$E$170,5,FALSE)</f>
        <v>10161896.460000001</v>
      </c>
      <c r="AU49" s="201">
        <f>-+VLOOKUP(C49,[49]Hoja1!$A$6:$E$194,5,FALSE)</f>
        <v>11837347.380000001</v>
      </c>
      <c r="AV49" s="201">
        <f>+-VLOOKUP(A49,[50]Hoja1!A$6:E$171,5,FALSE)</f>
        <v>14080042.27</v>
      </c>
      <c r="AW49" s="201">
        <f>-+VLOOKUP(C49,[51]Hoja1!$A$5:$E$188,5,FALSE)</f>
        <v>13573773.73</v>
      </c>
      <c r="AX49" s="215"/>
    </row>
    <row r="50" spans="1:55" s="526" customFormat="1" x14ac:dyDescent="0.25">
      <c r="A50" s="199" t="s">
        <v>70</v>
      </c>
      <c r="B50" s="200">
        <v>220000</v>
      </c>
      <c r="C50" s="199">
        <f t="shared" si="41"/>
        <v>2200000000</v>
      </c>
      <c r="D50" s="199" t="s">
        <v>71</v>
      </c>
      <c r="E50" s="200">
        <f>+SUM(E51:E54)</f>
        <v>330958418.43000001</v>
      </c>
      <c r="F50" s="200">
        <f>+SUM(F51:F54)</f>
        <v>335405396.59999996</v>
      </c>
      <c r="G50" s="200">
        <f t="shared" ref="G50:P50" si="51">+SUM(G51:G54)</f>
        <v>341330481.73000002</v>
      </c>
      <c r="H50" s="200">
        <f t="shared" si="51"/>
        <v>342307543.04000002</v>
      </c>
      <c r="I50" s="200">
        <f t="shared" si="51"/>
        <v>351310257.26999998</v>
      </c>
      <c r="J50" s="200">
        <f t="shared" si="51"/>
        <v>364303862.88</v>
      </c>
      <c r="K50" s="200">
        <f t="shared" si="51"/>
        <v>364539772.96000004</v>
      </c>
      <c r="L50" s="200">
        <f t="shared" si="51"/>
        <v>362806982.93000001</v>
      </c>
      <c r="M50" s="200">
        <f t="shared" si="51"/>
        <v>382801040.95000005</v>
      </c>
      <c r="N50" s="200">
        <f t="shared" si="51"/>
        <v>383214699.17000002</v>
      </c>
      <c r="O50" s="200">
        <f t="shared" si="51"/>
        <v>383611871.88</v>
      </c>
      <c r="P50" s="200">
        <f t="shared" si="51"/>
        <v>253378125.87000003</v>
      </c>
      <c r="Q50" s="200">
        <f t="shared" si="35"/>
        <v>253378125.87000003</v>
      </c>
      <c r="R50" s="200">
        <f t="shared" ref="R50:AC50" si="52">+SUM(R51:R54)</f>
        <v>291361070.53000003</v>
      </c>
      <c r="S50" s="200">
        <f t="shared" si="52"/>
        <v>292663450.19999999</v>
      </c>
      <c r="T50" s="200">
        <f t="shared" si="52"/>
        <v>294569305.24000001</v>
      </c>
      <c r="U50" s="200">
        <f t="shared" si="52"/>
        <v>296699586.80000001</v>
      </c>
      <c r="V50" s="200">
        <f t="shared" si="52"/>
        <v>296440639.22000003</v>
      </c>
      <c r="W50" s="200">
        <f t="shared" si="52"/>
        <v>309402164.67000002</v>
      </c>
      <c r="X50" s="200">
        <f t="shared" si="52"/>
        <v>310039001.38</v>
      </c>
      <c r="Y50" s="200">
        <f t="shared" si="52"/>
        <v>311056731.28000003</v>
      </c>
      <c r="Z50" s="200">
        <f t="shared" si="52"/>
        <v>313256951.36000001</v>
      </c>
      <c r="AA50" s="200">
        <f t="shared" si="52"/>
        <v>314074031.09999996</v>
      </c>
      <c r="AB50" s="200">
        <f t="shared" si="52"/>
        <v>314783013.58999997</v>
      </c>
      <c r="AC50" s="200">
        <f t="shared" si="52"/>
        <v>220546689.66</v>
      </c>
      <c r="AD50" s="200">
        <f t="shared" si="37"/>
        <v>220546689.66</v>
      </c>
      <c r="AE50" s="200">
        <f>-_xlfn.IFNA(+VLOOKUP($C50, [34]Hoja1!$A$5:$E$1710,5,FALSE),0)-_xlfn.IFNA(+VLOOKUP($A50, [34]Hoja1!$A$5:$E$171,5,FALSE),0)</f>
        <v>472967732.97000003</v>
      </c>
      <c r="AF50" s="200">
        <f>-_xlfn.IFNA(+VLOOKUP($C50, [35]Hoja1!$A$5:$E$1710,5,FALSE),0)-_xlfn.IFNA(+VLOOKUP($A50, [34]Hoja1!$A$5:$E$171,5,FALSE),0)</f>
        <v>471971659.06999999</v>
      </c>
      <c r="AG50" s="200">
        <f>-_xlfn.IFNA(+VLOOKUP($C50, [36]Hoja1!$A$5:$E$1710,5,FALSE),0)-_xlfn.IFNA(+VLOOKUP($A50, [34]Hoja1!$A$5:$E$171,5,FALSE),0)</f>
        <v>470787196.11000001</v>
      </c>
      <c r="AH50" s="200">
        <f>-_xlfn.IFNA(+VLOOKUP($C50, [37]Hoja1!$A$5:$E$1710,5,FALSE),0)-_xlfn.IFNA(+VLOOKUP($A50, [34]Hoja1!$A$5:$E$171,5,FALSE),0)</f>
        <v>470136816.26999998</v>
      </c>
      <c r="AI50" s="200">
        <f>-_xlfn.IFNA(+VLOOKUP($C50, [38]Hoja1!$A$5:$E$1710,5,FALSE),0)-_xlfn.IFNA(+VLOOKUP($A50, [34]Hoja1!$A$5:$E$171,5,FALSE),0)</f>
        <v>585214996.14999998</v>
      </c>
      <c r="AJ50" s="200">
        <f>-_xlfn.IFNA(+VLOOKUP($C50, [39]Hoja1!$A$5:$E$1710,5,FALSE),0)-_xlfn.IFNA(+VLOOKUP($A50, [34]Hoja1!$A$5:$E$171,5,FALSE),0)</f>
        <v>584460707.69000006</v>
      </c>
      <c r="AK50" s="200">
        <f>-_xlfn.IFNA(+VLOOKUP($C50,[40]Hoja1!$A$6:$E$180,5,FALSE),0)</f>
        <v>581128775.07000005</v>
      </c>
      <c r="AL50" s="200">
        <f>-_xlfn.IFNA(+VLOOKUP($C50,[41]Hoja1!$A$6:$E$182,5,FALSE),0)</f>
        <v>574249351.52999997</v>
      </c>
      <c r="AM50" s="200">
        <f>-_xlfn.IFNA(+VLOOKUP($C50,[42]Hoja1!$A$6:$E$183,5,FALSE),0)</f>
        <v>578540664.27999997</v>
      </c>
      <c r="AN50" s="200">
        <f>-_xlfn.IFNA(+VLOOKUP($C50,[43]Hoja1!$A$6:$E$183,5,FALSE),0)</f>
        <v>584523954.38</v>
      </c>
      <c r="AO50" s="200">
        <f>-_xlfn.IFNA(+VLOOKUP($C50,[44]Hoja1!$A$5:$E$186,5,FALSE),0)</f>
        <v>573828814.86000001</v>
      </c>
      <c r="AP50" s="200">
        <f>-_xlfn.IFNA(+VLOOKUP($A50,[45]Hoja1!$A$5:$E$172,5,FALSE),0)</f>
        <v>525637056.14999998</v>
      </c>
      <c r="AQ50" s="200">
        <f t="shared" si="39"/>
        <v>525637056.14999998</v>
      </c>
      <c r="AR50" s="200">
        <f>+-VLOOKUP(C50,[46]Hoja1!$A$6:$C$179,3,FALSE)</f>
        <v>525021232.51999998</v>
      </c>
      <c r="AS50" s="200">
        <f>-+VLOOKUP(C50,[47]Hoja1!$A$6:$E$182,5,FALSE)</f>
        <v>527391817.75999999</v>
      </c>
      <c r="AT50" s="200">
        <f>-+VLOOKUP(A50,[48]Hoja1!$A$6:$E$170,5,FALSE)</f>
        <v>539815761.52999997</v>
      </c>
      <c r="AU50" s="200">
        <f>+SUM(AU51:AU54)</f>
        <v>544334645.75999999</v>
      </c>
      <c r="AV50" s="200">
        <f>+SUM(AV51:AV54)</f>
        <v>537768244.49000001</v>
      </c>
      <c r="AW50" s="200">
        <f>+SUM(AW51:AW54)</f>
        <v>541870515.53999996</v>
      </c>
      <c r="AY50" s="199"/>
      <c r="AZ50" s="199"/>
      <c r="BA50" s="199"/>
      <c r="BB50" s="199"/>
      <c r="BC50" s="199"/>
    </row>
    <row r="51" spans="1:55" x14ac:dyDescent="0.25">
      <c r="A51" s="194" t="s">
        <v>72</v>
      </c>
      <c r="B51" s="201">
        <v>220100</v>
      </c>
      <c r="C51" s="194">
        <f t="shared" si="41"/>
        <v>2201000000</v>
      </c>
      <c r="D51" s="194" t="s">
        <v>73</v>
      </c>
      <c r="E51" s="201">
        <f>+'EEFF base'!CB47</f>
        <v>278690297.94999999</v>
      </c>
      <c r="F51" s="201">
        <f>+'EEFF base'!CC47+E51</f>
        <v>283031522.94999999</v>
      </c>
      <c r="G51" s="201">
        <f>+'EEFF base'!CD47+F51</f>
        <v>287901386.63</v>
      </c>
      <c r="H51" s="201">
        <f>+'EEFF base'!CE47+G51</f>
        <v>287901386.63</v>
      </c>
      <c r="I51" s="201">
        <f>+'EEFF base'!CF47+H51</f>
        <v>296323882.81</v>
      </c>
      <c r="J51" s="201">
        <f>+'EEFF base'!CG47+I51</f>
        <v>306832496.99000001</v>
      </c>
      <c r="K51" s="201">
        <f>+'EEFF base'!CH47+J51</f>
        <v>306902496.99000001</v>
      </c>
      <c r="L51" s="201">
        <f>+'EEFF base'!CI47+K51</f>
        <v>306902496.99000001</v>
      </c>
      <c r="M51" s="201">
        <f>+'EEFF base'!CJ47+L51</f>
        <v>325880157.69</v>
      </c>
      <c r="N51" s="201">
        <f>+'EEFF base'!CK47+M51</f>
        <v>325880157.69</v>
      </c>
      <c r="O51" s="201">
        <f>+'EEFF base'!CL47+N51</f>
        <v>325880157.69</v>
      </c>
      <c r="P51" s="201">
        <f>+'EEFF base'!CM47+O51</f>
        <v>203139913.17000002</v>
      </c>
      <c r="Q51" s="201">
        <f t="shared" si="35"/>
        <v>203139913.17000002</v>
      </c>
      <c r="R51" s="201">
        <f>+'EEFF base'!CO47</f>
        <v>240147695.80000001</v>
      </c>
      <c r="S51" s="201">
        <f>+'EEFF base'!CP47+R51</f>
        <v>240147695.80000001</v>
      </c>
      <c r="T51" s="201">
        <f>+'EEFF base'!CQ47+S51</f>
        <v>240147695.80000001</v>
      </c>
      <c r="U51" s="201">
        <f>+'EEFF base'!CR47+T51</f>
        <v>243494097.19</v>
      </c>
      <c r="V51" s="201">
        <f>+'EEFF base'!CS47+U51</f>
        <v>243494097.19</v>
      </c>
      <c r="W51" s="201">
        <f>+'EEFF base'!CT47+V51</f>
        <v>255693279.22999999</v>
      </c>
      <c r="X51" s="201">
        <f>+'EEFF base'!CU47+W51</f>
        <v>256343104.06999999</v>
      </c>
      <c r="Y51" s="201">
        <f>+'EEFF base'!CV47+X51</f>
        <v>256343104.06999999</v>
      </c>
      <c r="Z51" s="201">
        <f>+'EEFF base'!CW47+Y51</f>
        <v>259116979.84</v>
      </c>
      <c r="AA51" s="201">
        <f>+'EEFF base'!CX47+Z51</f>
        <v>259207813.17000002</v>
      </c>
      <c r="AB51" s="201">
        <f>+'EEFF base'!CY47+AA51</f>
        <v>259207813.17000002</v>
      </c>
      <c r="AC51" s="201">
        <f>+'EEFF base'!CZ47+AB51</f>
        <v>164637171.31</v>
      </c>
      <c r="AD51" s="201">
        <f t="shared" si="37"/>
        <v>164637171.31</v>
      </c>
      <c r="AE51" s="201">
        <f>-_xlfn.IFNA(+VLOOKUP($C51, [34]Hoja1!$A$5:$E$1710,5,FALSE),0)-_xlfn.IFNA(+VLOOKUP($A51, [34]Hoja1!$A$5:$E$171,5,FALSE),0)</f>
        <v>164637171.31</v>
      </c>
      <c r="AF51" s="201">
        <f>-_xlfn.IFNA(+VLOOKUP($C51, [35]Hoja1!$A$5:$E$1710,5,FALSE),0)-_xlfn.IFNA(+VLOOKUP($A51, [34]Hoja1!$A$5:$E$171,5,FALSE),0)</f>
        <v>164637171.31</v>
      </c>
      <c r="AG51" s="201">
        <f>-_xlfn.IFNA(+VLOOKUP($C51, [36]Hoja1!$A$5:$E$1710,5,FALSE),0)-_xlfn.IFNA(+VLOOKUP($A51, [34]Hoja1!$A$5:$E$171,5,FALSE),0)</f>
        <v>164637171.31</v>
      </c>
      <c r="AH51" s="201">
        <f>-_xlfn.IFNA(+VLOOKUP($C51, [37]Hoja1!$A$5:$E$1710,5,FALSE),0)-_xlfn.IFNA(+VLOOKUP($A51, [34]Hoja1!$A$5:$E$171,5,FALSE),0)</f>
        <v>164637171.31</v>
      </c>
      <c r="AI51" s="201">
        <f>-_xlfn.IFNA(+VLOOKUP($C51, [38]Hoja1!$A$5:$E$1710,5,FALSE),0)-_xlfn.IFNA(+VLOOKUP($A51, [34]Hoja1!$A$5:$E$171,5,FALSE),0)</f>
        <v>280581956.83999997</v>
      </c>
      <c r="AJ51" s="201">
        <f>-_xlfn.IFNA(+VLOOKUP($C51, [39]Hoja1!$A$5:$E$1710,5,FALSE),0)-_xlfn.IFNA(+VLOOKUP($A51, [34]Hoja1!$A$5:$E$171,5,FALSE),0)</f>
        <v>280581956.52999997</v>
      </c>
      <c r="AK51" s="201">
        <f>-_xlfn.IFNA(+VLOOKUP($C51,[40]Hoja1!$A$6:$E$180,5,FALSE),0)</f>
        <v>277119940.11000001</v>
      </c>
      <c r="AL51" s="201">
        <f>-_xlfn.IFNA(+VLOOKUP($C51,[41]Hoja1!$A$6:$E$182,5,FALSE),0)</f>
        <v>265044641.37</v>
      </c>
      <c r="AM51" s="201">
        <f>-_xlfn.IFNA(+VLOOKUP($C51,[42]Hoja1!$A$6:$E$183,5,FALSE),0)</f>
        <v>266153434.65000001</v>
      </c>
      <c r="AN51" s="201">
        <f>-_xlfn.IFNA(+VLOOKUP($C51,[43]Hoja1!$A$6:$E$183,5,FALSE),0)</f>
        <v>266153434.65000001</v>
      </c>
      <c r="AO51" s="201">
        <f>-_xlfn.IFNA(+VLOOKUP($C51,[44]Hoja1!$A$5:$E$186,5,FALSE),0)</f>
        <v>258146794.25999999</v>
      </c>
      <c r="AP51" s="201">
        <f>-_xlfn.IFNA(+VLOOKUP($A51,[45]Hoja1!$A$5:$E$172,5,FALSE),0)</f>
        <v>204507293.19</v>
      </c>
      <c r="AQ51" s="201">
        <f t="shared" si="39"/>
        <v>204507293.19</v>
      </c>
      <c r="AR51" s="201">
        <f>+-VLOOKUP(C51,[46]Hoja1!$A$6:$C$179,3,FALSE)</f>
        <v>204507293.19</v>
      </c>
      <c r="AS51" s="201">
        <f>-+VLOOKUP(C51,[47]Hoja1!$A$6:$E$182,5,FALSE)</f>
        <v>204507293.19</v>
      </c>
      <c r="AT51" s="201">
        <f>-+VLOOKUP(A51,[48]Hoja1!$A$6:$E$170,5,FALSE)</f>
        <v>214962498.06999999</v>
      </c>
      <c r="AU51" s="201">
        <f>-+VLOOKUP(C51,[49]Hoja1!$A$6:$E$194,5,FALSE)</f>
        <v>214962498.06999999</v>
      </c>
      <c r="AV51" s="201">
        <f>+-VLOOKUP(A51,[50]Hoja1!A$6:E$171,5,FALSE)</f>
        <v>214962498.06999999</v>
      </c>
      <c r="AW51" s="201">
        <f>-+VLOOKUP(C51,[51]Hoja1!$A$5:$E$188,5,FALSE)</f>
        <v>214962498.06999999</v>
      </c>
      <c r="AX51" s="215"/>
    </row>
    <row r="52" spans="1:55" x14ac:dyDescent="0.25">
      <c r="A52" s="194" t="s">
        <v>74</v>
      </c>
      <c r="B52" s="201">
        <v>220200</v>
      </c>
      <c r="C52" s="194">
        <f t="shared" si="41"/>
        <v>2202000000</v>
      </c>
      <c r="D52" s="194" t="s">
        <v>75</v>
      </c>
      <c r="E52" s="201">
        <f>+'EEFF base'!CB49</f>
        <v>50895503.079999998</v>
      </c>
      <c r="F52" s="201">
        <f>+'EEFF base'!CC49+E52</f>
        <v>50421650.699999996</v>
      </c>
      <c r="G52" s="201">
        <f>+'EEFF base'!CD49+F52</f>
        <v>50897267.919999994</v>
      </c>
      <c r="H52" s="201">
        <f>+'EEFF base'!CE49+G52</f>
        <v>51294736.689999998</v>
      </c>
      <c r="I52" s="201">
        <f>+'EEFF base'!CF49+H52</f>
        <v>51295312.089999996</v>
      </c>
      <c r="J52" s="201">
        <f>+'EEFF base'!CG49+I52</f>
        <v>53200713.519999996</v>
      </c>
      <c r="K52" s="201">
        <f>+'EEFF base'!CH49+J52</f>
        <v>52787033.469999999</v>
      </c>
      <c r="L52" s="201">
        <f>+'EEFF base'!CI49+K52</f>
        <v>50474653.079999998</v>
      </c>
      <c r="M52" s="201">
        <f>+'EEFF base'!CJ49+L52</f>
        <v>50965836.299999997</v>
      </c>
      <c r="N52" s="201">
        <f>+'EEFF base'!CK49+M52</f>
        <v>50745515.25</v>
      </c>
      <c r="O52" s="201">
        <f>+'EEFF base'!CL49+N52</f>
        <v>50563082.259999998</v>
      </c>
      <c r="P52" s="201">
        <f>+'EEFF base'!CM49+O52</f>
        <v>49445043.659999996</v>
      </c>
      <c r="Q52" s="201">
        <f t="shared" si="35"/>
        <v>49445043.659999996</v>
      </c>
      <c r="R52" s="201">
        <f>+'EEFF base'!CO49</f>
        <v>49840369.830000006</v>
      </c>
      <c r="S52" s="201">
        <f>+'EEFF base'!CP49+R52</f>
        <v>50563155.140000008</v>
      </c>
      <c r="T52" s="201">
        <f>+'EEFF base'!CQ49+S52</f>
        <v>51933500.510000005</v>
      </c>
      <c r="U52" s="201">
        <f>+'EEFF base'!CR49+T52</f>
        <v>50093704.970000006</v>
      </c>
      <c r="V52" s="201">
        <f>+'EEFF base'!CS49+U52</f>
        <v>49324426.310000002</v>
      </c>
      <c r="W52" s="201">
        <f>+'EEFF base'!CT49+V52</f>
        <v>49437897.32</v>
      </c>
      <c r="X52" s="201">
        <f>+'EEFF base'!CU49+W52</f>
        <v>48845298.490000002</v>
      </c>
      <c r="Y52" s="201">
        <f>+'EEFF base'!CV49+X52</f>
        <v>49283439.039999999</v>
      </c>
      <c r="Z52" s="201">
        <f>+'EEFF base'!CW49+Y52</f>
        <v>53346475.839999996</v>
      </c>
      <c r="AA52" s="201">
        <f>+'EEFF base'!CX49+Z52</f>
        <v>54085339.349999994</v>
      </c>
      <c r="AB52" s="201">
        <f>+'EEFF base'!CY49+AA52</f>
        <v>54803352.599999994</v>
      </c>
      <c r="AC52" s="201">
        <f>+'EEFF base'!CZ49+AB52</f>
        <v>55125747.969999991</v>
      </c>
      <c r="AD52" s="201">
        <f t="shared" si="37"/>
        <v>55125747.969999991</v>
      </c>
      <c r="AE52" s="201">
        <f>-_xlfn.IFNA(+VLOOKUP($C52, [34]Hoja1!$A$5:$E$1710,5,FALSE),0)-_xlfn.IFNA(+VLOOKUP($A52, [34]Hoja1!$A$5:$E$171,5,FALSE),0)</f>
        <v>55654467.380000003</v>
      </c>
      <c r="AF52" s="201">
        <f>-_xlfn.IFNA(+VLOOKUP($C52, [35]Hoja1!$A$5:$E$1710,5,FALSE),0)-_xlfn.IFNA(+VLOOKUP($A52, [34]Hoja1!$A$5:$E$171,5,FALSE),0)</f>
        <v>56153004.920000002</v>
      </c>
      <c r="AG52" s="201">
        <f>-_xlfn.IFNA(+VLOOKUP($C52, [36]Hoja1!$A$5:$E$1710,5,FALSE),0)-_xlfn.IFNA(+VLOOKUP($A52, [34]Hoja1!$A$5:$E$171,5,FALSE),0)</f>
        <v>56797273.170000002</v>
      </c>
      <c r="AH52" s="201">
        <f>-_xlfn.IFNA(+VLOOKUP($C52, [37]Hoja1!$A$5:$E$1710,5,FALSE),0)-_xlfn.IFNA(+VLOOKUP($A52, [34]Hoja1!$A$5:$E$171,5,FALSE),0)</f>
        <v>55112229.909999996</v>
      </c>
      <c r="AI52" s="201">
        <f>-_xlfn.IFNA(+VLOOKUP($C52, [38]Hoja1!$A$5:$E$1710,5,FALSE),0)-_xlfn.IFNA(+VLOOKUP($A52, [34]Hoja1!$A$5:$E$171,5,FALSE),0)</f>
        <v>53522081.689999998</v>
      </c>
      <c r="AJ52" s="201">
        <f>-_xlfn.IFNA(+VLOOKUP($C52, [39]Hoja1!$A$5:$E$1710,5,FALSE),0)-_xlfn.IFNA(+VLOOKUP($A52, [34]Hoja1!$A$5:$E$171,5,FALSE),0)</f>
        <v>49971305.630000003</v>
      </c>
      <c r="AK52" s="201">
        <f>-_xlfn.IFNA(+VLOOKUP($C52,[40]Hoja1!$A$6:$E$180,5,FALSE),0)</f>
        <v>49772313.130000003</v>
      </c>
      <c r="AL52" s="201">
        <f>-_xlfn.IFNA(+VLOOKUP($C52,[41]Hoja1!$A$6:$E$182,5,FALSE),0)</f>
        <v>49992748.770000003</v>
      </c>
      <c r="AM52" s="201">
        <f>-_xlfn.IFNA(+VLOOKUP($C52,[42]Hoja1!$A$6:$E$183,5,FALSE),0)</f>
        <v>51288116.93</v>
      </c>
      <c r="AN52" s="201">
        <f>-_xlfn.IFNA(+VLOOKUP($C52,[43]Hoja1!$A$6:$E$183,5,FALSE),0)</f>
        <v>51121244.32</v>
      </c>
      <c r="AO52" s="201">
        <f>-_xlfn.IFNA(+VLOOKUP($C52,[44]Hoja1!$A$5:$E$186,5,FALSE),0)</f>
        <v>51668832.109999999</v>
      </c>
      <c r="AP52" s="201">
        <f>-_xlfn.IFNA(+VLOOKUP($A52,[45]Hoja1!$A$5:$E$172,5,FALSE),0)</f>
        <v>52779691.670000002</v>
      </c>
      <c r="AQ52" s="201">
        <f t="shared" si="39"/>
        <v>52779691.670000002</v>
      </c>
      <c r="AR52" s="201">
        <f>+-VLOOKUP(C52,[46]Hoja1!$A$6:$C$179,3,FALSE)</f>
        <v>53315135.200000003</v>
      </c>
      <c r="AS52" s="201">
        <f>-+VLOOKUP(C52,[47]Hoja1!$A$6:$E$182,5,FALSE)</f>
        <v>53757210.469999999</v>
      </c>
      <c r="AT52" s="201">
        <f>-+VLOOKUP(A52,[48]Hoja1!$A$6:$E$170,5,FALSE)</f>
        <v>55135291.850000001</v>
      </c>
      <c r="AU52" s="201">
        <f>-+VLOOKUP(C52,[49]Hoja1!$A$6:$E$194,5,FALSE)</f>
        <v>55650321.659999996</v>
      </c>
      <c r="AV52" s="201">
        <f>+-VLOOKUP(A52,[50]Hoja1!A$6:E$171,5,FALSE)</f>
        <v>55981343.359999999</v>
      </c>
      <c r="AW52" s="201">
        <f>-+VLOOKUP(C52,[51]Hoja1!$A$5:$E$188,5,FALSE)</f>
        <v>57060795.619999997</v>
      </c>
      <c r="AX52" s="215"/>
    </row>
    <row r="53" spans="1:55" x14ac:dyDescent="0.25">
      <c r="A53" s="194" t="s">
        <v>76</v>
      </c>
      <c r="B53" s="201">
        <v>220300</v>
      </c>
      <c r="C53" s="194">
        <f t="shared" si="41"/>
        <v>2203000000</v>
      </c>
      <c r="D53" s="194" t="s">
        <v>77</v>
      </c>
      <c r="E53" s="201">
        <f>+'EEFF base'!CB48</f>
        <v>56982.68</v>
      </c>
      <c r="F53" s="201">
        <f>+'EEFF base'!CC48+E53</f>
        <v>56982.68</v>
      </c>
      <c r="G53" s="201">
        <f>+'EEFF base'!CD48+F53</f>
        <v>56982.68</v>
      </c>
      <c r="H53" s="201">
        <f>+'EEFF base'!CE48+G53</f>
        <v>56982.68</v>
      </c>
      <c r="I53" s="201">
        <f>+'EEFF base'!CF48+H53</f>
        <v>56982.68</v>
      </c>
      <c r="J53" s="201">
        <f>+'EEFF base'!CG48+I53</f>
        <v>56982.68</v>
      </c>
      <c r="K53" s="201">
        <f>+'EEFF base'!CH48+J53</f>
        <v>56982.68</v>
      </c>
      <c r="L53" s="201">
        <f>+'EEFF base'!CI48+K53</f>
        <v>56982.68</v>
      </c>
      <c r="M53" s="201">
        <f>+'EEFF base'!CJ48+L53</f>
        <v>56982.68</v>
      </c>
      <c r="N53" s="201">
        <f>+'EEFF base'!CK48+M53</f>
        <v>56982.68</v>
      </c>
      <c r="O53" s="201">
        <f>+'EEFF base'!CL48+N53</f>
        <v>56982.68</v>
      </c>
      <c r="P53" s="201">
        <f>+'EEFF base'!CM48+O53</f>
        <v>56982.68</v>
      </c>
      <c r="Q53" s="201">
        <f t="shared" si="35"/>
        <v>56982.68</v>
      </c>
      <c r="R53" s="201">
        <f>+'EEFF base'!CO48</f>
        <v>56982.68</v>
      </c>
      <c r="S53" s="201">
        <f>+'EEFF base'!CP48+R53</f>
        <v>56982.68</v>
      </c>
      <c r="T53" s="201">
        <f>+'EEFF base'!CQ48+S53</f>
        <v>56982.68</v>
      </c>
      <c r="U53" s="201">
        <f>+'EEFF base'!CR48+T53</f>
        <v>56982.68</v>
      </c>
      <c r="V53" s="201">
        <f>+'EEFF base'!CS48+U53</f>
        <v>56982.68</v>
      </c>
      <c r="W53" s="201">
        <f>+'EEFF base'!CT48+V53</f>
        <v>56982.68</v>
      </c>
      <c r="X53" s="201">
        <f>+'EEFF base'!CU48+W53</f>
        <v>56982.68</v>
      </c>
      <c r="Y53" s="201">
        <f>+'EEFF base'!CV48+X53</f>
        <v>56982.68</v>
      </c>
      <c r="Z53" s="201">
        <f>+'EEFF base'!CW48+Y53</f>
        <v>56982.68</v>
      </c>
      <c r="AA53" s="201">
        <f>+'EEFF base'!CX48+Z53</f>
        <v>56982.68</v>
      </c>
      <c r="AB53" s="201">
        <f>+'EEFF base'!CY48+AA53</f>
        <v>56982.68</v>
      </c>
      <c r="AC53" s="201">
        <f>+'EEFF base'!CZ48+AB53</f>
        <v>56982.68</v>
      </c>
      <c r="AD53" s="201">
        <f t="shared" si="37"/>
        <v>56982.68</v>
      </c>
      <c r="AE53" s="201">
        <f>-_xlfn.IFNA(+VLOOKUP($C53, [34]Hoja1!$A$5:$E$1710,5,FALSE),0)-_xlfn.IFNA(+VLOOKUP($A53, [34]Hoja1!$A$5:$E$171,5,FALSE),0)</f>
        <v>714544.21</v>
      </c>
      <c r="AF53" s="201">
        <f>-_xlfn.IFNA(+VLOOKUP($C53, [35]Hoja1!$A$5:$E$1710,5,FALSE),0)-_xlfn.IFNA(+VLOOKUP($A53, [34]Hoja1!$A$5:$E$171,5,FALSE),0)</f>
        <v>726798.27</v>
      </c>
      <c r="AG53" s="201">
        <f>-_xlfn.IFNA(+VLOOKUP($C53, [36]Hoja1!$A$5:$E$1710,5,FALSE),0)-_xlfn.IFNA(+VLOOKUP($A53, [34]Hoja1!$A$5:$E$171,5,FALSE),0)</f>
        <v>705348.99</v>
      </c>
      <c r="AH53" s="201">
        <f>-_xlfn.IFNA(+VLOOKUP($C53, [37]Hoja1!$A$5:$E$1710,5,FALSE),0)-_xlfn.IFNA(+VLOOKUP($A53, [34]Hoja1!$A$5:$E$171,5,FALSE),0)</f>
        <v>726810.16</v>
      </c>
      <c r="AI53" s="201">
        <f>-_xlfn.IFNA(+VLOOKUP($C53, [38]Hoja1!$A$5:$E$1710,5,FALSE),0)-_xlfn.IFNA(+VLOOKUP($A53, [34]Hoja1!$A$5:$E$171,5,FALSE),0)</f>
        <v>732572.32</v>
      </c>
      <c r="AJ53" s="201">
        <f>-_xlfn.IFNA(+VLOOKUP($C53, [39]Hoja1!$A$5:$E$1710,5,FALSE),0)-_xlfn.IFNA(+VLOOKUP($A53, [34]Hoja1!$A$5:$E$171,5,FALSE),0)</f>
        <v>732581.56</v>
      </c>
      <c r="AK53" s="201">
        <f>-_xlfn.IFNA(+VLOOKUP($C53,[40]Hoja1!$A$6:$E$180,5,FALSE),0)</f>
        <v>732684.6</v>
      </c>
      <c r="AL53" s="201">
        <f>-_xlfn.IFNA(+VLOOKUP($C53,[41]Hoja1!$A$6:$E$182,5,FALSE),0)</f>
        <v>713682.74</v>
      </c>
      <c r="AM53" s="201">
        <f>-_xlfn.IFNA(+VLOOKUP($C53,[42]Hoja1!$A$6:$E$183,5,FALSE),0)</f>
        <v>732723.53</v>
      </c>
      <c r="AN53" s="201">
        <f>-_xlfn.IFNA(+VLOOKUP($C53,[43]Hoja1!$A$6:$E$183,5,FALSE),0)</f>
        <v>723430</v>
      </c>
      <c r="AO53" s="201">
        <f>-_xlfn.IFNA(+VLOOKUP($C53,[44]Hoja1!$A$5:$E$186,5,FALSE),0)</f>
        <v>683844.76</v>
      </c>
      <c r="AP53" s="201">
        <f>-_xlfn.IFNA(+VLOOKUP($A53,[45]Hoja1!$A$5:$E$172,5,FALSE),0)</f>
        <v>733017.78</v>
      </c>
      <c r="AQ53" s="201">
        <f t="shared" si="39"/>
        <v>733017.78</v>
      </c>
      <c r="AR53" s="201">
        <f>+-VLOOKUP(C53,[46]Hoja1!$A$6:$C$179,3,FALSE)</f>
        <v>733039.76</v>
      </c>
      <c r="AS53" s="201">
        <f>-+VLOOKUP(C53,[47]Hoja1!$A$6:$E$182,5,FALSE)</f>
        <v>647855.93999999994</v>
      </c>
      <c r="AT53" s="201">
        <f>-+VLOOKUP(A53,[48]Hoja1!$A$6:$E$170,5,FALSE)</f>
        <v>727353.84</v>
      </c>
      <c r="AU53" s="201">
        <f>-+VLOOKUP(C53,[49]Hoja1!$A$6:$E$194,5,FALSE)</f>
        <v>727817.83</v>
      </c>
      <c r="AV53" s="201">
        <f>+-VLOOKUP(A53,[50]Hoja1!A$6:E$171,5,FALSE)</f>
        <v>749292.25</v>
      </c>
      <c r="AW53" s="201">
        <f>-+VLOOKUP(C53,[51]Hoja1!$A$5:$E$188,5,FALSE)</f>
        <v>749414.52</v>
      </c>
      <c r="AX53" s="215"/>
    </row>
    <row r="54" spans="1:55" x14ac:dyDescent="0.25">
      <c r="A54" s="194" t="s">
        <v>78</v>
      </c>
      <c r="B54" s="201">
        <v>220400</v>
      </c>
      <c r="C54" s="194">
        <f t="shared" si="41"/>
        <v>2204000000</v>
      </c>
      <c r="D54" s="194" t="s">
        <v>79</v>
      </c>
      <c r="E54" s="201">
        <f>+'EEFF base'!CB46</f>
        <v>1315634.7200000007</v>
      </c>
      <c r="F54" s="201">
        <f>+'EEFF base'!CC46+E54</f>
        <v>1895240.2700000016</v>
      </c>
      <c r="G54" s="201">
        <f>+'EEFF base'!CD46+F54</f>
        <v>2474844.5000000019</v>
      </c>
      <c r="H54" s="201">
        <f>+'EEFF base'!CE46+G54</f>
        <v>3054437.0400000024</v>
      </c>
      <c r="I54" s="201">
        <f>+'EEFF base'!CF46+H54</f>
        <v>3634079.6900000027</v>
      </c>
      <c r="J54" s="201">
        <f>+'EEFF base'!CG46+I54</f>
        <v>4213669.6900000032</v>
      </c>
      <c r="K54" s="201">
        <f>+'EEFF base'!CH46+J54</f>
        <v>4793259.820000004</v>
      </c>
      <c r="L54" s="201">
        <f>+'EEFF base'!CI46+K54</f>
        <v>5372850.1800000044</v>
      </c>
      <c r="M54" s="201">
        <f>+'EEFF base'!CJ46+L54</f>
        <v>5898064.2800000049</v>
      </c>
      <c r="N54" s="201">
        <f>+'EEFF base'!CK46+M54</f>
        <v>6532043.5500000045</v>
      </c>
      <c r="O54" s="201">
        <f>+'EEFF base'!CL46+N54</f>
        <v>7111649.2500000047</v>
      </c>
      <c r="P54" s="201">
        <f>+'EEFF base'!CM46+O54</f>
        <v>736186.3600000022</v>
      </c>
      <c r="Q54" s="201">
        <f t="shared" si="35"/>
        <v>736186.3600000022</v>
      </c>
      <c r="R54" s="201">
        <f>+'EEFF base'!CO46</f>
        <v>1316022.2200000002</v>
      </c>
      <c r="S54" s="201">
        <f>+'EEFF base'!CP46+R54</f>
        <v>1895616.5800000003</v>
      </c>
      <c r="T54" s="201">
        <f>+'EEFF base'!CQ46+S54</f>
        <v>2431126.2500000005</v>
      </c>
      <c r="U54" s="201">
        <f>+'EEFF base'!CR46+T54</f>
        <v>3054801.9600000004</v>
      </c>
      <c r="V54" s="201">
        <f>+'EEFF base'!CS46+U54</f>
        <v>3565133.0400000005</v>
      </c>
      <c r="W54" s="201">
        <f>+'EEFF base'!CT46+V54</f>
        <v>4214005.4400000004</v>
      </c>
      <c r="X54" s="201">
        <f>+'EEFF base'!CU46+W54</f>
        <v>4793616.1400000006</v>
      </c>
      <c r="Y54" s="201">
        <f>+'EEFF base'!CV46+X54</f>
        <v>5373205.4900000002</v>
      </c>
      <c r="Z54" s="201">
        <f>+'EEFF base'!CW46+Y54</f>
        <v>736512.99999999907</v>
      </c>
      <c r="AA54" s="201">
        <f>+'EEFF base'!CX46+Z54</f>
        <v>723895.89999999909</v>
      </c>
      <c r="AB54" s="201">
        <f>+'EEFF base'!CY46+AA54</f>
        <v>714865.13999999908</v>
      </c>
      <c r="AC54" s="201">
        <f>+'EEFF base'!CZ46+AB54</f>
        <v>726787.69999999914</v>
      </c>
      <c r="AD54" s="201">
        <f t="shared" si="37"/>
        <v>726787.69999999914</v>
      </c>
      <c r="AE54" s="201">
        <f>-_xlfn.IFNA(+VLOOKUP($C54, [34]Hoja1!$A$5:$E$1710,5,FALSE),0)-_xlfn.IFNA(+VLOOKUP($A54, [34]Hoja1!$A$5:$E$171,5,FALSE),0)</f>
        <v>251961550.06999999</v>
      </c>
      <c r="AF54" s="201">
        <f>-_xlfn.IFNA(+VLOOKUP($C54, [35]Hoja1!$A$5:$E$1710,5,FALSE),0)-_xlfn.IFNA(+VLOOKUP($A54, [34]Hoja1!$A$5:$E$171,5,FALSE),0)</f>
        <v>250454684.56999999</v>
      </c>
      <c r="AG54" s="201">
        <f>-_xlfn.IFNA(+VLOOKUP($C54, [36]Hoja1!$A$5:$E$1710,5,FALSE),0)-_xlfn.IFNA(+VLOOKUP($A54, [34]Hoja1!$A$5:$E$171,5,FALSE),0)</f>
        <v>248647402.63999999</v>
      </c>
      <c r="AH54" s="201">
        <f>-_xlfn.IFNA(+VLOOKUP($C54, [37]Hoja1!$A$5:$E$1710,5,FALSE),0)-_xlfn.IFNA(+VLOOKUP($A54, [34]Hoja1!$A$5:$E$171,5,FALSE),0)</f>
        <v>249660604.88999999</v>
      </c>
      <c r="AI54" s="201">
        <f>-_xlfn.IFNA(+VLOOKUP($C54, [38]Hoja1!$A$5:$E$1710,5,FALSE),0)-_xlfn.IFNA(+VLOOKUP($A54, [34]Hoja1!$A$5:$E$171,5,FALSE),0)</f>
        <v>250378385.30000001</v>
      </c>
      <c r="AJ54" s="201">
        <f>-_xlfn.IFNA(+VLOOKUP($C54, [39]Hoja1!$A$5:$E$1710,5,FALSE),0)-_xlfn.IFNA(+VLOOKUP($A54, [34]Hoja1!$A$5:$E$171,5,FALSE),0)</f>
        <v>253174863.97</v>
      </c>
      <c r="AK54" s="201">
        <f>-_xlfn.IFNA(+VLOOKUP($C54,[40]Hoja1!$A$6:$E$180,5,FALSE),0)</f>
        <v>253503837.22999999</v>
      </c>
      <c r="AL54" s="201">
        <f>-_xlfn.IFNA(+VLOOKUP($C54,[41]Hoja1!$A$6:$E$182,5,FALSE),0)</f>
        <v>258498278.65000001</v>
      </c>
      <c r="AM54" s="201">
        <f>-_xlfn.IFNA(+VLOOKUP($C54,[42]Hoja1!$A$6:$E$183,5,FALSE),0)</f>
        <v>260366389.16999999</v>
      </c>
      <c r="AN54" s="201">
        <f>-_xlfn.IFNA(+VLOOKUP($C54,[43]Hoja1!$A$6:$E$183,5,FALSE),0)</f>
        <v>266525845.41</v>
      </c>
      <c r="AO54" s="201">
        <f>-_xlfn.IFNA(+VLOOKUP($C54,[44]Hoja1!$A$5:$E$186,5,FALSE),0)</f>
        <v>263329343.72999999</v>
      </c>
      <c r="AP54" s="201">
        <f>-_xlfn.IFNA(+VLOOKUP($A54,[45]Hoja1!$A$5:$E$172,5,FALSE),0)</f>
        <v>267617053.50999999</v>
      </c>
      <c r="AQ54" s="201">
        <f t="shared" si="39"/>
        <v>267617053.50999999</v>
      </c>
      <c r="AR54" s="201">
        <f>+-VLOOKUP(C54,[46]Hoja1!$A$6:$C$179,3,FALSE)</f>
        <v>266465764.37</v>
      </c>
      <c r="AS54" s="201">
        <f>-+VLOOKUP(C54,[47]Hoja1!$A$6:$E$182,5,FALSE)</f>
        <v>268479458.16000003</v>
      </c>
      <c r="AT54" s="201">
        <f>-+VLOOKUP(A54,[48]Hoja1!$A$6:$E$170,5,FALSE)</f>
        <v>268990617.76999998</v>
      </c>
      <c r="AU54" s="201">
        <f>-+VLOOKUP(C54,[49]Hoja1!$A$6:$E$194,5,FALSE)</f>
        <v>272994008.19999999</v>
      </c>
      <c r="AV54" s="201">
        <f>+-VLOOKUP(A54,[50]Hoja1!A$6:E$171,5,FALSE)</f>
        <v>266075110.81</v>
      </c>
      <c r="AW54" s="201">
        <f>-+VLOOKUP(C54,[51]Hoja1!$A$5:$E$188,5,FALSE)</f>
        <v>269097807.32999998</v>
      </c>
      <c r="AX54" s="215"/>
    </row>
    <row r="55" spans="1:55" x14ac:dyDescent="0.25">
      <c r="A55" s="199" t="s">
        <v>80</v>
      </c>
      <c r="B55" s="200">
        <v>240000</v>
      </c>
      <c r="C55" s="194">
        <f t="shared" si="41"/>
        <v>2400000000</v>
      </c>
      <c r="D55" s="199" t="s">
        <v>81</v>
      </c>
      <c r="E55" s="200"/>
      <c r="F55" s="201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>
        <f t="shared" si="35"/>
        <v>0</v>
      </c>
      <c r="R55" s="200"/>
      <c r="S55" s="201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>
        <f t="shared" si="37"/>
        <v>0</v>
      </c>
      <c r="AE55" s="200">
        <f t="shared" ref="AE55:AP55" si="53">+AE56+AE58</f>
        <v>471385063.55000001</v>
      </c>
      <c r="AF55" s="200">
        <f t="shared" si="53"/>
        <v>462556914.53000003</v>
      </c>
      <c r="AG55" s="200">
        <f t="shared" si="53"/>
        <v>454990244.14999998</v>
      </c>
      <c r="AH55" s="200">
        <f t="shared" si="53"/>
        <v>437345263.13999999</v>
      </c>
      <c r="AI55" s="200">
        <f t="shared" si="53"/>
        <v>433962613.16999996</v>
      </c>
      <c r="AJ55" s="200">
        <f t="shared" si="53"/>
        <v>436792035.16999996</v>
      </c>
      <c r="AK55" s="200">
        <f t="shared" si="53"/>
        <v>441466750.44999999</v>
      </c>
      <c r="AL55" s="200">
        <f t="shared" si="53"/>
        <v>454319369.25999999</v>
      </c>
      <c r="AM55" s="200">
        <f t="shared" si="53"/>
        <v>455802243.07999998</v>
      </c>
      <c r="AN55" s="200">
        <f t="shared" si="53"/>
        <v>472313005.07999998</v>
      </c>
      <c r="AO55" s="200">
        <f t="shared" si="53"/>
        <v>475779189.69999999</v>
      </c>
      <c r="AP55" s="200">
        <f t="shared" si="53"/>
        <v>477977183.56999999</v>
      </c>
      <c r="AQ55" s="200">
        <f t="shared" si="39"/>
        <v>477977183.56999999</v>
      </c>
      <c r="AR55" s="200">
        <f t="shared" ref="AR55:AW55" si="54">+AR56+AR58</f>
        <v>481235234.80000001</v>
      </c>
      <c r="AS55" s="200">
        <f t="shared" si="54"/>
        <v>496197256.92000002</v>
      </c>
      <c r="AT55" s="200">
        <f t="shared" si="54"/>
        <v>509437907.80000001</v>
      </c>
      <c r="AU55" s="200">
        <f t="shared" si="54"/>
        <v>534366703.04000002</v>
      </c>
      <c r="AV55" s="200">
        <f t="shared" si="54"/>
        <v>542945123.03999996</v>
      </c>
      <c r="AW55" s="200">
        <f t="shared" si="54"/>
        <v>564912006.76999998</v>
      </c>
      <c r="AX55" s="215"/>
    </row>
    <row r="56" spans="1:55" x14ac:dyDescent="0.25">
      <c r="A56" s="194" t="s">
        <v>82</v>
      </c>
      <c r="B56" s="201">
        <v>240100</v>
      </c>
      <c r="C56" s="194">
        <f t="shared" si="41"/>
        <v>2401000000</v>
      </c>
      <c r="D56" s="194" t="s">
        <v>83</v>
      </c>
      <c r="E56" s="201">
        <f>E31-E59-E58</f>
        <v>539237681.28000033</v>
      </c>
      <c r="F56" s="201">
        <f t="shared" ref="F56:P56" si="55">F31-F59-F58</f>
        <v>537037138.61000085</v>
      </c>
      <c r="G56" s="201">
        <f t="shared" si="55"/>
        <v>531659180.51000071</v>
      </c>
      <c r="H56" s="201">
        <f t="shared" si="55"/>
        <v>524531035.12000078</v>
      </c>
      <c r="I56" s="201">
        <f t="shared" si="55"/>
        <v>528645709.9300006</v>
      </c>
      <c r="J56" s="201">
        <f t="shared" si="55"/>
        <v>538607848.43000066</v>
      </c>
      <c r="K56" s="201">
        <f t="shared" si="55"/>
        <v>537503131.80000031</v>
      </c>
      <c r="L56" s="201">
        <f t="shared" si="55"/>
        <v>542202344.63000047</v>
      </c>
      <c r="M56" s="201">
        <f t="shared" si="55"/>
        <v>546497879.95000029</v>
      </c>
      <c r="N56" s="201">
        <f t="shared" si="55"/>
        <v>563097437.40999997</v>
      </c>
      <c r="O56" s="201">
        <f t="shared" si="55"/>
        <v>550239350.71000028</v>
      </c>
      <c r="P56" s="201">
        <f t="shared" si="55"/>
        <v>537625262.50000024</v>
      </c>
      <c r="Q56" s="201">
        <f t="shared" si="35"/>
        <v>537625262.50000024</v>
      </c>
      <c r="R56" s="201">
        <f>R31-R59-R58</f>
        <v>548966869.02999973</v>
      </c>
      <c r="S56" s="201">
        <f t="shared" ref="S56:AC56" si="56">S31-S59-S58</f>
        <v>547718472.31000006</v>
      </c>
      <c r="T56" s="201">
        <f t="shared" si="56"/>
        <v>529052765.36000025</v>
      </c>
      <c r="U56" s="201">
        <f t="shared" si="56"/>
        <v>523107202.91000056</v>
      </c>
      <c r="V56" s="201">
        <f t="shared" si="56"/>
        <v>529106745.63000029</v>
      </c>
      <c r="W56" s="201">
        <f t="shared" si="56"/>
        <v>531622567.95000017</v>
      </c>
      <c r="X56" s="201">
        <f t="shared" si="56"/>
        <v>531832921.12000054</v>
      </c>
      <c r="Y56" s="201">
        <f t="shared" si="56"/>
        <v>537036441.90000045</v>
      </c>
      <c r="Z56" s="201">
        <f t="shared" si="56"/>
        <v>536585263.6400004</v>
      </c>
      <c r="AA56" s="201">
        <f t="shared" si="56"/>
        <v>543398193.43000031</v>
      </c>
      <c r="AB56" s="201">
        <f t="shared" si="56"/>
        <v>559163195.06000042</v>
      </c>
      <c r="AC56" s="201">
        <f t="shared" si="56"/>
        <v>557170453.07000053</v>
      </c>
      <c r="AD56" s="201">
        <f t="shared" si="37"/>
        <v>557170453.07000053</v>
      </c>
      <c r="AE56" s="201">
        <f>-_xlfn.IFNA(+VLOOKUP($C56, [34]Hoja1!$A$5:$E$1710,5,FALSE),0)-_xlfn.IFNA(+VLOOKUP($A56, [34]Hoja1!$A$5:$E$171,5,FALSE),0)</f>
        <v>462216922.91000003</v>
      </c>
      <c r="AF56" s="201">
        <f>-_xlfn.IFNA(+VLOOKUP($C56, [35]Hoja1!$A$5:$E$1710,5,FALSE),0)-_xlfn.IFNA(+VLOOKUP($A56, [34]Hoja1!$A$5:$E$171,5,FALSE),0)</f>
        <v>463483184.29000002</v>
      </c>
      <c r="AG56" s="201">
        <f>-_xlfn.IFNA(+VLOOKUP($C56, [36]Hoja1!$A$5:$E$1710,5,FALSE),0)-_xlfn.IFNA(+VLOOKUP($A56, [34]Hoja1!$A$5:$E$171,5,FALSE),0)</f>
        <v>464818042.56</v>
      </c>
      <c r="AH56" s="201">
        <f>-_xlfn.IFNA(+VLOOKUP($C56, [37]Hoja1!$A$5:$E$1710,5,FALSE),0)-_xlfn.IFNA(+VLOOKUP($A56, [34]Hoja1!$A$5:$E$171,5,FALSE),0)</f>
        <v>466232621.52999997</v>
      </c>
      <c r="AI56" s="201">
        <f>-_xlfn.IFNA(+VLOOKUP($C56, [38]Hoja1!$A$5:$E$1710,5,FALSE),0)-_xlfn.IFNA(+VLOOKUP($A56, [34]Hoja1!$A$5:$E$171,5,FALSE),0)</f>
        <v>467726921.19999999</v>
      </c>
      <c r="AJ56" s="201">
        <f>-_xlfn.IFNA(+VLOOKUP($C56, [39]Hoja1!$A$5:$E$1710,5,FALSE),0)-_xlfn.IFNA(+VLOOKUP($A56, [34]Hoja1!$A$5:$E$171,5,FALSE),0)</f>
        <v>469562351.31999999</v>
      </c>
      <c r="AK56" s="201">
        <f>-_xlfn.IFNA(+VLOOKUP($C56,[40]Hoja1!$A$6:$E$180,5,FALSE),0)</f>
        <v>471798238.92000002</v>
      </c>
      <c r="AL56" s="201">
        <f>-_xlfn.IFNA(+VLOOKUP($C56,[41]Hoja1!$A$6:$E$182,5,FALSE),0)</f>
        <v>474579193.63999999</v>
      </c>
      <c r="AM56" s="201">
        <f>-_xlfn.IFNA(+VLOOKUP($C56,[42]Hoja1!$A$6:$E$183,5,FALSE),0)</f>
        <v>478014599.70999998</v>
      </c>
      <c r="AN56" s="201">
        <f>-_xlfn.IFNA(+VLOOKUP($C56,[43]Hoja1!$A$6:$E$183,5,FALSE),0)</f>
        <v>481752202.86000001</v>
      </c>
      <c r="AO56" s="201">
        <f>-_xlfn.IFNA(+VLOOKUP($C56,[44]Hoja1!$A$5:$E$186,5,FALSE),0)</f>
        <v>486070098.56</v>
      </c>
      <c r="AP56" s="201">
        <f>-_xlfn.IFNA(+VLOOKUP($A56,[45]Hoja1!$A$5:$E$172,5,FALSE),0)</f>
        <v>490979410.63</v>
      </c>
      <c r="AQ56" s="201">
        <f t="shared" si="39"/>
        <v>490979410.63</v>
      </c>
      <c r="AR56" s="201">
        <f>+-VLOOKUP(C56,[46]Hoja1!$A$6:$C$179,3,FALSE)</f>
        <v>483279899.18000001</v>
      </c>
      <c r="AS56" s="201">
        <f>-+VLOOKUP(C56,[47]Hoja1!$A$6:$E$182,5,FALSE)</f>
        <v>488896662.63</v>
      </c>
      <c r="AT56" s="201">
        <f>-+VLOOKUP(A56,[48]Hoja1!$A$6:$E$170,5,FALSE)</f>
        <v>495435715.94999999</v>
      </c>
      <c r="AU56" s="201">
        <f>-+VLOOKUP(C56,[49]Hoja1!$A$6:$E$194,5,FALSE)</f>
        <v>503765202.87</v>
      </c>
      <c r="AV56" s="201">
        <f>+-VLOOKUP(A56,[50]Hoja1!A$6:E$171,5,FALSE)</f>
        <v>513074735.58999997</v>
      </c>
      <c r="AW56" s="201">
        <f>-+VLOOKUP(C56,[51]Hoja1!$A$5:$E$188,5,FALSE)</f>
        <v>522488950.89999998</v>
      </c>
      <c r="AX56" s="215"/>
    </row>
    <row r="57" spans="1:55" x14ac:dyDescent="0.25">
      <c r="A57" s="194" t="s">
        <v>84</v>
      </c>
      <c r="B57" s="201">
        <v>240101</v>
      </c>
      <c r="C57" s="194">
        <f t="shared" si="41"/>
        <v>2401010000</v>
      </c>
      <c r="D57" s="194" t="s">
        <v>85</v>
      </c>
      <c r="E57" s="201"/>
      <c r="F57" s="201">
        <f>+'EEFF base'!CC51+E57</f>
        <v>0</v>
      </c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>
        <f t="shared" si="35"/>
        <v>0</v>
      </c>
      <c r="R57" s="201"/>
      <c r="S57" s="201">
        <f>+'EEFF base'!CP51+R57</f>
        <v>0</v>
      </c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>
        <f t="shared" si="37"/>
        <v>0</v>
      </c>
      <c r="AE57" s="201">
        <f>-_xlfn.IFNA(+VLOOKUP($C57, [34]Hoja1!$A$5:$E$1710,5,FALSE),0)-_xlfn.IFNA(+VLOOKUP($A57, [34]Hoja1!$A$5:$E$171,5,FALSE),0)</f>
        <v>462216922.91000003</v>
      </c>
      <c r="AF57" s="201">
        <f>-_xlfn.IFNA(+VLOOKUP($C57, [35]Hoja1!$A$5:$E$1710,5,FALSE),0)-_xlfn.IFNA(+VLOOKUP($A57, [34]Hoja1!$A$5:$E$171,5,FALSE),0)</f>
        <v>463483184.29000002</v>
      </c>
      <c r="AG57" s="201">
        <f>-_xlfn.IFNA(+VLOOKUP($C57, [36]Hoja1!$A$5:$E$1710,5,FALSE),0)-_xlfn.IFNA(+VLOOKUP($A57, [34]Hoja1!$A$5:$E$171,5,FALSE),0)</f>
        <v>464818042.56</v>
      </c>
      <c r="AH57" s="201">
        <f>-_xlfn.IFNA(+VLOOKUP($C57, [37]Hoja1!$A$5:$E$1710,5,FALSE),0)-_xlfn.IFNA(+VLOOKUP($A57, [34]Hoja1!$A$5:$E$171,5,FALSE),0)</f>
        <v>466232621.52999997</v>
      </c>
      <c r="AI57" s="201">
        <f>-_xlfn.IFNA(+VLOOKUP($C57, [38]Hoja1!$A$5:$E$1710,5,FALSE),0)-_xlfn.IFNA(+VLOOKUP($A57, [34]Hoja1!$A$5:$E$171,5,FALSE),0)</f>
        <v>467726921.19999999</v>
      </c>
      <c r="AJ57" s="201">
        <f>-_xlfn.IFNA(+VLOOKUP($C57, [39]Hoja1!$A$5:$E$1710,5,FALSE),0)-_xlfn.IFNA(+VLOOKUP($A57, [34]Hoja1!$A$5:$E$171,5,FALSE),0)</f>
        <v>469562351.31999999</v>
      </c>
      <c r="AK57" s="201">
        <f>-_xlfn.IFNA(+VLOOKUP($C57,[40]Hoja1!$A$6:$E$180,5,FALSE),0)</f>
        <v>471798238.92000002</v>
      </c>
      <c r="AL57" s="201">
        <f>-_xlfn.IFNA(+VLOOKUP($C57,[41]Hoja1!$A$6:$E$182,5,FALSE),0)</f>
        <v>474579193.63999999</v>
      </c>
      <c r="AM57" s="201">
        <f>-_xlfn.IFNA(+VLOOKUP($C57,[42]Hoja1!$A$6:$E$183,5,FALSE),0)</f>
        <v>478014599.70999998</v>
      </c>
      <c r="AN57" s="201">
        <f>-_xlfn.IFNA(+VLOOKUP($C57,[43]Hoja1!$A$6:$E$183,5,FALSE),0)</f>
        <v>481752202.86000001</v>
      </c>
      <c r="AO57" s="201">
        <f>-_xlfn.IFNA(+VLOOKUP($C57,[44]Hoja1!$A$5:$E$186,5,FALSE),0)</f>
        <v>486070098.56</v>
      </c>
      <c r="AP57" s="201">
        <f>-_xlfn.IFNA(+VLOOKUP($A57,[45]Hoja1!$A$5:$E$172,5,FALSE),0)</f>
        <v>490979410.63</v>
      </c>
      <c r="AQ57" s="201">
        <f t="shared" si="39"/>
        <v>490979410.63</v>
      </c>
      <c r="AR57" s="201">
        <f>+-VLOOKUP(C57,[46]Hoja1!$A$6:$C$179,3,FALSE)</f>
        <v>483279899.18000001</v>
      </c>
      <c r="AS57" s="201">
        <f>-+VLOOKUP(C57,[47]Hoja1!$A$6:$E$182,5,FALSE)</f>
        <v>488896662.63</v>
      </c>
      <c r="AT57" s="201">
        <f>-+VLOOKUP(A57,[48]Hoja1!$A$6:$E$170,5,FALSE)</f>
        <v>495435715.94999999</v>
      </c>
      <c r="AU57" s="201">
        <f>-+VLOOKUP(C57,[49]Hoja1!$A$6:$E$194,5,FALSE)</f>
        <v>503765202.87</v>
      </c>
      <c r="AV57" s="201">
        <f>+-VLOOKUP(A57,[50]Hoja1!A$6:E$171,5,FALSE)</f>
        <v>513074735.58999997</v>
      </c>
      <c r="AW57" s="201">
        <f>-+VLOOKUP(C57,[51]Hoja1!$A$5:$E$188,5,FALSE)</f>
        <v>522488950.89999998</v>
      </c>
      <c r="AX57" s="215"/>
    </row>
    <row r="58" spans="1:55" x14ac:dyDescent="0.25">
      <c r="B58" s="196"/>
      <c r="D58" s="194" t="s">
        <v>87</v>
      </c>
      <c r="E58" s="196">
        <f>+E23</f>
        <v>1664294.7199999983</v>
      </c>
      <c r="F58" s="201">
        <f>F23+E58</f>
        <v>-7075128.8999999631</v>
      </c>
      <c r="G58" s="196">
        <f t="shared" ref="G58:P58" si="57">+G23</f>
        <v>-4546604.1599999983</v>
      </c>
      <c r="H58" s="196">
        <f t="shared" si="57"/>
        <v>2570026.5499999654</v>
      </c>
      <c r="I58" s="196">
        <f t="shared" si="57"/>
        <v>6763396.2199999588</v>
      </c>
      <c r="J58" s="196">
        <f t="shared" si="57"/>
        <v>-1058230.929999989</v>
      </c>
      <c r="K58" s="196">
        <f t="shared" si="57"/>
        <v>2004650.1199999559</v>
      </c>
      <c r="L58" s="196">
        <f t="shared" si="57"/>
        <v>2156514.989999983</v>
      </c>
      <c r="M58" s="196">
        <f t="shared" si="57"/>
        <v>10457518.679999979</v>
      </c>
      <c r="N58" s="196">
        <f t="shared" si="57"/>
        <v>-11516549.31999997</v>
      </c>
      <c r="O58" s="196">
        <f t="shared" si="57"/>
        <v>-11708044.890000029</v>
      </c>
      <c r="P58" s="196">
        <f t="shared" si="57"/>
        <v>8849878.5799999405</v>
      </c>
      <c r="Q58" s="196">
        <f t="shared" si="35"/>
        <v>8849878.5799999405</v>
      </c>
      <c r="R58" s="196">
        <f>+R23</f>
        <v>-6623056.6900000004</v>
      </c>
      <c r="S58" s="201">
        <f>S23+R58</f>
        <v>-16670478.460000001</v>
      </c>
      <c r="T58" s="196">
        <f t="shared" ref="T58:AC58" si="58">+T23</f>
        <v>-4397849.5799999982</v>
      </c>
      <c r="U58" s="196">
        <f t="shared" si="58"/>
        <v>273777.51999999583</v>
      </c>
      <c r="V58" s="196">
        <f t="shared" si="58"/>
        <v>2302691.9199999981</v>
      </c>
      <c r="W58" s="196">
        <f t="shared" si="58"/>
        <v>2171597.8600000031</v>
      </c>
      <c r="X58" s="196">
        <f t="shared" si="58"/>
        <v>6841314.9499999993</v>
      </c>
      <c r="Y58" s="196">
        <f t="shared" si="58"/>
        <v>-2122133.35</v>
      </c>
      <c r="Z58" s="196">
        <f t="shared" si="58"/>
        <v>4026142.8000000021</v>
      </c>
      <c r="AA58" s="196">
        <f t="shared" si="58"/>
        <v>17254588.629999999</v>
      </c>
      <c r="AB58" s="196">
        <f t="shared" si="58"/>
        <v>-8302607.209999999</v>
      </c>
      <c r="AC58" s="196">
        <f t="shared" si="58"/>
        <v>-427138.3300000045</v>
      </c>
      <c r="AD58" s="196">
        <f t="shared" si="37"/>
        <v>-427138.3300000045</v>
      </c>
      <c r="AE58" s="196">
        <f>+AE23</f>
        <v>9168140.639999995</v>
      </c>
      <c r="AF58" s="196">
        <f t="shared" ref="AF58:AO58" si="59">+AF23+AE58</f>
        <v>-926269.76000000536</v>
      </c>
      <c r="AG58" s="196">
        <f t="shared" si="59"/>
        <v>-9827798.4100000076</v>
      </c>
      <c r="AH58" s="196">
        <f t="shared" si="59"/>
        <v>-28887358.390000012</v>
      </c>
      <c r="AI58" s="196">
        <f t="shared" si="59"/>
        <v>-33764308.030000016</v>
      </c>
      <c r="AJ58" s="196">
        <f t="shared" si="59"/>
        <v>-32770316.150000013</v>
      </c>
      <c r="AK58" s="196">
        <f t="shared" si="59"/>
        <v>-30331488.470000014</v>
      </c>
      <c r="AL58" s="196">
        <f t="shared" si="59"/>
        <v>-20259824.380000014</v>
      </c>
      <c r="AM58" s="196">
        <f t="shared" si="59"/>
        <v>-22212356.630000014</v>
      </c>
      <c r="AN58" s="196">
        <f t="shared" si="59"/>
        <v>-9439197.7800000105</v>
      </c>
      <c r="AO58" s="196">
        <f t="shared" si="59"/>
        <v>-10290908.860000012</v>
      </c>
      <c r="AP58" s="196">
        <f>+AP23+AO58</f>
        <v>-13002227.060000015</v>
      </c>
      <c r="AQ58" s="196">
        <f t="shared" si="39"/>
        <v>-13002227.060000015</v>
      </c>
      <c r="AR58" s="196">
        <f>+AR23</f>
        <v>-2044664.3800000031</v>
      </c>
      <c r="AS58" s="196">
        <f>+AS23+AR58</f>
        <v>7300594.2899999991</v>
      </c>
      <c r="AT58" s="196">
        <f>+AT23+AS58</f>
        <v>14002191.849999998</v>
      </c>
      <c r="AU58" s="196">
        <f>+AU23+AT58</f>
        <v>30601500.169999994</v>
      </c>
      <c r="AV58" s="196">
        <f>+AV23+AU58</f>
        <v>29870387.449999992</v>
      </c>
      <c r="AW58" s="196">
        <v>42423055.869999997</v>
      </c>
      <c r="AX58" s="215"/>
    </row>
    <row r="59" spans="1:55" s="526" customFormat="1" x14ac:dyDescent="0.25">
      <c r="A59" s="199"/>
      <c r="B59" s="202"/>
      <c r="C59" s="199"/>
      <c r="D59" s="199" t="s">
        <v>88</v>
      </c>
      <c r="E59" s="202">
        <f>+E55+E41</f>
        <v>503142401.62</v>
      </c>
      <c r="F59" s="202">
        <f t="shared" ref="F59:P59" si="60">+F55+F41</f>
        <v>514869601.09999996</v>
      </c>
      <c r="G59" s="202">
        <f t="shared" si="60"/>
        <v>498453680.94999999</v>
      </c>
      <c r="H59" s="202">
        <f t="shared" si="60"/>
        <v>506708962.58999997</v>
      </c>
      <c r="I59" s="202">
        <f t="shared" si="60"/>
        <v>506668130.02999997</v>
      </c>
      <c r="J59" s="202">
        <f t="shared" si="60"/>
        <v>509400415.51999974</v>
      </c>
      <c r="K59" s="202">
        <f t="shared" si="60"/>
        <v>521957507.25999987</v>
      </c>
      <c r="L59" s="202">
        <f t="shared" si="60"/>
        <v>524118866.39999986</v>
      </c>
      <c r="M59" s="202">
        <f t="shared" si="60"/>
        <v>512797071.11999989</v>
      </c>
      <c r="N59" s="202">
        <f t="shared" si="60"/>
        <v>497778095.92999983</v>
      </c>
      <c r="O59" s="202">
        <f t="shared" si="60"/>
        <v>496014754.11999977</v>
      </c>
      <c r="P59" s="202">
        <f t="shared" si="60"/>
        <v>489210001.55999976</v>
      </c>
      <c r="Q59" s="202">
        <f t="shared" si="35"/>
        <v>489210001.55999976</v>
      </c>
      <c r="R59" s="202">
        <f>+R55+R41</f>
        <v>492301949.25999999</v>
      </c>
      <c r="S59" s="202">
        <f t="shared" ref="S59:AC59" si="61">+S55+S41</f>
        <v>497090653.34000003</v>
      </c>
      <c r="T59" s="202">
        <f t="shared" si="61"/>
        <v>496602273.04000002</v>
      </c>
      <c r="U59" s="202">
        <f t="shared" si="61"/>
        <v>504045831</v>
      </c>
      <c r="V59" s="202">
        <f t="shared" si="61"/>
        <v>503366532.29000008</v>
      </c>
      <c r="W59" s="202">
        <f t="shared" si="61"/>
        <v>511439871.86000013</v>
      </c>
      <c r="X59" s="202">
        <f t="shared" si="61"/>
        <v>513336011.35000014</v>
      </c>
      <c r="Y59" s="202">
        <f t="shared" si="61"/>
        <v>515829068.98000014</v>
      </c>
      <c r="Z59" s="202">
        <f t="shared" si="61"/>
        <v>515393890.15000021</v>
      </c>
      <c r="AA59" s="202">
        <f t="shared" si="61"/>
        <v>509090336.64000022</v>
      </c>
      <c r="AB59" s="202">
        <f t="shared" si="61"/>
        <v>515546134.45000023</v>
      </c>
      <c r="AC59" s="202">
        <f t="shared" si="61"/>
        <v>513050959.05000031</v>
      </c>
      <c r="AD59" s="202">
        <f t="shared" si="37"/>
        <v>513050959.05000031</v>
      </c>
      <c r="AE59" s="202">
        <f>+AE42+AE50+AE55</f>
        <v>1226252834.02</v>
      </c>
      <c r="AF59" s="202">
        <f t="shared" ref="AF59:AP59" si="62">+AF42+AF50+AF55</f>
        <v>1209093692.05</v>
      </c>
      <c r="AG59" s="202">
        <f t="shared" si="62"/>
        <v>1203216861.04</v>
      </c>
      <c r="AH59" s="202">
        <f t="shared" si="62"/>
        <v>1200147249.8899999</v>
      </c>
      <c r="AI59" s="202">
        <f t="shared" si="62"/>
        <v>1193361842.7599998</v>
      </c>
      <c r="AJ59" s="202">
        <f t="shared" si="62"/>
        <v>1200356187.52</v>
      </c>
      <c r="AK59" s="202">
        <f t="shared" si="62"/>
        <v>1198780331.8099999</v>
      </c>
      <c r="AL59" s="202">
        <f t="shared" si="62"/>
        <v>1180498045.99</v>
      </c>
      <c r="AM59" s="202">
        <f t="shared" si="62"/>
        <v>1174787431.1199999</v>
      </c>
      <c r="AN59" s="202">
        <f t="shared" si="62"/>
        <v>1194106075.0899999</v>
      </c>
      <c r="AO59" s="202">
        <f t="shared" si="62"/>
        <v>1180929374.8599999</v>
      </c>
      <c r="AP59" s="202">
        <f t="shared" si="62"/>
        <v>1189080750.1399999</v>
      </c>
      <c r="AQ59" s="202">
        <f t="shared" si="39"/>
        <v>1189080750.1399999</v>
      </c>
      <c r="AR59" s="202">
        <f t="shared" ref="AR59:AW59" si="63">+AR42+AR50+AR55</f>
        <v>1185192302.24</v>
      </c>
      <c r="AS59" s="202">
        <f t="shared" si="63"/>
        <v>1189325503.6300001</v>
      </c>
      <c r="AT59" s="202">
        <f t="shared" si="63"/>
        <v>1203445272.1700001</v>
      </c>
      <c r="AU59" s="202">
        <f t="shared" si="63"/>
        <v>1212847153.55</v>
      </c>
      <c r="AV59" s="202">
        <f t="shared" si="63"/>
        <v>1223298754.48</v>
      </c>
      <c r="AW59" s="202">
        <f t="shared" si="63"/>
        <v>1247244146.8499999</v>
      </c>
      <c r="AY59" s="199"/>
      <c r="AZ59" s="199"/>
      <c r="BA59" s="199"/>
      <c r="BB59" s="199"/>
      <c r="BC59" s="199"/>
    </row>
    <row r="60" spans="1:55" x14ac:dyDescent="0.25">
      <c r="B60" s="203"/>
      <c r="D60" s="194" t="s">
        <v>89</v>
      </c>
      <c r="E60" s="196">
        <f>+E59+E58+E56-E31</f>
        <v>0</v>
      </c>
      <c r="F60" s="196">
        <f>+F59+F58+F56-F31</f>
        <v>0</v>
      </c>
      <c r="G60" s="196">
        <f t="shared" ref="G60:P60" si="64">+G59+G58+G56-G31</f>
        <v>0</v>
      </c>
      <c r="H60" s="196">
        <f t="shared" si="64"/>
        <v>0</v>
      </c>
      <c r="I60" s="196">
        <f t="shared" si="64"/>
        <v>0</v>
      </c>
      <c r="J60" s="196">
        <f t="shared" si="64"/>
        <v>0</v>
      </c>
      <c r="K60" s="196">
        <f t="shared" si="64"/>
        <v>0</v>
      </c>
      <c r="L60" s="196">
        <f t="shared" si="64"/>
        <v>0</v>
      </c>
      <c r="M60" s="196">
        <f t="shared" si="64"/>
        <v>0</v>
      </c>
      <c r="N60" s="196">
        <f t="shared" si="64"/>
        <v>0</v>
      </c>
      <c r="O60" s="196">
        <f t="shared" si="64"/>
        <v>0</v>
      </c>
      <c r="P60" s="196">
        <f t="shared" si="64"/>
        <v>0</v>
      </c>
      <c r="Q60" s="203"/>
      <c r="R60" s="196">
        <f t="shared" ref="R60:AC60" si="65">+R59+R58+R56-R31</f>
        <v>0</v>
      </c>
      <c r="S60" s="196">
        <f t="shared" si="65"/>
        <v>0</v>
      </c>
      <c r="T60" s="196">
        <f t="shared" si="65"/>
        <v>0</v>
      </c>
      <c r="U60" s="196">
        <f t="shared" si="65"/>
        <v>0</v>
      </c>
      <c r="V60" s="196">
        <f t="shared" si="65"/>
        <v>0</v>
      </c>
      <c r="W60" s="196">
        <f t="shared" si="65"/>
        <v>0</v>
      </c>
      <c r="X60" s="196">
        <f t="shared" si="65"/>
        <v>0</v>
      </c>
      <c r="Y60" s="196">
        <f t="shared" si="65"/>
        <v>0</v>
      </c>
      <c r="Z60" s="196">
        <f t="shared" si="65"/>
        <v>0</v>
      </c>
      <c r="AA60" s="196">
        <f t="shared" si="65"/>
        <v>0</v>
      </c>
      <c r="AB60" s="196">
        <f t="shared" si="65"/>
        <v>0</v>
      </c>
      <c r="AC60" s="196">
        <f t="shared" si="65"/>
        <v>0</v>
      </c>
      <c r="AD60" s="203"/>
      <c r="AE60" s="203">
        <f>+AE59-AE31</f>
        <v>0</v>
      </c>
      <c r="AF60" s="203">
        <f t="shared" ref="AF60:AP60" si="66">+AF59-AF31</f>
        <v>0</v>
      </c>
      <c r="AG60" s="203">
        <f t="shared" si="66"/>
        <v>0</v>
      </c>
      <c r="AH60" s="203">
        <f t="shared" si="66"/>
        <v>0</v>
      </c>
      <c r="AI60" s="203">
        <f t="shared" si="66"/>
        <v>0</v>
      </c>
      <c r="AJ60" s="203">
        <f t="shared" si="66"/>
        <v>0</v>
      </c>
      <c r="AK60" s="203">
        <f t="shared" si="66"/>
        <v>0</v>
      </c>
      <c r="AL60" s="203">
        <f t="shared" si="66"/>
        <v>0</v>
      </c>
      <c r="AM60" s="203">
        <f t="shared" si="66"/>
        <v>0</v>
      </c>
      <c r="AN60" s="203">
        <f t="shared" si="66"/>
        <v>0</v>
      </c>
      <c r="AO60" s="203">
        <f t="shared" si="66"/>
        <v>0</v>
      </c>
      <c r="AP60" s="203">
        <f t="shared" si="66"/>
        <v>0</v>
      </c>
      <c r="AQ60" s="203"/>
      <c r="AR60" s="203">
        <f t="shared" ref="AR60:AW60" si="67">+AR59-AR31</f>
        <v>0</v>
      </c>
      <c r="AS60" s="203">
        <f t="shared" si="67"/>
        <v>0</v>
      </c>
      <c r="AT60" s="203">
        <f t="shared" si="67"/>
        <v>0</v>
      </c>
      <c r="AU60" s="203">
        <f t="shared" si="67"/>
        <v>0</v>
      </c>
      <c r="AV60" s="203">
        <f t="shared" si="67"/>
        <v>0</v>
      </c>
      <c r="AW60" s="203">
        <f t="shared" si="67"/>
        <v>0</v>
      </c>
      <c r="AX60" s="215"/>
    </row>
    <row r="61" spans="1:55" x14ac:dyDescent="0.25">
      <c r="B61" s="203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203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15"/>
    </row>
    <row r="62" spans="1:55" ht="14.4" x14ac:dyDescent="0.3">
      <c r="A62" s="194" t="s">
        <v>612</v>
      </c>
      <c r="B62" s="201">
        <v>140200</v>
      </c>
      <c r="C62">
        <v>1402000000</v>
      </c>
      <c r="D62" s="194" t="s">
        <v>613</v>
      </c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201">
        <f>-_xlfn.IFNA(+VLOOKUP($C62, [34]Hoja1!$A$5:$E$1710,5,FALSE),0)-_xlfn.IFNA(+VLOOKUP($A62, [34]Hoja1!$A$5:$E$171,5,FALSE),0)</f>
        <v>1226364174.4000001</v>
      </c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201">
        <f>-_xlfn.IFNA(+VLOOKUP($C62, [34]Hoja1!$A$5:$E$1710,5,FALSE),0)-_xlfn.IFNA(+VLOOKUP($A62, [34]Hoja1!$A$5:$E$171,5,FALSE),0)</f>
        <v>1226364174.4000001</v>
      </c>
      <c r="AE62" s="201">
        <f>-_xlfn.IFNA(+VLOOKUP($C62, [34]Hoja1!$A$5:$E$1710,5,FALSE),0)-_xlfn.IFNA(+VLOOKUP($A62, [34]Hoja1!$A$5:$E$171,5,FALSE),0)</f>
        <v>1226364174.4000001</v>
      </c>
      <c r="AF62" s="201">
        <f>-_xlfn.IFNA(+VLOOKUP($C62, [35]Hoja1!$A$5:$E$1710,5,FALSE),0)-_xlfn.IFNA(+VLOOKUP($A62, [34]Hoja1!$A$5:$E$171,5,FALSE),0)</f>
        <v>1230299597.6099999</v>
      </c>
      <c r="AG62" s="201">
        <f>-_xlfn.IFNA(+VLOOKUP($C62, [36]Hoja1!$A$5:$E$1710,5,FALSE),0)-_xlfn.IFNA(+VLOOKUP($A62, [34]Hoja1!$A$5:$E$171,5,FALSE),0)</f>
        <v>1234399273.24</v>
      </c>
      <c r="AH62" s="201">
        <f>-_xlfn.IFNA(+VLOOKUP($C62, [37]Hoja1!$A$5:$E$1710,5,FALSE),0)-_xlfn.IFNA(+VLOOKUP($A62, [34]Hoja1!$A$5:$E$171,5,FALSE),0)</f>
        <v>1238590483.97</v>
      </c>
      <c r="AI62" s="201">
        <f>-_xlfn.IFNA(+VLOOKUP($C62, [38]Hoja1!$A$5:$E$1710,5,FALSE),0)-_xlfn.IFNA(+VLOOKUP($A62, [34]Hoja1!$A$5:$E$171,5,FALSE),0)</f>
        <v>1242294541.2</v>
      </c>
      <c r="AJ62" s="201">
        <f>-_xlfn.IFNA(+VLOOKUP($C62, [39]Hoja1!$A$5:$E$1710,5,FALSE),0)-_xlfn.IFNA(+VLOOKUP($A62, [34]Hoja1!$A$5:$E$171,5,FALSE),0)</f>
        <v>1245461582.71</v>
      </c>
      <c r="AK62" s="201">
        <f>-_xlfn.IFNA(+VLOOKUP($C62,[40]Hoja1!$A$6:$E$180,5,FALSE),0)</f>
        <v>1249770454.6199999</v>
      </c>
      <c r="AL62" s="201">
        <f>-_xlfn.IFNA(+VLOOKUP($C62,[41]Hoja1!$A$6:$E$182,5,FALSE),0)</f>
        <v>1253379704.6300001</v>
      </c>
      <c r="AM62" s="201">
        <f>-_xlfn.IFNA(+VLOOKUP($C62,[42]Hoja1!$A$6:$E$183,5,FALSE),0)</f>
        <v>1258692337.0599999</v>
      </c>
      <c r="AN62" s="201">
        <f>-_xlfn.IFNA(+VLOOKUP($C62,[43]Hoja1!$A$6:$E$183,5,FALSE),0)</f>
        <v>1263596720.01</v>
      </c>
      <c r="AO62" s="201">
        <f>-_xlfn.IFNA(+VLOOKUP($C62,[44]Hoja1!$A$5:$E$186,5,FALSE),0)</f>
        <v>1269749756.55</v>
      </c>
      <c r="AP62" s="201">
        <f>-_xlfn.IFNA(+VLOOKUP($A62,[45]Hoja1!$A$5:$E$172,5,FALSE),0)</f>
        <v>1276493045.75</v>
      </c>
      <c r="AQ62" s="201">
        <f>+AP62</f>
        <v>1276493045.75</v>
      </c>
      <c r="AR62" s="201">
        <f>+-VLOOKUP(C62,[46]Hoja1!$A$6:$C$179,3,FALSE)</f>
        <v>1283807653.99</v>
      </c>
      <c r="AS62" s="201">
        <f>-+VLOOKUP(C62,[47]Hoja1!$A$6:$E$182,5,FALSE)</f>
        <v>1291430089.02</v>
      </c>
      <c r="AT62" s="201">
        <f>-+VLOOKUP(A62,[48]Hoja1!$A$6:$E$170,5,FALSE)</f>
        <v>1299973226.1199999</v>
      </c>
      <c r="AU62" s="201">
        <f>-+VLOOKUP(C62,[52]Hoja1!$A$6:$E$182,5,FALSE)</f>
        <v>1310280255.6600001</v>
      </c>
      <c r="AV62" s="201">
        <f>+-VLOOKUP(A62,[50]Hoja1!A$6:E$171,5,FALSE)</f>
        <v>1321595777.8800001</v>
      </c>
      <c r="AW62" s="201">
        <f>-+VLOOKUP(C62,[51]Hoja1!$A$5:$E$188,5,FALSE)</f>
        <v>1333102060.6400001</v>
      </c>
      <c r="AX62" s="215"/>
    </row>
    <row r="63" spans="1:55" x14ac:dyDescent="0.25">
      <c r="D63" s="194" t="s">
        <v>527</v>
      </c>
      <c r="E63" s="196"/>
      <c r="F63" s="196"/>
      <c r="G63" s="196">
        <v>15000000</v>
      </c>
      <c r="H63" s="196"/>
      <c r="I63" s="196"/>
      <c r="J63" s="196"/>
      <c r="K63" s="196"/>
      <c r="L63" s="196"/>
      <c r="M63" s="196"/>
      <c r="N63" s="196"/>
      <c r="O63" s="196"/>
      <c r="P63" s="196"/>
      <c r="Q63" s="203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203"/>
      <c r="AE63" s="203">
        <f>+AE62-AD62</f>
        <v>0</v>
      </c>
      <c r="AF63" s="203">
        <f>+AF62-AE62</f>
        <v>3935423.2099997997</v>
      </c>
      <c r="AG63" s="203">
        <f t="shared" ref="AG63:AW63" si="68">+AG62-AF62</f>
        <v>4099675.6300001144</v>
      </c>
      <c r="AH63" s="203">
        <f t="shared" si="68"/>
        <v>4191210.7300000191</v>
      </c>
      <c r="AI63" s="203">
        <f t="shared" si="68"/>
        <v>3704057.2300000191</v>
      </c>
      <c r="AJ63" s="203">
        <f t="shared" si="68"/>
        <v>3167041.5099999905</v>
      </c>
      <c r="AK63" s="203">
        <f t="shared" si="68"/>
        <v>4308871.9099998474</v>
      </c>
      <c r="AL63" s="203">
        <f t="shared" si="68"/>
        <v>3609250.0100002289</v>
      </c>
      <c r="AM63" s="203">
        <f t="shared" si="68"/>
        <v>5312632.4299998283</v>
      </c>
      <c r="AN63" s="203">
        <f t="shared" si="68"/>
        <v>4904382.9500000477</v>
      </c>
      <c r="AO63" s="203">
        <f t="shared" si="68"/>
        <v>6153036.5399999619</v>
      </c>
      <c r="AP63" s="203">
        <f t="shared" si="68"/>
        <v>6743289.2000000477</v>
      </c>
      <c r="AQ63" s="203"/>
      <c r="AR63" s="203">
        <f t="shared" si="68"/>
        <v>7314608.2400000095</v>
      </c>
      <c r="AS63" s="203">
        <f t="shared" si="68"/>
        <v>7622435.0299999714</v>
      </c>
      <c r="AT63" s="203">
        <f t="shared" si="68"/>
        <v>8543137.0999999046</v>
      </c>
      <c r="AU63" s="203">
        <f t="shared" si="68"/>
        <v>10307029.5400002</v>
      </c>
      <c r="AV63" s="203">
        <f t="shared" si="68"/>
        <v>11315522.220000029</v>
      </c>
      <c r="AW63" s="203">
        <f t="shared" si="68"/>
        <v>11506282.75999999</v>
      </c>
    </row>
    <row r="64" spans="1:55" x14ac:dyDescent="0.25">
      <c r="G64" s="211">
        <f>+G63/6.96</f>
        <v>2155172.4137931033</v>
      </c>
      <c r="H64" s="211">
        <f>+H63/6.96</f>
        <v>0</v>
      </c>
    </row>
    <row r="67" spans="4:49" ht="22.8" x14ac:dyDescent="0.4">
      <c r="D67" s="418" t="s">
        <v>575</v>
      </c>
      <c r="E67" s="213">
        <f t="shared" ref="E67:AD67" si="69">+E2</f>
        <v>44681</v>
      </c>
      <c r="F67" s="213">
        <f t="shared" si="69"/>
        <v>44712</v>
      </c>
      <c r="G67" s="213">
        <f t="shared" si="69"/>
        <v>44742</v>
      </c>
      <c r="H67" s="213">
        <f t="shared" si="69"/>
        <v>44773</v>
      </c>
      <c r="I67" s="213">
        <f t="shared" si="69"/>
        <v>44804</v>
      </c>
      <c r="J67" s="213">
        <f t="shared" si="69"/>
        <v>44834</v>
      </c>
      <c r="K67" s="213">
        <f t="shared" si="69"/>
        <v>44865</v>
      </c>
      <c r="L67" s="213">
        <f t="shared" si="69"/>
        <v>44895</v>
      </c>
      <c r="M67" s="213">
        <f t="shared" si="69"/>
        <v>44926</v>
      </c>
      <c r="N67" s="213">
        <f t="shared" si="69"/>
        <v>44957</v>
      </c>
      <c r="O67" s="213">
        <f t="shared" si="69"/>
        <v>44985</v>
      </c>
      <c r="P67" s="213">
        <f t="shared" si="69"/>
        <v>45016</v>
      </c>
      <c r="Q67" s="204">
        <f t="shared" si="69"/>
        <v>2022</v>
      </c>
      <c r="R67" s="213">
        <f t="shared" si="69"/>
        <v>45046</v>
      </c>
      <c r="S67" s="213">
        <f t="shared" si="69"/>
        <v>45077</v>
      </c>
      <c r="T67" s="213">
        <f t="shared" si="69"/>
        <v>45107</v>
      </c>
      <c r="U67" s="213">
        <f t="shared" si="69"/>
        <v>45138</v>
      </c>
      <c r="V67" s="213">
        <f t="shared" si="69"/>
        <v>45169</v>
      </c>
      <c r="W67" s="213">
        <f t="shared" si="69"/>
        <v>45199</v>
      </c>
      <c r="X67" s="213">
        <f t="shared" si="69"/>
        <v>45230</v>
      </c>
      <c r="Y67" s="213">
        <f t="shared" si="69"/>
        <v>45260</v>
      </c>
      <c r="Z67" s="213">
        <f t="shared" si="69"/>
        <v>45291</v>
      </c>
      <c r="AA67" s="213">
        <f t="shared" si="69"/>
        <v>45322</v>
      </c>
      <c r="AB67" s="213">
        <f t="shared" si="69"/>
        <v>45351</v>
      </c>
      <c r="AC67" s="213">
        <f t="shared" si="69"/>
        <v>45382</v>
      </c>
      <c r="AD67" s="204">
        <f t="shared" si="69"/>
        <v>2023</v>
      </c>
      <c r="AE67" s="213">
        <f t="shared" ref="AE67:AP67" si="70">+AE2</f>
        <v>45412</v>
      </c>
      <c r="AF67" s="213">
        <f t="shared" si="70"/>
        <v>45443</v>
      </c>
      <c r="AG67" s="213">
        <f t="shared" si="70"/>
        <v>45473</v>
      </c>
      <c r="AH67" s="213">
        <f t="shared" si="70"/>
        <v>45504</v>
      </c>
      <c r="AI67" s="213">
        <f t="shared" si="70"/>
        <v>45535</v>
      </c>
      <c r="AJ67" s="213">
        <f t="shared" si="70"/>
        <v>45565</v>
      </c>
      <c r="AK67" s="213">
        <f t="shared" si="70"/>
        <v>45596</v>
      </c>
      <c r="AL67" s="213">
        <f t="shared" si="70"/>
        <v>45626</v>
      </c>
      <c r="AM67" s="213">
        <f t="shared" si="70"/>
        <v>45657</v>
      </c>
      <c r="AN67" s="213">
        <f t="shared" si="70"/>
        <v>45688</v>
      </c>
      <c r="AO67" s="213">
        <f t="shared" si="70"/>
        <v>45716</v>
      </c>
      <c r="AP67" s="213">
        <f t="shared" si="70"/>
        <v>45747</v>
      </c>
      <c r="AQ67" s="204">
        <f t="shared" ref="AQ67:AV67" si="71">+AQ2</f>
        <v>2024</v>
      </c>
      <c r="AR67" s="213">
        <f t="shared" si="71"/>
        <v>45777</v>
      </c>
      <c r="AS67" s="213">
        <f t="shared" si="71"/>
        <v>45808</v>
      </c>
      <c r="AT67" s="213">
        <f t="shared" si="71"/>
        <v>45838</v>
      </c>
      <c r="AU67" s="213">
        <f t="shared" si="71"/>
        <v>45869</v>
      </c>
      <c r="AV67" s="213">
        <f t="shared" si="71"/>
        <v>45900</v>
      </c>
      <c r="AW67" s="213">
        <f>+AW2</f>
        <v>45930</v>
      </c>
    </row>
    <row r="68" spans="4:49" ht="18" x14ac:dyDescent="0.35">
      <c r="D68" s="206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</row>
    <row r="69" spans="4:49" x14ac:dyDescent="0.25">
      <c r="D69" s="210" t="s">
        <v>581</v>
      </c>
    </row>
    <row r="70" spans="4:49" x14ac:dyDescent="0.25">
      <c r="D70" s="194" t="s">
        <v>576</v>
      </c>
      <c r="E70" s="208">
        <f t="shared" ref="E70:AD70" si="72">+E32/E41</f>
        <v>0.66007468245705236</v>
      </c>
      <c r="F70" s="208">
        <f t="shared" si="72"/>
        <v>0.6460542797814065</v>
      </c>
      <c r="G70" s="208">
        <f t="shared" si="72"/>
        <v>0.62158419666897713</v>
      </c>
      <c r="H70" s="208">
        <f t="shared" si="72"/>
        <v>0.63447622099815837</v>
      </c>
      <c r="I70" s="208">
        <f t="shared" si="72"/>
        <v>0.65714754585074409</v>
      </c>
      <c r="J70" s="208">
        <f t="shared" si="72"/>
        <v>0.6690615003171686</v>
      </c>
      <c r="K70" s="208">
        <f t="shared" si="72"/>
        <v>0.68519183695129848</v>
      </c>
      <c r="L70" s="208">
        <f t="shared" si="72"/>
        <v>0.69033061871096224</v>
      </c>
      <c r="M70" s="208">
        <f t="shared" si="72"/>
        <v>0.72389058201764389</v>
      </c>
      <c r="N70" s="208">
        <f t="shared" si="72"/>
        <v>0.70845398860136199</v>
      </c>
      <c r="O70" s="208">
        <f t="shared" si="72"/>
        <v>0.68489287981504843</v>
      </c>
      <c r="P70" s="208">
        <f t="shared" si="72"/>
        <v>0.69736397858202448</v>
      </c>
      <c r="Q70" s="208">
        <f t="shared" si="72"/>
        <v>0.69736397858202448</v>
      </c>
      <c r="R70" s="208">
        <f t="shared" si="72"/>
        <v>0.69561100266767606</v>
      </c>
      <c r="S70" s="208">
        <f t="shared" si="72"/>
        <v>0.67861633479410988</v>
      </c>
      <c r="T70" s="208">
        <f t="shared" si="72"/>
        <v>0.66871894670778464</v>
      </c>
      <c r="U70" s="208">
        <f t="shared" si="72"/>
        <v>0.67843542255188427</v>
      </c>
      <c r="V70" s="208">
        <f t="shared" si="72"/>
        <v>0.70287466870397131</v>
      </c>
      <c r="W70" s="208">
        <f t="shared" si="72"/>
        <v>0.71116124827585436</v>
      </c>
      <c r="X70" s="208">
        <f t="shared" si="72"/>
        <v>0.72714971976804954</v>
      </c>
      <c r="Y70" s="208">
        <f t="shared" si="72"/>
        <v>0.71847065145599653</v>
      </c>
      <c r="Z70" s="208">
        <f t="shared" si="72"/>
        <v>0.73304156884755556</v>
      </c>
      <c r="AA70" s="208">
        <f t="shared" si="72"/>
        <v>0.77467042111404671</v>
      </c>
      <c r="AB70" s="208">
        <f t="shared" si="72"/>
        <v>0.76128039919978252</v>
      </c>
      <c r="AC70" s="208">
        <f t="shared" si="72"/>
        <v>0.76969173953247816</v>
      </c>
      <c r="AD70" s="208">
        <f t="shared" si="72"/>
        <v>0.76969173953247816</v>
      </c>
      <c r="AE70" s="208">
        <f t="shared" ref="AE70:AP70" si="73">+AE32/AE41</f>
        <v>0.52487093339978019</v>
      </c>
      <c r="AF70" s="208">
        <f t="shared" si="73"/>
        <v>0.50644932458116043</v>
      </c>
      <c r="AG70" s="208">
        <f t="shared" si="73"/>
        <v>0.50267189978259474</v>
      </c>
      <c r="AH70" s="208">
        <f t="shared" si="73"/>
        <v>0.49086610891683025</v>
      </c>
      <c r="AI70" s="208">
        <f t="shared" si="73"/>
        <v>0.48804470200753086</v>
      </c>
      <c r="AJ70" s="208">
        <f t="shared" si="73"/>
        <v>0.49714642986015761</v>
      </c>
      <c r="AK70" s="208">
        <f t="shared" si="73"/>
        <v>0.43407889795090249</v>
      </c>
      <c r="AL70" s="208">
        <f t="shared" si="73"/>
        <v>0.43528412940101618</v>
      </c>
      <c r="AM70" s="208">
        <f t="shared" si="73"/>
        <v>0.43032271209012318</v>
      </c>
      <c r="AN70" s="208">
        <f t="shared" si="73"/>
        <v>0.45035465058634672</v>
      </c>
      <c r="AO70" s="208">
        <f t="shared" si="73"/>
        <v>0.43592639067413952</v>
      </c>
      <c r="AP70" s="208">
        <f t="shared" si="73"/>
        <v>0.41058411287163626</v>
      </c>
      <c r="AQ70" s="208"/>
      <c r="AR70" s="208">
        <f t="shared" ref="AR70:AW70" si="74">+AR32/AR41</f>
        <v>0.4012135103879369</v>
      </c>
      <c r="AS70" s="208">
        <f t="shared" si="74"/>
        <v>0.40555872951980848</v>
      </c>
      <c r="AT70" s="208">
        <f t="shared" si="74"/>
        <v>0.41629226355870746</v>
      </c>
      <c r="AU70" s="208">
        <f t="shared" si="74"/>
        <v>0.42912532585300889</v>
      </c>
      <c r="AV70" s="208">
        <f t="shared" si="74"/>
        <v>0.42775398006479987</v>
      </c>
      <c r="AW70" s="208">
        <f t="shared" si="74"/>
        <v>0.48405273486205097</v>
      </c>
    </row>
    <row r="71" spans="4:49" x14ac:dyDescent="0.25">
      <c r="D71" s="194" t="s">
        <v>577</v>
      </c>
      <c r="E71" s="208">
        <f t="shared" ref="E71:AD71" si="75">+E32/E42</f>
        <v>1.9288179703307524</v>
      </c>
      <c r="F71" s="208">
        <f t="shared" si="75"/>
        <v>1.8534822041350343</v>
      </c>
      <c r="G71" s="208">
        <f t="shared" si="75"/>
        <v>1.9718980544444165</v>
      </c>
      <c r="H71" s="208">
        <f t="shared" si="75"/>
        <v>1.9555475166211878</v>
      </c>
      <c r="I71" s="208">
        <f t="shared" si="75"/>
        <v>2.1431531746341363</v>
      </c>
      <c r="J71" s="208">
        <f t="shared" si="75"/>
        <v>2.3489200816204914</v>
      </c>
      <c r="K71" s="208">
        <f t="shared" si="75"/>
        <v>2.2719233306231135</v>
      </c>
      <c r="L71" s="208">
        <f t="shared" si="75"/>
        <v>2.2429550355308394</v>
      </c>
      <c r="M71" s="208">
        <f t="shared" si="75"/>
        <v>2.8555408175508008</v>
      </c>
      <c r="N71" s="208">
        <f t="shared" si="75"/>
        <v>3.078233427721913</v>
      </c>
      <c r="O71" s="208">
        <f t="shared" si="75"/>
        <v>3.022315501257741</v>
      </c>
      <c r="P71" s="208">
        <f t="shared" si="75"/>
        <v>1.4466128976493839</v>
      </c>
      <c r="Q71" s="208">
        <f t="shared" si="75"/>
        <v>1.4466128976493839</v>
      </c>
      <c r="R71" s="208">
        <f t="shared" si="75"/>
        <v>1.7042358663124175</v>
      </c>
      <c r="S71" s="208">
        <f t="shared" si="75"/>
        <v>1.6501416252267582</v>
      </c>
      <c r="T71" s="208">
        <f t="shared" si="75"/>
        <v>1.6437285091448353</v>
      </c>
      <c r="U71" s="208">
        <f t="shared" si="75"/>
        <v>1.6492343406526995</v>
      </c>
      <c r="V71" s="208">
        <f t="shared" si="75"/>
        <v>1.7098081799763647</v>
      </c>
      <c r="W71" s="208">
        <f t="shared" si="75"/>
        <v>1.8002392857683496</v>
      </c>
      <c r="X71" s="208">
        <f t="shared" si="75"/>
        <v>1.8360926058631331</v>
      </c>
      <c r="Y71" s="208">
        <f t="shared" si="75"/>
        <v>1.8098540622852919</v>
      </c>
      <c r="Z71" s="208">
        <f t="shared" si="75"/>
        <v>1.8690554436589255</v>
      </c>
      <c r="AA71" s="208">
        <f t="shared" si="75"/>
        <v>2.0222782109320039</v>
      </c>
      <c r="AB71" s="208">
        <f t="shared" si="75"/>
        <v>1.9549166468361923</v>
      </c>
      <c r="AC71" s="208">
        <f t="shared" si="75"/>
        <v>1.3500352865396532</v>
      </c>
      <c r="AD71" s="208">
        <f t="shared" si="75"/>
        <v>1.3500352865396532</v>
      </c>
      <c r="AE71" s="208">
        <f t="shared" ref="AE71:AP71" si="76">+AE32/AE42</f>
        <v>1.405491658652227</v>
      </c>
      <c r="AF71" s="208">
        <f t="shared" si="76"/>
        <v>1.3770250528704771</v>
      </c>
      <c r="AG71" s="208">
        <f t="shared" si="76"/>
        <v>1.3556562867763642</v>
      </c>
      <c r="AH71" s="208">
        <f t="shared" si="76"/>
        <v>1.2793925648750466</v>
      </c>
      <c r="AI71" s="208">
        <f t="shared" si="76"/>
        <v>2.1277515386469532</v>
      </c>
      <c r="AJ71" s="208">
        <f t="shared" si="76"/>
        <v>2.1194633806771139</v>
      </c>
      <c r="AK71" s="208">
        <f t="shared" si="76"/>
        <v>1.8658467306136739</v>
      </c>
      <c r="AL71" s="208">
        <f t="shared" si="76"/>
        <v>2.0805335156586349</v>
      </c>
      <c r="AM71" s="208">
        <f t="shared" si="76"/>
        <v>2.2029741551099122</v>
      </c>
      <c r="AN71" s="208">
        <f t="shared" si="76"/>
        <v>2.3680699358199839</v>
      </c>
      <c r="AO71" s="208">
        <f t="shared" si="76"/>
        <v>2.3407734354109153</v>
      </c>
      <c r="AP71" s="208">
        <f t="shared" si="76"/>
        <v>1.5742347574169664</v>
      </c>
      <c r="AQ71" s="208"/>
      <c r="AR71" s="208">
        <f t="shared" ref="AR71:AW71" si="77">+AR32/AR42</f>
        <v>1.5784266260376192</v>
      </c>
      <c r="AS71" s="208">
        <f t="shared" si="77"/>
        <v>1.6960918785984258</v>
      </c>
      <c r="AT71" s="208">
        <f t="shared" si="77"/>
        <v>1.8737070717125439</v>
      </c>
      <c r="AU71" s="208">
        <f t="shared" si="77"/>
        <v>2.1704230330020815</v>
      </c>
      <c r="AV71" s="208">
        <f t="shared" si="77"/>
        <v>2.0410504885893563</v>
      </c>
      <c r="AW71" s="208">
        <f t="shared" si="77"/>
        <v>2.3514233127493345</v>
      </c>
    </row>
    <row r="72" spans="4:49" x14ac:dyDescent="0.25">
      <c r="D72" s="194" t="s">
        <v>578</v>
      </c>
      <c r="E72" s="208">
        <f t="shared" ref="E72:AD72" si="78">+(E32-E35-E40)/E42</f>
        <v>0.73929605037382495</v>
      </c>
      <c r="F72" s="208">
        <f t="shared" si="78"/>
        <v>0.75646918402605567</v>
      </c>
      <c r="G72" s="208">
        <f t="shared" si="78"/>
        <v>0.72536895287130043</v>
      </c>
      <c r="H72" s="208">
        <f t="shared" si="78"/>
        <v>0.72954115364875616</v>
      </c>
      <c r="I72" s="208">
        <f t="shared" si="78"/>
        <v>0.82711824317077565</v>
      </c>
      <c r="J72" s="208">
        <f t="shared" si="78"/>
        <v>0.91187462915314843</v>
      </c>
      <c r="K72" s="208">
        <f t="shared" si="78"/>
        <v>0.86786366998295783</v>
      </c>
      <c r="L72" s="208">
        <f t="shared" si="78"/>
        <v>0.89840180526410018</v>
      </c>
      <c r="M72" s="208">
        <f t="shared" si="78"/>
        <v>1.260654357719146</v>
      </c>
      <c r="N72" s="208">
        <f t="shared" si="78"/>
        <v>1.3327558748965991</v>
      </c>
      <c r="O72" s="208">
        <f t="shared" si="78"/>
        <v>1.3764349995906302</v>
      </c>
      <c r="P72" s="208">
        <f t="shared" si="78"/>
        <v>0.70685531992768036</v>
      </c>
      <c r="Q72" s="208">
        <f t="shared" si="78"/>
        <v>0.70685531992768036</v>
      </c>
      <c r="R72" s="208">
        <f t="shared" si="78"/>
        <v>0.83809329646798891</v>
      </c>
      <c r="S72" s="208">
        <f t="shared" si="78"/>
        <v>0.79672319113253653</v>
      </c>
      <c r="T72" s="208">
        <f t="shared" si="78"/>
        <v>0.78074188899778219</v>
      </c>
      <c r="U72" s="208">
        <f t="shared" si="78"/>
        <v>0.77013546816875533</v>
      </c>
      <c r="V72" s="208">
        <f t="shared" si="78"/>
        <v>0.80179055307435387</v>
      </c>
      <c r="W72" s="208">
        <f t="shared" si="78"/>
        <v>0.8464234422794128</v>
      </c>
      <c r="X72" s="208">
        <f t="shared" si="78"/>
        <v>0.85223729608992782</v>
      </c>
      <c r="Y72" s="208">
        <f t="shared" si="78"/>
        <v>0.75375030442893598</v>
      </c>
      <c r="Z72" s="208">
        <f t="shared" si="78"/>
        <v>0.7818217448330036</v>
      </c>
      <c r="AA72" s="208">
        <f t="shared" si="78"/>
        <v>0.94604148268083232</v>
      </c>
      <c r="AB72" s="208">
        <f t="shared" si="78"/>
        <v>0.93482326607621846</v>
      </c>
      <c r="AC72" s="208">
        <f t="shared" si="78"/>
        <v>0.69006380837086156</v>
      </c>
      <c r="AD72" s="208">
        <f t="shared" si="78"/>
        <v>0.69006380837086156</v>
      </c>
      <c r="AE72" s="208">
        <f t="shared" ref="AE72:AP72" si="79">+(AE32-AE35-AE40)/AE42</f>
        <v>0.75083163914087792</v>
      </c>
      <c r="AF72" s="208">
        <f t="shared" si="79"/>
        <v>0.72518479635736843</v>
      </c>
      <c r="AG72" s="208">
        <f t="shared" si="79"/>
        <v>0.70926878417915662</v>
      </c>
      <c r="AH72" s="208">
        <f t="shared" si="79"/>
        <v>0.6946856719798632</v>
      </c>
      <c r="AI72" s="208">
        <f t="shared" si="79"/>
        <v>1.1846120535420146</v>
      </c>
      <c r="AJ72" s="208">
        <f t="shared" si="79"/>
        <v>1.1418106449499932</v>
      </c>
      <c r="AK72" s="208">
        <f t="shared" si="79"/>
        <v>0.85108928384655413</v>
      </c>
      <c r="AL72" s="208">
        <f t="shared" si="79"/>
        <v>0.9405379137430675</v>
      </c>
      <c r="AM72" s="208">
        <f t="shared" si="79"/>
        <v>0.98673328699391649</v>
      </c>
      <c r="AN72" s="208">
        <f t="shared" si="79"/>
        <v>1.1463662624166353</v>
      </c>
      <c r="AO72" s="208">
        <f t="shared" si="79"/>
        <v>1.1193247591325202</v>
      </c>
      <c r="AP72" s="208">
        <f t="shared" si="79"/>
        <v>0.79864525123467833</v>
      </c>
      <c r="AQ72" s="208"/>
      <c r="AR72" s="208">
        <f t="shared" ref="AR72:AW72" si="80">+(AR32-AR35-AR40)/AR42</f>
        <v>0.84821554982464675</v>
      </c>
      <c r="AS72" s="208">
        <f t="shared" si="80"/>
        <v>0.92329535564064047</v>
      </c>
      <c r="AT72" s="208">
        <f t="shared" si="80"/>
        <v>1.0489742706536094</v>
      </c>
      <c r="AU72" s="208">
        <f t="shared" si="80"/>
        <v>1.2195371593981963</v>
      </c>
      <c r="AV72" s="208">
        <f t="shared" si="80"/>
        <v>1.0881168783053892</v>
      </c>
      <c r="AW72" s="208">
        <f t="shared" si="80"/>
        <v>1.2994552954783873</v>
      </c>
    </row>
    <row r="73" spans="4:49" x14ac:dyDescent="0.25">
      <c r="D73" s="194" t="s">
        <v>579</v>
      </c>
      <c r="E73" s="209">
        <f t="shared" ref="E73:AD73" si="81">+E33/E42</f>
        <v>3.0049877776903773E-2</v>
      </c>
      <c r="F73" s="209">
        <f t="shared" si="81"/>
        <v>0.11160937010143468</v>
      </c>
      <c r="G73" s="209">
        <f t="shared" si="81"/>
        <v>4.6699782250016766E-2</v>
      </c>
      <c r="H73" s="209">
        <f t="shared" si="81"/>
        <v>4.8381798537821805E-2</v>
      </c>
      <c r="I73" s="209">
        <f t="shared" si="81"/>
        <v>3.6839046636801431E-2</v>
      </c>
      <c r="J73" s="209">
        <f t="shared" si="81"/>
        <v>5.0430207037067069E-2</v>
      </c>
      <c r="K73" s="209">
        <f t="shared" si="81"/>
        <v>4.0171502519204177E-2</v>
      </c>
      <c r="L73" s="209">
        <f t="shared" si="81"/>
        <v>7.4045416264829522E-2</v>
      </c>
      <c r="M73" s="209">
        <f t="shared" si="81"/>
        <v>0.10126035658770051</v>
      </c>
      <c r="N73" s="209">
        <f t="shared" si="81"/>
        <v>7.6840322729267857E-2</v>
      </c>
      <c r="O73" s="209">
        <f t="shared" si="81"/>
        <v>5.8680507639619579E-2</v>
      </c>
      <c r="P73" s="209">
        <f t="shared" si="81"/>
        <v>5.1589196050800618E-2</v>
      </c>
      <c r="Q73" s="209">
        <f t="shared" si="81"/>
        <v>5.1589196050800618E-2</v>
      </c>
      <c r="R73" s="209">
        <f t="shared" si="81"/>
        <v>5.1755645370567115E-2</v>
      </c>
      <c r="S73" s="209">
        <f t="shared" si="81"/>
        <v>4.0705696708579618E-2</v>
      </c>
      <c r="T73" s="209">
        <f t="shared" si="81"/>
        <v>2.9821731550092264E-2</v>
      </c>
      <c r="U73" s="209">
        <f t="shared" si="81"/>
        <v>3.624094026391813E-2</v>
      </c>
      <c r="V73" s="209">
        <f t="shared" si="81"/>
        <v>4.3737413891157199E-2</v>
      </c>
      <c r="W73" s="209">
        <f t="shared" si="81"/>
        <v>4.4594807698579382E-2</v>
      </c>
      <c r="X73" s="209">
        <f t="shared" si="81"/>
        <v>8.8794865909064866E-2</v>
      </c>
      <c r="Y73" s="209">
        <f t="shared" si="81"/>
        <v>6.5583669800532901E-2</v>
      </c>
      <c r="Z73" s="209">
        <f t="shared" si="81"/>
        <v>5.1591451480494772E-2</v>
      </c>
      <c r="AA73" s="209">
        <f t="shared" si="81"/>
        <v>7.2243758751292145E-2</v>
      </c>
      <c r="AB73" s="209">
        <f t="shared" si="81"/>
        <v>6.3419925758570125E-2</v>
      </c>
      <c r="AC73" s="209">
        <f t="shared" si="81"/>
        <v>1.9255247937904348E-2</v>
      </c>
      <c r="AD73" s="209">
        <f t="shared" si="81"/>
        <v>1.9255247937904348E-2</v>
      </c>
      <c r="AE73" s="209">
        <f t="shared" ref="AE73:AP73" si="82">+AE33/AE42</f>
        <v>2.9352541324156441E-2</v>
      </c>
      <c r="AF73" s="209">
        <f t="shared" si="82"/>
        <v>3.9507502049920359E-2</v>
      </c>
      <c r="AG73" s="209">
        <f t="shared" si="82"/>
        <v>2.3316955217873421E-2</v>
      </c>
      <c r="AH73" s="209">
        <f t="shared" si="82"/>
        <v>1.7415432597054824E-2</v>
      </c>
      <c r="AI73" s="209">
        <f t="shared" si="82"/>
        <v>5.4896423752921274E-2</v>
      </c>
      <c r="AJ73" s="209">
        <f t="shared" si="82"/>
        <v>5.8290085653118676E-2</v>
      </c>
      <c r="AK73" s="209">
        <f t="shared" si="82"/>
        <v>4.9269501285552651E-2</v>
      </c>
      <c r="AL73" s="209">
        <f t="shared" si="82"/>
        <v>8.5321715823694064E-2</v>
      </c>
      <c r="AM73" s="209">
        <f t="shared" si="82"/>
        <v>5.6328729153718345E-2</v>
      </c>
      <c r="AN73" s="209">
        <f t="shared" si="82"/>
        <v>7.437592260388047E-2</v>
      </c>
      <c r="AO73" s="209">
        <f t="shared" si="82"/>
        <v>3.3270924679042892E-2</v>
      </c>
      <c r="AP73" s="209">
        <f t="shared" si="82"/>
        <v>6.432999080524783E-2</v>
      </c>
      <c r="AQ73" s="209"/>
      <c r="AR73" s="209">
        <f t="shared" ref="AR73:AW73" si="83">+AR33/AR42</f>
        <v>6.7545077236226075E-2</v>
      </c>
      <c r="AS73" s="209">
        <f t="shared" si="83"/>
        <v>5.0533915283807018E-2</v>
      </c>
      <c r="AT73" s="209">
        <f t="shared" si="83"/>
        <v>0.12655515696434405</v>
      </c>
      <c r="AU73" s="209">
        <f t="shared" si="83"/>
        <v>0.13694604951855568</v>
      </c>
      <c r="AV73" s="209">
        <f t="shared" si="83"/>
        <v>8.2423532112173431E-2</v>
      </c>
      <c r="AW73" s="209">
        <f t="shared" si="83"/>
        <v>0.28831584422168893</v>
      </c>
    </row>
    <row r="74" spans="4:49" x14ac:dyDescent="0.25">
      <c r="D74" s="194" t="s">
        <v>580</v>
      </c>
      <c r="E74" s="203">
        <f t="shared" ref="E74:AD74" si="84">+E33+E34+E35-E42</f>
        <v>159927577.7900002</v>
      </c>
      <c r="F74" s="203">
        <f t="shared" si="84"/>
        <v>153169504.82000053</v>
      </c>
      <c r="G74" s="203">
        <f t="shared" si="84"/>
        <v>152707731.63000041</v>
      </c>
      <c r="H74" s="203">
        <f t="shared" si="84"/>
        <v>157093368.18000042</v>
      </c>
      <c r="I74" s="203">
        <f t="shared" si="84"/>
        <v>177597845.4500002</v>
      </c>
      <c r="J74" s="203">
        <f t="shared" si="84"/>
        <v>195723653.63000035</v>
      </c>
      <c r="K74" s="203">
        <f t="shared" si="84"/>
        <v>200223288.91000018</v>
      </c>
      <c r="L74" s="203">
        <f t="shared" si="84"/>
        <v>200503417.85000023</v>
      </c>
      <c r="M74" s="203">
        <f t="shared" si="84"/>
        <v>241212940.10000002</v>
      </c>
      <c r="N74" s="203">
        <f t="shared" si="84"/>
        <v>238089480.73999995</v>
      </c>
      <c r="O74" s="203">
        <f t="shared" si="84"/>
        <v>227314091.14000002</v>
      </c>
      <c r="P74" s="203">
        <f t="shared" si="84"/>
        <v>105325557.3600001</v>
      </c>
      <c r="Q74" s="203">
        <f t="shared" si="84"/>
        <v>105325557.3600001</v>
      </c>
      <c r="R74" s="203">
        <f t="shared" si="84"/>
        <v>141509773.80999997</v>
      </c>
      <c r="S74" s="203">
        <f t="shared" si="84"/>
        <v>132906634.09000024</v>
      </c>
      <c r="T74" s="203">
        <f t="shared" si="84"/>
        <v>130054381.1600005</v>
      </c>
      <c r="U74" s="203">
        <f t="shared" si="84"/>
        <v>134616302.14000061</v>
      </c>
      <c r="V74" s="203">
        <f t="shared" si="84"/>
        <v>146877691.55000061</v>
      </c>
      <c r="W74" s="203">
        <f t="shared" si="84"/>
        <v>161678510.50000063</v>
      </c>
      <c r="X74" s="203">
        <f t="shared" si="84"/>
        <v>169975126.83000076</v>
      </c>
      <c r="Y74" s="203">
        <f t="shared" si="84"/>
        <v>165835709.53000072</v>
      </c>
      <c r="Z74" s="203">
        <f t="shared" si="84"/>
        <v>175668207.0200007</v>
      </c>
      <c r="AA74" s="203">
        <f t="shared" si="84"/>
        <v>199360919.93000054</v>
      </c>
      <c r="AB74" s="203">
        <f t="shared" si="84"/>
        <v>191712046.18000066</v>
      </c>
      <c r="AC74" s="203">
        <f t="shared" si="84"/>
        <v>102386815.75000066</v>
      </c>
      <c r="AD74" s="203">
        <f t="shared" si="84"/>
        <v>102386815.75000066</v>
      </c>
      <c r="AE74" s="203">
        <f t="shared" ref="AE74:AP74" si="85">+AE33+AE34+AE35-AE42</f>
        <v>114308113.77999997</v>
      </c>
      <c r="AF74" s="203">
        <f t="shared" si="85"/>
        <v>103517928.30000001</v>
      </c>
      <c r="AG74" s="203">
        <f t="shared" si="85"/>
        <v>98673074.200000048</v>
      </c>
      <c r="AH74" s="203">
        <f t="shared" si="85"/>
        <v>81768472.629999995</v>
      </c>
      <c r="AI74" s="203">
        <f t="shared" si="85"/>
        <v>196436537.27000004</v>
      </c>
      <c r="AJ74" s="203">
        <f t="shared" si="85"/>
        <v>200499747.65000001</v>
      </c>
      <c r="AK74" s="203">
        <f t="shared" si="85"/>
        <v>152549038.50999996</v>
      </c>
      <c r="AL74" s="203">
        <f t="shared" si="85"/>
        <v>164164727.89000005</v>
      </c>
      <c r="AM74" s="203">
        <f t="shared" si="85"/>
        <v>168951132.31</v>
      </c>
      <c r="AN74" s="203">
        <f t="shared" si="85"/>
        <v>187793750.21000004</v>
      </c>
      <c r="AO74" s="203">
        <f t="shared" si="85"/>
        <v>176072204.79999995</v>
      </c>
      <c r="AP74" s="203">
        <f t="shared" si="85"/>
        <v>106501316.61999997</v>
      </c>
      <c r="AQ74" s="203"/>
      <c r="AR74" s="203">
        <f t="shared" ref="AR74:AW74" si="86">+AR33+AR34+AR35-AR42</f>
        <v>103501251.27000001</v>
      </c>
      <c r="AS74" s="203">
        <f t="shared" si="86"/>
        <v>115367782.18000001</v>
      </c>
      <c r="AT74" s="203">
        <f t="shared" si="86"/>
        <v>134718293.79999998</v>
      </c>
      <c r="AU74" s="203">
        <f t="shared" si="86"/>
        <v>157007339.66000003</v>
      </c>
      <c r="AV74" s="203">
        <f t="shared" si="86"/>
        <v>148438586.74999997</v>
      </c>
      <c r="AW74" s="203">
        <f t="shared" si="86"/>
        <v>189823113.95000002</v>
      </c>
    </row>
    <row r="76" spans="4:49" x14ac:dyDescent="0.25">
      <c r="D76" s="210" t="s">
        <v>582</v>
      </c>
    </row>
    <row r="77" spans="4:49" x14ac:dyDescent="0.25">
      <c r="D77" s="194" t="s">
        <v>583</v>
      </c>
      <c r="E77" s="209">
        <f>+SUM(E5:$AR5)/E74</f>
        <v>16.33724342002364</v>
      </c>
      <c r="F77" s="209">
        <f>+SUM(F5:$AR5)/F74</f>
        <v>16.840684296533531</v>
      </c>
      <c r="G77" s="209">
        <f>+SUM(G5:$AR5)/G74</f>
        <v>16.71386132002878</v>
      </c>
      <c r="H77" s="209">
        <f>+SUM(H5:$AR5)/H74</f>
        <v>16.076643512323173</v>
      </c>
      <c r="I77" s="209">
        <f>+SUM(I5:$AR5)/I74</f>
        <v>14.033975757052163</v>
      </c>
      <c r="J77" s="209">
        <f>+SUM(J5:$AR5)/J74</f>
        <v>12.526695575971992</v>
      </c>
      <c r="K77" s="209">
        <f>+SUM(K5:$AR5)/K74</f>
        <v>12.071064331913925</v>
      </c>
      <c r="L77" s="209">
        <f>+SUM(L5:$AR5)/L74</f>
        <v>11.858625536043439</v>
      </c>
      <c r="M77" s="209">
        <f>+SUM(M5:$AR5)/M74</f>
        <v>9.6953927546775098</v>
      </c>
      <c r="N77" s="209">
        <f>+SUM(N5:$AR5)/N74</f>
        <v>9.6312219279192686</v>
      </c>
      <c r="O77" s="209">
        <f>+SUM(O5:$AR5)/O74</f>
        <v>9.9749913003127535</v>
      </c>
      <c r="P77" s="209">
        <f>+SUM(P5:$AR5)/P74</f>
        <v>21.253134076080599</v>
      </c>
      <c r="Q77" s="209">
        <f>+SUM(Q5:$AR5)/Q74</f>
        <v>20.83653637729013</v>
      </c>
      <c r="R77" s="209">
        <f>+SUM(R5:$AR5)/R74</f>
        <v>12.553647702350181</v>
      </c>
      <c r="S77" s="209">
        <f>+SUM(S5:$AR5)/S74</f>
        <v>13.156855778966458</v>
      </c>
      <c r="T77" s="209">
        <f>+SUM(T5:$AR5)/T74</f>
        <v>13.219376664634567</v>
      </c>
      <c r="U77" s="209">
        <f>+SUM(U5:$AR5)/U74</f>
        <v>12.531261621163948</v>
      </c>
      <c r="V77" s="209">
        <f>+SUM(V5:$AR5)/V74</f>
        <v>11.255081829273163</v>
      </c>
      <c r="W77" s="209">
        <f>+SUM(W5:$AR5)/W74</f>
        <v>9.9910548022397432</v>
      </c>
      <c r="X77" s="209">
        <f>+SUM(X5:$AR5)/X74</f>
        <v>9.3047984045442629</v>
      </c>
      <c r="Y77" s="209">
        <f>+SUM(Y5:$AR5)/Y74</f>
        <v>9.280702218430056</v>
      </c>
      <c r="Z77" s="209">
        <f>+SUM(Z5:$AR5)/Z74</f>
        <v>8.5568472426479367</v>
      </c>
      <c r="AA77" s="209">
        <f>+SUM(AA5:$AR5)/AA74</f>
        <v>7.3622427187602923</v>
      </c>
      <c r="AB77" s="209">
        <f>+SUM(AB5:$AR5)/AB74</f>
        <v>7.3668549047458463</v>
      </c>
      <c r="AC77" s="209">
        <f>+SUM(AC5:$AR5)/AC74</f>
        <v>13.534840012933902</v>
      </c>
      <c r="AD77" s="209">
        <f>+SUM(AD5:$AR5)/AD74</f>
        <v>13.07491808328839</v>
      </c>
      <c r="AE77" s="209">
        <f>+SUM(AE5:$AR5)/AE74</f>
        <v>7.8816330778054775</v>
      </c>
      <c r="AF77" s="209">
        <f>+SUM(AF5:$AR5)/AF74</f>
        <v>8.2033732388749883</v>
      </c>
      <c r="AG77" s="209">
        <f>+SUM(AG5:$AR5)/AG74</f>
        <v>8.2898779827415119</v>
      </c>
      <c r="AH77" s="209">
        <f>+SUM(AH5:$AR5)/AH74</f>
        <v>9.6520729730548727</v>
      </c>
      <c r="AI77" s="209">
        <f>+SUM(AI5:$AR5)/AI74</f>
        <v>3.8790562946171998</v>
      </c>
      <c r="AJ77" s="209">
        <f>+SUM(AJ5:$AR5)/AJ74</f>
        <v>3.6391950191065483</v>
      </c>
      <c r="AK77" s="209">
        <f>+SUM(AK5:$AR5)/AK74</f>
        <v>4.5939556476067889</v>
      </c>
      <c r="AL77" s="209">
        <f>+SUM(AL5:$AR5)/AL74</f>
        <v>4.1025673891487955</v>
      </c>
      <c r="AM77" s="209">
        <f>+SUM(AM5:$AR5)/AM74</f>
        <v>3.7155505253920365</v>
      </c>
      <c r="AN77" s="209">
        <f>+SUM(AN5:$AR5)/AN74</f>
        <v>3.1682405807683658</v>
      </c>
      <c r="AO77" s="209">
        <f>+SUM(AO5:$AR5)/AO74</f>
        <v>3.1201041276447969</v>
      </c>
      <c r="AP77" s="209">
        <f>+SUM(AP5:$AR5)/AP74</f>
        <v>4.7861741642945717</v>
      </c>
      <c r="AQ77" s="209"/>
      <c r="AR77" s="209">
        <f>+SUM($AR5:AR5)/AR74</f>
        <v>0.35449095638744921</v>
      </c>
      <c r="AS77" s="209">
        <f>+SUM($AR5:AS5)/AS74</f>
        <v>0.7014578991709971</v>
      </c>
      <c r="AT77" s="209">
        <f>+SUM($AR5:AT5)/AT74</f>
        <v>0.89041366288443902</v>
      </c>
      <c r="AU77" s="209">
        <f>+SUM($AR5:AU5)/AU74</f>
        <v>1.1092002490910811</v>
      </c>
      <c r="AV77" s="209">
        <f>+SUM($AR5:AV5)/AV74</f>
        <v>1.3368738824913398</v>
      </c>
      <c r="AW77" s="209">
        <f>+SUM($AR5:AW5)/AW74</f>
        <v>1.3190272965174903</v>
      </c>
    </row>
    <row r="78" spans="4:49" x14ac:dyDescent="0.25">
      <c r="D78" s="194" t="s">
        <v>584</v>
      </c>
      <c r="E78" s="209">
        <f>+SUM(E5:$AR5)/E31</f>
        <v>2.5025524047991845</v>
      </c>
      <c r="F78" s="209">
        <f>+SUM(F5:$AR5)/F31</f>
        <v>2.4687990369378952</v>
      </c>
      <c r="G78" s="209">
        <f>+SUM(G5:$AR5)/G31</f>
        <v>2.4887088774542092</v>
      </c>
      <c r="H78" s="209">
        <f>+SUM(H5:$AR5)/H31</f>
        <v>2.4429382760026654</v>
      </c>
      <c r="I78" s="209">
        <f>+SUM(I5:$AR5)/I31</f>
        <v>2.3917649968888495</v>
      </c>
      <c r="J78" s="209">
        <f>+SUM(J5:$AR5)/J31</f>
        <v>2.3418220055523533</v>
      </c>
      <c r="K78" s="209">
        <f>+SUM(K5:$AR5)/K31</f>
        <v>2.2769545323965352</v>
      </c>
      <c r="L78" s="209">
        <f>+SUM(L5:$AR5)/L31</f>
        <v>2.2253107323413626</v>
      </c>
      <c r="M78" s="209">
        <f>+SUM(M5:$AR5)/M31</f>
        <v>2.186163863053797</v>
      </c>
      <c r="N78" s="209">
        <f>+SUM(N5:$AR5)/N31</f>
        <v>2.1852318059215241</v>
      </c>
      <c r="O78" s="209">
        <f>+SUM(O5:$AR5)/O31</f>
        <v>2.1917400968029446</v>
      </c>
      <c r="P78" s="209">
        <f>+SUM(P5:$AR5)/P31</f>
        <v>2.1613694162918904</v>
      </c>
      <c r="Q78" s="209">
        <f>+SUM(Q5:$AR5)/Q31</f>
        <v>2.1190028871089459</v>
      </c>
      <c r="R78" s="209">
        <f>+SUM(R5:$AR5)/R31</f>
        <v>1.7169778418681541</v>
      </c>
      <c r="S78" s="209">
        <f>+SUM(S5:$AR5)/S31</f>
        <v>1.7007758842342717</v>
      </c>
      <c r="T78" s="209">
        <f>+SUM(T5:$AR5)/T31</f>
        <v>1.6834523861971276</v>
      </c>
      <c r="U78" s="209">
        <f>+SUM(U5:$AR5)/U31</f>
        <v>1.6418805522917099</v>
      </c>
      <c r="V78" s="209">
        <f>+SUM(V5:$AR5)/V31</f>
        <v>1.5975636132578628</v>
      </c>
      <c r="W78" s="209">
        <f>+SUM(W5:$AR5)/W31</f>
        <v>1.5454326978777477</v>
      </c>
      <c r="X78" s="209">
        <f>+SUM(X5:$AR5)/X31</f>
        <v>1.5033924743782214</v>
      </c>
      <c r="Y78" s="209">
        <f>+SUM(Y5:$AR5)/Y31</f>
        <v>1.4647456936135261</v>
      </c>
      <c r="Z78" s="209">
        <f>+SUM(Z5:$AR5)/Z31</f>
        <v>1.4234455241029076</v>
      </c>
      <c r="AA78" s="209">
        <f>+SUM(AA5:$AR5)/AA31</f>
        <v>1.3720522763854441</v>
      </c>
      <c r="AB78" s="209">
        <f>+SUM(AB5:$AR5)/AB31</f>
        <v>1.324367896569475</v>
      </c>
      <c r="AC78" s="209">
        <f>+SUM(AC5:$AR5)/AC31</f>
        <v>1.295379125278463</v>
      </c>
      <c r="AD78" s="209">
        <f>+SUM(AD5:$AR5)/AD31</f>
        <v>1.2513613706281483</v>
      </c>
      <c r="AE78" s="209">
        <f>+SUM(AE5:$AR5)/AE31</f>
        <v>0.73470542585943233</v>
      </c>
      <c r="AF78" s="209">
        <f>+SUM(AF5:$AR5)/AF31</f>
        <v>0.7023411075118593</v>
      </c>
      <c r="AG78" s="209">
        <f>+SUM(AG5:$AR5)/AG31</f>
        <v>0.67983401146238309</v>
      </c>
      <c r="AH78" s="209">
        <f>+SUM(AH5:$AR5)/AH31</f>
        <v>0.6576153591089241</v>
      </c>
      <c r="AI78" s="209">
        <f>+SUM(AI5:$AR5)/AI31</f>
        <v>0.63852249928460736</v>
      </c>
      <c r="AJ78" s="209">
        <f>+SUM(AJ5:$AR5)/AJ31</f>
        <v>0.60786764009398886</v>
      </c>
      <c r="AK78" s="209">
        <f>+SUM(AK5:$AR5)/AK31</f>
        <v>0.58459710958210265</v>
      </c>
      <c r="AL78" s="209">
        <f>+SUM(AL5:$AR5)/AL31</f>
        <v>0.57051924937765219</v>
      </c>
      <c r="AM78" s="209">
        <f>+SUM(AM5:$AR5)/AM31</f>
        <v>0.53434898245508911</v>
      </c>
      <c r="AN78" s="209">
        <f>+SUM(AN5:$AR5)/AN31</f>
        <v>0.49826040805056326</v>
      </c>
      <c r="AO78" s="209">
        <f>+SUM(AO5:$AR5)/AO31</f>
        <v>0.46519599279603607</v>
      </c>
      <c r="AP78" s="209">
        <f>+SUM(AP5:$AR5)/AP31</f>
        <v>0.42867891857637497</v>
      </c>
      <c r="AQ78" s="209"/>
      <c r="AR78" s="209">
        <f>+SUM($AR5:AR5)/AR31</f>
        <v>3.0957218909248588E-2</v>
      </c>
      <c r="AS78" s="209">
        <f>+SUM($AR5:AS5)/AS31</f>
        <v>6.804330847442755E-2</v>
      </c>
      <c r="AT78" s="209">
        <f>+SUM($AR5:AT5)/AT31</f>
        <v>9.9676331125305231E-2</v>
      </c>
      <c r="AU78" s="209">
        <f>+SUM($AR5:AU5)/AU31</f>
        <v>0.14358988249282353</v>
      </c>
      <c r="AV78" s="209">
        <f>+SUM($AR5:AV5)/AV31</f>
        <v>0.16222011920902712</v>
      </c>
      <c r="AW78" s="209">
        <f>+SUM($AR5:AW5)/AW31</f>
        <v>0.20074808083273549</v>
      </c>
    </row>
    <row r="79" spans="4:49" x14ac:dyDescent="0.25">
      <c r="D79" s="194" t="s">
        <v>585</v>
      </c>
      <c r="E79" s="209">
        <f>+SUM(E5:$AR5)/E37</f>
        <v>4.2089307292476041</v>
      </c>
      <c r="F79" s="209">
        <f>+SUM(F5:$AR5)/F37</f>
        <v>4.1733784166668979</v>
      </c>
      <c r="G79" s="209">
        <f>+SUM(G5:$AR5)/G37</f>
        <v>4.1444523916749452</v>
      </c>
      <c r="H79" s="209">
        <f>+SUM(H5:$AR5)/H37</f>
        <v>4.1147272765201768</v>
      </c>
      <c r="I79" s="209">
        <f>+SUM(I5:$AR5)/I37</f>
        <v>4.0737854236701958</v>
      </c>
      <c r="J79" s="209">
        <f>+SUM(J5:$AR5)/J37</f>
        <v>4.0215077831434938</v>
      </c>
      <c r="K79" s="209">
        <f>+SUM(K5:$AR5)/K37</f>
        <v>3.9670768670915724</v>
      </c>
      <c r="L79" s="209">
        <f>+SUM(L5:$AR5)/L37</f>
        <v>3.9137809888172512</v>
      </c>
      <c r="M79" s="209">
        <f>+SUM(M5:$AR5)/M37</f>
        <v>3.8937293488732077</v>
      </c>
      <c r="N79" s="209">
        <f>+SUM(N5:$AR5)/N37</f>
        <v>3.8259158452261421</v>
      </c>
      <c r="O79" s="209">
        <f>+SUM(O5:$AR5)/O37</f>
        <v>3.7914136897256783</v>
      </c>
      <c r="P79" s="209">
        <f>+SUM(P5:$AR5)/P37</f>
        <v>3.7458953691824388</v>
      </c>
      <c r="Q79" s="209">
        <f>+SUM(Q5:$AR5)/Q37</f>
        <v>3.6724694271484317</v>
      </c>
      <c r="R79" s="209">
        <f>+SUM(R5:$AR5)/R37</f>
        <v>2.9792958545271473</v>
      </c>
      <c r="S79" s="209">
        <f>+SUM(S5:$AR5)/S37</f>
        <v>2.939668599236744</v>
      </c>
      <c r="T79" s="209">
        <f>+SUM(T5:$AR5)/T37</f>
        <v>2.8974595593107644</v>
      </c>
      <c r="U79" s="209">
        <f>+SUM(U5:$AR5)/U37</f>
        <v>2.8498209228634428</v>
      </c>
      <c r="V79" s="209">
        <f>+SUM(V5:$AR5)/V37</f>
        <v>2.7998820132450333</v>
      </c>
      <c r="W79" s="209">
        <f>+SUM(W5:$AR5)/W37</f>
        <v>2.7421217898305268</v>
      </c>
      <c r="X79" s="209">
        <f>+SUM(X5:$AR5)/X37</f>
        <v>2.6909575063539393</v>
      </c>
      <c r="Y79" s="209">
        <f>+SUM(Y5:$AR5)/Y37</f>
        <v>2.6316535436522903</v>
      </c>
      <c r="Z79" s="209">
        <f>+SUM(Z5:$AR5)/Z37</f>
        <v>2.5785573340177494</v>
      </c>
      <c r="AA79" s="209">
        <f>+SUM(AA5:$AR5)/AA37</f>
        <v>2.5256467062460959</v>
      </c>
      <c r="AB79" s="209">
        <f>+SUM(AB5:$AR5)/AB37</f>
        <v>2.4351301895708808</v>
      </c>
      <c r="AC79" s="209">
        <f>+SUM(AC5:$AR5)/AC37</f>
        <v>2.3956354247412119</v>
      </c>
      <c r="AD79" s="209">
        <f>+SUM(AD5:$AR5)/AD37</f>
        <v>2.314230305344068</v>
      </c>
      <c r="AE79" s="209">
        <f>+SUM(AE5:$AR5)/AE37</f>
        <v>1.5603099399237659</v>
      </c>
      <c r="AF79" s="209">
        <f>+SUM(AF5:$AR5)/AF37</f>
        <v>1.4736978175050446</v>
      </c>
      <c r="AG79" s="209">
        <f>+SUM(AG5:$AR5)/AG37</f>
        <v>1.4222970328911091</v>
      </c>
      <c r="AH79" s="209">
        <f>+SUM(AH5:$AR5)/AH37</f>
        <v>1.373749622017614</v>
      </c>
      <c r="AI79" s="209">
        <f>+SUM(AI5:$AR5)/AI37</f>
        <v>1.3281166810599119</v>
      </c>
      <c r="AJ79" s="209">
        <f>+SUM(AJ5:$AR5)/AJ37</f>
        <v>1.2714522562811157</v>
      </c>
      <c r="AK79" s="209">
        <f>+SUM(AK5:$AR5)/AK37</f>
        <v>1.1798464248412563</v>
      </c>
      <c r="AL79" s="209">
        <f>+SUM(AL5:$AR5)/AL37</f>
        <v>1.1313775109917832</v>
      </c>
      <c r="AM79" s="209">
        <f>+SUM(AM5:$AR5)/AM37</f>
        <v>1.0508759974650923</v>
      </c>
      <c r="AN79" s="209">
        <f>+SUM(AN5:$AR5)/AN37</f>
        <v>0.99199956425884162</v>
      </c>
      <c r="AO79" s="209">
        <f>+SUM(AO5:$AR5)/AO37</f>
        <v>0.91096825227201028</v>
      </c>
      <c r="AP79" s="209">
        <f>+SUM(AP5:$AR5)/AP37</f>
        <v>0.83996851383722493</v>
      </c>
      <c r="AQ79" s="209"/>
      <c r="AR79" s="209">
        <f>+SUM($AR5:AR5)/AR37</f>
        <v>5.9294483637569548E-2</v>
      </c>
      <c r="AS79" s="209">
        <f>+SUM($AR5:AS5)/AS37</f>
        <v>0.12977170532288745</v>
      </c>
      <c r="AT79" s="209">
        <f>+SUM($AR5:AT5)/AT37</f>
        <v>0.19044400033012551</v>
      </c>
      <c r="AU79" s="209">
        <f>+SUM($AR5:AU5)/AU37</f>
        <v>0.27294880589219656</v>
      </c>
      <c r="AV79" s="209">
        <f>+SUM($AR5:AV5)/AV37</f>
        <v>0.30651430826137444</v>
      </c>
      <c r="AW79" s="209">
        <f>+SUM($AR5:AW5)/AW37</f>
        <v>0.3812012320954497</v>
      </c>
    </row>
    <row r="81" spans="4:49" x14ac:dyDescent="0.25">
      <c r="D81" s="210" t="s">
        <v>590</v>
      </c>
    </row>
    <row r="82" spans="4:49" x14ac:dyDescent="0.25">
      <c r="D82" s="194" t="s">
        <v>591</v>
      </c>
      <c r="E82" s="209">
        <f t="shared" ref="E82:AD82" si="87">+E41/E59</f>
        <v>1</v>
      </c>
      <c r="F82" s="209">
        <f t="shared" si="87"/>
        <v>1</v>
      </c>
      <c r="G82" s="209">
        <f t="shared" si="87"/>
        <v>1</v>
      </c>
      <c r="H82" s="209">
        <f t="shared" si="87"/>
        <v>1</v>
      </c>
      <c r="I82" s="209">
        <f t="shared" si="87"/>
        <v>1</v>
      </c>
      <c r="J82" s="209">
        <f t="shared" si="87"/>
        <v>1</v>
      </c>
      <c r="K82" s="209">
        <f t="shared" si="87"/>
        <v>1</v>
      </c>
      <c r="L82" s="209">
        <f t="shared" si="87"/>
        <v>1</v>
      </c>
      <c r="M82" s="209">
        <f t="shared" si="87"/>
        <v>1</v>
      </c>
      <c r="N82" s="209">
        <f t="shared" si="87"/>
        <v>1</v>
      </c>
      <c r="O82" s="209">
        <f t="shared" si="87"/>
        <v>1</v>
      </c>
      <c r="P82" s="209">
        <f t="shared" si="87"/>
        <v>1</v>
      </c>
      <c r="Q82" s="209">
        <f t="shared" si="87"/>
        <v>1</v>
      </c>
      <c r="R82" s="209">
        <f t="shared" si="87"/>
        <v>1</v>
      </c>
      <c r="S82" s="209">
        <f t="shared" si="87"/>
        <v>1</v>
      </c>
      <c r="T82" s="209">
        <f t="shared" si="87"/>
        <v>1</v>
      </c>
      <c r="U82" s="209">
        <f t="shared" si="87"/>
        <v>1</v>
      </c>
      <c r="V82" s="209">
        <f t="shared" si="87"/>
        <v>1</v>
      </c>
      <c r="W82" s="209">
        <f t="shared" si="87"/>
        <v>1</v>
      </c>
      <c r="X82" s="209">
        <f t="shared" si="87"/>
        <v>1</v>
      </c>
      <c r="Y82" s="209">
        <f t="shared" si="87"/>
        <v>1</v>
      </c>
      <c r="Z82" s="209">
        <f t="shared" si="87"/>
        <v>1</v>
      </c>
      <c r="AA82" s="209">
        <f t="shared" si="87"/>
        <v>1</v>
      </c>
      <c r="AB82" s="209">
        <f t="shared" si="87"/>
        <v>1</v>
      </c>
      <c r="AC82" s="209">
        <f t="shared" si="87"/>
        <v>1</v>
      </c>
      <c r="AD82" s="209">
        <f t="shared" si="87"/>
        <v>1</v>
      </c>
      <c r="AE82" s="209">
        <f t="shared" ref="AE82:AP82" si="88">+AE41/AE59</f>
        <v>0.61558901192940141</v>
      </c>
      <c r="AF82" s="209">
        <f t="shared" si="88"/>
        <v>0.61743501138795809</v>
      </c>
      <c r="AG82" s="209">
        <f t="shared" si="88"/>
        <v>0.62185516270381269</v>
      </c>
      <c r="AH82" s="209">
        <f t="shared" si="88"/>
        <v>0.63559033011983734</v>
      </c>
      <c r="AI82" s="209">
        <f t="shared" si="88"/>
        <v>0.63635286664911805</v>
      </c>
      <c r="AJ82" s="209">
        <f t="shared" si="88"/>
        <v>0.63611464687624464</v>
      </c>
      <c r="AK82" s="209">
        <f t="shared" si="88"/>
        <v>0.63173674214070275</v>
      </c>
      <c r="AL82" s="209">
        <f t="shared" si="88"/>
        <v>0.61514602179710132</v>
      </c>
      <c r="AM82" s="209">
        <f t="shared" si="88"/>
        <v>0.61201300677395354</v>
      </c>
      <c r="AN82" s="209">
        <f t="shared" si="88"/>
        <v>0.60446310848523099</v>
      </c>
      <c r="AO82" s="209">
        <f t="shared" si="88"/>
        <v>0.59711461173839975</v>
      </c>
      <c r="AP82" s="209">
        <f t="shared" si="88"/>
        <v>0.59802798631318865</v>
      </c>
      <c r="AQ82" s="209"/>
      <c r="AR82" s="209">
        <f t="shared" ref="AR82:AW82" si="89">+AR41/AR59</f>
        <v>0.59396020891253598</v>
      </c>
      <c r="AS82" s="209">
        <f t="shared" si="89"/>
        <v>0.58279103962243184</v>
      </c>
      <c r="AT82" s="209">
        <f t="shared" si="89"/>
        <v>0.57668377650326896</v>
      </c>
      <c r="AU82" s="209">
        <f t="shared" si="89"/>
        <v>0.5594113392805431</v>
      </c>
      <c r="AV82" s="209">
        <f t="shared" si="89"/>
        <v>0.55616310320630125</v>
      </c>
      <c r="AW82" s="209">
        <f t="shared" si="89"/>
        <v>0.54707183176868479</v>
      </c>
    </row>
    <row r="83" spans="4:49" x14ac:dyDescent="0.25">
      <c r="D83" s="194" t="s">
        <v>592</v>
      </c>
      <c r="E83" s="209">
        <f t="shared" ref="E83:AD83" si="90">1-E82</f>
        <v>0</v>
      </c>
      <c r="F83" s="209">
        <f t="shared" si="90"/>
        <v>0</v>
      </c>
      <c r="G83" s="209">
        <f t="shared" si="90"/>
        <v>0</v>
      </c>
      <c r="H83" s="209">
        <f t="shared" si="90"/>
        <v>0</v>
      </c>
      <c r="I83" s="209">
        <f t="shared" si="90"/>
        <v>0</v>
      </c>
      <c r="J83" s="209">
        <f t="shared" si="90"/>
        <v>0</v>
      </c>
      <c r="K83" s="209">
        <f t="shared" si="90"/>
        <v>0</v>
      </c>
      <c r="L83" s="209">
        <f t="shared" si="90"/>
        <v>0</v>
      </c>
      <c r="M83" s="209">
        <f t="shared" si="90"/>
        <v>0</v>
      </c>
      <c r="N83" s="209">
        <f t="shared" si="90"/>
        <v>0</v>
      </c>
      <c r="O83" s="209">
        <f t="shared" si="90"/>
        <v>0</v>
      </c>
      <c r="P83" s="209">
        <f t="shared" si="90"/>
        <v>0</v>
      </c>
      <c r="Q83" s="209">
        <f t="shared" si="90"/>
        <v>0</v>
      </c>
      <c r="R83" s="209">
        <f t="shared" si="90"/>
        <v>0</v>
      </c>
      <c r="S83" s="209">
        <f t="shared" si="90"/>
        <v>0</v>
      </c>
      <c r="T83" s="209">
        <f t="shared" si="90"/>
        <v>0</v>
      </c>
      <c r="U83" s="209">
        <f t="shared" si="90"/>
        <v>0</v>
      </c>
      <c r="V83" s="209">
        <f t="shared" si="90"/>
        <v>0</v>
      </c>
      <c r="W83" s="209">
        <f t="shared" si="90"/>
        <v>0</v>
      </c>
      <c r="X83" s="209">
        <f t="shared" si="90"/>
        <v>0</v>
      </c>
      <c r="Y83" s="209">
        <f t="shared" si="90"/>
        <v>0</v>
      </c>
      <c r="Z83" s="209">
        <f t="shared" si="90"/>
        <v>0</v>
      </c>
      <c r="AA83" s="209">
        <f t="shared" si="90"/>
        <v>0</v>
      </c>
      <c r="AB83" s="209">
        <f t="shared" si="90"/>
        <v>0</v>
      </c>
      <c r="AC83" s="209">
        <f t="shared" si="90"/>
        <v>0</v>
      </c>
      <c r="AD83" s="209">
        <f t="shared" si="90"/>
        <v>0</v>
      </c>
      <c r="AE83" s="209">
        <f t="shared" ref="AE83:AP83" si="91">1-AE82</f>
        <v>0.38441098807059859</v>
      </c>
      <c r="AF83" s="209">
        <f t="shared" si="91"/>
        <v>0.38256498861204191</v>
      </c>
      <c r="AG83" s="209">
        <f t="shared" si="91"/>
        <v>0.37814483729618731</v>
      </c>
      <c r="AH83" s="209">
        <f t="shared" si="91"/>
        <v>0.36440966988016266</v>
      </c>
      <c r="AI83" s="209">
        <f t="shared" si="91"/>
        <v>0.36364713335088195</v>
      </c>
      <c r="AJ83" s="209">
        <f t="shared" si="91"/>
        <v>0.36388535312375536</v>
      </c>
      <c r="AK83" s="209">
        <f t="shared" si="91"/>
        <v>0.36826325785929725</v>
      </c>
      <c r="AL83" s="209">
        <f t="shared" si="91"/>
        <v>0.38485397820289868</v>
      </c>
      <c r="AM83" s="209">
        <f t="shared" si="91"/>
        <v>0.38798699322604646</v>
      </c>
      <c r="AN83" s="209">
        <f t="shared" si="91"/>
        <v>0.39553689151476901</v>
      </c>
      <c r="AO83" s="209">
        <f t="shared" si="91"/>
        <v>0.40288538826160025</v>
      </c>
      <c r="AP83" s="209">
        <f t="shared" si="91"/>
        <v>0.40197201368681135</v>
      </c>
      <c r="AQ83" s="209"/>
      <c r="AR83" s="209">
        <f t="shared" ref="AR83:AW83" si="92">1-AR82</f>
        <v>0.40603979108746402</v>
      </c>
      <c r="AS83" s="209">
        <f t="shared" si="92"/>
        <v>0.41720896037756816</v>
      </c>
      <c r="AT83" s="209">
        <f t="shared" si="92"/>
        <v>0.42331622349673104</v>
      </c>
      <c r="AU83" s="209">
        <f t="shared" si="92"/>
        <v>0.4405886607194569</v>
      </c>
      <c r="AV83" s="209">
        <f t="shared" si="92"/>
        <v>0.44383689679369875</v>
      </c>
      <c r="AW83" s="209">
        <f t="shared" si="92"/>
        <v>0.45292816823131521</v>
      </c>
    </row>
    <row r="84" spans="4:49" x14ac:dyDescent="0.25">
      <c r="D84" s="194" t="s">
        <v>593</v>
      </c>
      <c r="E84" s="209" t="e">
        <f>+E41/E55</f>
        <v>#DIV/0!</v>
      </c>
      <c r="F84" s="209" t="e">
        <f t="shared" ref="F84:AD84" si="93">+F41/F55</f>
        <v>#DIV/0!</v>
      </c>
      <c r="G84" s="209" t="e">
        <f t="shared" si="93"/>
        <v>#DIV/0!</v>
      </c>
      <c r="H84" s="209" t="e">
        <f t="shared" si="93"/>
        <v>#DIV/0!</v>
      </c>
      <c r="I84" s="209" t="e">
        <f t="shared" si="93"/>
        <v>#DIV/0!</v>
      </c>
      <c r="J84" s="209" t="e">
        <f t="shared" si="93"/>
        <v>#DIV/0!</v>
      </c>
      <c r="K84" s="209" t="e">
        <f t="shared" si="93"/>
        <v>#DIV/0!</v>
      </c>
      <c r="L84" s="209" t="e">
        <f t="shared" si="93"/>
        <v>#DIV/0!</v>
      </c>
      <c r="M84" s="209" t="e">
        <f t="shared" si="93"/>
        <v>#DIV/0!</v>
      </c>
      <c r="N84" s="209" t="e">
        <f t="shared" si="93"/>
        <v>#DIV/0!</v>
      </c>
      <c r="O84" s="209" t="e">
        <f t="shared" si="93"/>
        <v>#DIV/0!</v>
      </c>
      <c r="P84" s="209" t="e">
        <f t="shared" si="93"/>
        <v>#DIV/0!</v>
      </c>
      <c r="Q84" s="209" t="e">
        <f t="shared" si="93"/>
        <v>#DIV/0!</v>
      </c>
      <c r="R84" s="209" t="e">
        <f t="shared" si="93"/>
        <v>#DIV/0!</v>
      </c>
      <c r="S84" s="209" t="e">
        <f t="shared" si="93"/>
        <v>#DIV/0!</v>
      </c>
      <c r="T84" s="209" t="e">
        <f t="shared" si="93"/>
        <v>#DIV/0!</v>
      </c>
      <c r="U84" s="209" t="e">
        <f t="shared" si="93"/>
        <v>#DIV/0!</v>
      </c>
      <c r="V84" s="209" t="e">
        <f t="shared" si="93"/>
        <v>#DIV/0!</v>
      </c>
      <c r="W84" s="209" t="e">
        <f t="shared" si="93"/>
        <v>#DIV/0!</v>
      </c>
      <c r="X84" s="209" t="e">
        <f t="shared" si="93"/>
        <v>#DIV/0!</v>
      </c>
      <c r="Y84" s="209" t="e">
        <f t="shared" si="93"/>
        <v>#DIV/0!</v>
      </c>
      <c r="Z84" s="209" t="e">
        <f t="shared" si="93"/>
        <v>#DIV/0!</v>
      </c>
      <c r="AA84" s="209" t="e">
        <f t="shared" si="93"/>
        <v>#DIV/0!</v>
      </c>
      <c r="AB84" s="209" t="e">
        <f t="shared" si="93"/>
        <v>#DIV/0!</v>
      </c>
      <c r="AC84" s="209" t="e">
        <f t="shared" si="93"/>
        <v>#DIV/0!</v>
      </c>
      <c r="AD84" s="209" t="e">
        <f t="shared" si="93"/>
        <v>#DIV/0!</v>
      </c>
      <c r="AE84" s="209">
        <f t="shared" ref="AE84:AP84" si="94">+AE41/AE55</f>
        <v>1.6013824553223903</v>
      </c>
      <c r="AF84" s="209">
        <f t="shared" si="94"/>
        <v>1.6139349646919652</v>
      </c>
      <c r="AG84" s="209">
        <f t="shared" si="94"/>
        <v>1.6444893632561639</v>
      </c>
      <c r="AH84" s="209">
        <f t="shared" si="94"/>
        <v>1.7441642817240643</v>
      </c>
      <c r="AI84" s="209">
        <f t="shared" si="94"/>
        <v>1.7499185564460453</v>
      </c>
      <c r="AJ84" s="209">
        <f t="shared" si="94"/>
        <v>1.7481183054375522</v>
      </c>
      <c r="AK84" s="209">
        <f t="shared" si="94"/>
        <v>1.7154487412427959</v>
      </c>
      <c r="AL84" s="209">
        <f t="shared" si="94"/>
        <v>1.5983881072753012</v>
      </c>
      <c r="AM84" s="209">
        <f t="shared" si="94"/>
        <v>1.5774059890131069</v>
      </c>
      <c r="AN84" s="209">
        <f t="shared" si="94"/>
        <v>1.5282091796048327</v>
      </c>
      <c r="AO84" s="209">
        <f t="shared" si="94"/>
        <v>1.4820954771154002</v>
      </c>
      <c r="AP84" s="209">
        <f t="shared" si="94"/>
        <v>1.4877353794563679</v>
      </c>
      <c r="AQ84" s="209"/>
      <c r="AR84" s="209">
        <f t="shared" ref="AR84:AW84" si="95">+AR41/AR55</f>
        <v>1.4628128128077789</v>
      </c>
      <c r="AS84" s="209">
        <f t="shared" si="95"/>
        <v>1.3968804483370016</v>
      </c>
      <c r="AT84" s="209">
        <f t="shared" si="95"/>
        <v>1.3623002013475214</v>
      </c>
      <c r="AU84" s="209">
        <f t="shared" si="95"/>
        <v>1.269690732319473</v>
      </c>
      <c r="AV84" s="209">
        <f t="shared" si="95"/>
        <v>1.2530799201780047</v>
      </c>
      <c r="AW84" s="209">
        <f t="shared" si="95"/>
        <v>1.2078556162779643</v>
      </c>
    </row>
    <row r="85" spans="4:49" x14ac:dyDescent="0.25">
      <c r="D85" s="194" t="s">
        <v>594</v>
      </c>
      <c r="E85" s="209">
        <f t="shared" ref="E85:AD85" si="96">+E51/E59</f>
        <v>0.55389944686172921</v>
      </c>
      <c r="F85" s="209">
        <f t="shared" si="96"/>
        <v>0.54971496150736721</v>
      </c>
      <c r="G85" s="209">
        <f t="shared" si="96"/>
        <v>0.57758904715336923</v>
      </c>
      <c r="H85" s="209">
        <f t="shared" si="96"/>
        <v>0.56817899008222872</v>
      </c>
      <c r="I85" s="209">
        <f t="shared" si="96"/>
        <v>0.58484807953572016</v>
      </c>
      <c r="J85" s="209">
        <f t="shared" si="96"/>
        <v>0.60234049215838015</v>
      </c>
      <c r="K85" s="209">
        <f t="shared" si="96"/>
        <v>0.58798368204545115</v>
      </c>
      <c r="L85" s="209">
        <f t="shared" si="96"/>
        <v>0.58555895745179398</v>
      </c>
      <c r="M85" s="209">
        <f t="shared" si="96"/>
        <v>0.63549535682457248</v>
      </c>
      <c r="N85" s="209">
        <f t="shared" si="96"/>
        <v>0.65466954121626708</v>
      </c>
      <c r="O85" s="209">
        <f t="shared" si="96"/>
        <v>0.65699690378798792</v>
      </c>
      <c r="P85" s="209">
        <f t="shared" si="96"/>
        <v>0.41524071977724208</v>
      </c>
      <c r="Q85" s="209">
        <f t="shared" si="96"/>
        <v>0.41524071977724208</v>
      </c>
      <c r="R85" s="209">
        <f t="shared" si="96"/>
        <v>0.48780569762312792</v>
      </c>
      <c r="S85" s="209">
        <f t="shared" si="96"/>
        <v>0.48310643981419582</v>
      </c>
      <c r="T85" s="209">
        <f t="shared" si="96"/>
        <v>0.48358154772412154</v>
      </c>
      <c r="U85" s="209">
        <f t="shared" si="96"/>
        <v>0.48307928012601697</v>
      </c>
      <c r="V85" s="209">
        <f t="shared" si="96"/>
        <v>0.48373120096454469</v>
      </c>
      <c r="W85" s="209">
        <f t="shared" si="96"/>
        <v>0.49994787911254723</v>
      </c>
      <c r="X85" s="209">
        <f t="shared" si="96"/>
        <v>0.49936707809735453</v>
      </c>
      <c r="Y85" s="209">
        <f t="shared" si="96"/>
        <v>0.49695358304814535</v>
      </c>
      <c r="Z85" s="209">
        <f t="shared" si="96"/>
        <v>0.50275524175225794</v>
      </c>
      <c r="AA85" s="209">
        <f t="shared" si="96"/>
        <v>0.50915877696829481</v>
      </c>
      <c r="AB85" s="209">
        <f t="shared" si="96"/>
        <v>0.50278296324834348</v>
      </c>
      <c r="AC85" s="209">
        <f t="shared" si="96"/>
        <v>0.32089828194620912</v>
      </c>
      <c r="AD85" s="209">
        <f t="shared" si="96"/>
        <v>0.32089828194620912</v>
      </c>
      <c r="AE85" s="209">
        <f t="shared" ref="AE85:AP85" si="97">+AE51/AE59</f>
        <v>0.13426037986821468</v>
      </c>
      <c r="AF85" s="209">
        <f t="shared" si="97"/>
        <v>0.13616576812245226</v>
      </c>
      <c r="AG85" s="209">
        <f t="shared" si="97"/>
        <v>0.13683083793198836</v>
      </c>
      <c r="AH85" s="209">
        <f t="shared" si="97"/>
        <v>0.137180809542404</v>
      </c>
      <c r="AI85" s="209">
        <f t="shared" si="97"/>
        <v>0.23511892771020046</v>
      </c>
      <c r="AJ85" s="209">
        <f t="shared" si="97"/>
        <v>0.23374891506969883</v>
      </c>
      <c r="AK85" s="209">
        <f t="shared" si="97"/>
        <v>0.23116824054961388</v>
      </c>
      <c r="AL85" s="209">
        <f t="shared" si="97"/>
        <v>0.22451933933336235</v>
      </c>
      <c r="AM85" s="209">
        <f t="shared" si="97"/>
        <v>0.22655454731606972</v>
      </c>
      <c r="AN85" s="209">
        <f t="shared" si="97"/>
        <v>0.22288927273897338</v>
      </c>
      <c r="AO85" s="209">
        <f t="shared" si="97"/>
        <v>0.2185963019935917</v>
      </c>
      <c r="AP85" s="209">
        <f t="shared" si="97"/>
        <v>0.17198772511111776</v>
      </c>
      <c r="AQ85" s="209"/>
      <c r="AR85" s="209">
        <f t="shared" ref="AR85:AW85" si="98">+AR51/AR59</f>
        <v>0.17255199245175953</v>
      </c>
      <c r="AS85" s="209">
        <f t="shared" si="98"/>
        <v>0.17195233143980601</v>
      </c>
      <c r="AT85" s="209">
        <f t="shared" si="98"/>
        <v>0.17862257889167571</v>
      </c>
      <c r="AU85" s="209">
        <f t="shared" si="98"/>
        <v>0.17723791282422144</v>
      </c>
      <c r="AV85" s="209">
        <f t="shared" si="98"/>
        <v>0.17572363029289298</v>
      </c>
      <c r="AW85" s="209">
        <f t="shared" si="98"/>
        <v>0.17234997543416214</v>
      </c>
    </row>
    <row r="86" spans="4:49" x14ac:dyDescent="0.25">
      <c r="D86" s="194" t="s">
        <v>595</v>
      </c>
      <c r="E86" s="209">
        <f t="shared" ref="E86:AD86" si="99">-E18/SUM(E19:E20)</f>
        <v>3.0149638027949957</v>
      </c>
      <c r="F86" s="209">
        <f t="shared" si="99"/>
        <v>-4.2760020287498994</v>
      </c>
      <c r="G86" s="209">
        <f t="shared" si="99"/>
        <v>-2.0831068377562842</v>
      </c>
      <c r="H86" s="209">
        <f t="shared" si="99"/>
        <v>3.7448457597048646</v>
      </c>
      <c r="I86" s="209">
        <f t="shared" si="99"/>
        <v>6.3217420202027474</v>
      </c>
      <c r="J86" s="209">
        <f t="shared" si="99"/>
        <v>1.5369528942883863</v>
      </c>
      <c r="K86" s="209">
        <f t="shared" si="99"/>
        <v>4.0753510187218822</v>
      </c>
      <c r="L86" s="209">
        <f t="shared" si="99"/>
        <v>3.8427880884275414</v>
      </c>
      <c r="M86" s="209">
        <f t="shared" si="99"/>
        <v>9.7081449245063833</v>
      </c>
      <c r="N86" s="209">
        <f t="shared" si="99"/>
        <v>-6.0686859930588337</v>
      </c>
      <c r="O86" s="209">
        <f t="shared" si="99"/>
        <v>-7.0942478568942438</v>
      </c>
      <c r="P86" s="209">
        <f t="shared" si="99"/>
        <v>8.4330736412825971</v>
      </c>
      <c r="Q86" s="209">
        <f t="shared" si="99"/>
        <v>1.9289542817006906</v>
      </c>
      <c r="R86" s="209">
        <f t="shared" si="99"/>
        <v>-2.948769491131221</v>
      </c>
      <c r="S86" s="209">
        <f t="shared" si="99"/>
        <v>-4.8175022758199972</v>
      </c>
      <c r="T86" s="209">
        <f t="shared" si="99"/>
        <v>-0.97108503990606321</v>
      </c>
      <c r="U86" s="209">
        <f t="shared" si="99"/>
        <v>2.4143304430959551</v>
      </c>
      <c r="V86" s="209">
        <f t="shared" si="99"/>
        <v>3.7521220353109133</v>
      </c>
      <c r="W86" s="209">
        <f t="shared" si="99"/>
        <v>3.4110734648838523</v>
      </c>
      <c r="X86" s="209">
        <f t="shared" si="99"/>
        <v>7.3250845097779447</v>
      </c>
      <c r="Y86" s="209">
        <f t="shared" si="99"/>
        <v>0.97884667031359018</v>
      </c>
      <c r="Z86" s="209">
        <f t="shared" si="99"/>
        <v>6.1191061273888598</v>
      </c>
      <c r="AA86" s="209">
        <f t="shared" si="99"/>
        <v>13.139610753794711</v>
      </c>
      <c r="AB86" s="209">
        <f t="shared" si="99"/>
        <v>-4.5859317102479311</v>
      </c>
      <c r="AC86" s="209">
        <f t="shared" si="99"/>
        <v>1.7724891469273361</v>
      </c>
      <c r="AD86" s="209">
        <f t="shared" si="99"/>
        <v>2.1320720781303391</v>
      </c>
      <c r="AE86" s="209">
        <f t="shared" ref="AE86:AP86" si="100">-AE18/SUM(AE19:AE20)</f>
        <v>8.8431299353055675</v>
      </c>
      <c r="AF86" s="209">
        <f t="shared" si="100"/>
        <v>-4.7762144365652022</v>
      </c>
      <c r="AG86" s="209">
        <f t="shared" si="100"/>
        <v>-4.1393640262672839</v>
      </c>
      <c r="AH86" s="209">
        <f t="shared" si="100"/>
        <v>-16.197356361029957</v>
      </c>
      <c r="AI86" s="209">
        <f t="shared" si="100"/>
        <v>-0.39912482441806602</v>
      </c>
      <c r="AJ86" s="209">
        <f t="shared" si="100"/>
        <v>2.4193836005124889</v>
      </c>
      <c r="AK86" s="209">
        <f t="shared" si="100"/>
        <v>2.6926968245116334</v>
      </c>
      <c r="AL86" s="209">
        <f t="shared" si="100"/>
        <v>9.0045951335434093</v>
      </c>
      <c r="AM86" s="209">
        <f t="shared" si="100"/>
        <v>0.92793089239901272</v>
      </c>
      <c r="AN86" s="209">
        <f t="shared" si="100"/>
        <v>12.065359779321245</v>
      </c>
      <c r="AO86" s="209">
        <f t="shared" si="100"/>
        <v>1.7698651812959834</v>
      </c>
      <c r="AP86" s="209">
        <f t="shared" si="100"/>
        <v>0.42886495294108029</v>
      </c>
      <c r="AQ86" s="209"/>
      <c r="AR86" s="209">
        <f t="shared" ref="AR86:AW86" si="101">-AR18/SUM(AR19:AR20)</f>
        <v>0.6719073402611816</v>
      </c>
      <c r="AS86" s="209">
        <f t="shared" si="101"/>
        <v>10.424503250584388</v>
      </c>
      <c r="AT86" s="209">
        <f t="shared" si="101"/>
        <v>8.6096511818328665</v>
      </c>
      <c r="AU86" s="209">
        <f t="shared" si="101"/>
        <v>17.146418128997404</v>
      </c>
      <c r="AV86" s="209">
        <f t="shared" si="101"/>
        <v>1.4306180540130655</v>
      </c>
      <c r="AW86" s="209">
        <f t="shared" si="101"/>
        <v>14.480522715737814</v>
      </c>
    </row>
    <row r="87" spans="4:49" x14ac:dyDescent="0.25">
      <c r="D87" s="194" t="s">
        <v>596</v>
      </c>
      <c r="E87" s="212">
        <f>-SUM(E$18:$AR18)/SUM(E$19:$AR20)</f>
        <v>1.7746970215708739</v>
      </c>
      <c r="F87" s="212">
        <f>-SUM(F$18:$AR18)/SUM(F$19:$AR20)</f>
        <v>1.7582728932232088</v>
      </c>
      <c r="G87" s="212">
        <f>-SUM(G$18:$AR18)/SUM(G$19:$AR20)</f>
        <v>1.8421726563299576</v>
      </c>
      <c r="H87" s="212">
        <f>-SUM(H$18:$AR18)/SUM(H$19:$AR20)</f>
        <v>1.8850784012942323</v>
      </c>
      <c r="I87" s="212">
        <f>-SUM(I$18:$AR18)/SUM(I$19:$AR20)</f>
        <v>1.8581179167686674</v>
      </c>
      <c r="J87" s="212">
        <f>-SUM(J$18:$AR18)/SUM(J$19:$AR20)</f>
        <v>1.7868880622691461</v>
      </c>
      <c r="K87" s="212">
        <f>-SUM(K$18:$AR18)/SUM(K$19:$AR20)</f>
        <v>1.7904583861222001</v>
      </c>
      <c r="L87" s="212">
        <f>-SUM(L$18:$AR18)/SUM(L$19:$AR20)</f>
        <v>1.7569417535457765</v>
      </c>
      <c r="M87" s="212">
        <f>-SUM(M$18:$AR18)/SUM(M$19:$AR20)</f>
        <v>1.7269354895184239</v>
      </c>
      <c r="N87" s="212">
        <f>-SUM(N$18:$AR18)/SUM(N$19:$AR20)</f>
        <v>1.6059631026812704</v>
      </c>
      <c r="O87" s="212">
        <f>-SUM(O$18:$AR18)/SUM(O$19:$AR20)</f>
        <v>1.7253839719958415</v>
      </c>
      <c r="P87" s="212">
        <f>-SUM(P$18:$AR18)/SUM(P$19:$AR20)</f>
        <v>1.8491729258698428</v>
      </c>
      <c r="Q87" s="212">
        <f>-SUM(Q$18:$AR18)/SUM(Q$19:$AR20)</f>
        <v>1.7459162339942131</v>
      </c>
      <c r="R87" s="212">
        <f>-SUM(R$18:$AR18)/SUM(R$19:$AR20)</f>
        <v>1.703932433666584</v>
      </c>
      <c r="S87" s="212">
        <f>-SUM(S$18:$AR18)/SUM(S$19:$AR20)</f>
        <v>1.7949362392938375</v>
      </c>
      <c r="T87" s="212">
        <f>-SUM(T$18:$AR18)/SUM(T$19:$AR20)</f>
        <v>1.9384000175440976</v>
      </c>
      <c r="U87" s="212">
        <f>-SUM(U$18:$AR18)/SUM(U$19:$AR20)</f>
        <v>2.0019811364386433</v>
      </c>
      <c r="V87" s="212">
        <f>-SUM(V$18:$AR18)/SUM(V$19:$AR20)</f>
        <v>1.9937598197809034</v>
      </c>
      <c r="W87" s="212">
        <f>-SUM(W$18:$AR18)/SUM(W$19:$AR20)</f>
        <v>1.9544611929919349</v>
      </c>
      <c r="X87" s="212">
        <f>-SUM(X$18:$AR18)/SUM(X$19:$AR20)</f>
        <v>1.9150609875212086</v>
      </c>
      <c r="Y87" s="212">
        <f>-SUM(Y$18:$AR18)/SUM(Y$19:$AR20)</f>
        <v>1.7971476265934854</v>
      </c>
      <c r="Z87" s="212">
        <f>-SUM(Z$18:$AR18)/SUM(Z$19:$AR20)</f>
        <v>1.8195397849770296</v>
      </c>
      <c r="AA87" s="212">
        <f>-SUM(AA$18:$AR18)/SUM(AA$19:$AR20)</f>
        <v>1.7406101417923121</v>
      </c>
      <c r="AB87" s="212">
        <f>-SUM(AB$18:$AR18)/SUM(AB$19:$AR20)</f>
        <v>1.4378753610836583</v>
      </c>
      <c r="AC87" s="212">
        <f>-SUM(AC$18:$AR18)/SUM(AC$19:$AR20)</f>
        <v>1.5727890546118917</v>
      </c>
      <c r="AD87" s="212">
        <f>-SUM(AD$18:$AR18)/SUM(AD$19:$AR20)</f>
        <v>1.5660832741835469</v>
      </c>
      <c r="AE87" s="212">
        <f>-SUM(AE$18:$AR18)/SUM(AE$19:$AR20)</f>
        <v>1.2973142826471631</v>
      </c>
      <c r="AF87" s="212">
        <f>-SUM(AF$18:$AR18)/SUM(AF$19:$AR20)</f>
        <v>1.0105229919545831</v>
      </c>
      <c r="AG87" s="212">
        <f>-SUM(AG$18:$AR18)/SUM(AG$19:$AR20)</f>
        <v>1.2663927330470384</v>
      </c>
      <c r="AH87" s="212">
        <f>-SUM(AH$18:$AR18)/SUM(AH$19:$AR20)</f>
        <v>1.4979537816708028</v>
      </c>
      <c r="AI87" s="212">
        <f>-SUM(AI$18:$AR18)/SUM(AI$19:$AR20)</f>
        <v>2.0586670877790518</v>
      </c>
      <c r="AJ87" s="212">
        <f>-SUM(AJ$18:$AR18)/SUM(AJ$19:$AR20)</f>
        <v>2.2685142320044576</v>
      </c>
      <c r="AK87" s="212">
        <f>-SUM(AK$18:$AR18)/SUM(AK$19:$AR20)</f>
        <v>2.25916504070825</v>
      </c>
      <c r="AL87" s="212">
        <f>-SUM(AL$18:$AR18)/SUM(AL$19:$AR20)</f>
        <v>2.2223099383239848</v>
      </c>
      <c r="AM87" s="212">
        <f>-SUM(AM$18:$AR18)/SUM(AM$19:$AR20)</f>
        <v>1.8139484012068776</v>
      </c>
      <c r="AN87" s="212">
        <f>-SUM(AN$18:$AR18)/SUM(AN$19:$AR20)</f>
        <v>1.8617193856750067</v>
      </c>
      <c r="AO87" s="212">
        <f>-SUM(AO$18:$AR18)/SUM(AO$19:$AR20)</f>
        <v>1.2578104192112141</v>
      </c>
      <c r="AP87" s="212">
        <f>-SUM(AP$18:$AR18)/SUM(AP$19:$AR20)</f>
        <v>1.2283467437469706</v>
      </c>
      <c r="AQ87" s="212"/>
      <c r="AR87" s="212">
        <f>-SUM($AR$18:AR18)/SUM($AR$19:AR20)</f>
        <v>0.6719073402611816</v>
      </c>
      <c r="AS87" s="212">
        <f>-SUM($AR$18:AS18)/SUM($AR$19:AS20)</f>
        <v>5.5226649208874976</v>
      </c>
      <c r="AT87" s="212">
        <f>-SUM($AR$18:AT18)/SUM($AR$19:AT20)</f>
        <v>6.4993104636725301</v>
      </c>
      <c r="AU87" s="212">
        <f>-SUM($AR$18:AU18)/SUM($AR$19:AU20)</f>
        <v>9.2430359997480345</v>
      </c>
      <c r="AV87" s="212">
        <f>-SUM($AR$18:AV18)/SUM($AR$19:AV20)</f>
        <v>7.6723356253905903</v>
      </c>
      <c r="AW87" s="212">
        <f>-SUM($AR$18:AW18)/SUM($AR$19:AW20)</f>
        <v>8.7686717470229514</v>
      </c>
    </row>
    <row r="89" spans="4:49" x14ac:dyDescent="0.25">
      <c r="D89" s="210" t="s">
        <v>597</v>
      </c>
    </row>
    <row r="90" spans="4:49" x14ac:dyDescent="0.25">
      <c r="D90" s="194" t="s">
        <v>598</v>
      </c>
      <c r="E90" s="207" t="e">
        <f t="shared" ref="E90:AD90" si="102">+E23/E55</f>
        <v>#DIV/0!</v>
      </c>
      <c r="F90" s="207" t="e">
        <f t="shared" si="102"/>
        <v>#DIV/0!</v>
      </c>
      <c r="G90" s="207" t="e">
        <f t="shared" si="102"/>
        <v>#DIV/0!</v>
      </c>
      <c r="H90" s="207" t="e">
        <f t="shared" si="102"/>
        <v>#DIV/0!</v>
      </c>
      <c r="I90" s="207" t="e">
        <f t="shared" si="102"/>
        <v>#DIV/0!</v>
      </c>
      <c r="J90" s="207" t="e">
        <f t="shared" si="102"/>
        <v>#DIV/0!</v>
      </c>
      <c r="K90" s="207" t="e">
        <f t="shared" si="102"/>
        <v>#DIV/0!</v>
      </c>
      <c r="L90" s="207" t="e">
        <f t="shared" si="102"/>
        <v>#DIV/0!</v>
      </c>
      <c r="M90" s="207" t="e">
        <f t="shared" si="102"/>
        <v>#DIV/0!</v>
      </c>
      <c r="N90" s="207" t="e">
        <f t="shared" si="102"/>
        <v>#DIV/0!</v>
      </c>
      <c r="O90" s="207" t="e">
        <f t="shared" si="102"/>
        <v>#DIV/0!</v>
      </c>
      <c r="P90" s="207" t="e">
        <f t="shared" si="102"/>
        <v>#DIV/0!</v>
      </c>
      <c r="Q90" s="207" t="e">
        <f t="shared" si="102"/>
        <v>#DIV/0!</v>
      </c>
      <c r="R90" s="207" t="e">
        <f t="shared" si="102"/>
        <v>#DIV/0!</v>
      </c>
      <c r="S90" s="207" t="e">
        <f t="shared" si="102"/>
        <v>#DIV/0!</v>
      </c>
      <c r="T90" s="207" t="e">
        <f t="shared" si="102"/>
        <v>#DIV/0!</v>
      </c>
      <c r="U90" s="207" t="e">
        <f t="shared" si="102"/>
        <v>#DIV/0!</v>
      </c>
      <c r="V90" s="207" t="e">
        <f t="shared" si="102"/>
        <v>#DIV/0!</v>
      </c>
      <c r="W90" s="207" t="e">
        <f t="shared" si="102"/>
        <v>#DIV/0!</v>
      </c>
      <c r="X90" s="207" t="e">
        <f t="shared" si="102"/>
        <v>#DIV/0!</v>
      </c>
      <c r="Y90" s="207" t="e">
        <f t="shared" si="102"/>
        <v>#DIV/0!</v>
      </c>
      <c r="Z90" s="207" t="e">
        <f t="shared" si="102"/>
        <v>#DIV/0!</v>
      </c>
      <c r="AA90" s="207" t="e">
        <f t="shared" si="102"/>
        <v>#DIV/0!</v>
      </c>
      <c r="AB90" s="207" t="e">
        <f t="shared" si="102"/>
        <v>#DIV/0!</v>
      </c>
      <c r="AC90" s="207" t="e">
        <f t="shared" si="102"/>
        <v>#DIV/0!</v>
      </c>
      <c r="AD90" s="207" t="e">
        <f t="shared" si="102"/>
        <v>#DIV/0!</v>
      </c>
      <c r="AE90" s="207">
        <f t="shared" ref="AE90:AP90" si="103">+AE23/AE55</f>
        <v>1.9449366025632516E-2</v>
      </c>
      <c r="AF90" s="207">
        <f t="shared" si="103"/>
        <v>-2.1823066703600878E-2</v>
      </c>
      <c r="AG90" s="207">
        <f t="shared" si="103"/>
        <v>-1.9564218715567381E-2</v>
      </c>
      <c r="AH90" s="207">
        <f t="shared" si="103"/>
        <v>-4.3580122128586508E-2</v>
      </c>
      <c r="AI90" s="207">
        <f t="shared" si="103"/>
        <v>-1.1238179262436858E-2</v>
      </c>
      <c r="AJ90" s="207">
        <f t="shared" si="103"/>
        <v>2.2756639314934829E-3</v>
      </c>
      <c r="AK90" s="207">
        <f t="shared" si="103"/>
        <v>5.5243745480583377E-3</v>
      </c>
      <c r="AL90" s="207">
        <f t="shared" si="103"/>
        <v>2.2168687428856113E-2</v>
      </c>
      <c r="AM90" s="207">
        <f t="shared" si="103"/>
        <v>-4.2837267250071471E-3</v>
      </c>
      <c r="AN90" s="207">
        <f t="shared" si="103"/>
        <v>2.7043843198508787E-2</v>
      </c>
      <c r="AO90" s="207">
        <f t="shared" si="103"/>
        <v>-1.7901394143300892E-3</v>
      </c>
      <c r="AP90" s="207">
        <f t="shared" si="103"/>
        <v>-5.6724845729020645E-3</v>
      </c>
      <c r="AQ90" s="207"/>
      <c r="AR90" s="207">
        <f t="shared" ref="AR90:AW90" si="104">+AR23/AR55</f>
        <v>-4.2487836137970235E-3</v>
      </c>
      <c r="AS90" s="207">
        <f t="shared" si="104"/>
        <v>1.8833757219876575E-2</v>
      </c>
      <c r="AT90" s="207">
        <f t="shared" si="104"/>
        <v>1.3154885919151064E-2</v>
      </c>
      <c r="AU90" s="207">
        <f t="shared" si="104"/>
        <v>3.1063515420341331E-2</v>
      </c>
      <c r="AV90" s="207">
        <f t="shared" si="104"/>
        <v>-1.3465683528133272E-3</v>
      </c>
      <c r="AW90" s="207">
        <f t="shared" si="104"/>
        <v>2.2772140680022038E-2</v>
      </c>
    </row>
    <row r="91" spans="4:49" x14ac:dyDescent="0.25">
      <c r="D91" s="194" t="s">
        <v>599</v>
      </c>
      <c r="E91" s="207">
        <f t="shared" ref="E91:AD91" si="105">+E23/E31</f>
        <v>1.5940842704348624E-3</v>
      </c>
      <c r="F91" s="207">
        <f t="shared" si="105"/>
        <v>-8.3644326316130151E-3</v>
      </c>
      <c r="G91" s="207">
        <f t="shared" si="105"/>
        <v>-4.4332622369712155E-3</v>
      </c>
      <c r="H91" s="207">
        <f t="shared" si="105"/>
        <v>2.485975652866769E-3</v>
      </c>
      <c r="I91" s="207">
        <f t="shared" si="105"/>
        <v>6.4903022397772639E-3</v>
      </c>
      <c r="J91" s="207">
        <f t="shared" si="105"/>
        <v>-1.0107750099089714E-3</v>
      </c>
      <c r="K91" s="207">
        <f t="shared" si="105"/>
        <v>1.8885686987923853E-3</v>
      </c>
      <c r="L91" s="207">
        <f t="shared" si="105"/>
        <v>2.0183059856875448E-3</v>
      </c>
      <c r="M91" s="207">
        <f t="shared" si="105"/>
        <v>9.7756434088382051E-3</v>
      </c>
      <c r="N91" s="207">
        <f t="shared" si="105"/>
        <v>-1.097484225644222E-2</v>
      </c>
      <c r="O91" s="207">
        <f t="shared" si="105"/>
        <v>-1.131708422018354E-2</v>
      </c>
      <c r="P91" s="207">
        <f t="shared" si="105"/>
        <v>8.5449507921309658E-3</v>
      </c>
      <c r="Q91" s="207">
        <f t="shared" si="105"/>
        <v>-2.9956720747114246E-3</v>
      </c>
      <c r="R91" s="207">
        <f t="shared" si="105"/>
        <v>-6.4012794869598225E-3</v>
      </c>
      <c r="S91" s="207">
        <f t="shared" si="105"/>
        <v>-9.7724385689231235E-3</v>
      </c>
      <c r="T91" s="207">
        <f t="shared" si="105"/>
        <v>-4.3063095448869666E-3</v>
      </c>
      <c r="U91" s="207">
        <f t="shared" si="105"/>
        <v>2.6646912164862122E-4</v>
      </c>
      <c r="V91" s="207">
        <f t="shared" si="105"/>
        <v>2.2253047878141642E-3</v>
      </c>
      <c r="W91" s="207">
        <f t="shared" si="105"/>
        <v>2.0776187741080978E-3</v>
      </c>
      <c r="X91" s="207">
        <f t="shared" si="105"/>
        <v>6.5030877472704862E-3</v>
      </c>
      <c r="Y91" s="207">
        <f t="shared" si="105"/>
        <v>-2.019649512318158E-3</v>
      </c>
      <c r="Z91" s="207">
        <f t="shared" si="105"/>
        <v>3.8126161042951402E-3</v>
      </c>
      <c r="AA91" s="207">
        <f t="shared" si="105"/>
        <v>1.6129656109373756E-2</v>
      </c>
      <c r="AB91" s="207">
        <f t="shared" si="105"/>
        <v>-7.7855915912581021E-3</v>
      </c>
      <c r="AC91" s="207">
        <f t="shared" si="105"/>
        <v>-3.9927146785593209E-4</v>
      </c>
      <c r="AD91" s="207">
        <f t="shared" si="105"/>
        <v>8.8793403860232387E-4</v>
      </c>
      <c r="AE91" s="207">
        <f t="shared" ref="AE91:AP91" si="106">+AE23/AE31</f>
        <v>7.4765500112601285E-3</v>
      </c>
      <c r="AF91" s="207">
        <f t="shared" si="106"/>
        <v>-8.3487412649429025E-3</v>
      </c>
      <c r="AG91" s="207">
        <f t="shared" si="106"/>
        <v>-7.3981083030252503E-3</v>
      </c>
      <c r="AH91" s="207">
        <f t="shared" si="106"/>
        <v>-1.5881017918215379E-2</v>
      </c>
      <c r="AI91" s="207">
        <f t="shared" si="106"/>
        <v>-4.0867316728684924E-3</v>
      </c>
      <c r="AJ91" s="207">
        <f t="shared" si="106"/>
        <v>8.2808077330249954E-4</v>
      </c>
      <c r="AK91" s="207">
        <f t="shared" si="106"/>
        <v>2.0344241687029465E-3</v>
      </c>
      <c r="AL91" s="207">
        <f t="shared" si="106"/>
        <v>8.5317075485318652E-3</v>
      </c>
      <c r="AM91" s="207">
        <f t="shared" si="106"/>
        <v>-1.6620302518375826E-3</v>
      </c>
      <c r="AN91" s="207">
        <f t="shared" si="106"/>
        <v>1.0696837673350995E-2</v>
      </c>
      <c r="AO91" s="207">
        <f t="shared" si="106"/>
        <v>-7.2122101298477176E-4</v>
      </c>
      <c r="AP91" s="207">
        <f t="shared" si="106"/>
        <v>-2.2801800463768149E-3</v>
      </c>
      <c r="AQ91" s="207"/>
      <c r="AR91" s="207">
        <f t="shared" ref="AR91:AW91" si="107">+AR23/AR31</f>
        <v>-1.7251752109219835E-3</v>
      </c>
      <c r="AS91" s="207">
        <f t="shared" si="107"/>
        <v>7.8576122697082244E-3</v>
      </c>
      <c r="AT91" s="207">
        <f t="shared" si="107"/>
        <v>5.5686766278253514E-3</v>
      </c>
      <c r="AU91" s="207">
        <f t="shared" si="107"/>
        <v>1.3686232656286384E-2</v>
      </c>
      <c r="AV91" s="207">
        <f t="shared" si="107"/>
        <v>-5.9765671903326968E-4</v>
      </c>
      <c r="AW91" s="207">
        <f t="shared" si="107"/>
        <v>1.0314143964908198E-2</v>
      </c>
    </row>
    <row r="92" spans="4:49" x14ac:dyDescent="0.25">
      <c r="D92" s="194" t="s">
        <v>565</v>
      </c>
      <c r="E92" s="207">
        <f t="shared" ref="E92:AD92" si="108">+E9/E5</f>
        <v>0.34488894286988186</v>
      </c>
      <c r="F92" s="207">
        <f t="shared" si="108"/>
        <v>4.8559224280696776E-2</v>
      </c>
      <c r="G92" s="207">
        <f t="shared" si="108"/>
        <v>0.13728225226827548</v>
      </c>
      <c r="H92" s="207">
        <f t="shared" si="108"/>
        <v>0.31938539571756835</v>
      </c>
      <c r="I92" s="207">
        <f t="shared" si="108"/>
        <v>0.38946052558249938</v>
      </c>
      <c r="J92" s="207">
        <f t="shared" si="108"/>
        <v>0.2442738106772076</v>
      </c>
      <c r="K92" s="207">
        <f t="shared" si="108"/>
        <v>0.34118892572694642</v>
      </c>
      <c r="L92" s="207">
        <f t="shared" si="108"/>
        <v>0.29608766394071556</v>
      </c>
      <c r="M92" s="207">
        <f t="shared" si="108"/>
        <v>0.42109620338150083</v>
      </c>
      <c r="N92" s="207">
        <f t="shared" si="108"/>
        <v>-0.13894863173680563</v>
      </c>
      <c r="O92" s="207">
        <f t="shared" si="108"/>
        <v>-0.16624409299360871</v>
      </c>
      <c r="P92" s="207">
        <f t="shared" si="108"/>
        <v>0.39547061112629045</v>
      </c>
      <c r="Q92" s="207">
        <f t="shared" si="108"/>
        <v>0.24991674232036495</v>
      </c>
      <c r="R92" s="207">
        <f t="shared" si="108"/>
        <v>7.795736268978086E-2</v>
      </c>
      <c r="S92" s="207">
        <f t="shared" si="108"/>
        <v>9.9271477355682512E-3</v>
      </c>
      <c r="T92" s="207">
        <f t="shared" si="108"/>
        <v>0.16796065914119368</v>
      </c>
      <c r="U92" s="207">
        <f t="shared" si="108"/>
        <v>0.32230452592133862</v>
      </c>
      <c r="V92" s="207">
        <f t="shared" si="108"/>
        <v>0.30997209387641428</v>
      </c>
      <c r="W92" s="207">
        <f t="shared" si="108"/>
        <v>0.29982162435978627</v>
      </c>
      <c r="X92" s="207">
        <f t="shared" si="108"/>
        <v>0.43686920529493312</v>
      </c>
      <c r="Y92" s="207">
        <f t="shared" si="108"/>
        <v>2.6148468496648904E-2</v>
      </c>
      <c r="Z92" s="207">
        <f t="shared" si="108"/>
        <v>0.3781572825863263</v>
      </c>
      <c r="AA92" s="207">
        <f t="shared" si="108"/>
        <v>0.47385765972024391</v>
      </c>
      <c r="AB92" s="207">
        <f t="shared" si="108"/>
        <v>-3.7548053065025927E-2</v>
      </c>
      <c r="AC92" s="207">
        <f t="shared" si="108"/>
        <v>0.25384009249786732</v>
      </c>
      <c r="AD92" s="207">
        <f t="shared" si="108"/>
        <v>0.25297343343580353</v>
      </c>
      <c r="AE92" s="207">
        <f t="shared" ref="AE92:AP92" si="109">+AE9/AE5</f>
        <v>0.34609086725265703</v>
      </c>
      <c r="AF92" s="207">
        <f t="shared" si="109"/>
        <v>-1.9769099154957077E-2</v>
      </c>
      <c r="AG92" s="207">
        <f t="shared" si="109"/>
        <v>-2.5558612167577194E-3</v>
      </c>
      <c r="AH92" s="207">
        <f t="shared" si="109"/>
        <v>-0.10815120338961794</v>
      </c>
      <c r="AI92" s="207">
        <f t="shared" si="109"/>
        <v>0.13872396598128944</v>
      </c>
      <c r="AJ92" s="207">
        <f t="shared" si="109"/>
        <v>0.44287357218564111</v>
      </c>
      <c r="AK92" s="207">
        <f t="shared" si="109"/>
        <v>0.322461536634089</v>
      </c>
      <c r="AL92" s="207">
        <f t="shared" si="109"/>
        <v>0.39624536412729172</v>
      </c>
      <c r="AM92" s="207">
        <f t="shared" si="109"/>
        <v>0.12612159335919029</v>
      </c>
      <c r="AN92" s="207">
        <f t="shared" si="109"/>
        <v>0.39498257303483758</v>
      </c>
      <c r="AO92" s="207">
        <f t="shared" si="109"/>
        <v>0.15234223143745884</v>
      </c>
      <c r="AP92" s="207">
        <f t="shared" si="109"/>
        <v>3.1057771818578462E-3</v>
      </c>
      <c r="AQ92" s="207"/>
      <c r="AR92" s="207">
        <f t="shared" ref="AR92:AW92" si="110">+AR9/AR5</f>
        <v>0.15399969030743416</v>
      </c>
      <c r="AS92" s="207">
        <f t="shared" si="110"/>
        <v>0.34200850014222001</v>
      </c>
      <c r="AT92" s="207">
        <f t="shared" si="110"/>
        <v>0.31466565418053</v>
      </c>
      <c r="AU92" s="207">
        <f t="shared" si="110"/>
        <v>0.47457297957916117</v>
      </c>
      <c r="AV92" s="207">
        <f t="shared" si="110"/>
        <v>0.17825495914602343</v>
      </c>
      <c r="AW92" s="207">
        <f t="shared" si="110"/>
        <v>0.55856685525893945</v>
      </c>
    </row>
    <row r="93" spans="4:49" x14ac:dyDescent="0.25">
      <c r="D93" s="194" t="s">
        <v>586</v>
      </c>
      <c r="E93" s="207">
        <f t="shared" ref="E93:AD93" si="111">+E12/E5</f>
        <v>0.1909191356468786</v>
      </c>
      <c r="F93" s="207">
        <f t="shared" si="111"/>
        <v>-0.15617288168244853</v>
      </c>
      <c r="G93" s="207">
        <f t="shared" si="111"/>
        <v>-9.2522438493315345E-2</v>
      </c>
      <c r="H93" s="207">
        <f t="shared" si="111"/>
        <v>0.16337955601849119</v>
      </c>
      <c r="I93" s="207">
        <f t="shared" si="111"/>
        <v>0.25050551387956704</v>
      </c>
      <c r="J93" s="207">
        <f t="shared" si="111"/>
        <v>6.9782164028162535E-2</v>
      </c>
      <c r="K93" s="207">
        <f t="shared" si="111"/>
        <v>0.17577869533497537</v>
      </c>
      <c r="L93" s="207">
        <f t="shared" si="111"/>
        <v>0.15404499331560095</v>
      </c>
      <c r="M93" s="207">
        <f t="shared" si="111"/>
        <v>0.27338303621146914</v>
      </c>
      <c r="N93" s="207">
        <f t="shared" si="111"/>
        <v>-0.3350123277039006</v>
      </c>
      <c r="O93" s="207">
        <f t="shared" si="111"/>
        <v>-0.33018809984506103</v>
      </c>
      <c r="P93" s="207">
        <f t="shared" si="111"/>
        <v>0.2703544542184893</v>
      </c>
      <c r="Q93" s="207">
        <f t="shared" si="111"/>
        <v>8.7856654685867064E-2</v>
      </c>
      <c r="R93" s="207">
        <f t="shared" si="111"/>
        <v>-0.1054237826607269</v>
      </c>
      <c r="S93" s="207">
        <f t="shared" si="111"/>
        <v>-0.21496989204869973</v>
      </c>
      <c r="T93" s="207">
        <f t="shared" si="111"/>
        <v>-1.9370602802254736E-2</v>
      </c>
      <c r="U93" s="207">
        <f t="shared" si="111"/>
        <v>0.15015625081704681</v>
      </c>
      <c r="V93" s="207">
        <f t="shared" si="111"/>
        <v>0.13884461482852584</v>
      </c>
      <c r="W93" s="207">
        <f t="shared" si="111"/>
        <v>0.10304996625877612</v>
      </c>
      <c r="X93" s="207">
        <f t="shared" si="111"/>
        <v>0.25817510316008796</v>
      </c>
      <c r="Y93" s="207">
        <f t="shared" si="111"/>
        <v>-0.14922123942528145</v>
      </c>
      <c r="Z93" s="207">
        <f t="shared" si="111"/>
        <v>0.19333066727130632</v>
      </c>
      <c r="AA93" s="207">
        <f t="shared" si="111"/>
        <v>0.3687871408377526</v>
      </c>
      <c r="AB93" s="207">
        <f t="shared" si="111"/>
        <v>-0.2625886211363973</v>
      </c>
      <c r="AC93" s="207">
        <f t="shared" si="111"/>
        <v>6.3966942416614117E-2</v>
      </c>
      <c r="AD93" s="207">
        <f t="shared" si="111"/>
        <v>7.5093164819774794E-2</v>
      </c>
      <c r="AE93" s="207">
        <f t="shared" ref="AE93:AP93" si="112">+AE12/AE5</f>
        <v>0.22264816572910898</v>
      </c>
      <c r="AF93" s="207">
        <f t="shared" si="112"/>
        <v>-0.24796469258112447</v>
      </c>
      <c r="AG93" s="207">
        <f t="shared" si="112"/>
        <v>-0.23436963330000107</v>
      </c>
      <c r="AH93" s="207">
        <f t="shared" si="112"/>
        <v>-0.34899195991675291</v>
      </c>
      <c r="AI93" s="207">
        <f t="shared" si="112"/>
        <v>-2.617796585700706E-2</v>
      </c>
      <c r="AJ93" s="207">
        <f t="shared" si="112"/>
        <v>0.2715388292779205</v>
      </c>
      <c r="AK93" s="207">
        <f t="shared" si="112"/>
        <v>0.16442173644237085</v>
      </c>
      <c r="AL93" s="207">
        <f t="shared" si="112"/>
        <v>0.30705583677587422</v>
      </c>
      <c r="AM93" s="207">
        <f t="shared" si="112"/>
        <v>1.1891337091874475E-3</v>
      </c>
      <c r="AN93" s="207">
        <f t="shared" si="112"/>
        <v>0.3197780525020863</v>
      </c>
      <c r="AO93" s="207">
        <f t="shared" si="112"/>
        <v>7.2912431699890951E-2</v>
      </c>
      <c r="AP93" s="207">
        <f t="shared" si="112"/>
        <v>-8.7954459145770825E-2</v>
      </c>
      <c r="AQ93" s="207"/>
      <c r="AR93" s="207">
        <f t="shared" ref="AR93:AW93" si="113">+AR12/AR5</f>
        <v>7.6199067455169633E-2</v>
      </c>
      <c r="AS93" s="207">
        <f t="shared" si="113"/>
        <v>0.27637161491506845</v>
      </c>
      <c r="AT93" s="207">
        <f t="shared" si="113"/>
        <v>0.22703921273812741</v>
      </c>
      <c r="AU93" s="207">
        <f t="shared" si="113"/>
        <v>0.41984708660785697</v>
      </c>
      <c r="AV93" s="207">
        <f t="shared" si="113"/>
        <v>4.5777907947868693E-2</v>
      </c>
      <c r="AW93" s="207">
        <f t="shared" si="113"/>
        <v>0.49225599650138663</v>
      </c>
    </row>
    <row r="94" spans="4:49" x14ac:dyDescent="0.25">
      <c r="D94" s="194" t="s">
        <v>600</v>
      </c>
      <c r="E94" s="207">
        <f t="shared" ref="E94:AD94" si="114">+E23/E5</f>
        <v>4.9984083909568648E-2</v>
      </c>
      <c r="F94" s="207">
        <f t="shared" si="114"/>
        <v>-0.32197202219233201</v>
      </c>
      <c r="G94" s="207">
        <f t="shared" si="114"/>
        <v>-0.16963820156690557</v>
      </c>
      <c r="H94" s="207">
        <f t="shared" si="114"/>
        <v>7.7573480816426149E-2</v>
      </c>
      <c r="I94" s="207">
        <f t="shared" si="114"/>
        <v>0.16644987289124333</v>
      </c>
      <c r="J94" s="207">
        <f t="shared" si="114"/>
        <v>-3.0354484355279855E-2</v>
      </c>
      <c r="K94" s="207">
        <f t="shared" si="114"/>
        <v>5.1121753738228963E-2</v>
      </c>
      <c r="L94" s="207">
        <f t="shared" si="114"/>
        <v>5.5237526989484982E-2</v>
      </c>
      <c r="M94" s="207">
        <f t="shared" si="114"/>
        <v>0.2295250150748388</v>
      </c>
      <c r="N94" s="207">
        <f t="shared" si="114"/>
        <v>-0.44922390296323023</v>
      </c>
      <c r="O94" s="207">
        <f t="shared" si="114"/>
        <v>-0.40431278497167228</v>
      </c>
      <c r="P94" s="207">
        <f t="shared" si="114"/>
        <v>0.20169107446193241</v>
      </c>
      <c r="Q94" s="207">
        <f t="shared" si="114"/>
        <v>-7.4196552310136941E-3</v>
      </c>
      <c r="R94" s="207">
        <f t="shared" si="114"/>
        <v>-0.23797895597449495</v>
      </c>
      <c r="S94" s="207">
        <f t="shared" si="114"/>
        <v>-0.34180059646309879</v>
      </c>
      <c r="T94" s="207">
        <f t="shared" si="114"/>
        <v>-0.13604787094991788</v>
      </c>
      <c r="U94" s="207">
        <f t="shared" si="114"/>
        <v>8.1019249502286509E-3</v>
      </c>
      <c r="V94" s="207">
        <f t="shared" si="114"/>
        <v>6.094747781811443E-2</v>
      </c>
      <c r="W94" s="207">
        <f t="shared" si="114"/>
        <v>6.4334929232505098E-2</v>
      </c>
      <c r="X94" s="207">
        <f t="shared" si="114"/>
        <v>0.16092496882468077</v>
      </c>
      <c r="Y94" s="207">
        <f t="shared" si="114"/>
        <v>-5.9102760661381919E-2</v>
      </c>
      <c r="Z94" s="207">
        <f t="shared" si="114"/>
        <v>0.11366050383123806</v>
      </c>
      <c r="AA94" s="207">
        <f t="shared" si="114"/>
        <v>0.31129366406946446</v>
      </c>
      <c r="AB94" s="207">
        <f t="shared" si="114"/>
        <v>-0.3130028855394511</v>
      </c>
      <c r="AC94" s="207">
        <f t="shared" si="114"/>
        <v>-9.0706913841430165E-3</v>
      </c>
      <c r="AD94" s="207">
        <f t="shared" si="114"/>
        <v>2.1699029814266678E-3</v>
      </c>
      <c r="AE94" s="207">
        <f t="shared" ref="AE94:AP94" si="115">+AE23/AE5</f>
        <v>0.17720183162644343</v>
      </c>
      <c r="AF94" s="207">
        <f t="shared" si="115"/>
        <v>-0.32345111618983557</v>
      </c>
      <c r="AG94" s="207">
        <f t="shared" si="115"/>
        <v>-0.30959167593323533</v>
      </c>
      <c r="AH94" s="207">
        <f t="shared" si="115"/>
        <v>-0.69951352772088393</v>
      </c>
      <c r="AI94" s="207">
        <f t="shared" si="115"/>
        <v>-0.15084576348844744</v>
      </c>
      <c r="AJ94" s="207">
        <f t="shared" si="115"/>
        <v>3.4448816877569018E-2</v>
      </c>
      <c r="AK94" s="207">
        <f t="shared" si="115"/>
        <v>8.9312565750013506E-2</v>
      </c>
      <c r="AL94" s="207">
        <f t="shared" si="115"/>
        <v>0.22014378330990544</v>
      </c>
      <c r="AM94" s="207">
        <f t="shared" si="115"/>
        <v>-5.9581667576813858E-2</v>
      </c>
      <c r="AN94" s="207">
        <f t="shared" si="115"/>
        <v>0.28003841111933209</v>
      </c>
      <c r="AO94" s="207">
        <f t="shared" si="115"/>
        <v>-2.1491702646924477E-2</v>
      </c>
      <c r="AP94" s="207">
        <f t="shared" si="115"/>
        <v>-6.6256705323323548E-2</v>
      </c>
      <c r="AQ94" s="207"/>
      <c r="AR94" s="207">
        <f t="shared" ref="AR94:AW94" si="116">+AR23/AR5</f>
        <v>-5.5727719469224696E-2</v>
      </c>
      <c r="AS94" s="207">
        <f t="shared" si="116"/>
        <v>0.21126206454047342</v>
      </c>
      <c r="AT94" s="207">
        <f t="shared" si="116"/>
        <v>0.17170653843947575</v>
      </c>
      <c r="AU94" s="207">
        <f t="shared" si="116"/>
        <v>0.30627402794729164</v>
      </c>
      <c r="AV94" s="207">
        <f t="shared" si="116"/>
        <v>-3.0097979730305736E-2</v>
      </c>
      <c r="AW94" s="207">
        <f t="shared" si="116"/>
        <v>0.24768389990899539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7FA9-7355-4923-A9AF-931EB4281320}">
  <dimension ref="A1:DZ55"/>
  <sheetViews>
    <sheetView workbookViewId="0"/>
  </sheetViews>
  <sheetFormatPr baseColWidth="10" defaultRowHeight="14.4" x14ac:dyDescent="0.3"/>
  <cols>
    <col min="1" max="1" width="35.33203125" bestFit="1" customWidth="1"/>
    <col min="2" max="2" width="13" hidden="1" customWidth="1"/>
    <col min="3" max="13" width="12.109375" hidden="1" customWidth="1"/>
    <col min="14" max="14" width="13.6640625" hidden="1" customWidth="1"/>
    <col min="15" max="15" width="13" hidden="1" customWidth="1"/>
    <col min="16" max="26" width="12.109375" hidden="1" customWidth="1"/>
    <col min="27" max="27" width="13.6640625" hidden="1" customWidth="1"/>
    <col min="28" max="28" width="13" hidden="1" customWidth="1"/>
    <col min="29" max="33" width="12.109375" hidden="1" customWidth="1"/>
    <col min="34" max="40" width="13.6640625" hidden="1" customWidth="1"/>
    <col min="41" max="52" width="17" hidden="1" customWidth="1"/>
    <col min="53" max="53" width="13.6640625" hidden="1" customWidth="1"/>
    <col min="54" max="65" width="17" hidden="1" customWidth="1"/>
    <col min="66" max="66" width="13.6640625" hidden="1" customWidth="1"/>
    <col min="67" max="78" width="17" hidden="1" customWidth="1"/>
    <col min="79" max="79" width="13.6640625" hidden="1" customWidth="1"/>
    <col min="80" max="91" width="17" hidden="1" customWidth="1"/>
    <col min="92" max="92" width="13.6640625" hidden="1" customWidth="1"/>
    <col min="93" max="104" width="17" bestFit="1" customWidth="1"/>
    <col min="105" max="117" width="13.6640625" bestFit="1" customWidth="1"/>
    <col min="118" max="118" width="13.88671875" bestFit="1" customWidth="1"/>
  </cols>
  <sheetData>
    <row r="1" spans="1:118" x14ac:dyDescent="0.3">
      <c r="A1" s="45" t="s">
        <v>251</v>
      </c>
      <c r="B1" s="45" t="s">
        <v>146</v>
      </c>
      <c r="C1" s="45" t="s">
        <v>147</v>
      </c>
      <c r="D1" s="45" t="s">
        <v>148</v>
      </c>
      <c r="E1" s="45" t="s">
        <v>149</v>
      </c>
      <c r="F1" s="45" t="s">
        <v>150</v>
      </c>
      <c r="G1" s="45" t="s">
        <v>151</v>
      </c>
      <c r="H1" s="45" t="s">
        <v>152</v>
      </c>
      <c r="I1" s="45" t="s">
        <v>153</v>
      </c>
      <c r="J1" s="45" t="s">
        <v>154</v>
      </c>
      <c r="K1" s="45" t="s">
        <v>155</v>
      </c>
      <c r="L1" s="45" t="s">
        <v>156</v>
      </c>
      <c r="M1" s="45" t="s">
        <v>157</v>
      </c>
      <c r="N1" s="46"/>
      <c r="O1" s="45" t="s">
        <v>158</v>
      </c>
      <c r="P1" s="45" t="s">
        <v>159</v>
      </c>
      <c r="Q1" s="45" t="s">
        <v>160</v>
      </c>
      <c r="R1" s="45" t="s">
        <v>161</v>
      </c>
      <c r="S1" s="45" t="s">
        <v>162</v>
      </c>
      <c r="T1" s="45" t="s">
        <v>163</v>
      </c>
      <c r="U1" s="45" t="s">
        <v>164</v>
      </c>
      <c r="V1" s="45" t="s">
        <v>165</v>
      </c>
      <c r="W1" s="45" t="s">
        <v>166</v>
      </c>
      <c r="X1" s="45" t="s">
        <v>167</v>
      </c>
      <c r="Y1" s="45" t="s">
        <v>168</v>
      </c>
      <c r="Z1" s="45" t="s">
        <v>169</v>
      </c>
      <c r="AA1" s="46"/>
      <c r="AB1" s="45" t="s">
        <v>170</v>
      </c>
      <c r="AC1" s="45" t="s">
        <v>171</v>
      </c>
      <c r="AD1" s="45" t="s">
        <v>172</v>
      </c>
      <c r="AE1" s="45" t="s">
        <v>173</v>
      </c>
      <c r="AF1" s="45" t="s">
        <v>174</v>
      </c>
      <c r="AG1" s="45" t="s">
        <v>175</v>
      </c>
      <c r="AH1" s="45" t="s">
        <v>176</v>
      </c>
      <c r="AI1" s="45" t="s">
        <v>177</v>
      </c>
      <c r="AJ1" s="45" t="s">
        <v>178</v>
      </c>
      <c r="AK1" s="45" t="s">
        <v>179</v>
      </c>
      <c r="AL1" s="45" t="s">
        <v>180</v>
      </c>
      <c r="AM1" s="45" t="s">
        <v>181</v>
      </c>
      <c r="AN1" s="46"/>
      <c r="AO1" s="45" t="s">
        <v>182</v>
      </c>
      <c r="AP1" s="45" t="s">
        <v>183</v>
      </c>
      <c r="AQ1" s="45" t="s">
        <v>184</v>
      </c>
      <c r="AR1" s="45" t="s">
        <v>185</v>
      </c>
      <c r="AS1" s="45" t="s">
        <v>186</v>
      </c>
      <c r="AT1" s="45" t="s">
        <v>187</v>
      </c>
      <c r="AU1" s="45" t="s">
        <v>188</v>
      </c>
      <c r="AV1" s="45" t="s">
        <v>189</v>
      </c>
      <c r="AW1" s="45" t="s">
        <v>190</v>
      </c>
      <c r="AX1" s="45" t="s">
        <v>191</v>
      </c>
      <c r="AY1" s="45" t="s">
        <v>192</v>
      </c>
      <c r="AZ1" s="45" t="s">
        <v>193</v>
      </c>
      <c r="BA1" s="46"/>
      <c r="BB1" s="45" t="s">
        <v>194</v>
      </c>
      <c r="BC1" s="45" t="s">
        <v>195</v>
      </c>
      <c r="BD1" s="45" t="s">
        <v>196</v>
      </c>
      <c r="BE1" s="45" t="s">
        <v>197</v>
      </c>
      <c r="BF1" s="45" t="s">
        <v>198</v>
      </c>
      <c r="BG1" s="45" t="s">
        <v>199</v>
      </c>
      <c r="BH1" s="45" t="s">
        <v>200</v>
      </c>
      <c r="BI1" s="45" t="s">
        <v>201</v>
      </c>
      <c r="BJ1" s="45" t="s">
        <v>202</v>
      </c>
      <c r="BK1" s="45" t="s">
        <v>203</v>
      </c>
      <c r="BL1" s="45" t="s">
        <v>204</v>
      </c>
      <c r="BM1" s="45" t="s">
        <v>205</v>
      </c>
      <c r="BN1" s="46"/>
      <c r="BO1" s="45" t="s">
        <v>206</v>
      </c>
      <c r="BP1" s="45" t="s">
        <v>207</v>
      </c>
      <c r="BQ1" s="45" t="s">
        <v>208</v>
      </c>
      <c r="BR1" s="45" t="s">
        <v>209</v>
      </c>
      <c r="BS1" s="45" t="s">
        <v>210</v>
      </c>
      <c r="BT1" s="45" t="s">
        <v>211</v>
      </c>
      <c r="BU1" s="45" t="s">
        <v>212</v>
      </c>
      <c r="BV1" s="45" t="s">
        <v>213</v>
      </c>
      <c r="BW1" s="45" t="s">
        <v>214</v>
      </c>
      <c r="BX1" s="45" t="s">
        <v>215</v>
      </c>
      <c r="BY1" s="45" t="s">
        <v>216</v>
      </c>
      <c r="BZ1" s="45" t="s">
        <v>217</v>
      </c>
      <c r="CA1" s="46"/>
      <c r="CB1" s="45" t="s">
        <v>218</v>
      </c>
      <c r="CC1" s="45" t="s">
        <v>219</v>
      </c>
      <c r="CD1" s="45" t="s">
        <v>220</v>
      </c>
      <c r="CE1" s="45" t="s">
        <v>221</v>
      </c>
      <c r="CF1" s="45" t="s">
        <v>222</v>
      </c>
      <c r="CG1" s="45" t="s">
        <v>223</v>
      </c>
      <c r="CH1" s="45" t="s">
        <v>224</v>
      </c>
      <c r="CI1" s="45" t="s">
        <v>225</v>
      </c>
      <c r="CJ1" s="45" t="s">
        <v>226</v>
      </c>
      <c r="CK1" s="45" t="s">
        <v>227</v>
      </c>
      <c r="CL1" s="45" t="s">
        <v>228</v>
      </c>
      <c r="CM1" s="45" t="s">
        <v>229</v>
      </c>
      <c r="CN1" s="46"/>
      <c r="CO1" s="45" t="s">
        <v>230</v>
      </c>
      <c r="CP1" s="45" t="s">
        <v>231</v>
      </c>
      <c r="CQ1" s="45" t="s">
        <v>232</v>
      </c>
      <c r="CR1" s="45" t="s">
        <v>233</v>
      </c>
      <c r="CS1" s="45" t="s">
        <v>234</v>
      </c>
      <c r="CT1" s="45" t="s">
        <v>235</v>
      </c>
      <c r="CU1" s="45" t="s">
        <v>236</v>
      </c>
      <c r="CV1" s="45" t="s">
        <v>237</v>
      </c>
      <c r="CW1" s="45" t="s">
        <v>238</v>
      </c>
      <c r="CX1" s="45" t="s">
        <v>239</v>
      </c>
      <c r="CY1" s="45" t="s">
        <v>240</v>
      </c>
      <c r="CZ1" s="45" t="s">
        <v>241</v>
      </c>
      <c r="DA1" s="46">
        <v>2023</v>
      </c>
      <c r="DB1" s="54">
        <v>45383</v>
      </c>
      <c r="DC1" s="54">
        <v>45413</v>
      </c>
      <c r="DD1" s="54">
        <v>45444</v>
      </c>
      <c r="DE1" s="54">
        <v>45474</v>
      </c>
      <c r="DF1" s="54">
        <v>45505</v>
      </c>
      <c r="DG1" s="54">
        <v>45536</v>
      </c>
      <c r="DH1" s="54">
        <v>45566</v>
      </c>
      <c r="DI1" s="54">
        <v>45597</v>
      </c>
      <c r="DJ1" s="54">
        <v>45627</v>
      </c>
      <c r="DK1" s="54">
        <v>45658</v>
      </c>
      <c r="DL1" s="54">
        <v>45689</v>
      </c>
      <c r="DM1" s="54">
        <v>45717</v>
      </c>
    </row>
    <row r="2" spans="1:118" x14ac:dyDescent="0.3">
      <c r="A2" s="47" t="s">
        <v>242</v>
      </c>
      <c r="B2" s="48">
        <v>54731518.499999993</v>
      </c>
      <c r="C2" s="48">
        <v>55976858.339999996</v>
      </c>
      <c r="D2" s="48">
        <v>64502621.769999959</v>
      </c>
      <c r="E2" s="48">
        <v>70566695.569999978</v>
      </c>
      <c r="F2" s="48">
        <v>69165090.800000012</v>
      </c>
      <c r="G2" s="48">
        <v>66257439.149999984</v>
      </c>
      <c r="H2" s="48">
        <v>63133760.800000004</v>
      </c>
      <c r="I2" s="48">
        <v>61625802.059999987</v>
      </c>
      <c r="J2" s="48">
        <v>65589915.020000011</v>
      </c>
      <c r="K2" s="48">
        <v>56308224.050000004</v>
      </c>
      <c r="L2" s="48">
        <v>45883033.740000002</v>
      </c>
      <c r="M2" s="48">
        <v>44460517.949999996</v>
      </c>
      <c r="N2" s="49">
        <v>718201477.74999905</v>
      </c>
      <c r="O2" s="48">
        <v>45602473.110000007</v>
      </c>
      <c r="P2" s="48">
        <v>51175464.600000001</v>
      </c>
      <c r="Q2" s="48">
        <v>44460422.409999989</v>
      </c>
      <c r="R2" s="48">
        <v>53083773.449999996</v>
      </c>
      <c r="S2" s="48">
        <v>52912556.559999995</v>
      </c>
      <c r="T2" s="48">
        <v>47001854.609999999</v>
      </c>
      <c r="U2" s="48">
        <v>63082766.910000011</v>
      </c>
      <c r="V2" s="48">
        <v>29513099.479999986</v>
      </c>
      <c r="W2" s="48">
        <v>34184011.739999987</v>
      </c>
      <c r="X2" s="48">
        <v>33500569.120000027</v>
      </c>
      <c r="Y2" s="48">
        <v>24601686.460000023</v>
      </c>
      <c r="Z2" s="48">
        <v>28384070.22000001</v>
      </c>
      <c r="AA2" s="49">
        <v>507502748.66999966</v>
      </c>
      <c r="AB2" s="48">
        <v>32880633.260000031</v>
      </c>
      <c r="AC2" s="48">
        <v>37204095.31000001</v>
      </c>
      <c r="AD2" s="48">
        <v>39115102.130000003</v>
      </c>
      <c r="AE2" s="48">
        <v>45306657.509999968</v>
      </c>
      <c r="AF2" s="48">
        <v>45349627.56999997</v>
      </c>
      <c r="AG2" s="48">
        <v>37775085.149999961</v>
      </c>
      <c r="AH2" s="48">
        <v>44187400.650000006</v>
      </c>
      <c r="AI2" s="48">
        <v>38742774.619999975</v>
      </c>
      <c r="AJ2" s="48">
        <v>34808047.879999988</v>
      </c>
      <c r="AK2" s="48">
        <v>35719060.29999999</v>
      </c>
      <c r="AL2" s="48">
        <v>31276033.630000006</v>
      </c>
      <c r="AM2" s="48">
        <v>26412129.429999996</v>
      </c>
      <c r="AN2" s="49">
        <v>448776647.44000399</v>
      </c>
      <c r="AO2" s="48">
        <v>29439547.659999993</v>
      </c>
      <c r="AP2" s="48">
        <v>33057478.080000013</v>
      </c>
      <c r="AQ2" s="48">
        <v>55064352.369999953</v>
      </c>
      <c r="AR2" s="48">
        <v>46358918.219999991</v>
      </c>
      <c r="AS2" s="48">
        <v>45246575.540000014</v>
      </c>
      <c r="AT2" s="48">
        <v>48228971.279999971</v>
      </c>
      <c r="AU2" s="48">
        <v>54190965.429999962</v>
      </c>
      <c r="AV2" s="48">
        <v>35922387.419999972</v>
      </c>
      <c r="AW2" s="48">
        <v>41963481.29999999</v>
      </c>
      <c r="AX2" s="48">
        <v>34099731.190000005</v>
      </c>
      <c r="AY2" s="48">
        <v>30448540.750000015</v>
      </c>
      <c r="AZ2" s="48">
        <v>20004732.050000004</v>
      </c>
      <c r="BA2" s="49">
        <v>474025681.29000026</v>
      </c>
      <c r="BB2" s="48">
        <v>6664112.6600000011</v>
      </c>
      <c r="BC2" s="48">
        <v>19921230.020000007</v>
      </c>
      <c r="BD2" s="48">
        <v>34544288.190000005</v>
      </c>
      <c r="BE2" s="48">
        <v>27257020.650000006</v>
      </c>
      <c r="BF2" s="48">
        <v>29492550.900000002</v>
      </c>
      <c r="BG2" s="48">
        <v>44034351.13000004</v>
      </c>
      <c r="BH2" s="48">
        <v>47652245.07000003</v>
      </c>
      <c r="BI2" s="48">
        <v>38790648.829999983</v>
      </c>
      <c r="BJ2" s="48">
        <v>41803436.919999965</v>
      </c>
      <c r="BK2" s="48">
        <v>25947391.590000004</v>
      </c>
      <c r="BL2" s="48">
        <v>30759529.390000012</v>
      </c>
      <c r="BM2" s="48">
        <v>32568825.170000028</v>
      </c>
      <c r="BN2" s="49">
        <v>379435630.5199995</v>
      </c>
      <c r="BO2" s="48">
        <v>36715743.199999981</v>
      </c>
      <c r="BP2" s="48">
        <v>34420132.889999978</v>
      </c>
      <c r="BQ2" s="48">
        <v>28810020.780000016</v>
      </c>
      <c r="BR2" s="48">
        <v>48438428.189999975</v>
      </c>
      <c r="BS2" s="48">
        <v>21311558.480000004</v>
      </c>
      <c r="BT2" s="48">
        <v>28156194.670000013</v>
      </c>
      <c r="BU2" s="48">
        <v>26851933.330000013</v>
      </c>
      <c r="BV2" s="48">
        <v>28979517.960000008</v>
      </c>
      <c r="BW2" s="48">
        <v>24590297.589999992</v>
      </c>
      <c r="BX2" s="48">
        <v>17845191.310000002</v>
      </c>
      <c r="BY2" s="48">
        <v>27885454.489999995</v>
      </c>
      <c r="BZ2" s="48">
        <v>28146513.449999996</v>
      </c>
      <c r="CA2" s="49">
        <v>352150986.34000087</v>
      </c>
      <c r="CB2" s="48">
        <v>33296493.399999995</v>
      </c>
      <c r="CC2" s="48">
        <v>27143425.57000003</v>
      </c>
      <c r="CD2" s="48">
        <v>26801770.579999994</v>
      </c>
      <c r="CE2" s="48">
        <v>33130220.829999976</v>
      </c>
      <c r="CF2" s="48">
        <v>40633231.509999976</v>
      </c>
      <c r="CG2" s="48">
        <v>34862424.859999985</v>
      </c>
      <c r="CH2" s="48">
        <v>39213250.199999966</v>
      </c>
      <c r="CI2" s="48">
        <v>39040759.199999981</v>
      </c>
      <c r="CJ2" s="48">
        <v>45561564.069999978</v>
      </c>
      <c r="CK2" s="48">
        <v>25636546.149999995</v>
      </c>
      <c r="CL2" s="48">
        <v>28957889.349999998</v>
      </c>
      <c r="CM2" s="48">
        <v>43878384.819999978</v>
      </c>
      <c r="CN2" s="49">
        <v>418155960.54000008</v>
      </c>
      <c r="CO2" s="48">
        <v>27830430.060000002</v>
      </c>
      <c r="CP2" s="48">
        <v>29395565.349999994</v>
      </c>
      <c r="CQ2" s="48">
        <v>32325750.850000028</v>
      </c>
      <c r="CR2" s="48">
        <v>33791663.300000004</v>
      </c>
      <c r="CS2" s="48">
        <v>37781578.539999992</v>
      </c>
      <c r="CT2" s="48">
        <v>33754569.809999995</v>
      </c>
      <c r="CU2" s="48">
        <v>42512451.60999997</v>
      </c>
      <c r="CV2" s="48">
        <v>35905824.469999991</v>
      </c>
      <c r="CW2" s="48">
        <v>35422531.699999988</v>
      </c>
      <c r="CX2" s="48">
        <v>55428653.459999979</v>
      </c>
      <c r="CY2" s="48">
        <v>26525657.090000011</v>
      </c>
      <c r="CZ2" s="48">
        <v>47089941.86999999</v>
      </c>
      <c r="DA2" s="49">
        <v>437764618.11000001</v>
      </c>
      <c r="DB2" s="53">
        <f>+'EEFF historicoss'!AE5</f>
        <v>51738407.869999997</v>
      </c>
      <c r="DC2" s="53">
        <f>+'EEFF historicoss'!AF5</f>
        <v>31208457.460000001</v>
      </c>
      <c r="DD2" s="53">
        <f>+'EEFF historicoss'!AG5</f>
        <v>28752480.579999998</v>
      </c>
      <c r="DE2" s="53">
        <f>+'EEFF historicoss'!AH5</f>
        <v>27246878.329999998</v>
      </c>
      <c r="DF2" s="53">
        <f>+'EEFF historicoss'!AI5</f>
        <v>32330703.41</v>
      </c>
      <c r="DG2" s="53">
        <f>+'EEFF historicoss'!AJ5</f>
        <v>28854165.98</v>
      </c>
      <c r="DH2" s="53">
        <f>+'EEFF historicoss'!AK5</f>
        <v>27306657.91</v>
      </c>
      <c r="DI2" s="53">
        <f>+'EEFF historicoss'!AL5</f>
        <v>45750390.670000002</v>
      </c>
      <c r="DJ2" s="53">
        <f>+'EEFF historicoss'!AM5</f>
        <v>32770688.190000001</v>
      </c>
      <c r="DK2" s="53">
        <f>+'EEFF historicoss'!AN5</f>
        <v>45612167.270000003</v>
      </c>
      <c r="DL2" s="53">
        <f>+'EEFF historicoss'!AO5</f>
        <v>39629762.890000001</v>
      </c>
      <c r="DM2" s="53">
        <f>+'EEFF historicoss'!AP5</f>
        <v>40921415.979999997</v>
      </c>
      <c r="DN2" s="113">
        <f>+DM2/0.87</f>
        <v>47036110.321839079</v>
      </c>
    </row>
    <row r="3" spans="1:118" x14ac:dyDescent="0.3">
      <c r="A3" s="50" t="s">
        <v>243</v>
      </c>
      <c r="B3" s="44">
        <v>54731518.499999993</v>
      </c>
      <c r="C3" s="44">
        <v>55976858.339999996</v>
      </c>
      <c r="D3" s="44">
        <v>64502621.769999959</v>
      </c>
      <c r="E3" s="44">
        <v>70566695.569999978</v>
      </c>
      <c r="F3" s="44">
        <v>69165090.800000012</v>
      </c>
      <c r="G3" s="44">
        <v>66257439.149999984</v>
      </c>
      <c r="H3" s="44">
        <v>63133760.800000004</v>
      </c>
      <c r="I3" s="44">
        <v>61625802.059999987</v>
      </c>
      <c r="J3" s="44">
        <v>65589915.020000011</v>
      </c>
      <c r="K3" s="44">
        <v>56308224.050000004</v>
      </c>
      <c r="L3" s="44">
        <v>45883033.740000002</v>
      </c>
      <c r="M3" s="44">
        <v>44460517.949999996</v>
      </c>
      <c r="N3" s="51">
        <v>718201477.74999905</v>
      </c>
      <c r="O3" s="44">
        <v>45602473.110000007</v>
      </c>
      <c r="P3" s="44">
        <v>51175464.600000001</v>
      </c>
      <c r="Q3" s="44">
        <v>44460422.409999989</v>
      </c>
      <c r="R3" s="44">
        <v>53083773.449999996</v>
      </c>
      <c r="S3" s="44">
        <v>52912556.559999995</v>
      </c>
      <c r="T3" s="44">
        <v>47001854.609999999</v>
      </c>
      <c r="U3" s="44">
        <v>63082766.910000011</v>
      </c>
      <c r="V3" s="44">
        <v>29513099.479999986</v>
      </c>
      <c r="W3" s="44">
        <v>34184011.739999987</v>
      </c>
      <c r="X3" s="44">
        <v>33500569.120000027</v>
      </c>
      <c r="Y3" s="44">
        <v>24601686.460000023</v>
      </c>
      <c r="Z3" s="44">
        <v>28384070.22000001</v>
      </c>
      <c r="AA3" s="51">
        <v>507502748.66999966</v>
      </c>
      <c r="AB3" s="44">
        <v>32880633.260000031</v>
      </c>
      <c r="AC3" s="44">
        <v>37204095.31000001</v>
      </c>
      <c r="AD3" s="44">
        <v>39103425.200000003</v>
      </c>
      <c r="AE3" s="44">
        <v>45283299.759999968</v>
      </c>
      <c r="AF3" s="44">
        <v>45349627.56999997</v>
      </c>
      <c r="AG3" s="44">
        <v>37750747.419999965</v>
      </c>
      <c r="AH3" s="44">
        <v>44163062.920000009</v>
      </c>
      <c r="AI3" s="44">
        <v>38742774.619999975</v>
      </c>
      <c r="AJ3" s="44">
        <v>34783710.149999991</v>
      </c>
      <c r="AK3" s="44">
        <v>35719060.29999999</v>
      </c>
      <c r="AL3" s="44">
        <v>31276033.630000006</v>
      </c>
      <c r="AM3" s="44">
        <v>26412129.429999996</v>
      </c>
      <c r="AN3" s="51">
        <v>448668599.57000393</v>
      </c>
      <c r="AO3" s="44">
        <v>29439547.659999993</v>
      </c>
      <c r="AP3" s="44">
        <v>33057478.080000013</v>
      </c>
      <c r="AQ3" s="44">
        <v>55064352.369999953</v>
      </c>
      <c r="AR3" s="44">
        <v>46358918.219999991</v>
      </c>
      <c r="AS3" s="44">
        <v>45220575.760000013</v>
      </c>
      <c r="AT3" s="44">
        <v>48228971.279999971</v>
      </c>
      <c r="AU3" s="44">
        <v>54190965.429999962</v>
      </c>
      <c r="AV3" s="44">
        <v>35922387.419999972</v>
      </c>
      <c r="AW3" s="44">
        <v>41963481.29999999</v>
      </c>
      <c r="AX3" s="44">
        <v>34071651.430000007</v>
      </c>
      <c r="AY3" s="44">
        <v>30448540.750000015</v>
      </c>
      <c r="AZ3" s="44">
        <v>20004732.050000004</v>
      </c>
      <c r="BA3" s="51">
        <v>473971601.7500003</v>
      </c>
      <c r="BB3" s="44">
        <v>6664112.6600000011</v>
      </c>
      <c r="BC3" s="44">
        <v>19921230.020000007</v>
      </c>
      <c r="BD3" s="44">
        <v>34544288.190000005</v>
      </c>
      <c r="BE3" s="44">
        <v>27257020.650000006</v>
      </c>
      <c r="BF3" s="44">
        <v>29492550.900000002</v>
      </c>
      <c r="BG3" s="44">
        <v>44034351.13000004</v>
      </c>
      <c r="BH3" s="44">
        <v>47652245.07000003</v>
      </c>
      <c r="BI3" s="44">
        <v>38790648.829999983</v>
      </c>
      <c r="BJ3" s="44">
        <v>41803436.919999965</v>
      </c>
      <c r="BK3" s="44">
        <v>25947391.590000004</v>
      </c>
      <c r="BL3" s="44">
        <v>30759529.390000012</v>
      </c>
      <c r="BM3" s="44">
        <v>32568825.170000028</v>
      </c>
      <c r="BN3" s="51">
        <v>379435630.5199995</v>
      </c>
      <c r="BO3" s="44">
        <v>36715743.199999981</v>
      </c>
      <c r="BP3" s="44">
        <v>34420132.889999978</v>
      </c>
      <c r="BQ3" s="44">
        <v>28810020.780000016</v>
      </c>
      <c r="BR3" s="44">
        <v>48438428.189999975</v>
      </c>
      <c r="BS3" s="44">
        <v>21311558.480000004</v>
      </c>
      <c r="BT3" s="44">
        <v>28156194.670000013</v>
      </c>
      <c r="BU3" s="44">
        <v>26851933.330000013</v>
      </c>
      <c r="BV3" s="44">
        <v>28979517.960000008</v>
      </c>
      <c r="BW3" s="44">
        <v>24590297.589999992</v>
      </c>
      <c r="BX3" s="44">
        <v>17845191.310000002</v>
      </c>
      <c r="BY3" s="44">
        <v>27885454.489999995</v>
      </c>
      <c r="BZ3" s="44">
        <v>28146513.449999996</v>
      </c>
      <c r="CA3" s="51">
        <v>352150986.34000087</v>
      </c>
      <c r="CB3" s="44">
        <v>33296493.399999995</v>
      </c>
      <c r="CC3" s="44">
        <v>27143425.57000003</v>
      </c>
      <c r="CD3" s="44">
        <v>26801770.579999994</v>
      </c>
      <c r="CE3" s="44">
        <v>33130220.829999976</v>
      </c>
      <c r="CF3" s="44">
        <v>40633231.509999976</v>
      </c>
      <c r="CG3" s="44">
        <v>34862424.859999985</v>
      </c>
      <c r="CH3" s="44">
        <v>39213250.199999966</v>
      </c>
      <c r="CI3" s="44">
        <v>39040759.199999981</v>
      </c>
      <c r="CJ3" s="44">
        <v>45561564.069999978</v>
      </c>
      <c r="CK3" s="44">
        <v>25636546.149999995</v>
      </c>
      <c r="CL3" s="44">
        <v>28957889.349999998</v>
      </c>
      <c r="CM3" s="44">
        <v>43878384.819999978</v>
      </c>
      <c r="CN3" s="51">
        <v>418155960.54000008</v>
      </c>
      <c r="CO3" s="44">
        <v>27830430.060000002</v>
      </c>
      <c r="CP3" s="44">
        <v>29395565.349999994</v>
      </c>
      <c r="CQ3" s="44">
        <v>32325750.850000028</v>
      </c>
      <c r="CR3" s="44">
        <v>33791663.300000004</v>
      </c>
      <c r="CS3" s="44">
        <v>37781578.539999992</v>
      </c>
      <c r="CT3" s="44">
        <v>33754569.809999995</v>
      </c>
      <c r="CU3" s="44">
        <v>42512451.60999997</v>
      </c>
      <c r="CV3" s="44">
        <v>35905824.469999991</v>
      </c>
      <c r="CW3" s="44">
        <v>35422531.699999988</v>
      </c>
      <c r="CX3" s="44">
        <v>55428653.459999979</v>
      </c>
      <c r="CY3" s="44">
        <v>26525657.090000011</v>
      </c>
      <c r="CZ3" s="44">
        <v>47089941.86999999</v>
      </c>
      <c r="DA3" s="51">
        <v>437764618.11000001</v>
      </c>
    </row>
    <row r="4" spans="1:118" x14ac:dyDescent="0.3">
      <c r="A4" s="50" t="s">
        <v>244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51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51"/>
      <c r="AB4" s="44"/>
      <c r="AC4" s="44"/>
      <c r="AD4" s="44">
        <v>11676.93</v>
      </c>
      <c r="AE4" s="44">
        <v>23357.75</v>
      </c>
      <c r="AF4" s="44"/>
      <c r="AG4" s="44">
        <v>24337.73</v>
      </c>
      <c r="AH4" s="44">
        <v>24337.73</v>
      </c>
      <c r="AI4" s="44"/>
      <c r="AJ4" s="44">
        <v>24337.73</v>
      </c>
      <c r="AK4" s="44"/>
      <c r="AL4" s="44"/>
      <c r="AM4" s="44"/>
      <c r="AN4" s="51">
        <v>108047.87</v>
      </c>
      <c r="AO4" s="44"/>
      <c r="AP4" s="44"/>
      <c r="AQ4" s="44"/>
      <c r="AR4" s="44"/>
      <c r="AS4" s="44">
        <v>25999.78</v>
      </c>
      <c r="AT4" s="44"/>
      <c r="AU4" s="44"/>
      <c r="AV4" s="44"/>
      <c r="AW4" s="44"/>
      <c r="AX4" s="44">
        <v>28079.759999999998</v>
      </c>
      <c r="AY4" s="44"/>
      <c r="AZ4" s="44"/>
      <c r="BA4" s="51">
        <v>54079.539999999994</v>
      </c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51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51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51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51"/>
    </row>
    <row r="5" spans="1:118" x14ac:dyDescent="0.3">
      <c r="A5" s="47" t="s">
        <v>7</v>
      </c>
      <c r="B5" s="48">
        <v>-32776040.170000002</v>
      </c>
      <c r="C5" s="48">
        <v>-34885440.309999995</v>
      </c>
      <c r="D5" s="48">
        <v>-36432353.929999977</v>
      </c>
      <c r="E5" s="48">
        <v>-41350992.050000042</v>
      </c>
      <c r="F5" s="48">
        <v>-39679734.829999991</v>
      </c>
      <c r="G5" s="48">
        <v>-40465738.49999997</v>
      </c>
      <c r="H5" s="48">
        <v>-37414650.069999993</v>
      </c>
      <c r="I5" s="48">
        <v>-35332929.259999953</v>
      </c>
      <c r="J5" s="48">
        <v>-44389689.560000025</v>
      </c>
      <c r="K5" s="48">
        <v>-31866767.110000011</v>
      </c>
      <c r="L5" s="48">
        <v>-31865142.620000049</v>
      </c>
      <c r="M5" s="48">
        <v>-38647754.690000094</v>
      </c>
      <c r="N5" s="49">
        <v>-445107233.10000032</v>
      </c>
      <c r="O5" s="48">
        <v>-27707411.34</v>
      </c>
      <c r="P5" s="48">
        <v>-32773311.689999998</v>
      </c>
      <c r="Q5" s="48">
        <v>-32284751.169999972</v>
      </c>
      <c r="R5" s="48">
        <v>-34850916.869999997</v>
      </c>
      <c r="S5" s="48">
        <v>-31677896.499999978</v>
      </c>
      <c r="T5" s="48">
        <v>-3927636.91</v>
      </c>
      <c r="U5" s="48">
        <v>-32729187.580000028</v>
      </c>
      <c r="V5" s="48">
        <v>-23785165.170000013</v>
      </c>
      <c r="W5" s="48">
        <v>-23342696.739999969</v>
      </c>
      <c r="X5" s="48">
        <v>-22900677.560000069</v>
      </c>
      <c r="Y5" s="48">
        <v>-23316757.650000021</v>
      </c>
      <c r="Z5" s="48">
        <v>-28680861.430000037</v>
      </c>
      <c r="AA5" s="49">
        <v>-317977270.60999966</v>
      </c>
      <c r="AB5" s="48">
        <v>-23800176.299999997</v>
      </c>
      <c r="AC5" s="48">
        <v>-26850716.810000006</v>
      </c>
      <c r="AD5" s="48">
        <v>-21346055.789999999</v>
      </c>
      <c r="AE5" s="48">
        <v>-38977624.400000006</v>
      </c>
      <c r="AF5" s="48">
        <v>-29246824.469999943</v>
      </c>
      <c r="AG5" s="48">
        <v>-25843464.100000024</v>
      </c>
      <c r="AH5" s="48">
        <v>-27881080.760000058</v>
      </c>
      <c r="AI5" s="48">
        <v>-24093606.230000045</v>
      </c>
      <c r="AJ5" s="48">
        <v>-16222660.17</v>
      </c>
      <c r="AK5" s="48">
        <v>-26946993.959999949</v>
      </c>
      <c r="AL5" s="48">
        <v>-23754556.360000025</v>
      </c>
      <c r="AM5" s="48">
        <v>-36553517.779999986</v>
      </c>
      <c r="AN5" s="49">
        <v>-321517277.12999833</v>
      </c>
      <c r="AO5" s="48">
        <v>-26167656.489999998</v>
      </c>
      <c r="AP5" s="48">
        <v>-26131214.260000002</v>
      </c>
      <c r="AQ5" s="48">
        <v>-17664664.579999987</v>
      </c>
      <c r="AR5" s="48">
        <v>-32318146.359999973</v>
      </c>
      <c r="AS5" s="48">
        <v>-29211552.999999996</v>
      </c>
      <c r="AT5" s="48">
        <v>-27831428.940000001</v>
      </c>
      <c r="AU5" s="48">
        <v>-32720640.479999989</v>
      </c>
      <c r="AV5" s="48">
        <v>-30972052.68999999</v>
      </c>
      <c r="AW5" s="48">
        <v>-35579343.009999916</v>
      </c>
      <c r="AX5" s="48">
        <v>-28891587.520000011</v>
      </c>
      <c r="AY5" s="48">
        <v>-23430542.199999962</v>
      </c>
      <c r="AZ5" s="48">
        <v>-33967979.230000034</v>
      </c>
      <c r="BA5" s="49">
        <v>-344886808.75999892</v>
      </c>
      <c r="BB5" s="48">
        <v>-3444837.55</v>
      </c>
      <c r="BC5" s="48">
        <v>-26972886.640000004</v>
      </c>
      <c r="BD5" s="48">
        <v>-25654074.140000001</v>
      </c>
      <c r="BE5" s="48">
        <v>-20609235.31000001</v>
      </c>
      <c r="BF5" s="48">
        <v>-24141780.239999987</v>
      </c>
      <c r="BG5" s="48">
        <v>-30893015.149999999</v>
      </c>
      <c r="BH5" s="48">
        <v>-25718305.479999997</v>
      </c>
      <c r="BI5" s="48">
        <v>-28591610.619999994</v>
      </c>
      <c r="BJ5" s="48">
        <v>-25504256.69000002</v>
      </c>
      <c r="BK5" s="48">
        <v>-27564824.509999998</v>
      </c>
      <c r="BL5" s="48">
        <v>-19826524.749999978</v>
      </c>
      <c r="BM5" s="48">
        <v>-24025722.479999878</v>
      </c>
      <c r="BN5" s="49">
        <v>-282947073.56000042</v>
      </c>
      <c r="BO5" s="48">
        <v>-24855585.18</v>
      </c>
      <c r="BP5" s="48">
        <v>-31411664.010000002</v>
      </c>
      <c r="BQ5" s="48">
        <v>-24265002.169999998</v>
      </c>
      <c r="BR5" s="48">
        <v>-18015041.620000005</v>
      </c>
      <c r="BS5" s="48">
        <v>-20166010.360000011</v>
      </c>
      <c r="BT5" s="48">
        <v>-17008282.789999969</v>
      </c>
      <c r="BU5" s="48">
        <v>-19508960.18999999</v>
      </c>
      <c r="BV5" s="48">
        <v>-17366075.990000013</v>
      </c>
      <c r="BW5" s="48">
        <v>-18723108.919999987</v>
      </c>
      <c r="BX5" s="48">
        <v>-17335169.340000007</v>
      </c>
      <c r="BY5" s="48">
        <v>-21092757.369999982</v>
      </c>
      <c r="BZ5" s="48">
        <v>-20506452.290000044</v>
      </c>
      <c r="CA5" s="49">
        <v>-250254110.22999999</v>
      </c>
      <c r="CB5" s="48">
        <v>-21812900.989999998</v>
      </c>
      <c r="CC5" s="48">
        <v>-25825361.879999999</v>
      </c>
      <c r="CD5" s="48">
        <v>-23122363.149999991</v>
      </c>
      <c r="CE5" s="48">
        <v>-22548912.140000008</v>
      </c>
      <c r="CF5" s="48">
        <v>-24808191.81000001</v>
      </c>
      <c r="CG5" s="48">
        <v>-26346447.489999972</v>
      </c>
      <c r="CH5" s="48">
        <v>-25834123.49000001</v>
      </c>
      <c r="CI5" s="48">
        <v>-27481272.009999987</v>
      </c>
      <c r="CJ5" s="48">
        <v>-26375762.419999987</v>
      </c>
      <c r="CK5" s="48">
        <v>-29198709.159999967</v>
      </c>
      <c r="CL5" s="48">
        <v>-33771967.400000028</v>
      </c>
      <c r="CM5" s="48">
        <v>-26525773.160000041</v>
      </c>
      <c r="CN5" s="49">
        <v>-313651785.10000044</v>
      </c>
      <c r="CO5" s="48">
        <v>-25434474.620000001</v>
      </c>
      <c r="CP5" s="48">
        <v>-28879269.419999998</v>
      </c>
      <c r="CQ5" s="48">
        <v>-26405737.669999987</v>
      </c>
      <c r="CR5" s="48">
        <v>-22676359.620000005</v>
      </c>
      <c r="CS5" s="48">
        <v>-25831800.520000026</v>
      </c>
      <c r="CT5" s="48">
        <v>-23391815.199999973</v>
      </c>
      <c r="CU5" s="48">
        <v>-23747253.36999993</v>
      </c>
      <c r="CV5" s="48">
        <v>-21719244.900000025</v>
      </c>
      <c r="CW5" s="48">
        <v>-21897033.800000023</v>
      </c>
      <c r="CX5" s="48">
        <v>-28994629.680000007</v>
      </c>
      <c r="CY5" s="48">
        <v>-27393500.54000001</v>
      </c>
      <c r="CZ5" s="48">
        <v>-34941199.649999969</v>
      </c>
      <c r="DA5" s="49">
        <v>-311312318.99000102</v>
      </c>
      <c r="DB5" s="53">
        <f>+'EEFF historicoss'!AE8</f>
        <v>-33832217.420000002</v>
      </c>
      <c r="DC5" s="53">
        <f>+'EEFF historicoss'!AF8</f>
        <v>-31825420.550000001</v>
      </c>
      <c r="DD5" s="53">
        <f>+'EEFF historicoss'!AG8</f>
        <v>-28825967.93</v>
      </c>
      <c r="DE5" s="53">
        <f>+'EEFF historicoss'!AH8</f>
        <v>-30193661.010000002</v>
      </c>
      <c r="DF5" s="53">
        <f>+'EEFF historicoss'!AI8</f>
        <v>-27845660.010000002</v>
      </c>
      <c r="DG5" s="53">
        <f>+'EEFF historicoss'!AJ8</f>
        <v>-16075418.42</v>
      </c>
      <c r="DH5" s="53">
        <f>+'EEFF historicoss'!AK8</f>
        <v>-18501311.039999999</v>
      </c>
      <c r="DI5" s="53">
        <f>+'EEFF historicoss'!AL8</f>
        <v>-27622010.460000001</v>
      </c>
      <c r="DJ5" s="53">
        <f>+'EEFF historicoss'!AM8</f>
        <v>-28637596.780000001</v>
      </c>
      <c r="DK5" s="53">
        <f>+'EEFF historicoss'!AN8</f>
        <v>-27596156.079999998</v>
      </c>
      <c r="DL5" s="53">
        <f>+'EEFF historicoss'!AO8</f>
        <v>-33592476.380000003</v>
      </c>
      <c r="DM5" s="53">
        <f>+'EEFF historicoss'!AP8</f>
        <v>-40794323.18</v>
      </c>
    </row>
    <row r="6" spans="1:118" x14ac:dyDescent="0.3">
      <c r="A6" s="50" t="s">
        <v>93</v>
      </c>
      <c r="B6" s="44">
        <v>-32776040.170000002</v>
      </c>
      <c r="C6" s="44">
        <v>-34885440.309999995</v>
      </c>
      <c r="D6" s="44">
        <v>-36432353.929999977</v>
      </c>
      <c r="E6" s="44">
        <v>-41350992.050000042</v>
      </c>
      <c r="F6" s="44">
        <v>-39679734.829999991</v>
      </c>
      <c r="G6" s="44">
        <v>-40465738.49999997</v>
      </c>
      <c r="H6" s="44">
        <v>-37414650.069999993</v>
      </c>
      <c r="I6" s="44">
        <v>-35332929.259999953</v>
      </c>
      <c r="J6" s="44">
        <v>-44389689.560000025</v>
      </c>
      <c r="K6" s="44">
        <v>-31866767.110000011</v>
      </c>
      <c r="L6" s="44">
        <v>-31865142.620000049</v>
      </c>
      <c r="M6" s="44">
        <v>-38647754.690000094</v>
      </c>
      <c r="N6" s="51">
        <v>-445107233.10000032</v>
      </c>
      <c r="O6" s="44">
        <v>-27707411.34</v>
      </c>
      <c r="P6" s="44">
        <v>-32773311.689999998</v>
      </c>
      <c r="Q6" s="44">
        <v>-32284751.169999972</v>
      </c>
      <c r="R6" s="44">
        <v>-34850916.869999997</v>
      </c>
      <c r="S6" s="44">
        <v>-31677896.499999978</v>
      </c>
      <c r="T6" s="44">
        <v>-3927636.91</v>
      </c>
      <c r="U6" s="44">
        <v>-32729187.580000028</v>
      </c>
      <c r="V6" s="44">
        <v>-23785165.170000013</v>
      </c>
      <c r="W6" s="44">
        <v>-23342696.739999969</v>
      </c>
      <c r="X6" s="44">
        <v>-22900677.560000069</v>
      </c>
      <c r="Y6" s="44">
        <v>-23316757.650000021</v>
      </c>
      <c r="Z6" s="44">
        <v>-28680861.430000037</v>
      </c>
      <c r="AA6" s="51">
        <v>-317977270.60999966</v>
      </c>
      <c r="AB6" s="44">
        <v>-23800176.299999997</v>
      </c>
      <c r="AC6" s="44">
        <v>-26850716.810000006</v>
      </c>
      <c r="AD6" s="44">
        <v>-21346055.789999999</v>
      </c>
      <c r="AE6" s="44">
        <v>-38977624.400000006</v>
      </c>
      <c r="AF6" s="44">
        <v>-29246824.469999943</v>
      </c>
      <c r="AG6" s="44">
        <v>-25843464.100000024</v>
      </c>
      <c r="AH6" s="44">
        <v>-27881080.760000058</v>
      </c>
      <c r="AI6" s="44">
        <v>-24093606.230000045</v>
      </c>
      <c r="AJ6" s="44">
        <v>-16222660.17</v>
      </c>
      <c r="AK6" s="44">
        <v>-26946993.959999949</v>
      </c>
      <c r="AL6" s="44">
        <v>-23754556.360000025</v>
      </c>
      <c r="AM6" s="44">
        <v>-36553517.779999986</v>
      </c>
      <c r="AN6" s="51">
        <v>-321517277.12999833</v>
      </c>
      <c r="AO6" s="44">
        <v>-26167656.489999998</v>
      </c>
      <c r="AP6" s="44">
        <v>-26131214.260000002</v>
      </c>
      <c r="AQ6" s="44">
        <v>-17664664.579999987</v>
      </c>
      <c r="AR6" s="44">
        <v>-32318146.359999973</v>
      </c>
      <c r="AS6" s="44">
        <v>-29211552.999999996</v>
      </c>
      <c r="AT6" s="44">
        <v>-27831428.940000001</v>
      </c>
      <c r="AU6" s="44">
        <v>-32720640.479999989</v>
      </c>
      <c r="AV6" s="44">
        <v>-30972052.68999999</v>
      </c>
      <c r="AW6" s="44">
        <v>-35579343.009999916</v>
      </c>
      <c r="AX6" s="44">
        <v>-28891587.520000011</v>
      </c>
      <c r="AY6" s="44">
        <v>-23430542.199999962</v>
      </c>
      <c r="AZ6" s="44">
        <v>-33967979.230000034</v>
      </c>
      <c r="BA6" s="51">
        <v>-344886808.75999892</v>
      </c>
      <c r="BB6" s="44">
        <v>-3444837.55</v>
      </c>
      <c r="BC6" s="44">
        <v>-26972886.640000004</v>
      </c>
      <c r="BD6" s="44">
        <v>-25654074.140000001</v>
      </c>
      <c r="BE6" s="44">
        <v>-20609235.31000001</v>
      </c>
      <c r="BF6" s="44">
        <v>-24141780.239999987</v>
      </c>
      <c r="BG6" s="44">
        <v>-30893015.149999999</v>
      </c>
      <c r="BH6" s="44">
        <v>-25718305.479999997</v>
      </c>
      <c r="BI6" s="44">
        <v>-28591610.619999994</v>
      </c>
      <c r="BJ6" s="44">
        <v>-25504256.69000002</v>
      </c>
      <c r="BK6" s="44">
        <v>-27564824.509999998</v>
      </c>
      <c r="BL6" s="44">
        <v>-19826524.749999978</v>
      </c>
      <c r="BM6" s="44">
        <v>-24025722.479999878</v>
      </c>
      <c r="BN6" s="51">
        <v>-282947073.56000042</v>
      </c>
      <c r="BO6" s="44">
        <v>-24855585.18</v>
      </c>
      <c r="BP6" s="44">
        <v>-31411664.010000002</v>
      </c>
      <c r="BQ6" s="44">
        <v>-24265002.169999998</v>
      </c>
      <c r="BR6" s="44">
        <v>-18015041.620000005</v>
      </c>
      <c r="BS6" s="44">
        <v>-20166010.360000011</v>
      </c>
      <c r="BT6" s="44">
        <v>-17008282.789999969</v>
      </c>
      <c r="BU6" s="44">
        <v>-19508960.18999999</v>
      </c>
      <c r="BV6" s="44">
        <v>-17366075.990000013</v>
      </c>
      <c r="BW6" s="44">
        <v>-18723108.919999987</v>
      </c>
      <c r="BX6" s="44">
        <v>-17335169.340000007</v>
      </c>
      <c r="BY6" s="44">
        <v>-21092757.369999982</v>
      </c>
      <c r="BZ6" s="44">
        <v>-20506452.290000044</v>
      </c>
      <c r="CA6" s="51">
        <v>-250254110.22999999</v>
      </c>
      <c r="CB6" s="44">
        <v>-21812900.989999998</v>
      </c>
      <c r="CC6" s="44">
        <v>-25825361.879999999</v>
      </c>
      <c r="CD6" s="44">
        <v>-23122363.149999991</v>
      </c>
      <c r="CE6" s="44">
        <v>-22548912.140000008</v>
      </c>
      <c r="CF6" s="44">
        <v>-24808191.81000001</v>
      </c>
      <c r="CG6" s="44">
        <v>-26346447.489999972</v>
      </c>
      <c r="CH6" s="44">
        <v>-25834123.49000001</v>
      </c>
      <c r="CI6" s="44">
        <v>-27481272.009999987</v>
      </c>
      <c r="CJ6" s="44">
        <v>-26375762.419999987</v>
      </c>
      <c r="CK6" s="44">
        <v>-29198709.159999967</v>
      </c>
      <c r="CL6" s="44">
        <v>-33771967.400000028</v>
      </c>
      <c r="CM6" s="44">
        <v>-26525773.160000041</v>
      </c>
      <c r="CN6" s="51">
        <v>-313651785.10000044</v>
      </c>
      <c r="CO6" s="44">
        <v>-25434474.620000001</v>
      </c>
      <c r="CP6" s="44">
        <v>-28879269.419999998</v>
      </c>
      <c r="CQ6" s="44">
        <v>-26405737.669999987</v>
      </c>
      <c r="CR6" s="44">
        <v>-22676359.620000005</v>
      </c>
      <c r="CS6" s="44">
        <v>-25831800.520000026</v>
      </c>
      <c r="CT6" s="44">
        <v>-23391815.199999973</v>
      </c>
      <c r="CU6" s="44">
        <v>-23747253.36999993</v>
      </c>
      <c r="CV6" s="44">
        <v>-21719244.900000025</v>
      </c>
      <c r="CW6" s="44">
        <v>-21897033.800000023</v>
      </c>
      <c r="CX6" s="44">
        <v>-28994629.680000007</v>
      </c>
      <c r="CY6" s="44">
        <v>-27393500.54000001</v>
      </c>
      <c r="CZ6" s="44">
        <v>-34941199.649999969</v>
      </c>
      <c r="DA6" s="51">
        <v>-311312318.99000102</v>
      </c>
    </row>
    <row r="7" spans="1:118" x14ac:dyDescent="0.3">
      <c r="A7" s="43" t="s">
        <v>93</v>
      </c>
      <c r="B7" s="44">
        <v>-32776040.170000002</v>
      </c>
      <c r="C7" s="44">
        <v>-34885440.309999995</v>
      </c>
      <c r="D7" s="44">
        <v>-36432353.929999977</v>
      </c>
      <c r="E7" s="44">
        <v>-41350992.050000042</v>
      </c>
      <c r="F7" s="44">
        <v>-39679734.829999991</v>
      </c>
      <c r="G7" s="44">
        <v>-40465738.49999997</v>
      </c>
      <c r="H7" s="44">
        <v>-37414650.069999993</v>
      </c>
      <c r="I7" s="44">
        <v>-35332929.259999953</v>
      </c>
      <c r="J7" s="44">
        <v>-44389689.560000025</v>
      </c>
      <c r="K7" s="44">
        <v>-31866767.110000011</v>
      </c>
      <c r="L7" s="44">
        <v>-31865142.620000049</v>
      </c>
      <c r="M7" s="44">
        <v>-38647754.690000094</v>
      </c>
      <c r="N7" s="51">
        <v>-445107233.10000032</v>
      </c>
      <c r="O7" s="44">
        <v>-27707411.34</v>
      </c>
      <c r="P7" s="44">
        <v>-32773311.689999998</v>
      </c>
      <c r="Q7" s="44">
        <v>-32284751.169999972</v>
      </c>
      <c r="R7" s="44">
        <v>-34850916.869999997</v>
      </c>
      <c r="S7" s="44">
        <v>-31677896.499999978</v>
      </c>
      <c r="T7" s="44">
        <v>-3927636.91</v>
      </c>
      <c r="U7" s="44">
        <v>-32729187.580000028</v>
      </c>
      <c r="V7" s="44">
        <v>-23785165.170000013</v>
      </c>
      <c r="W7" s="44">
        <v>-23342696.739999969</v>
      </c>
      <c r="X7" s="44">
        <v>-22900677.560000069</v>
      </c>
      <c r="Y7" s="44">
        <v>-23316757.650000021</v>
      </c>
      <c r="Z7" s="44">
        <v>-28680861.430000037</v>
      </c>
      <c r="AA7" s="51">
        <v>-317977270.60999966</v>
      </c>
      <c r="AB7" s="44">
        <v>-23800176.299999997</v>
      </c>
      <c r="AC7" s="44">
        <v>-26850716.810000006</v>
      </c>
      <c r="AD7" s="44">
        <v>-21346055.789999999</v>
      </c>
      <c r="AE7" s="44">
        <v>-38977624.400000006</v>
      </c>
      <c r="AF7" s="44">
        <v>-29246824.469999943</v>
      </c>
      <c r="AG7" s="44">
        <v>-25843464.100000024</v>
      </c>
      <c r="AH7" s="44">
        <v>-27881080.760000058</v>
      </c>
      <c r="AI7" s="44">
        <v>-24093606.230000045</v>
      </c>
      <c r="AJ7" s="44">
        <v>-16222660.17</v>
      </c>
      <c r="AK7" s="44">
        <v>-26946993.959999949</v>
      </c>
      <c r="AL7" s="44">
        <v>-23754556.360000025</v>
      </c>
      <c r="AM7" s="44">
        <v>-36553517.779999986</v>
      </c>
      <c r="AN7" s="51">
        <v>-321517277.12999833</v>
      </c>
      <c r="AO7" s="44">
        <v>-26167656.489999998</v>
      </c>
      <c r="AP7" s="44">
        <v>-26131214.260000002</v>
      </c>
      <c r="AQ7" s="44">
        <v>-17664664.579999987</v>
      </c>
      <c r="AR7" s="44">
        <v>-32318146.359999973</v>
      </c>
      <c r="AS7" s="44">
        <v>-29211552.999999996</v>
      </c>
      <c r="AT7" s="44">
        <v>-27831428.940000001</v>
      </c>
      <c r="AU7" s="44">
        <v>-32720640.479999989</v>
      </c>
      <c r="AV7" s="44">
        <v>-30972052.68999999</v>
      </c>
      <c r="AW7" s="44">
        <v>-35579343.009999916</v>
      </c>
      <c r="AX7" s="44">
        <v>-28891587.520000011</v>
      </c>
      <c r="AY7" s="44">
        <v>-23430542.199999962</v>
      </c>
      <c r="AZ7" s="44">
        <v>-33967979.230000034</v>
      </c>
      <c r="BA7" s="51">
        <v>-344886808.75999892</v>
      </c>
      <c r="BB7" s="44">
        <v>-3444837.55</v>
      </c>
      <c r="BC7" s="44">
        <v>-26972886.640000004</v>
      </c>
      <c r="BD7" s="44">
        <v>-25654074.140000001</v>
      </c>
      <c r="BE7" s="44">
        <v>-20609235.31000001</v>
      </c>
      <c r="BF7" s="44">
        <v>-24141780.239999987</v>
      </c>
      <c r="BG7" s="44">
        <v>-30893015.149999999</v>
      </c>
      <c r="BH7" s="44">
        <v>-25718305.479999997</v>
      </c>
      <c r="BI7" s="44">
        <v>-28591610.619999994</v>
      </c>
      <c r="BJ7" s="44">
        <v>-25504256.69000002</v>
      </c>
      <c r="BK7" s="44">
        <v>-27564824.509999998</v>
      </c>
      <c r="BL7" s="44">
        <v>-19826524.749999978</v>
      </c>
      <c r="BM7" s="44">
        <v>-24025722.479999878</v>
      </c>
      <c r="BN7" s="51">
        <v>-282947073.56000042</v>
      </c>
      <c r="BO7" s="44">
        <v>-24855585.18</v>
      </c>
      <c r="BP7" s="44">
        <v>-31411664.010000002</v>
      </c>
      <c r="BQ7" s="44">
        <v>-24265002.169999998</v>
      </c>
      <c r="BR7" s="44">
        <v>-18015041.620000005</v>
      </c>
      <c r="BS7" s="44">
        <v>-20166010.360000011</v>
      </c>
      <c r="BT7" s="44">
        <v>-17008282.789999969</v>
      </c>
      <c r="BU7" s="44">
        <v>-19508960.18999999</v>
      </c>
      <c r="BV7" s="44">
        <v>-17366075.990000013</v>
      </c>
      <c r="BW7" s="44">
        <v>-18723108.919999987</v>
      </c>
      <c r="BX7" s="44">
        <v>-17335169.340000007</v>
      </c>
      <c r="BY7" s="44">
        <v>-21092757.369999982</v>
      </c>
      <c r="BZ7" s="44">
        <v>-20506452.290000044</v>
      </c>
      <c r="CA7" s="51">
        <v>-250254110.22999999</v>
      </c>
      <c r="CB7" s="44">
        <v>-21812900.989999998</v>
      </c>
      <c r="CC7" s="44">
        <v>-25825361.879999999</v>
      </c>
      <c r="CD7" s="44">
        <v>-23122363.149999991</v>
      </c>
      <c r="CE7" s="44">
        <v>-22548912.140000008</v>
      </c>
      <c r="CF7" s="44">
        <v>-24808191.81000001</v>
      </c>
      <c r="CG7" s="44">
        <v>-26346447.489999972</v>
      </c>
      <c r="CH7" s="44">
        <v>-25834123.49000001</v>
      </c>
      <c r="CI7" s="44">
        <v>-27481272.009999987</v>
      </c>
      <c r="CJ7" s="44">
        <v>-26375762.419999987</v>
      </c>
      <c r="CK7" s="44">
        <v>-29198709.159999967</v>
      </c>
      <c r="CL7" s="44">
        <v>-33771967.400000028</v>
      </c>
      <c r="CM7" s="44">
        <v>-26525773.160000041</v>
      </c>
      <c r="CN7" s="51">
        <v>-313651785.10000044</v>
      </c>
      <c r="CO7" s="44">
        <v>-25434474.620000001</v>
      </c>
      <c r="CP7" s="44">
        <v>-28879269.419999998</v>
      </c>
      <c r="CQ7" s="44">
        <v>-26405737.669999987</v>
      </c>
      <c r="CR7" s="44">
        <v>-22676359.620000005</v>
      </c>
      <c r="CS7" s="44">
        <v>-25831800.520000026</v>
      </c>
      <c r="CT7" s="44">
        <v>-23391815.199999973</v>
      </c>
      <c r="CU7" s="44">
        <v>-23747253.36999993</v>
      </c>
      <c r="CV7" s="44">
        <v>-21719244.900000025</v>
      </c>
      <c r="CW7" s="44">
        <v>-21897033.800000023</v>
      </c>
      <c r="CX7" s="44">
        <v>-28994629.680000007</v>
      </c>
      <c r="CY7" s="44">
        <v>-27393500.54000001</v>
      </c>
      <c r="CZ7" s="44">
        <v>-34941199.649999969</v>
      </c>
      <c r="DA7" s="51">
        <v>-311312318.99000102</v>
      </c>
    </row>
    <row r="8" spans="1:118" x14ac:dyDescent="0.3">
      <c r="A8" s="47" t="s">
        <v>245</v>
      </c>
      <c r="B8" s="48">
        <v>-14325350.600000039</v>
      </c>
      <c r="C8" s="48">
        <v>-14884441.550000018</v>
      </c>
      <c r="D8" s="48">
        <v>-15114661.580000022</v>
      </c>
      <c r="E8" s="48">
        <v>-17329473.830000043</v>
      </c>
      <c r="F8" s="48">
        <v>-16923969.690000024</v>
      </c>
      <c r="G8" s="48">
        <v>-16625581.800000047</v>
      </c>
      <c r="H8" s="48">
        <v>-16260598.480000013</v>
      </c>
      <c r="I8" s="48">
        <v>-14916801.890000025</v>
      </c>
      <c r="J8" s="48">
        <v>-16577746.340000013</v>
      </c>
      <c r="K8" s="48">
        <v>-12775742.360000014</v>
      </c>
      <c r="L8" s="48">
        <v>-13232037.830000026</v>
      </c>
      <c r="M8" s="48">
        <v>-8831638.040000014</v>
      </c>
      <c r="N8" s="49">
        <v>-177798043.98999879</v>
      </c>
      <c r="O8" s="48">
        <v>-11067235.560000012</v>
      </c>
      <c r="P8" s="48">
        <v>-13058717.630000005</v>
      </c>
      <c r="Q8" s="48">
        <v>-11768176.820000019</v>
      </c>
      <c r="R8" s="48">
        <v>-13270955.960000025</v>
      </c>
      <c r="S8" s="48">
        <v>-13506297.500000034</v>
      </c>
      <c r="T8" s="48">
        <v>-9836415.4600000214</v>
      </c>
      <c r="U8" s="48">
        <v>-12350926.220000004</v>
      </c>
      <c r="V8" s="48">
        <v>-10028516.460000027</v>
      </c>
      <c r="W8" s="48">
        <v>-12712614.920000002</v>
      </c>
      <c r="X8" s="48">
        <v>-9540261.1400000118</v>
      </c>
      <c r="Y8" s="48">
        <v>-7990228.22000001</v>
      </c>
      <c r="Z8" s="48">
        <v>-5299323.2300000135</v>
      </c>
      <c r="AA8" s="49">
        <v>-130429669.11999954</v>
      </c>
      <c r="AB8" s="48">
        <v>-9187388.9800000191</v>
      </c>
      <c r="AC8" s="48">
        <v>-10183283.36999999</v>
      </c>
      <c r="AD8" s="48">
        <v>-10675599.579999994</v>
      </c>
      <c r="AE8" s="48">
        <v>-12909498.959999995</v>
      </c>
      <c r="AF8" s="48">
        <v>-12208236.349999992</v>
      </c>
      <c r="AG8" s="48">
        <v>-11219391.250000009</v>
      </c>
      <c r="AH8" s="48">
        <v>-12085231.550000001</v>
      </c>
      <c r="AI8" s="48">
        <v>-10882866.949999979</v>
      </c>
      <c r="AJ8" s="48">
        <v>-8370791.5000000028</v>
      </c>
      <c r="AK8" s="48">
        <v>-10007233.349999996</v>
      </c>
      <c r="AL8" s="48">
        <v>-8698001.0100000035</v>
      </c>
      <c r="AM8" s="48">
        <v>-7381860.3899999727</v>
      </c>
      <c r="AN8" s="49">
        <v>-123809383.23999988</v>
      </c>
      <c r="AO8" s="48">
        <v>-9528630.6800000146</v>
      </c>
      <c r="AP8" s="48">
        <v>-9969840.0100000035</v>
      </c>
      <c r="AQ8" s="48">
        <v>-10960503.370000003</v>
      </c>
      <c r="AR8" s="48">
        <v>-16485512.420000009</v>
      </c>
      <c r="AS8" s="48">
        <v>-16758757.37999999</v>
      </c>
      <c r="AT8" s="48">
        <v>-15275839.289999984</v>
      </c>
      <c r="AU8" s="48">
        <v>-15681520.770000001</v>
      </c>
      <c r="AV8" s="48">
        <v>-11614189.109999996</v>
      </c>
      <c r="AW8" s="48">
        <v>-14717831.320000004</v>
      </c>
      <c r="AX8" s="48">
        <v>-11689097.990000004</v>
      </c>
      <c r="AY8" s="48">
        <v>-9559442.3199999947</v>
      </c>
      <c r="AZ8" s="48">
        <v>-6313698.5200000033</v>
      </c>
      <c r="BA8" s="49">
        <v>-148554863.18000054</v>
      </c>
      <c r="BB8" s="48">
        <v>-2208480.9200000055</v>
      </c>
      <c r="BC8" s="48">
        <v>-3472359.5600000047</v>
      </c>
      <c r="BD8" s="48">
        <v>-6985245.8700000029</v>
      </c>
      <c r="BE8" s="48">
        <v>-6048568.9899999993</v>
      </c>
      <c r="BF8" s="48">
        <v>-9194864.7100000009</v>
      </c>
      <c r="BG8" s="48">
        <v>-8759319.9699999876</v>
      </c>
      <c r="BH8" s="48">
        <v>-9849969.1700000018</v>
      </c>
      <c r="BI8" s="48">
        <v>-10250638.49</v>
      </c>
      <c r="BJ8" s="48">
        <v>-10515244.459999975</v>
      </c>
      <c r="BK8" s="48">
        <v>-7551851.2199999951</v>
      </c>
      <c r="BL8" s="48">
        <v>-7625095.0000000019</v>
      </c>
      <c r="BM8" s="48">
        <v>-7317039.270000007</v>
      </c>
      <c r="BN8" s="49">
        <v>-89778677.629999921</v>
      </c>
      <c r="BO8" s="48">
        <v>-7898847.9899999974</v>
      </c>
      <c r="BP8" s="48">
        <v>-7536117.6199999964</v>
      </c>
      <c r="BQ8" s="48">
        <v>-8221060.7499999972</v>
      </c>
      <c r="BR8" s="48">
        <v>-8429271.080000015</v>
      </c>
      <c r="BS8" s="48">
        <v>-5897388.0800000075</v>
      </c>
      <c r="BT8" s="48">
        <v>-7834797.2899999982</v>
      </c>
      <c r="BU8" s="48">
        <v>-8948548.6699999981</v>
      </c>
      <c r="BV8" s="48">
        <v>-8247077.5299999872</v>
      </c>
      <c r="BW8" s="48">
        <v>-7132550.109999992</v>
      </c>
      <c r="BX8" s="48">
        <v>-7084996.3199999947</v>
      </c>
      <c r="BY8" s="48">
        <v>-7232857.140000009</v>
      </c>
      <c r="BZ8" s="48">
        <v>-10740453.649999993</v>
      </c>
      <c r="CA8" s="49">
        <v>-95203966.230000243</v>
      </c>
      <c r="CB8" s="48">
        <v>-7746366.0999999968</v>
      </c>
      <c r="CC8" s="48">
        <v>-8013831.0700000031</v>
      </c>
      <c r="CD8" s="48">
        <v>-8325533.1800000025</v>
      </c>
      <c r="CE8" s="48">
        <v>-8192683.9700000146</v>
      </c>
      <c r="CF8" s="48">
        <v>-9114878.0699999854</v>
      </c>
      <c r="CG8" s="48">
        <v>-9337101.2599999793</v>
      </c>
      <c r="CH8" s="48">
        <v>-10373279.190000014</v>
      </c>
      <c r="CI8" s="48">
        <v>-8760112.8200000096</v>
      </c>
      <c r="CJ8" s="48">
        <v>-10355864.530000001</v>
      </c>
      <c r="CK8" s="48">
        <v>-7644860.7600000054</v>
      </c>
      <c r="CL8" s="48">
        <v>-7202184.2799999882</v>
      </c>
      <c r="CM8" s="48">
        <v>-8742072.019999994</v>
      </c>
      <c r="CN8" s="49">
        <v>-103808767.24999979</v>
      </c>
      <c r="CO8" s="48">
        <v>-7516667.3000000091</v>
      </c>
      <c r="CP8" s="48">
        <v>-9190562.6099999901</v>
      </c>
      <c r="CQ8" s="48">
        <v>-8969713.8300000224</v>
      </c>
      <c r="CR8" s="48">
        <v>-8843449.7000000067</v>
      </c>
      <c r="CS8" s="48">
        <v>-9786354.3800000176</v>
      </c>
      <c r="CT8" s="48">
        <v>-10497113.530000007</v>
      </c>
      <c r="CU8" s="48">
        <v>-10962008.470000008</v>
      </c>
      <c r="CV8" s="48">
        <v>-10091489.899999982</v>
      </c>
      <c r="CW8" s="48">
        <v>-9382901.1800000072</v>
      </c>
      <c r="CX8" s="48">
        <v>-9330695.540000027</v>
      </c>
      <c r="CY8" s="48">
        <v>-8295951.9300000155</v>
      </c>
      <c r="CZ8" s="48">
        <v>-12721632.420000011</v>
      </c>
      <c r="DA8" s="49">
        <v>-115588540.78999978</v>
      </c>
    </row>
    <row r="9" spans="1:118" x14ac:dyDescent="0.3">
      <c r="A9" s="50" t="s">
        <v>9</v>
      </c>
      <c r="B9" s="44">
        <v>-1699990.75</v>
      </c>
      <c r="C9" s="44">
        <v>-1880242.3499999978</v>
      </c>
      <c r="D9" s="44">
        <v>-1769829.9900000012</v>
      </c>
      <c r="E9" s="44">
        <v>-1852220.0300000005</v>
      </c>
      <c r="F9" s="44">
        <v>-1734594.1400000006</v>
      </c>
      <c r="G9" s="44">
        <v>-1853704.3299999998</v>
      </c>
      <c r="H9" s="44">
        <v>-2104265.9900000007</v>
      </c>
      <c r="I9" s="44">
        <v>-1637701.6100000006</v>
      </c>
      <c r="J9" s="44">
        <v>-3639259.0499999993</v>
      </c>
      <c r="K9" s="44">
        <v>-1876907.2899999989</v>
      </c>
      <c r="L9" s="44">
        <v>-1834374.78</v>
      </c>
      <c r="M9" s="44">
        <v>1915556.1800000002</v>
      </c>
      <c r="N9" s="51">
        <v>-19967534.130000059</v>
      </c>
      <c r="O9" s="44">
        <v>-1553771.9199999995</v>
      </c>
      <c r="P9" s="44">
        <v>-1943947.8299999998</v>
      </c>
      <c r="Q9" s="44">
        <v>-1712092.44</v>
      </c>
      <c r="R9" s="44">
        <v>-2633868.4500000034</v>
      </c>
      <c r="S9" s="44">
        <v>-2287870.8899999992</v>
      </c>
      <c r="T9" s="44">
        <v>-666069.83000000089</v>
      </c>
      <c r="U9" s="44">
        <v>-1774077.0400000007</v>
      </c>
      <c r="V9" s="44">
        <v>-1270698.1099999994</v>
      </c>
      <c r="W9" s="44">
        <v>-3983177.37</v>
      </c>
      <c r="X9" s="44">
        <v>-803341.92999999924</v>
      </c>
      <c r="Y9" s="44">
        <v>-1416412.7199999997</v>
      </c>
      <c r="Z9" s="44">
        <v>1757536.0699999984</v>
      </c>
      <c r="AA9" s="51">
        <v>-18287792.459999979</v>
      </c>
      <c r="AB9" s="44">
        <v>-1435722.6899999997</v>
      </c>
      <c r="AC9" s="44">
        <v>-1456143.810000001</v>
      </c>
      <c r="AD9" s="44">
        <v>-1338463.8200000008</v>
      </c>
      <c r="AE9" s="44">
        <v>-1875464.2100000002</v>
      </c>
      <c r="AF9" s="44">
        <v>-1561896.2299999995</v>
      </c>
      <c r="AG9" s="44">
        <v>-1481076.3400000005</v>
      </c>
      <c r="AH9" s="44">
        <v>-1317141.4999999998</v>
      </c>
      <c r="AI9" s="44">
        <v>-1265710.3799999999</v>
      </c>
      <c r="AJ9" s="44">
        <v>-1768837.6300000011</v>
      </c>
      <c r="AK9" s="44">
        <v>-1554414.8100000008</v>
      </c>
      <c r="AL9" s="44">
        <v>-1326684.2800000005</v>
      </c>
      <c r="AM9" s="44">
        <v>575366.12000000069</v>
      </c>
      <c r="AN9" s="51">
        <v>-15806189.579999916</v>
      </c>
      <c r="AO9" s="44">
        <v>-1372746.9899999991</v>
      </c>
      <c r="AP9" s="44">
        <v>-1286410.4199999997</v>
      </c>
      <c r="AQ9" s="44">
        <v>-1199948.2200000002</v>
      </c>
      <c r="AR9" s="44">
        <v>-1184634.48</v>
      </c>
      <c r="AS9" s="44">
        <v>-1964166.6900000006</v>
      </c>
      <c r="AT9" s="44">
        <v>-1041105.9400000009</v>
      </c>
      <c r="AU9" s="44">
        <v>-1042046.2000000009</v>
      </c>
      <c r="AV9" s="44">
        <v>-1041689.8300000003</v>
      </c>
      <c r="AW9" s="44">
        <v>-1702511.5399999996</v>
      </c>
      <c r="AX9" s="44">
        <v>-1322310.54</v>
      </c>
      <c r="AY9" s="44">
        <v>-1174202.96</v>
      </c>
      <c r="AZ9" s="44">
        <v>1064763.8599999999</v>
      </c>
      <c r="BA9" s="51">
        <v>-13267009.949999977</v>
      </c>
      <c r="BB9" s="44">
        <v>-74493.139999999985</v>
      </c>
      <c r="BC9" s="44">
        <v>-157643.63</v>
      </c>
      <c r="BD9" s="44">
        <v>-650067.96</v>
      </c>
      <c r="BE9" s="44">
        <v>-357899.74000000017</v>
      </c>
      <c r="BF9" s="44">
        <v>-1749108.2700000009</v>
      </c>
      <c r="BG9" s="44">
        <v>-923973.57999999903</v>
      </c>
      <c r="BH9" s="44">
        <v>-1026261.2300000001</v>
      </c>
      <c r="BI9" s="44">
        <v>-1562606.66</v>
      </c>
      <c r="BJ9" s="44">
        <v>-1387394.3399999999</v>
      </c>
      <c r="BK9" s="44">
        <v>-952110.42999999947</v>
      </c>
      <c r="BL9" s="44">
        <v>-898928.15000000014</v>
      </c>
      <c r="BM9" s="44">
        <v>-836963.5900000002</v>
      </c>
      <c r="BN9" s="51">
        <v>-10577450.719999971</v>
      </c>
      <c r="BO9" s="44">
        <v>-1010363.1700000003</v>
      </c>
      <c r="BP9" s="44">
        <v>-820053.04999999935</v>
      </c>
      <c r="BQ9" s="44">
        <v>-1593950.2</v>
      </c>
      <c r="BR9" s="44">
        <v>-997697.50999999978</v>
      </c>
      <c r="BS9" s="44">
        <v>-881678.41000000061</v>
      </c>
      <c r="BT9" s="44">
        <v>-1006446.4099999999</v>
      </c>
      <c r="BU9" s="44">
        <v>-932409.27000000014</v>
      </c>
      <c r="BV9" s="44">
        <v>-722672.47</v>
      </c>
      <c r="BW9" s="44">
        <v>-1066462.4699999997</v>
      </c>
      <c r="BX9" s="44">
        <v>-874068.32000000018</v>
      </c>
      <c r="BY9" s="44">
        <v>-1086018.01</v>
      </c>
      <c r="BZ9" s="44">
        <v>-1598492.7300000004</v>
      </c>
      <c r="CA9" s="51">
        <v>-12590312.019999998</v>
      </c>
      <c r="CB9" s="44">
        <v>-913384.01000000013</v>
      </c>
      <c r="CC9" s="44">
        <v>-1232982.29</v>
      </c>
      <c r="CD9" s="44">
        <v>-1621716.66</v>
      </c>
      <c r="CE9" s="44">
        <v>-825555.24</v>
      </c>
      <c r="CF9" s="44">
        <v>-753230.84</v>
      </c>
      <c r="CG9" s="44">
        <v>-874034.76000000059</v>
      </c>
      <c r="CH9" s="44">
        <v>-863225.07999999984</v>
      </c>
      <c r="CI9" s="44">
        <v>-721682.14000000013</v>
      </c>
      <c r="CJ9" s="44">
        <v>-1183761.8699999999</v>
      </c>
      <c r="CK9" s="44">
        <v>-766293.41</v>
      </c>
      <c r="CL9" s="44">
        <v>-736838.49000000011</v>
      </c>
      <c r="CM9" s="44">
        <v>-851507.81000000017</v>
      </c>
      <c r="CN9" s="51">
        <v>-11344212.599999985</v>
      </c>
      <c r="CO9" s="44">
        <v>-753872.57</v>
      </c>
      <c r="CP9" s="44">
        <v>-940756.53999999992</v>
      </c>
      <c r="CQ9" s="44">
        <v>-992983.8800000007</v>
      </c>
      <c r="CR9" s="44">
        <v>-778109.72999999963</v>
      </c>
      <c r="CS9" s="44">
        <v>-1110318.0799999998</v>
      </c>
      <c r="CT9" s="44">
        <v>-1479437.9300000002</v>
      </c>
      <c r="CU9" s="44">
        <v>-1015844.1699999998</v>
      </c>
      <c r="CV9" s="44">
        <v>-865259.05000000028</v>
      </c>
      <c r="CW9" s="44">
        <v>-1088031.0699999998</v>
      </c>
      <c r="CX9" s="44">
        <v>-705014.40999999945</v>
      </c>
      <c r="CY9" s="44">
        <v>-812545.64999999991</v>
      </c>
      <c r="CZ9" s="44">
        <v>-1069544.7799999996</v>
      </c>
      <c r="DA9" s="51">
        <v>-11611717.859999994</v>
      </c>
      <c r="DB9" s="53">
        <f>+'EEFF historicoss'!AE10</f>
        <v>-762056.68</v>
      </c>
      <c r="DC9" s="53">
        <f>+'EEFF historicoss'!AF10</f>
        <v>-803591.32</v>
      </c>
      <c r="DD9" s="53">
        <f>+'EEFF historicoss'!AG10</f>
        <v>-1372664.15</v>
      </c>
      <c r="DE9" s="53">
        <f>+'EEFF historicoss'!AH10</f>
        <v>-899199.17</v>
      </c>
      <c r="DF9" s="53">
        <f>+'EEFF historicoss'!AI10</f>
        <v>-744969.87</v>
      </c>
      <c r="DG9" s="53">
        <f>+'EEFF historicoss'!AJ10</f>
        <v>-821586.58</v>
      </c>
      <c r="DH9" s="53">
        <f>+'EEFF historicoss'!AK10</f>
        <v>-782527.88</v>
      </c>
      <c r="DI9" s="53">
        <f>+'EEFF historicoss'!AL10</f>
        <v>-1080400.23</v>
      </c>
      <c r="DJ9" s="53">
        <f>+'EEFF historicoss'!AM10</f>
        <v>-950464.02</v>
      </c>
      <c r="DK9" s="53">
        <f>+'EEFF historicoss'!AN10</f>
        <v>-723857.37</v>
      </c>
      <c r="DL9" s="53">
        <f>+'EEFF historicoss'!AO10</f>
        <v>-722581.34</v>
      </c>
      <c r="DM9" s="53">
        <f>+'EEFF historicoss'!AP10</f>
        <v>-998115.77</v>
      </c>
    </row>
    <row r="10" spans="1:118" x14ac:dyDescent="0.3">
      <c r="A10" s="50" t="s">
        <v>11</v>
      </c>
      <c r="B10" s="44">
        <v>-8604972.860000005</v>
      </c>
      <c r="C10" s="44">
        <v>-8750978.4200000018</v>
      </c>
      <c r="D10" s="44">
        <v>-8645174.8099999893</v>
      </c>
      <c r="E10" s="44">
        <v>-10527862.370000003</v>
      </c>
      <c r="F10" s="44">
        <v>-10351763.18</v>
      </c>
      <c r="G10" s="44">
        <v>-10379865.959999992</v>
      </c>
      <c r="H10" s="44">
        <v>-9394178.0199999958</v>
      </c>
      <c r="I10" s="44">
        <v>-8942545.6299999915</v>
      </c>
      <c r="J10" s="44">
        <v>-8249389.3700000038</v>
      </c>
      <c r="K10" s="44">
        <v>-7191891.9800000023</v>
      </c>
      <c r="L10" s="44">
        <v>-6823492.5000000047</v>
      </c>
      <c r="M10" s="44">
        <v>-7535078.3299999963</v>
      </c>
      <c r="N10" s="51">
        <v>-105397193.43000045</v>
      </c>
      <c r="O10" s="44">
        <v>-6411592.8599999929</v>
      </c>
      <c r="P10" s="44">
        <v>-7129929.7600000063</v>
      </c>
      <c r="Q10" s="44">
        <v>-7037045.6199999927</v>
      </c>
      <c r="R10" s="44">
        <v>-7182360.5599999987</v>
      </c>
      <c r="S10" s="44">
        <v>-7283398.8299999982</v>
      </c>
      <c r="T10" s="44">
        <v>-5624944.3100000005</v>
      </c>
      <c r="U10" s="44">
        <v>-6440198.299999998</v>
      </c>
      <c r="V10" s="44">
        <v>-5844121.1000000006</v>
      </c>
      <c r="W10" s="44">
        <v>-5904335.9999999972</v>
      </c>
      <c r="X10" s="44">
        <v>-5489900.5799999973</v>
      </c>
      <c r="Y10" s="44">
        <v>-4546605.6799999988</v>
      </c>
      <c r="Z10" s="44">
        <v>-4840442.3400000017</v>
      </c>
      <c r="AA10" s="51">
        <v>-73734875.939999878</v>
      </c>
      <c r="AB10" s="44">
        <v>-5390975.6099999957</v>
      </c>
      <c r="AC10" s="44">
        <v>-5996866.2400000067</v>
      </c>
      <c r="AD10" s="44">
        <v>-6472815.6100000031</v>
      </c>
      <c r="AE10" s="44">
        <v>-7977781.5899999989</v>
      </c>
      <c r="AF10" s="44">
        <v>-7257573.2400000039</v>
      </c>
      <c r="AG10" s="44">
        <v>-7067634.0400000149</v>
      </c>
      <c r="AH10" s="44">
        <v>-7415899.910000002</v>
      </c>
      <c r="AI10" s="44">
        <v>-6545463.2000000067</v>
      </c>
      <c r="AJ10" s="44">
        <v>-5333721.4799999995</v>
      </c>
      <c r="AK10" s="44">
        <v>-6258099.0599999977</v>
      </c>
      <c r="AL10" s="44">
        <v>-5407995.3700000001</v>
      </c>
      <c r="AM10" s="44">
        <v>-5913079.5600000052</v>
      </c>
      <c r="AN10" s="51">
        <v>-77037904.909999967</v>
      </c>
      <c r="AO10" s="44">
        <v>-5849979.6099999938</v>
      </c>
      <c r="AP10" s="44">
        <v>-5776689.1999999965</v>
      </c>
      <c r="AQ10" s="44">
        <v>-6518970.6499999929</v>
      </c>
      <c r="AR10" s="44">
        <v>-12148620.720000008</v>
      </c>
      <c r="AS10" s="44">
        <v>-11697815.629999993</v>
      </c>
      <c r="AT10" s="44">
        <v>-10577352.339999987</v>
      </c>
      <c r="AU10" s="44">
        <v>-11012817.689999999</v>
      </c>
      <c r="AV10" s="44">
        <v>-7686844.5499999914</v>
      </c>
      <c r="AW10" s="44">
        <v>-9634826.1599999908</v>
      </c>
      <c r="AX10" s="44">
        <v>-7573321.3499999922</v>
      </c>
      <c r="AY10" s="44">
        <v>-5851865.059999994</v>
      </c>
      <c r="AZ10" s="44">
        <v>-5182989.2800000058</v>
      </c>
      <c r="BA10" s="51">
        <v>-99512092.240000233</v>
      </c>
      <c r="BB10" s="44">
        <v>-516721.68000000046</v>
      </c>
      <c r="BC10" s="44">
        <v>-1234976.8399999994</v>
      </c>
      <c r="BD10" s="44">
        <v>-3287363.7899999986</v>
      </c>
      <c r="BE10" s="44">
        <v>-3265096.1300000013</v>
      </c>
      <c r="BF10" s="44">
        <v>-4979347.299999998</v>
      </c>
      <c r="BG10" s="44">
        <v>-4886068.6299999924</v>
      </c>
      <c r="BH10" s="44">
        <v>-5035840.6799999932</v>
      </c>
      <c r="BI10" s="44">
        <v>-5158539.160000002</v>
      </c>
      <c r="BJ10" s="44">
        <v>-5819740.330000001</v>
      </c>
      <c r="BK10" s="44">
        <v>-4113132.9800000014</v>
      </c>
      <c r="BL10" s="44">
        <v>-4067196.48</v>
      </c>
      <c r="BM10" s="44">
        <v>-4312116.1100000031</v>
      </c>
      <c r="BN10" s="51">
        <v>-46676140.110000134</v>
      </c>
      <c r="BO10" s="44">
        <v>-4542206.0299999937</v>
      </c>
      <c r="BP10" s="44">
        <v>-4217404.8399999961</v>
      </c>
      <c r="BQ10" s="44">
        <v>-3889402.4900000053</v>
      </c>
      <c r="BR10" s="44">
        <v>-3683709.5100000044</v>
      </c>
      <c r="BS10" s="44">
        <v>-3083063.7900000005</v>
      </c>
      <c r="BT10" s="44">
        <v>-3901941.8499999992</v>
      </c>
      <c r="BU10" s="44">
        <v>-4988220.9199999971</v>
      </c>
      <c r="BV10" s="44">
        <v>-4403776.5200000014</v>
      </c>
      <c r="BW10" s="44">
        <v>-3876037.0899999957</v>
      </c>
      <c r="BX10" s="44">
        <v>-3296998.4000000004</v>
      </c>
      <c r="BY10" s="44">
        <v>-3779455.5099999974</v>
      </c>
      <c r="BZ10" s="44">
        <v>-5038152.6199999973</v>
      </c>
      <c r="CA10" s="51">
        <v>-48700369.570000127</v>
      </c>
      <c r="CB10" s="44">
        <v>-4213270.66</v>
      </c>
      <c r="CC10" s="44">
        <v>-4324148.3899999941</v>
      </c>
      <c r="CD10" s="44">
        <v>-4537455.9400000013</v>
      </c>
      <c r="CE10" s="44">
        <v>-4342952.6800000025</v>
      </c>
      <c r="CF10" s="44">
        <v>-4892960.3200000059</v>
      </c>
      <c r="CG10" s="44">
        <v>-5209167.1600000011</v>
      </c>
      <c r="CH10" s="44">
        <v>-5623047.6700000009</v>
      </c>
      <c r="CI10" s="44">
        <v>-4823771.5600000098</v>
      </c>
      <c r="CJ10" s="44">
        <v>-5546281.0600000145</v>
      </c>
      <c r="CK10" s="44">
        <v>-4260102.5799999973</v>
      </c>
      <c r="CL10" s="44">
        <v>-4010633.9199999985</v>
      </c>
      <c r="CM10" s="44">
        <v>-4638387.0699999966</v>
      </c>
      <c r="CN10" s="51">
        <v>-56422179.009999953</v>
      </c>
      <c r="CO10" s="44">
        <v>-4349703.5700000012</v>
      </c>
      <c r="CP10" s="44">
        <v>-5670219.0899999961</v>
      </c>
      <c r="CQ10" s="44">
        <v>-5062639.8199999928</v>
      </c>
      <c r="CR10" s="44">
        <v>-5039066.8199999956</v>
      </c>
      <c r="CS10" s="44">
        <v>-5355148.2099999981</v>
      </c>
      <c r="CT10" s="44">
        <v>-5162504.7399999946</v>
      </c>
      <c r="CU10" s="44">
        <v>-6580880.2000000067</v>
      </c>
      <c r="CV10" s="44">
        <v>-5431534.9000000032</v>
      </c>
      <c r="CW10" s="44">
        <v>-5458995.5699999863</v>
      </c>
      <c r="CX10" s="44">
        <v>-5118902.969999996</v>
      </c>
      <c r="CY10" s="44">
        <v>-5156803.2900000047</v>
      </c>
      <c r="CZ10" s="44">
        <v>-7871570.8200000012</v>
      </c>
      <c r="DA10" s="51">
        <v>-66257969.999999896</v>
      </c>
      <c r="DB10" s="53">
        <f>+'EEFF historicoss'!AE11</f>
        <v>-5624672.1600000001</v>
      </c>
      <c r="DC10" s="53">
        <f>+'EEFF historicoss'!AF11</f>
        <v>-6318041.1500000004</v>
      </c>
      <c r="DD10" s="53">
        <f>+'EEFF historicoss'!AG11</f>
        <v>-5292556.83</v>
      </c>
      <c r="DE10" s="53">
        <f>+'EEFF historicoss'!AH11</f>
        <v>-5662959.6200000001</v>
      </c>
      <c r="DF10" s="53">
        <f>+'EEFF historicoss'!AI11</f>
        <v>-4586425.58</v>
      </c>
      <c r="DG10" s="53">
        <f>+'EEFF historicoss'!AJ11</f>
        <v>-4122134.53</v>
      </c>
      <c r="DH10" s="53">
        <f>+'EEFF historicoss'!AK11</f>
        <v>-3533010.88</v>
      </c>
      <c r="DI10" s="53">
        <f>+'EEFF historicoss'!AL11</f>
        <v>-3000055.49</v>
      </c>
      <c r="DJ10" s="53">
        <f>+'EEFF historicoss'!AM11</f>
        <v>-3143658.66</v>
      </c>
      <c r="DK10" s="53">
        <f>+'EEFF historicoss'!AN11</f>
        <v>-2706383.8</v>
      </c>
      <c r="DL10" s="53">
        <f>+'EEFF historicoss'!AO11</f>
        <v>-2425202.79</v>
      </c>
      <c r="DM10" s="53">
        <f>+'EEFF historicoss'!AP11</f>
        <v>-2728198.04</v>
      </c>
    </row>
    <row r="11" spans="1:118" x14ac:dyDescent="0.3">
      <c r="A11" s="50" t="s">
        <v>13</v>
      </c>
      <c r="B11" s="44">
        <v>-2085543.2699999975</v>
      </c>
      <c r="C11" s="44">
        <v>-2170489.5899999994</v>
      </c>
      <c r="D11" s="44">
        <v>-1982093.7199999958</v>
      </c>
      <c r="E11" s="44">
        <v>-2020387.8699999959</v>
      </c>
      <c r="F11" s="44">
        <v>-1960936.0999999966</v>
      </c>
      <c r="G11" s="44">
        <v>-1695439.9600000004</v>
      </c>
      <c r="H11" s="44">
        <v>-1831380.5100000005</v>
      </c>
      <c r="I11" s="44">
        <v>-1749538.2100000007</v>
      </c>
      <c r="J11" s="44">
        <v>-1740340.8000000012</v>
      </c>
      <c r="K11" s="44">
        <v>-1732969.4800000014</v>
      </c>
      <c r="L11" s="44">
        <v>-1492166.790000001</v>
      </c>
      <c r="M11" s="44">
        <v>-1595004.9300000004</v>
      </c>
      <c r="N11" s="51">
        <v>-22056291.230000053</v>
      </c>
      <c r="O11" s="44">
        <v>-1509176.4000000008</v>
      </c>
      <c r="P11" s="44">
        <v>-1556139.9200000006</v>
      </c>
      <c r="Q11" s="44">
        <v>-1438249.7100000007</v>
      </c>
      <c r="R11" s="44">
        <v>-1454499.2000000009</v>
      </c>
      <c r="S11" s="44">
        <v>-1516106.9800000002</v>
      </c>
      <c r="T11" s="44">
        <v>-1413629.2300000004</v>
      </c>
      <c r="U11" s="44">
        <v>-1416849.4200000004</v>
      </c>
      <c r="V11" s="44">
        <v>-1412114.81</v>
      </c>
      <c r="W11" s="44">
        <v>-1354084.9500000002</v>
      </c>
      <c r="X11" s="44">
        <v>-2076352.5100000005</v>
      </c>
      <c r="Y11" s="44">
        <v>-1156782.6300000001</v>
      </c>
      <c r="Z11" s="44">
        <v>-1175521.8999999997</v>
      </c>
      <c r="AA11" s="51">
        <v>-17479507.660000011</v>
      </c>
      <c r="AB11" s="44">
        <v>-1202646.8400000008</v>
      </c>
      <c r="AC11" s="44">
        <v>-1060428.6500000001</v>
      </c>
      <c r="AD11" s="44">
        <v>-1507153.6399999994</v>
      </c>
      <c r="AE11" s="44">
        <v>-1269530.2</v>
      </c>
      <c r="AF11" s="44">
        <v>-1220273.3</v>
      </c>
      <c r="AG11" s="44">
        <v>-898063.85000000009</v>
      </c>
      <c r="AH11" s="44">
        <v>-1315770.7500000007</v>
      </c>
      <c r="AI11" s="44">
        <v>-1280776.5000000005</v>
      </c>
      <c r="AJ11" s="44">
        <v>315165.90000000026</v>
      </c>
      <c r="AK11" s="44">
        <v>-926822.49000000092</v>
      </c>
      <c r="AL11" s="44">
        <v>-872719.48999999953</v>
      </c>
      <c r="AM11" s="44">
        <v>-1114254.4499999993</v>
      </c>
      <c r="AN11" s="51">
        <v>-12353274.260000007</v>
      </c>
      <c r="AO11" s="44">
        <v>-1271030.3500000003</v>
      </c>
      <c r="AP11" s="44">
        <v>-1378554.7700000003</v>
      </c>
      <c r="AQ11" s="44">
        <v>-1324451.21</v>
      </c>
      <c r="AR11" s="44">
        <v>-1365049.3899999994</v>
      </c>
      <c r="AS11" s="44">
        <v>-1338247.6300000001</v>
      </c>
      <c r="AT11" s="44">
        <v>-1415241.0699999998</v>
      </c>
      <c r="AU11" s="44">
        <v>-1299935.4799999995</v>
      </c>
      <c r="AV11" s="44">
        <v>-1510660.1900000002</v>
      </c>
      <c r="AW11" s="44">
        <v>-1490111.7000000002</v>
      </c>
      <c r="AX11" s="44">
        <v>-1592877.7400000005</v>
      </c>
      <c r="AY11" s="44">
        <v>-1471711.22</v>
      </c>
      <c r="AZ11" s="44">
        <v>-1485471.01</v>
      </c>
      <c r="BA11" s="51">
        <v>-16943341.760000013</v>
      </c>
      <c r="BB11" s="44">
        <v>-1410235.1</v>
      </c>
      <c r="BC11" s="44">
        <v>-1455507.75</v>
      </c>
      <c r="BD11" s="44">
        <v>-1479081.5399999998</v>
      </c>
      <c r="BE11" s="44">
        <v>-1470205.39</v>
      </c>
      <c r="BF11" s="44">
        <v>-1519275.7100000002</v>
      </c>
      <c r="BG11" s="44">
        <v>-1496083.8099999998</v>
      </c>
      <c r="BH11" s="44">
        <v>-1577487.1799999997</v>
      </c>
      <c r="BI11" s="44">
        <v>-1802162.3199999998</v>
      </c>
      <c r="BJ11" s="44">
        <v>-1345469.8099999994</v>
      </c>
      <c r="BK11" s="44">
        <v>-1316390.17</v>
      </c>
      <c r="BL11" s="44">
        <v>-1575971.2499999998</v>
      </c>
      <c r="BM11" s="44">
        <v>-894334.400000002</v>
      </c>
      <c r="BN11" s="51">
        <v>-17342204.429999996</v>
      </c>
      <c r="BO11" s="44">
        <v>-676309.96999999986</v>
      </c>
      <c r="BP11" s="44">
        <v>-1299994.9799999995</v>
      </c>
      <c r="BQ11" s="44">
        <v>-1639384.0199999998</v>
      </c>
      <c r="BR11" s="44">
        <v>-1377201.6400000001</v>
      </c>
      <c r="BS11" s="44">
        <v>-946431.27999999945</v>
      </c>
      <c r="BT11" s="44">
        <v>-1446309.4999999995</v>
      </c>
      <c r="BU11" s="44">
        <v>-1430231.8299999996</v>
      </c>
      <c r="BV11" s="44">
        <v>-1499956.919999999</v>
      </c>
      <c r="BW11" s="44">
        <v>-1143367.5299999996</v>
      </c>
      <c r="BX11" s="44">
        <v>-2263275.3399999985</v>
      </c>
      <c r="BY11" s="44">
        <v>-1353280.64</v>
      </c>
      <c r="BZ11" s="44">
        <v>-3009898.3299999991</v>
      </c>
      <c r="CA11" s="51">
        <v>-18085641.979999993</v>
      </c>
      <c r="CB11" s="44">
        <v>-1424907.9999999998</v>
      </c>
      <c r="CC11" s="44">
        <v>-1469716.7599999998</v>
      </c>
      <c r="CD11" s="44">
        <v>-1142734.1799999997</v>
      </c>
      <c r="CE11" s="44">
        <v>-1493928.92</v>
      </c>
      <c r="CF11" s="44">
        <v>-1618608.13</v>
      </c>
      <c r="CG11" s="44">
        <v>-1428648.6299999997</v>
      </c>
      <c r="CH11" s="44">
        <v>-1445803.5299999998</v>
      </c>
      <c r="CI11" s="44">
        <v>-1398007.0000000002</v>
      </c>
      <c r="CJ11" s="44">
        <v>-1451325.02</v>
      </c>
      <c r="CK11" s="44">
        <v>-1467267.7900000014</v>
      </c>
      <c r="CL11" s="44">
        <v>-1304587.93</v>
      </c>
      <c r="CM11" s="44">
        <v>-1435712.19</v>
      </c>
      <c r="CN11" s="51">
        <v>-17081248.079999987</v>
      </c>
      <c r="CO11" s="44">
        <v>-1428130.6700000004</v>
      </c>
      <c r="CP11" s="44">
        <v>-1550198.65</v>
      </c>
      <c r="CQ11" s="44">
        <v>-1528023.1099999999</v>
      </c>
      <c r="CR11" s="44">
        <v>-1366927.3999999997</v>
      </c>
      <c r="CS11" s="44">
        <v>-1499093.7999999998</v>
      </c>
      <c r="CT11" s="44">
        <v>-1768757.0199999998</v>
      </c>
      <c r="CU11" s="44">
        <v>-1397973.27</v>
      </c>
      <c r="CV11" s="44">
        <v>-1708563.6499999994</v>
      </c>
      <c r="CW11" s="44">
        <v>-1122665.5199999996</v>
      </c>
      <c r="CX11" s="44">
        <v>-1580420.1599999992</v>
      </c>
      <c r="CY11" s="44">
        <v>-1303987.3</v>
      </c>
      <c r="CZ11" s="44">
        <v>-1892984.8299999991</v>
      </c>
      <c r="DA11" s="51">
        <v>-18147725.379999951</v>
      </c>
      <c r="DB11" s="53">
        <f>+'EEFF historicoss'!AE20</f>
        <v>-1400464.9</v>
      </c>
      <c r="DC11" s="53">
        <f>+'EEFF historicoss'!AF20</f>
        <v>-1557350.96</v>
      </c>
      <c r="DD11" s="53">
        <f>+'EEFF historicoss'!AG20</f>
        <v>-1446720.36</v>
      </c>
      <c r="DE11" s="53">
        <f>+'EEFF historicoss'!AH20</f>
        <v>-1037954.43</v>
      </c>
      <c r="DF11" s="53">
        <f>+'EEFF historicoss'!AI20</f>
        <v>-2577036.27</v>
      </c>
      <c r="DG11" s="53">
        <f>+'EEFF historicoss'!AJ20</f>
        <v>-1764992.39</v>
      </c>
      <c r="DH11" s="53">
        <f>+'EEFF historicoss'!AK20</f>
        <v>-2235816.35</v>
      </c>
      <c r="DI11" s="53">
        <f>+'EEFF historicoss'!AL20</f>
        <v>-1498697.25</v>
      </c>
      <c r="DJ11" s="53">
        <f>+'EEFF historicoss'!AM20</f>
        <v>-1269811.45</v>
      </c>
      <c r="DK11" s="53">
        <f>+'EEFF historicoss'!AN20</f>
        <v>-1310646.57</v>
      </c>
      <c r="DL11" s="53">
        <f>+'EEFF historicoss'!AO20</f>
        <v>-1205097.01</v>
      </c>
      <c r="DM11" s="53">
        <f>+'EEFF historicoss'!AP20</f>
        <v>-1240499.82</v>
      </c>
    </row>
    <row r="12" spans="1:118" x14ac:dyDescent="0.3">
      <c r="A12" s="50" t="s">
        <v>15</v>
      </c>
      <c r="B12" s="44">
        <v>-1934843.72</v>
      </c>
      <c r="C12" s="44">
        <v>-2082731.1900000002</v>
      </c>
      <c r="D12" s="44">
        <v>-2717563.0599999996</v>
      </c>
      <c r="E12" s="44">
        <v>-2929003.5599999996</v>
      </c>
      <c r="F12" s="44">
        <v>-2876676.2699999991</v>
      </c>
      <c r="G12" s="44">
        <v>-2696571.5499999989</v>
      </c>
      <c r="H12" s="44">
        <v>-2930773.9600000004</v>
      </c>
      <c r="I12" s="44">
        <v>-2587016.44</v>
      </c>
      <c r="J12" s="44">
        <v>-2948757.12</v>
      </c>
      <c r="K12" s="44">
        <v>-1973973.6099999999</v>
      </c>
      <c r="L12" s="44">
        <v>-3082003.76</v>
      </c>
      <c r="M12" s="44">
        <v>-1617110.9599999995</v>
      </c>
      <c r="N12" s="51">
        <v>-30377025.20000001</v>
      </c>
      <c r="O12" s="44">
        <v>-1592694.38</v>
      </c>
      <c r="P12" s="44">
        <v>-2428700.12</v>
      </c>
      <c r="Q12" s="44">
        <v>-1580789.05</v>
      </c>
      <c r="R12" s="44">
        <v>-2000227.7500000005</v>
      </c>
      <c r="S12" s="44">
        <v>-2418920.8000000003</v>
      </c>
      <c r="T12" s="44">
        <v>-2131772.0899999994</v>
      </c>
      <c r="U12" s="44">
        <v>-2719801.46</v>
      </c>
      <c r="V12" s="44">
        <v>-1501582.44</v>
      </c>
      <c r="W12" s="44">
        <v>-1471016.6</v>
      </c>
      <c r="X12" s="44">
        <v>-1170666.1200000003</v>
      </c>
      <c r="Y12" s="44">
        <v>-870427.19</v>
      </c>
      <c r="Z12" s="44">
        <v>-1040895.06</v>
      </c>
      <c r="AA12" s="51">
        <v>-20927493.060000006</v>
      </c>
      <c r="AB12" s="44">
        <v>-1158043.8400000001</v>
      </c>
      <c r="AC12" s="44">
        <v>-1669844.67</v>
      </c>
      <c r="AD12" s="44">
        <v>-1357166.5099999998</v>
      </c>
      <c r="AE12" s="44">
        <v>-1786722.96</v>
      </c>
      <c r="AF12" s="44">
        <v>-2168493.58</v>
      </c>
      <c r="AG12" s="44">
        <v>-1772617.02</v>
      </c>
      <c r="AH12" s="44">
        <v>-2036419.3900000001</v>
      </c>
      <c r="AI12" s="44">
        <v>-1790916.87</v>
      </c>
      <c r="AJ12" s="44">
        <v>-1583398.29</v>
      </c>
      <c r="AK12" s="44">
        <v>-1267896.99</v>
      </c>
      <c r="AL12" s="44">
        <v>-1090601.8700000001</v>
      </c>
      <c r="AM12" s="44">
        <v>-929892.5</v>
      </c>
      <c r="AN12" s="51">
        <v>-18612014.489999969</v>
      </c>
      <c r="AO12" s="44">
        <v>-1034873.73</v>
      </c>
      <c r="AP12" s="44">
        <v>-1528185.6199999999</v>
      </c>
      <c r="AQ12" s="44">
        <v>-1917133.2900000003</v>
      </c>
      <c r="AR12" s="44">
        <v>-1787207.83</v>
      </c>
      <c r="AS12" s="44">
        <v>-1758527.4300000004</v>
      </c>
      <c r="AT12" s="44">
        <v>-2242139.9400000009</v>
      </c>
      <c r="AU12" s="44">
        <v>-2326721.4</v>
      </c>
      <c r="AV12" s="44">
        <v>-1374994.54</v>
      </c>
      <c r="AW12" s="44">
        <v>-1890381.9200000002</v>
      </c>
      <c r="AX12" s="44">
        <v>-1200588.3599999999</v>
      </c>
      <c r="AY12" s="44">
        <v>-1061663.08</v>
      </c>
      <c r="AZ12" s="44">
        <v>-710002.09</v>
      </c>
      <c r="BA12" s="51">
        <v>-18832419.229999989</v>
      </c>
      <c r="BB12" s="44">
        <v>-207031</v>
      </c>
      <c r="BC12" s="44">
        <v>-624231.34</v>
      </c>
      <c r="BD12" s="44">
        <v>-1568732.5799999998</v>
      </c>
      <c r="BE12" s="44">
        <v>-955367.73</v>
      </c>
      <c r="BF12" s="44">
        <v>-947133.42999999993</v>
      </c>
      <c r="BG12" s="44">
        <v>-1453193.9500000002</v>
      </c>
      <c r="BH12" s="44">
        <v>-2210380.08</v>
      </c>
      <c r="BI12" s="44">
        <v>-1727330.3499999996</v>
      </c>
      <c r="BJ12" s="44">
        <v>-1962639.98</v>
      </c>
      <c r="BK12" s="44">
        <v>-1170217.6399999999</v>
      </c>
      <c r="BL12" s="44">
        <v>-1082999.1199999996</v>
      </c>
      <c r="BM12" s="44">
        <v>-1273625.17</v>
      </c>
      <c r="BN12" s="51">
        <v>-15182882.370000005</v>
      </c>
      <c r="BO12" s="44">
        <v>-1669968.82</v>
      </c>
      <c r="BP12" s="44">
        <v>-1198664.7500000002</v>
      </c>
      <c r="BQ12" s="44">
        <v>-1098324.04</v>
      </c>
      <c r="BR12" s="44">
        <v>-2370662.4199999995</v>
      </c>
      <c r="BS12" s="44">
        <v>-986214.6</v>
      </c>
      <c r="BT12" s="44">
        <v>-1480099.5300000003</v>
      </c>
      <c r="BU12" s="44">
        <v>-1597686.6500000001</v>
      </c>
      <c r="BV12" s="44">
        <v>-1620671.6200000003</v>
      </c>
      <c r="BW12" s="44">
        <v>-1046683.02</v>
      </c>
      <c r="BX12" s="44">
        <v>-650654.26000000013</v>
      </c>
      <c r="BY12" s="44">
        <v>-1014102.9800000002</v>
      </c>
      <c r="BZ12" s="44">
        <v>-1093909.9700000004</v>
      </c>
      <c r="CA12" s="51">
        <v>-15827642.660000011</v>
      </c>
      <c r="CB12" s="44">
        <v>-1194803.4300000002</v>
      </c>
      <c r="CC12" s="44">
        <v>-986983.62999999989</v>
      </c>
      <c r="CD12" s="44">
        <v>-1023626.3999999999</v>
      </c>
      <c r="CE12" s="44">
        <v>-1530247.1300000001</v>
      </c>
      <c r="CF12" s="44">
        <v>-1850078.78</v>
      </c>
      <c r="CG12" s="44">
        <v>-1825250.7099999997</v>
      </c>
      <c r="CH12" s="44">
        <v>-2441202.9100000006</v>
      </c>
      <c r="CI12" s="44">
        <v>-1816652.1199999996</v>
      </c>
      <c r="CJ12" s="44">
        <v>-2174496.5799999996</v>
      </c>
      <c r="CK12" s="44">
        <v>-1151196.9800000004</v>
      </c>
      <c r="CL12" s="44">
        <v>-1150123.9400000002</v>
      </c>
      <c r="CM12" s="44">
        <v>-1816464.95</v>
      </c>
      <c r="CN12" s="51">
        <v>-18961127.559999984</v>
      </c>
      <c r="CO12" s="44">
        <v>-984960.48999999964</v>
      </c>
      <c r="CP12" s="44">
        <v>-1029388.3300000001</v>
      </c>
      <c r="CQ12" s="44">
        <v>-1386067.02</v>
      </c>
      <c r="CR12" s="44">
        <v>-1659345.7500000002</v>
      </c>
      <c r="CS12" s="44">
        <v>-1821794.29</v>
      </c>
      <c r="CT12" s="44">
        <v>-2086413.8399999999</v>
      </c>
      <c r="CU12" s="44">
        <v>-1967310.83</v>
      </c>
      <c r="CV12" s="44">
        <v>-2086132.3000000003</v>
      </c>
      <c r="CW12" s="44">
        <v>-1713209.02</v>
      </c>
      <c r="CX12" s="44">
        <v>-1926358</v>
      </c>
      <c r="CY12" s="44">
        <v>-1022615.69</v>
      </c>
      <c r="CZ12" s="44">
        <v>-1887531.99</v>
      </c>
      <c r="DA12" s="51">
        <v>-19571127.549999997</v>
      </c>
      <c r="DB12" s="53">
        <f>+'EEFF historicoss'!AE22</f>
        <v>-1794189.6</v>
      </c>
      <c r="DC12" s="53">
        <f>+'EEFF historicoss'!AF22</f>
        <v>-1099608.99</v>
      </c>
      <c r="DD12" s="53">
        <f>+'EEFF historicoss'!AG22</f>
        <v>-1466793.75</v>
      </c>
      <c r="DE12" s="53">
        <f>+'EEFF historicoss'!AH22</f>
        <v>-1221670.54</v>
      </c>
      <c r="DF12" s="53">
        <f>+'EEFF historicoss'!AI22</f>
        <v>-1274221</v>
      </c>
      <c r="DG12" s="53">
        <f>+'EEFF historicoss'!AJ22</f>
        <v>-1503925.92</v>
      </c>
      <c r="DH12" s="53">
        <f>+'EEFF historicoss'!AK22</f>
        <v>-1327577.01</v>
      </c>
      <c r="DI12" s="53">
        <f>+'EEFF historicoss'!AL22</f>
        <v>-1826703.19</v>
      </c>
      <c r="DJ12" s="53">
        <f>+'EEFF historicoss'!AM22</f>
        <v>-1861510.74</v>
      </c>
      <c r="DK12" s="53">
        <f>+'EEFF historicoss'!AN22</f>
        <v>-1710650.3</v>
      </c>
      <c r="DL12" s="53">
        <f>+'EEFF historicoss'!AO22</f>
        <v>-1778091.3</v>
      </c>
      <c r="DM12" s="53">
        <f>+'EEFF historicoss'!AP22</f>
        <v>-2005693.5</v>
      </c>
    </row>
    <row r="13" spans="1:118" x14ac:dyDescent="0.3">
      <c r="A13" s="47" t="s">
        <v>246</v>
      </c>
      <c r="B13" s="48">
        <v>1009076.79</v>
      </c>
      <c r="C13" s="48">
        <v>1177476.5299999993</v>
      </c>
      <c r="D13" s="48">
        <v>1416115.3799999994</v>
      </c>
      <c r="E13" s="48">
        <v>589694.59000000032</v>
      </c>
      <c r="F13" s="48">
        <v>888209.90999999968</v>
      </c>
      <c r="G13" s="48">
        <v>692330.51000000013</v>
      </c>
      <c r="H13" s="48">
        <v>875176.74</v>
      </c>
      <c r="I13" s="48">
        <v>1067578.4899999998</v>
      </c>
      <c r="J13" s="48">
        <v>3706146.84</v>
      </c>
      <c r="K13" s="48">
        <v>1084269.2799999991</v>
      </c>
      <c r="L13" s="48">
        <v>326847.66999999923</v>
      </c>
      <c r="M13" s="48">
        <v>-1360424.91</v>
      </c>
      <c r="N13" s="49">
        <v>11472497.819999995</v>
      </c>
      <c r="O13" s="48">
        <v>819819.32000000041</v>
      </c>
      <c r="P13" s="48">
        <v>51824.849999999395</v>
      </c>
      <c r="Q13" s="48">
        <v>519531.64000000013</v>
      </c>
      <c r="R13" s="48">
        <v>222662.70999999915</v>
      </c>
      <c r="S13" s="48">
        <v>237232.98000000045</v>
      </c>
      <c r="T13" s="48">
        <v>3530545.3600000003</v>
      </c>
      <c r="U13" s="48">
        <v>634124.3600000001</v>
      </c>
      <c r="V13" s="48">
        <v>-242136.32999999987</v>
      </c>
      <c r="W13" s="48">
        <v>870836.78999999911</v>
      </c>
      <c r="X13" s="48">
        <v>709487.94999999972</v>
      </c>
      <c r="Y13" s="48">
        <v>3970779.459999999</v>
      </c>
      <c r="Z13" s="48">
        <v>7516663.5300000012</v>
      </c>
      <c r="AA13" s="49">
        <v>18841372.619999994</v>
      </c>
      <c r="AB13" s="48">
        <v>537662.54999999981</v>
      </c>
      <c r="AC13" s="48">
        <v>641507.78</v>
      </c>
      <c r="AD13" s="48">
        <v>534192.1799999997</v>
      </c>
      <c r="AE13" s="48">
        <v>622125.93999999948</v>
      </c>
      <c r="AF13" s="48">
        <v>458777.12999999931</v>
      </c>
      <c r="AG13" s="48">
        <v>314744.63000000006</v>
      </c>
      <c r="AH13" s="48">
        <v>174986.68999999983</v>
      </c>
      <c r="AI13" s="48">
        <v>116438.69000000019</v>
      </c>
      <c r="AJ13" s="48">
        <v>1125474.7300000002</v>
      </c>
      <c r="AK13" s="48">
        <v>314112.31999999989</v>
      </c>
      <c r="AL13" s="48">
        <v>155095.36000000016</v>
      </c>
      <c r="AM13" s="48">
        <v>58494.690000000388</v>
      </c>
      <c r="AN13" s="49">
        <v>5053612.6900000228</v>
      </c>
      <c r="AO13" s="48">
        <v>-260229.36999999976</v>
      </c>
      <c r="AP13" s="48">
        <v>102931.26999999989</v>
      </c>
      <c r="AQ13" s="48">
        <v>-24393.930000000099</v>
      </c>
      <c r="AR13" s="48">
        <v>337096.99000000034</v>
      </c>
      <c r="AS13" s="48">
        <v>-218257.13999999978</v>
      </c>
      <c r="AT13" s="48">
        <v>2732748.03</v>
      </c>
      <c r="AU13" s="48">
        <v>-6967.7099999999627</v>
      </c>
      <c r="AV13" s="48">
        <v>29636.859999999637</v>
      </c>
      <c r="AW13" s="48">
        <v>345508.69000000041</v>
      </c>
      <c r="AX13" s="48">
        <v>21315.590000000084</v>
      </c>
      <c r="AY13" s="48">
        <v>-770874.58000000019</v>
      </c>
      <c r="AZ13" s="48">
        <v>-3216291.11</v>
      </c>
      <c r="BA13" s="49">
        <v>-927776.4099999828</v>
      </c>
      <c r="BB13" s="48">
        <v>-8848394.7600000035</v>
      </c>
      <c r="BC13" s="48">
        <v>1437736.1600000001</v>
      </c>
      <c r="BD13" s="48">
        <v>323110.38999999984</v>
      </c>
      <c r="BE13" s="48">
        <v>266669.75000000006</v>
      </c>
      <c r="BF13" s="48">
        <v>46786.739999999758</v>
      </c>
      <c r="BG13" s="48">
        <v>533453.91999999969</v>
      </c>
      <c r="BH13" s="48">
        <v>137436.77000000014</v>
      </c>
      <c r="BI13" s="48">
        <v>-787945.05999999994</v>
      </c>
      <c r="BJ13" s="48">
        <v>-6577915.6399999978</v>
      </c>
      <c r="BK13" s="48">
        <v>-526642.56999999983</v>
      </c>
      <c r="BL13" s="48">
        <v>-284604.38000000024</v>
      </c>
      <c r="BM13" s="48">
        <v>-685367.96000000054</v>
      </c>
      <c r="BN13" s="49">
        <v>-14965676.639999971</v>
      </c>
      <c r="BO13" s="48">
        <v>-1827581.0000000014</v>
      </c>
      <c r="BP13" s="48">
        <v>-1706962.0799999991</v>
      </c>
      <c r="BQ13" s="48">
        <v>411480.0999999998</v>
      </c>
      <c r="BR13" s="48">
        <v>-731932.54</v>
      </c>
      <c r="BS13" s="48">
        <v>-1468547.0800000005</v>
      </c>
      <c r="BT13" s="48">
        <v>-1151882.9700000009</v>
      </c>
      <c r="BU13" s="48">
        <v>-182856.90999999992</v>
      </c>
      <c r="BV13" s="48">
        <v>-1706055.4000000006</v>
      </c>
      <c r="BW13" s="48">
        <v>4612927.4399999995</v>
      </c>
      <c r="BX13" s="48">
        <v>-91032.149999999863</v>
      </c>
      <c r="BY13" s="48">
        <v>-39734.629999999706</v>
      </c>
      <c r="BZ13" s="48">
        <v>523065.12000000011</v>
      </c>
      <c r="CA13" s="49">
        <v>-3359112.0999999791</v>
      </c>
      <c r="CB13" s="48">
        <v>-2072931.5899999999</v>
      </c>
      <c r="CC13" s="48">
        <v>-2043656.2399999984</v>
      </c>
      <c r="CD13" s="48">
        <v>99521.589999999982</v>
      </c>
      <c r="CE13" s="48">
        <v>181401.82999999984</v>
      </c>
      <c r="CF13" s="48">
        <v>53234.589999999422</v>
      </c>
      <c r="CG13" s="48">
        <v>-237107.04000000047</v>
      </c>
      <c r="CH13" s="48">
        <v>-1001197.4000000004</v>
      </c>
      <c r="CI13" s="48">
        <v>-642859.37999999966</v>
      </c>
      <c r="CJ13" s="48">
        <v>1627581.5600000098</v>
      </c>
      <c r="CK13" s="48">
        <v>-309525.54999999981</v>
      </c>
      <c r="CL13" s="48">
        <v>308217.43999999989</v>
      </c>
      <c r="CM13" s="48">
        <v>239338.93999999948</v>
      </c>
      <c r="CN13" s="49">
        <v>-3797981.2499999986</v>
      </c>
      <c r="CO13" s="48">
        <v>-1502344.8300000003</v>
      </c>
      <c r="CP13" s="48">
        <v>-1373155.0899999996</v>
      </c>
      <c r="CQ13" s="48">
        <v>-1348148.9299999995</v>
      </c>
      <c r="CR13" s="48">
        <v>-1998076.4600000004</v>
      </c>
      <c r="CS13" s="48">
        <v>139268.32000000007</v>
      </c>
      <c r="CT13" s="48">
        <v>2305956.6899999995</v>
      </c>
      <c r="CU13" s="48">
        <v>-961874.79</v>
      </c>
      <c r="CV13" s="48">
        <v>-6217222.9699999932</v>
      </c>
      <c r="CW13" s="48">
        <v>-116453.90999999941</v>
      </c>
      <c r="CX13" s="48">
        <v>151260.31999999995</v>
      </c>
      <c r="CY13" s="48">
        <v>861188.21000000008</v>
      </c>
      <c r="CZ13" s="48">
        <v>145751.8900000001</v>
      </c>
      <c r="DA13" s="49">
        <v>-9913851.5500001162</v>
      </c>
    </row>
    <row r="14" spans="1:118" x14ac:dyDescent="0.3">
      <c r="A14" s="50" t="s">
        <v>247</v>
      </c>
      <c r="B14" s="44">
        <v>161997.27000000002</v>
      </c>
      <c r="C14" s="44">
        <v>164450.12</v>
      </c>
      <c r="D14" s="44">
        <v>156059.97999999998</v>
      </c>
      <c r="E14" s="44">
        <v>160496.07</v>
      </c>
      <c r="F14" s="44">
        <v>170970.17</v>
      </c>
      <c r="G14" s="44">
        <v>171983.06</v>
      </c>
      <c r="H14" s="44">
        <v>177318.81</v>
      </c>
      <c r="I14" s="44">
        <v>166778.07</v>
      </c>
      <c r="J14" s="44">
        <v>159267.87</v>
      </c>
      <c r="K14" s="44">
        <v>131795.4</v>
      </c>
      <c r="L14" s="44">
        <v>118733.66</v>
      </c>
      <c r="M14" s="44">
        <v>145382.41</v>
      </c>
      <c r="N14" s="51">
        <v>1885232.8900000001</v>
      </c>
      <c r="O14" s="44">
        <v>139749.18000000002</v>
      </c>
      <c r="P14" s="44">
        <v>115635.11</v>
      </c>
      <c r="Q14" s="44">
        <v>137725.26999999999</v>
      </c>
      <c r="R14" s="44">
        <v>136175.21</v>
      </c>
      <c r="S14" s="44">
        <v>114950.86</v>
      </c>
      <c r="T14" s="44">
        <v>126543.13</v>
      </c>
      <c r="U14" s="44">
        <v>131277.49</v>
      </c>
      <c r="V14" s="44">
        <v>128397.67</v>
      </c>
      <c r="W14" s="44">
        <v>50908.729999999996</v>
      </c>
      <c r="X14" s="44">
        <v>108166.24</v>
      </c>
      <c r="Y14" s="44">
        <v>83731.650000000009</v>
      </c>
      <c r="Z14" s="44">
        <v>605108.14000000013</v>
      </c>
      <c r="AA14" s="51">
        <v>1878368.6800000002</v>
      </c>
      <c r="AB14" s="44">
        <v>116989.73000000001</v>
      </c>
      <c r="AC14" s="44">
        <v>81480.12</v>
      </c>
      <c r="AD14" s="44">
        <v>42593.100000000006</v>
      </c>
      <c r="AE14" s="44">
        <v>87846.67</v>
      </c>
      <c r="AF14" s="44">
        <v>108263.21</v>
      </c>
      <c r="AG14" s="44">
        <v>74558.92</v>
      </c>
      <c r="AH14" s="44">
        <v>72644.350000000006</v>
      </c>
      <c r="AI14" s="44">
        <v>116258.93000000001</v>
      </c>
      <c r="AJ14" s="44">
        <v>80439.77</v>
      </c>
      <c r="AK14" s="44">
        <v>67101.599999999991</v>
      </c>
      <c r="AL14" s="44">
        <v>99678.94</v>
      </c>
      <c r="AM14" s="44">
        <v>61455.009999999995</v>
      </c>
      <c r="AN14" s="51">
        <v>1009310.3500000002</v>
      </c>
      <c r="AO14" s="44">
        <v>100539.2</v>
      </c>
      <c r="AP14" s="44">
        <v>609682.08000000007</v>
      </c>
      <c r="AQ14" s="44">
        <v>73567.19</v>
      </c>
      <c r="AR14" s="44">
        <v>386509.38</v>
      </c>
      <c r="AS14" s="44">
        <v>543861.44999999995</v>
      </c>
      <c r="AT14" s="44">
        <v>308904.38</v>
      </c>
      <c r="AU14" s="44">
        <v>109857.94</v>
      </c>
      <c r="AV14" s="44">
        <v>255423.62000000002</v>
      </c>
      <c r="AW14" s="44">
        <v>734998.55</v>
      </c>
      <c r="AX14" s="44">
        <v>186205.23</v>
      </c>
      <c r="AY14" s="44">
        <v>239647.77</v>
      </c>
      <c r="AZ14" s="44">
        <v>113263.84</v>
      </c>
      <c r="BA14" s="51">
        <v>3662460.63</v>
      </c>
      <c r="BB14" s="44">
        <v>231.43</v>
      </c>
      <c r="BC14" s="44">
        <v>18650.72</v>
      </c>
      <c r="BD14" s="44">
        <v>29212.81</v>
      </c>
      <c r="BE14" s="44">
        <v>63667.5</v>
      </c>
      <c r="BF14" s="44">
        <v>41942.07</v>
      </c>
      <c r="BG14" s="44">
        <v>40957.18</v>
      </c>
      <c r="BH14" s="44">
        <v>75646.37999999999</v>
      </c>
      <c r="BI14" s="44">
        <v>68804.25</v>
      </c>
      <c r="BJ14" s="44">
        <v>92453.32</v>
      </c>
      <c r="BK14" s="44">
        <v>60765.17</v>
      </c>
      <c r="BL14" s="44">
        <v>68496.759999999995</v>
      </c>
      <c r="BM14" s="44">
        <v>81054.720000000001</v>
      </c>
      <c r="BN14" s="51">
        <v>641882.31000000006</v>
      </c>
      <c r="BO14" s="44">
        <v>64592.58</v>
      </c>
      <c r="BP14" s="44">
        <v>54132.810000000005</v>
      </c>
      <c r="BQ14" s="44">
        <v>46595.76</v>
      </c>
      <c r="BR14" s="44">
        <v>32847.89</v>
      </c>
      <c r="BS14" s="44">
        <v>57062.46</v>
      </c>
      <c r="BT14" s="44">
        <v>89174.680000000008</v>
      </c>
      <c r="BU14" s="44">
        <v>48339.789999999994</v>
      </c>
      <c r="BV14" s="44">
        <v>60201.909999999996</v>
      </c>
      <c r="BW14" s="44">
        <v>41274.01</v>
      </c>
      <c r="BX14" s="44">
        <v>33364.15</v>
      </c>
      <c r="BY14" s="44">
        <v>190259.52000000002</v>
      </c>
      <c r="BZ14" s="44">
        <v>161036.44</v>
      </c>
      <c r="CA14" s="51">
        <v>878882</v>
      </c>
      <c r="CB14" s="44">
        <v>38876.79</v>
      </c>
      <c r="CC14" s="44">
        <v>46608.480000000003</v>
      </c>
      <c r="CD14" s="44">
        <v>80515.73</v>
      </c>
      <c r="CE14" s="44">
        <v>149963.35999999999</v>
      </c>
      <c r="CF14" s="44">
        <v>57309.2</v>
      </c>
      <c r="CG14" s="44">
        <v>71397.649999999994</v>
      </c>
      <c r="CH14" s="44">
        <v>76816.86</v>
      </c>
      <c r="CI14" s="44">
        <v>155046.49</v>
      </c>
      <c r="CJ14" s="44">
        <v>12872143.050000001</v>
      </c>
      <c r="CK14" s="44">
        <v>68669.709999999992</v>
      </c>
      <c r="CL14" s="44">
        <v>138062.44999999998</v>
      </c>
      <c r="CM14" s="44">
        <v>120533.15</v>
      </c>
      <c r="CN14" s="51">
        <v>13875942.920000002</v>
      </c>
      <c r="CO14" s="44">
        <v>213137.62</v>
      </c>
      <c r="CP14" s="44">
        <v>60329.35</v>
      </c>
      <c r="CQ14" s="44">
        <v>209138.46</v>
      </c>
      <c r="CR14" s="44">
        <v>113066.23000000001</v>
      </c>
      <c r="CS14" s="44">
        <v>259068.4</v>
      </c>
      <c r="CT14" s="44">
        <v>325627.90000000002</v>
      </c>
      <c r="CU14" s="44">
        <v>109603.97</v>
      </c>
      <c r="CV14" s="44">
        <v>12741052.460000001</v>
      </c>
      <c r="CW14" s="44">
        <v>226920.68</v>
      </c>
      <c r="CX14" s="44">
        <v>96746.69</v>
      </c>
      <c r="CY14" s="44">
        <v>223460.37</v>
      </c>
      <c r="CZ14" s="44">
        <v>210667.34000000003</v>
      </c>
      <c r="DA14" s="51">
        <v>14788819.470000001</v>
      </c>
      <c r="DB14" s="53">
        <f>+'EEFF historicoss'!AE14+'EEFF historicoss'!AE13</f>
        <v>206387.52</v>
      </c>
      <c r="DC14" s="53">
        <f>+'EEFF historicoss'!AF14+'EEFF historicoss'!AF13</f>
        <v>197190.01</v>
      </c>
      <c r="DD14" s="53">
        <f>+'EEFF historicoss'!AG14+'EEFF historicoss'!AG13</f>
        <v>172127.68</v>
      </c>
      <c r="DE14" s="53">
        <f>+'EEFF historicoss'!AH14+'EEFF historicoss'!AH13</f>
        <v>164642.03</v>
      </c>
      <c r="DF14" s="53">
        <f>+'EEFF historicoss'!AI14+'EEFF historicoss'!AI13</f>
        <v>298393.07999999996</v>
      </c>
      <c r="DG14" s="53">
        <f>+'EEFF historicoss'!AJ14+'EEFF historicoss'!AJ13</f>
        <v>92235.03</v>
      </c>
      <c r="DH14" s="53">
        <f>+'EEFF historicoss'!AK14+'EEFF historicoss'!AK13</f>
        <v>146241.28</v>
      </c>
      <c r="DI14" s="53">
        <f>+'EEFF historicoss'!AL14+'EEFF historicoss'!AL13</f>
        <v>383538.43000000005</v>
      </c>
      <c r="DJ14" s="53">
        <f>+'EEFF historicoss'!AM14+'EEFF historicoss'!AM13</f>
        <v>191874.45</v>
      </c>
      <c r="DK14" s="53">
        <f>+'EEFF historicoss'!AN14+'EEFF historicoss'!AN13</f>
        <v>70347.039999999994</v>
      </c>
      <c r="DL14" s="53">
        <f>+'EEFF historicoss'!AO14+'EEFF historicoss'!AO13</f>
        <v>106212.38</v>
      </c>
      <c r="DM14" s="53">
        <f>+'EEFF historicoss'!AP14+'EEFF historicoss'!AP13</f>
        <v>101548.56</v>
      </c>
    </row>
    <row r="15" spans="1:118" x14ac:dyDescent="0.3">
      <c r="A15" s="50" t="s">
        <v>98</v>
      </c>
      <c r="B15" s="44">
        <v>97997.78</v>
      </c>
      <c r="C15" s="44">
        <v>100370.68000000001</v>
      </c>
      <c r="D15" s="44">
        <v>38068.229999999996</v>
      </c>
      <c r="E15" s="44">
        <v>41352.25</v>
      </c>
      <c r="F15" s="44">
        <v>23762.74</v>
      </c>
      <c r="G15" s="44">
        <v>45064.619999999995</v>
      </c>
      <c r="H15" s="44">
        <v>53290.81</v>
      </c>
      <c r="I15" s="44">
        <v>18565.39</v>
      </c>
      <c r="J15" s="44">
        <v>488666.44</v>
      </c>
      <c r="K15" s="44">
        <v>106884.06</v>
      </c>
      <c r="L15" s="44">
        <v>30307.869999999995</v>
      </c>
      <c r="M15" s="44">
        <v>98312.04</v>
      </c>
      <c r="N15" s="51">
        <v>1142642.9100000004</v>
      </c>
      <c r="O15" s="44">
        <v>27028.26</v>
      </c>
      <c r="P15" s="44">
        <v>103919.38000000002</v>
      </c>
      <c r="Q15" s="44">
        <v>117902.41</v>
      </c>
      <c r="R15" s="44">
        <v>53296.820000000007</v>
      </c>
      <c r="S15" s="44">
        <v>26602.959999999999</v>
      </c>
      <c r="T15" s="44">
        <v>271462.14</v>
      </c>
      <c r="U15" s="44">
        <v>47468.19</v>
      </c>
      <c r="V15" s="44">
        <v>235787.97999999998</v>
      </c>
      <c r="W15" s="44">
        <v>33916.979999999996</v>
      </c>
      <c r="X15" s="44">
        <v>64728.99</v>
      </c>
      <c r="Y15" s="44">
        <v>534585.74</v>
      </c>
      <c r="Z15" s="44">
        <v>143428.64000000001</v>
      </c>
      <c r="AA15" s="51">
        <v>1660128.4900000007</v>
      </c>
      <c r="AB15" s="44">
        <v>55189.16</v>
      </c>
      <c r="AC15" s="44">
        <v>19705.73</v>
      </c>
      <c r="AD15" s="44">
        <v>37626.050000000003</v>
      </c>
      <c r="AE15" s="44">
        <v>104729.59999999999</v>
      </c>
      <c r="AF15" s="44">
        <v>103909.79</v>
      </c>
      <c r="AG15" s="44">
        <v>11278.599999999999</v>
      </c>
      <c r="AH15" s="44">
        <v>13663.54</v>
      </c>
      <c r="AI15" s="44">
        <v>72030.489999999991</v>
      </c>
      <c r="AJ15" s="44">
        <v>141454.37</v>
      </c>
      <c r="AK15" s="44">
        <v>110128.79</v>
      </c>
      <c r="AL15" s="44">
        <v>8552.4599999999991</v>
      </c>
      <c r="AM15" s="44">
        <v>39067.61</v>
      </c>
      <c r="AN15" s="51">
        <v>717336.18999999983</v>
      </c>
      <c r="AO15" s="44">
        <v>56590.090000000004</v>
      </c>
      <c r="AP15" s="44">
        <v>32451.149999999998</v>
      </c>
      <c r="AQ15" s="44">
        <v>67870.149999999994</v>
      </c>
      <c r="AR15" s="44">
        <v>66610.509999999995</v>
      </c>
      <c r="AS15" s="44">
        <v>19305.46</v>
      </c>
      <c r="AT15" s="44">
        <v>123151.01999999999</v>
      </c>
      <c r="AU15" s="44">
        <v>32636.93</v>
      </c>
      <c r="AV15" s="44">
        <v>23916.99</v>
      </c>
      <c r="AW15" s="44">
        <v>18781.05</v>
      </c>
      <c r="AX15" s="44">
        <v>163531.87999999998</v>
      </c>
      <c r="AY15" s="44">
        <v>27206.18</v>
      </c>
      <c r="AZ15" s="44">
        <v>18847.870000000003</v>
      </c>
      <c r="BA15" s="51">
        <v>650899.28000000014</v>
      </c>
      <c r="BB15" s="44"/>
      <c r="BC15" s="44"/>
      <c r="BD15" s="44"/>
      <c r="BE15" s="44">
        <v>52604.55</v>
      </c>
      <c r="BF15" s="44">
        <v>10283.4</v>
      </c>
      <c r="BG15" s="44">
        <v>48561.72</v>
      </c>
      <c r="BH15" s="44">
        <v>37182.149999999994</v>
      </c>
      <c r="BI15" s="44">
        <v>24320.78</v>
      </c>
      <c r="BJ15" s="44">
        <v>235094.53999999998</v>
      </c>
      <c r="BK15" s="44">
        <v>16963.95</v>
      </c>
      <c r="BL15" s="44">
        <v>136066.46</v>
      </c>
      <c r="BM15" s="44">
        <v>18778.78</v>
      </c>
      <c r="BN15" s="51">
        <v>579856.33000000019</v>
      </c>
      <c r="BO15" s="44">
        <v>121700.94</v>
      </c>
      <c r="BP15" s="44">
        <v>27045.24</v>
      </c>
      <c r="BQ15" s="44">
        <v>33460.36</v>
      </c>
      <c r="BR15" s="44">
        <v>16837.12</v>
      </c>
      <c r="BS15" s="44">
        <v>154078.65</v>
      </c>
      <c r="BT15" s="44">
        <v>21939.41</v>
      </c>
      <c r="BU15" s="44">
        <v>56494.98</v>
      </c>
      <c r="BV15" s="44">
        <v>19845.759999999998</v>
      </c>
      <c r="BW15" s="44">
        <v>55442.52</v>
      </c>
      <c r="BX15" s="44">
        <v>18944.2</v>
      </c>
      <c r="BY15" s="44">
        <v>18550.919999999998</v>
      </c>
      <c r="BZ15" s="44">
        <v>41688.529999999992</v>
      </c>
      <c r="CA15" s="51">
        <v>586028.63000000012</v>
      </c>
      <c r="CB15" s="44">
        <v>168736.4</v>
      </c>
      <c r="CC15" s="44">
        <v>216258.47999999998</v>
      </c>
      <c r="CD15" s="44">
        <v>27595.09</v>
      </c>
      <c r="CE15" s="44">
        <v>96452.88</v>
      </c>
      <c r="CF15" s="44">
        <v>79215.919999999984</v>
      </c>
      <c r="CG15" s="44">
        <v>33263.58</v>
      </c>
      <c r="CH15" s="44">
        <v>91618.48</v>
      </c>
      <c r="CI15" s="44">
        <v>121374.14</v>
      </c>
      <c r="CJ15" s="44">
        <v>73623.47</v>
      </c>
      <c r="CK15" s="44">
        <v>31518.230000000003</v>
      </c>
      <c r="CL15" s="44">
        <v>20783.97</v>
      </c>
      <c r="CM15" s="44">
        <v>191238.50000000003</v>
      </c>
      <c r="CN15" s="51">
        <v>1151679.1399999994</v>
      </c>
      <c r="CO15" s="44">
        <v>19354.11</v>
      </c>
      <c r="CP15" s="44">
        <v>54798.33</v>
      </c>
      <c r="CQ15" s="44">
        <v>42743.45</v>
      </c>
      <c r="CR15" s="44">
        <v>19539.53</v>
      </c>
      <c r="CS15" s="44">
        <v>168486.49000000002</v>
      </c>
      <c r="CT15" s="44">
        <v>90015.15</v>
      </c>
      <c r="CU15" s="44">
        <v>21544.49</v>
      </c>
      <c r="CV15" s="44">
        <v>105866.52</v>
      </c>
      <c r="CW15" s="44">
        <v>22101.48</v>
      </c>
      <c r="CX15" s="44">
        <v>147637.4</v>
      </c>
      <c r="CY15" s="44">
        <v>713169.82000000007</v>
      </c>
      <c r="CZ15" s="44">
        <v>32722.300000000003</v>
      </c>
      <c r="DA15" s="51">
        <v>1437979.0699999998</v>
      </c>
      <c r="DB15" s="53">
        <f>+'EEFF historicoss'!AE15</f>
        <v>1193419.92</v>
      </c>
      <c r="DC15" s="53">
        <f>+'EEFF historicoss'!AF15</f>
        <v>58535.44</v>
      </c>
      <c r="DD15" s="53">
        <f>+'EEFF historicoss'!AG15</f>
        <v>45027.76</v>
      </c>
      <c r="DE15" s="53">
        <f>+'EEFF historicoss'!AH15</f>
        <v>42406.48</v>
      </c>
      <c r="DF15" s="53">
        <f>+'EEFF historicoss'!AI15</f>
        <v>70481.91</v>
      </c>
      <c r="DG15" s="53">
        <f>+'EEFF historicoss'!AJ15</f>
        <v>213758.22</v>
      </c>
      <c r="DH15" s="53">
        <f>+'EEFF historicoss'!AK15</f>
        <v>26707.46</v>
      </c>
      <c r="DI15" s="53">
        <f>+'EEFF historicoss'!AL15</f>
        <v>87047.09</v>
      </c>
      <c r="DJ15" s="53">
        <f>+'EEFF historicoss'!AM15</f>
        <v>92051.74</v>
      </c>
      <c r="DK15" s="53">
        <f>+'EEFF historicoss'!AN15</f>
        <v>244555.91</v>
      </c>
      <c r="DL15" s="53">
        <f>+'EEFF historicoss'!AO15</f>
        <v>323969.21999999997</v>
      </c>
      <c r="DM15" s="53">
        <f>+'EEFF historicoss'!AP15</f>
        <v>2433912.1</v>
      </c>
    </row>
    <row r="16" spans="1:118" x14ac:dyDescent="0.3">
      <c r="A16" s="50" t="s">
        <v>96</v>
      </c>
      <c r="B16" s="44">
        <v>60.54</v>
      </c>
      <c r="C16" s="44">
        <v>80.17</v>
      </c>
      <c r="D16" s="44">
        <v>72.040000000000006</v>
      </c>
      <c r="E16" s="44">
        <v>218.94</v>
      </c>
      <c r="F16" s="44">
        <v>211.28</v>
      </c>
      <c r="G16" s="44">
        <v>600.38</v>
      </c>
      <c r="H16" s="44">
        <v>100.77</v>
      </c>
      <c r="I16" s="44">
        <v>95.11</v>
      </c>
      <c r="J16" s="44">
        <v>96.66</v>
      </c>
      <c r="K16" s="44">
        <v>110.19</v>
      </c>
      <c r="L16" s="44">
        <v>174.51</v>
      </c>
      <c r="M16" s="44">
        <v>91.33</v>
      </c>
      <c r="N16" s="51">
        <v>1911.9199999999998</v>
      </c>
      <c r="O16" s="44">
        <v>1360.76</v>
      </c>
      <c r="P16" s="44">
        <v>529.05000000000007</v>
      </c>
      <c r="Q16" s="44">
        <v>106.94</v>
      </c>
      <c r="R16" s="44">
        <v>101.71000000000001</v>
      </c>
      <c r="S16" s="44">
        <v>148.35</v>
      </c>
      <c r="T16" s="44">
        <v>122.51</v>
      </c>
      <c r="U16" s="44">
        <v>159.63</v>
      </c>
      <c r="V16" s="44">
        <v>105.36000000000001</v>
      </c>
      <c r="W16" s="44">
        <v>153.53</v>
      </c>
      <c r="X16" s="44">
        <v>168.43</v>
      </c>
      <c r="Y16" s="44">
        <v>141.78</v>
      </c>
      <c r="Z16" s="44">
        <v>58.99</v>
      </c>
      <c r="AA16" s="51">
        <v>3157.0400000000004</v>
      </c>
      <c r="AB16" s="44">
        <v>49.11</v>
      </c>
      <c r="AC16" s="44">
        <v>104.66000000000001</v>
      </c>
      <c r="AD16" s="44">
        <v>76.900000000000006</v>
      </c>
      <c r="AE16" s="44">
        <v>91.16</v>
      </c>
      <c r="AF16" s="44">
        <v>114.64999999999999</v>
      </c>
      <c r="AG16" s="44">
        <v>117.65</v>
      </c>
      <c r="AH16" s="44">
        <v>109.66000000000001</v>
      </c>
      <c r="AI16" s="44">
        <v>95.17</v>
      </c>
      <c r="AJ16" s="44">
        <v>81.28</v>
      </c>
      <c r="AK16" s="44">
        <v>882.04</v>
      </c>
      <c r="AL16" s="44">
        <v>59.02</v>
      </c>
      <c r="AM16" s="44">
        <v>44.930000000000007</v>
      </c>
      <c r="AN16" s="51">
        <v>1826.2300000000009</v>
      </c>
      <c r="AO16" s="44">
        <v>86.04000000000002</v>
      </c>
      <c r="AP16" s="44">
        <v>111.55999999999999</v>
      </c>
      <c r="AQ16" s="44">
        <v>6543.49</v>
      </c>
      <c r="AR16" s="44">
        <v>2229.0500000000002</v>
      </c>
      <c r="AS16" s="44">
        <v>4430.8400000000011</v>
      </c>
      <c r="AT16" s="44">
        <v>5323.57</v>
      </c>
      <c r="AU16" s="44">
        <v>53655.22</v>
      </c>
      <c r="AV16" s="44">
        <v>34172.53</v>
      </c>
      <c r="AW16" s="44">
        <v>31866.59</v>
      </c>
      <c r="AX16" s="44">
        <v>36352.660000000003</v>
      </c>
      <c r="AY16" s="44">
        <v>24367.53</v>
      </c>
      <c r="AZ16" s="44">
        <v>27398.84</v>
      </c>
      <c r="BA16" s="51">
        <v>226537.92</v>
      </c>
      <c r="BB16" s="44">
        <v>1848.4199999999998</v>
      </c>
      <c r="BC16" s="44">
        <v>3595.32</v>
      </c>
      <c r="BD16" s="44">
        <v>3161.62</v>
      </c>
      <c r="BE16" s="44">
        <v>12880.71</v>
      </c>
      <c r="BF16" s="44">
        <v>29365.7</v>
      </c>
      <c r="BG16" s="44">
        <v>38195.839999999997</v>
      </c>
      <c r="BH16" s="44">
        <v>16925.57</v>
      </c>
      <c r="BI16" s="44">
        <v>45812.12</v>
      </c>
      <c r="BJ16" s="44">
        <v>46777.66</v>
      </c>
      <c r="BK16" s="44">
        <v>3958.2</v>
      </c>
      <c r="BL16" s="44">
        <v>1635.9899999999996</v>
      </c>
      <c r="BM16" s="44">
        <v>5759.0599999999995</v>
      </c>
      <c r="BN16" s="51">
        <v>209916.21000000008</v>
      </c>
      <c r="BO16" s="44">
        <v>6741.78</v>
      </c>
      <c r="BP16" s="44">
        <v>7268.6899999999987</v>
      </c>
      <c r="BQ16" s="44">
        <v>6347.8200000000006</v>
      </c>
      <c r="BR16" s="44">
        <v>6173.3099999999995</v>
      </c>
      <c r="BS16" s="44">
        <v>5481.8600000000006</v>
      </c>
      <c r="BT16" s="44">
        <v>5025.68</v>
      </c>
      <c r="BU16" s="44">
        <v>359.16999999999996</v>
      </c>
      <c r="BV16" s="44">
        <v>11966.81</v>
      </c>
      <c r="BW16" s="44">
        <v>29168.179999999997</v>
      </c>
      <c r="BX16" s="44">
        <v>27699.69</v>
      </c>
      <c r="BY16" s="44">
        <v>23335.679999999997</v>
      </c>
      <c r="BZ16" s="44">
        <v>5116.28</v>
      </c>
      <c r="CA16" s="51">
        <v>134684.95000000001</v>
      </c>
      <c r="CB16" s="44">
        <v>5975.24</v>
      </c>
      <c r="CC16" s="44">
        <v>339.01</v>
      </c>
      <c r="CD16" s="44">
        <v>62.86</v>
      </c>
      <c r="CE16" s="44">
        <v>120.50999999999999</v>
      </c>
      <c r="CF16" s="44">
        <v>63.87</v>
      </c>
      <c r="CG16" s="44">
        <v>181.09</v>
      </c>
      <c r="CH16" s="44">
        <v>162.69000000000003</v>
      </c>
      <c r="CI16" s="44">
        <v>376.58</v>
      </c>
      <c r="CJ16" s="44">
        <v>727.29</v>
      </c>
      <c r="CK16" s="44">
        <v>891.67</v>
      </c>
      <c r="CL16" s="44">
        <v>214.60999999999999</v>
      </c>
      <c r="CM16" s="44">
        <v>727.95</v>
      </c>
      <c r="CN16" s="51">
        <v>9843.3699999999917</v>
      </c>
      <c r="CO16" s="44">
        <v>319.75</v>
      </c>
      <c r="CP16" s="44">
        <v>43.099999999999994</v>
      </c>
      <c r="CQ16" s="44">
        <v>41.06</v>
      </c>
      <c r="CR16" s="44">
        <v>115.78999999999999</v>
      </c>
      <c r="CS16" s="44">
        <v>437.07</v>
      </c>
      <c r="CT16" s="44">
        <v>2733.81</v>
      </c>
      <c r="CU16" s="44">
        <v>5323.77</v>
      </c>
      <c r="CV16" s="44">
        <v>6654.2800000000007</v>
      </c>
      <c r="CW16" s="44">
        <v>1502.6299999999999</v>
      </c>
      <c r="CX16" s="44">
        <v>390.37</v>
      </c>
      <c r="CY16" s="44">
        <v>714.74</v>
      </c>
      <c r="CZ16" s="44">
        <v>2481.04</v>
      </c>
      <c r="DA16" s="51">
        <v>20757.409999999996</v>
      </c>
      <c r="DB16" s="53">
        <f>+'EEFF historicoss'!AE19</f>
        <v>2766.49</v>
      </c>
      <c r="DC16" s="53">
        <f>+'EEFF historicoss'!AF19</f>
        <v>137.06</v>
      </c>
      <c r="DD16" s="53">
        <f>+'EEFF historicoss'!AG19</f>
        <v>94.89</v>
      </c>
      <c r="DE16" s="53">
        <f>+'EEFF historicoss'!AH19</f>
        <v>708.41</v>
      </c>
      <c r="DF16" s="53">
        <f>+'EEFF historicoss'!AI19</f>
        <v>2048.98</v>
      </c>
      <c r="DG16" s="53">
        <f>+'EEFF historicoss'!AJ19</f>
        <v>5131.42</v>
      </c>
      <c r="DH16" s="53">
        <f>+'EEFF historicoss'!AK19</f>
        <v>10725.22</v>
      </c>
      <c r="DI16" s="53">
        <f>+'EEFF historicoss'!AL19</f>
        <v>12255.14</v>
      </c>
      <c r="DJ16" s="53">
        <f>+'EEFF historicoss'!AM19</f>
        <v>6836.05</v>
      </c>
      <c r="DK16" s="53">
        <f>+'EEFF historicoss'!AN19</f>
        <v>1714.06</v>
      </c>
      <c r="DL16" s="53">
        <f>+'EEFF historicoss'!AO19</f>
        <v>1795.13</v>
      </c>
      <c r="DM16" s="53">
        <f>+'EEFF historicoss'!AP19</f>
        <v>5021.97</v>
      </c>
    </row>
    <row r="17" spans="1:117" x14ac:dyDescent="0.3">
      <c r="A17" s="50" t="s">
        <v>248</v>
      </c>
      <c r="B17" s="44"/>
      <c r="C17" s="44">
        <v>20512.980000000003</v>
      </c>
      <c r="D17" s="44">
        <v>114592.43</v>
      </c>
      <c r="E17" s="44">
        <v>-590255.34000000008</v>
      </c>
      <c r="F17" s="44">
        <v>6679.6400000000031</v>
      </c>
      <c r="G17" s="44">
        <v>15625</v>
      </c>
      <c r="H17" s="44">
        <v>24763.3</v>
      </c>
      <c r="I17" s="44">
        <v>337132.06</v>
      </c>
      <c r="J17" s="44">
        <v>2605033.73</v>
      </c>
      <c r="K17" s="44">
        <v>15625</v>
      </c>
      <c r="L17" s="44">
        <v>-18293.830000000002</v>
      </c>
      <c r="M17" s="44">
        <v>-1972592.2899999998</v>
      </c>
      <c r="N17" s="51">
        <v>558822.68000000075</v>
      </c>
      <c r="O17" s="44">
        <v>-502.08</v>
      </c>
      <c r="P17" s="44">
        <v>-681619.35</v>
      </c>
      <c r="Q17" s="44">
        <v>-4028.4</v>
      </c>
      <c r="R17" s="44">
        <v>-211742.65</v>
      </c>
      <c r="S17" s="44"/>
      <c r="T17" s="44">
        <v>2740793.51</v>
      </c>
      <c r="U17" s="44">
        <v>-27855.19</v>
      </c>
      <c r="V17" s="44">
        <v>-1223665.7699999998</v>
      </c>
      <c r="W17" s="44">
        <v>-326447.22000000003</v>
      </c>
      <c r="X17" s="44">
        <v>100151.29000000001</v>
      </c>
      <c r="Y17" s="44">
        <v>2904778.16</v>
      </c>
      <c r="Z17" s="44">
        <v>6342240.8200000003</v>
      </c>
      <c r="AA17" s="51">
        <v>9612103.1199999992</v>
      </c>
      <c r="AB17" s="44">
        <v>-124974.29000000001</v>
      </c>
      <c r="AC17" s="44">
        <v>48783.889999999985</v>
      </c>
      <c r="AD17" s="44">
        <v>-64362.82</v>
      </c>
      <c r="AE17" s="44">
        <v>-88070.16</v>
      </c>
      <c r="AF17" s="44">
        <v>-188439.83</v>
      </c>
      <c r="AG17" s="44">
        <v>-71470.529999999984</v>
      </c>
      <c r="AH17" s="44">
        <v>-82365.100000000064</v>
      </c>
      <c r="AI17" s="44">
        <v>-192138.41999999998</v>
      </c>
      <c r="AJ17" s="44">
        <v>707600.22</v>
      </c>
      <c r="AK17" s="44">
        <v>-67507.16</v>
      </c>
      <c r="AL17" s="44">
        <v>-146544.31</v>
      </c>
      <c r="AM17" s="44">
        <v>-206607.77</v>
      </c>
      <c r="AN17" s="51">
        <v>-476096.28000000038</v>
      </c>
      <c r="AO17" s="44">
        <v>-578700.99</v>
      </c>
      <c r="AP17" s="44">
        <v>-695325.02</v>
      </c>
      <c r="AQ17" s="44">
        <v>-424755.20000000001</v>
      </c>
      <c r="AR17" s="44">
        <v>-366485.48</v>
      </c>
      <c r="AS17" s="44">
        <v>-1061796.93</v>
      </c>
      <c r="AT17" s="44">
        <v>2117075.63</v>
      </c>
      <c r="AU17" s="44">
        <v>-526162.81000000006</v>
      </c>
      <c r="AV17" s="44">
        <v>-640966.03000000014</v>
      </c>
      <c r="AW17" s="44">
        <v>-894981.36000000022</v>
      </c>
      <c r="AX17" s="44">
        <v>-644352.21999999986</v>
      </c>
      <c r="AY17" s="44">
        <v>-1225528.0799999998</v>
      </c>
      <c r="AZ17" s="44">
        <v>-3555882.9699999993</v>
      </c>
      <c r="BA17" s="51">
        <v>-8497861.4599999879</v>
      </c>
      <c r="BB17" s="44">
        <v>-9088830.5399999991</v>
      </c>
      <c r="BC17" s="44">
        <v>1127735.95</v>
      </c>
      <c r="BD17" s="44">
        <v>60297.569999999978</v>
      </c>
      <c r="BE17" s="44">
        <v>-69887.709999999992</v>
      </c>
      <c r="BF17" s="44">
        <v>-250678.19</v>
      </c>
      <c r="BG17" s="44">
        <v>209836.79000000004</v>
      </c>
      <c r="BH17" s="44">
        <v>-58944.080000000016</v>
      </c>
      <c r="BI17" s="44">
        <v>-894627.81999999937</v>
      </c>
      <c r="BJ17" s="44">
        <v>-6802358.2100000009</v>
      </c>
      <c r="BK17" s="44">
        <v>-627725.59</v>
      </c>
      <c r="BL17" s="44">
        <v>-626621.28</v>
      </c>
      <c r="BM17" s="44">
        <v>-934301.53</v>
      </c>
      <c r="BN17" s="51">
        <v>-17956104.639999993</v>
      </c>
      <c r="BO17" s="44">
        <v>-2227390.3599999994</v>
      </c>
      <c r="BP17" s="44">
        <v>-1932706.84</v>
      </c>
      <c r="BQ17" s="44">
        <v>222748.34999999998</v>
      </c>
      <c r="BR17" s="44">
        <v>-820464.69000000006</v>
      </c>
      <c r="BS17" s="44">
        <v>-1685811.6400000004</v>
      </c>
      <c r="BT17" s="44">
        <v>-1281539.9600000002</v>
      </c>
      <c r="BU17" s="44">
        <v>-364514.18999999994</v>
      </c>
      <c r="BV17" s="44">
        <v>-1876745.9000000004</v>
      </c>
      <c r="BW17" s="44">
        <v>4406074.67</v>
      </c>
      <c r="BX17" s="44">
        <v>-307391.96000000008</v>
      </c>
      <c r="BY17" s="44">
        <v>-360064.49000000005</v>
      </c>
      <c r="BZ17" s="44">
        <v>204128.33999999997</v>
      </c>
      <c r="CA17" s="51">
        <v>-6023678.6700000037</v>
      </c>
      <c r="CB17" s="44">
        <v>-2405318.649999999</v>
      </c>
      <c r="CC17" s="44">
        <v>-2454876.2499999991</v>
      </c>
      <c r="CD17" s="44">
        <v>-203534.79000000004</v>
      </c>
      <c r="CE17" s="44">
        <v>-292838.07</v>
      </c>
      <c r="CF17" s="44">
        <v>-357508.74</v>
      </c>
      <c r="CG17" s="44">
        <v>-564420.19999999995</v>
      </c>
      <c r="CH17" s="44">
        <v>-1325856.1700000002</v>
      </c>
      <c r="CI17" s="44">
        <v>-1235619.02</v>
      </c>
      <c r="CJ17" s="44">
        <v>-11789437.569999997</v>
      </c>
      <c r="CK17" s="44">
        <v>-775393.8</v>
      </c>
      <c r="CL17" s="44">
        <v>-214753.69999999998</v>
      </c>
      <c r="CM17" s="44">
        <v>-409839.18999999994</v>
      </c>
      <c r="CN17" s="51">
        <v>-22029396.149999999</v>
      </c>
      <c r="CO17" s="44">
        <v>-2056034.7100000002</v>
      </c>
      <c r="CP17" s="44">
        <v>-1811217.7900000003</v>
      </c>
      <c r="CQ17" s="44">
        <v>-1941754.7000000002</v>
      </c>
      <c r="CR17" s="44">
        <v>-2471421.35</v>
      </c>
      <c r="CS17" s="44">
        <v>-603268.68999999994</v>
      </c>
      <c r="CT17" s="44">
        <v>1555939.72</v>
      </c>
      <c r="CU17" s="44">
        <v>-1411442.5200000003</v>
      </c>
      <c r="CV17" s="44">
        <v>-19282533.419999998</v>
      </c>
      <c r="CW17" s="44">
        <v>-506807.04000000004</v>
      </c>
      <c r="CX17" s="44">
        <v>-258658.26999999996</v>
      </c>
      <c r="CY17" s="44">
        <v>-218069.71999999997</v>
      </c>
      <c r="CZ17" s="44">
        <v>-279482.36999999994</v>
      </c>
      <c r="DA17" s="51">
        <v>-29284750.859999973</v>
      </c>
      <c r="DB17" s="53">
        <f>+'EEFF historicoss'!AE16</f>
        <v>-848920.56</v>
      </c>
      <c r="DC17" s="53">
        <f>+'EEFF historicoss'!AF16</f>
        <v>-138669.5</v>
      </c>
      <c r="DD17" s="53">
        <f>+'EEFF historicoss'!AG16</f>
        <v>546058.29</v>
      </c>
      <c r="DE17" s="53">
        <f>+'EEFF historicoss'!AH16</f>
        <v>-7342795.04</v>
      </c>
      <c r="DF17" s="53">
        <f>+'EEFF historicoss'!AI16</f>
        <v>-852429.9</v>
      </c>
      <c r="DG17" s="53">
        <f>+'EEFF historicoss'!AJ16</f>
        <v>-2532600.83</v>
      </c>
      <c r="DH17" s="53">
        <f>+'EEFF historicoss'!AK16</f>
        <v>1130959.99</v>
      </c>
      <c r="DI17" s="53">
        <f>+'EEFF historicoss'!AL16</f>
        <v>-362376.9</v>
      </c>
      <c r="DJ17" s="53">
        <f>+'EEFF historicoss'!AM16</f>
        <v>1264981.51</v>
      </c>
      <c r="DK17" s="53">
        <f>+'EEFF historicoss'!AN16</f>
        <v>-59208.52</v>
      </c>
      <c r="DL17" s="53">
        <f>+'EEFF historicoss'!AO16</f>
        <v>-187048.48</v>
      </c>
      <c r="DM17" s="53">
        <f>+'EEFF historicoss'!AP16</f>
        <v>1463755.44</v>
      </c>
    </row>
    <row r="18" spans="1:117" x14ac:dyDescent="0.3">
      <c r="A18" s="50" t="s">
        <v>249</v>
      </c>
      <c r="B18" s="44">
        <v>749181.75000000012</v>
      </c>
      <c r="C18" s="44">
        <v>899643.72</v>
      </c>
      <c r="D18" s="44">
        <v>1116398.0499999996</v>
      </c>
      <c r="E18" s="44">
        <v>983646.4600000002</v>
      </c>
      <c r="F18" s="44">
        <v>778000.97999999975</v>
      </c>
      <c r="G18" s="44">
        <v>687582.76000000013</v>
      </c>
      <c r="H18" s="44">
        <v>621446.51999999979</v>
      </c>
      <c r="I18" s="44">
        <v>555054.39999999991</v>
      </c>
      <c r="J18" s="44">
        <v>456444.42999999993</v>
      </c>
      <c r="K18" s="44">
        <v>1153789.7799999993</v>
      </c>
      <c r="L18" s="44">
        <v>164216.80000000005</v>
      </c>
      <c r="M18" s="44">
        <v>426859.90999999968</v>
      </c>
      <c r="N18" s="51">
        <v>8592265.5600000024</v>
      </c>
      <c r="O18" s="44">
        <v>663216.1100000001</v>
      </c>
      <c r="P18" s="44">
        <v>512837.95999999996</v>
      </c>
      <c r="Q18" s="44">
        <v>283166.69000000006</v>
      </c>
      <c r="R18" s="44">
        <v>258348.36</v>
      </c>
      <c r="S18" s="44">
        <v>365819.29000000015</v>
      </c>
      <c r="T18" s="44">
        <v>469449.70999999996</v>
      </c>
      <c r="U18" s="44">
        <v>497602.07000000007</v>
      </c>
      <c r="V18" s="44">
        <v>413030.31999999983</v>
      </c>
      <c r="W18" s="44">
        <v>1111879.78</v>
      </c>
      <c r="X18" s="44">
        <v>438626.97</v>
      </c>
      <c r="Y18" s="44">
        <v>452343.3600000001</v>
      </c>
      <c r="Z18" s="44">
        <v>443489.83000000019</v>
      </c>
      <c r="AA18" s="51">
        <v>5909810.450000002</v>
      </c>
      <c r="AB18" s="44">
        <v>510210.73</v>
      </c>
      <c r="AC18" s="44">
        <v>513132.64000000013</v>
      </c>
      <c r="AD18" s="44">
        <v>550515.80000000005</v>
      </c>
      <c r="AE18" s="44">
        <v>537573.54999999981</v>
      </c>
      <c r="AF18" s="44">
        <v>446501.52000000014</v>
      </c>
      <c r="AG18" s="44">
        <v>307726.89</v>
      </c>
      <c r="AH18" s="44">
        <v>179162.34999999998</v>
      </c>
      <c r="AI18" s="44">
        <v>158213.51999999996</v>
      </c>
      <c r="AJ18" s="44">
        <v>196835.06000000006</v>
      </c>
      <c r="AK18" s="44">
        <v>205427.9499999999</v>
      </c>
      <c r="AL18" s="44">
        <v>200873.97000000003</v>
      </c>
      <c r="AM18" s="44">
        <v>137000.27999999997</v>
      </c>
      <c r="AN18" s="51">
        <v>3943174.260000004</v>
      </c>
      <c r="AO18" s="44">
        <v>175218.78000000003</v>
      </c>
      <c r="AP18" s="44">
        <v>203630.06999999995</v>
      </c>
      <c r="AQ18" s="44">
        <v>258720.32999999996</v>
      </c>
      <c r="AR18" s="44">
        <v>269321.15000000002</v>
      </c>
      <c r="AS18" s="44">
        <v>287506.58000000019</v>
      </c>
      <c r="AT18" s="44">
        <v>310494.08000000007</v>
      </c>
      <c r="AU18" s="44">
        <v>328167.99999999988</v>
      </c>
      <c r="AV18" s="44">
        <v>361170.99000000011</v>
      </c>
      <c r="AW18" s="44">
        <v>469234.75999999978</v>
      </c>
      <c r="AX18" s="44">
        <v>295923.74</v>
      </c>
      <c r="AY18" s="44">
        <v>163846.31</v>
      </c>
      <c r="AZ18" s="44">
        <v>156475.60999999999</v>
      </c>
      <c r="BA18" s="51">
        <v>3279710.3999999976</v>
      </c>
      <c r="BB18" s="44">
        <v>238572.05</v>
      </c>
      <c r="BC18" s="44">
        <v>289257.2300000001</v>
      </c>
      <c r="BD18" s="44">
        <v>235497.11999999988</v>
      </c>
      <c r="BE18" s="44">
        <v>228822.00000000006</v>
      </c>
      <c r="BF18" s="44">
        <v>229992.16999999998</v>
      </c>
      <c r="BG18" s="44">
        <v>216672.75999999989</v>
      </c>
      <c r="BH18" s="44">
        <v>109156.65000000002</v>
      </c>
      <c r="BI18" s="44">
        <v>35772.849999999991</v>
      </c>
      <c r="BJ18" s="44">
        <v>-129883.23999999999</v>
      </c>
      <c r="BK18" s="44">
        <v>-10395.030000000004</v>
      </c>
      <c r="BL18" s="44">
        <v>141304.49</v>
      </c>
      <c r="BM18" s="44">
        <v>189758.70999999996</v>
      </c>
      <c r="BN18" s="51">
        <v>1774527.7600000012</v>
      </c>
      <c r="BO18" s="44">
        <v>218792.28999999998</v>
      </c>
      <c r="BP18" s="44">
        <v>139355.04000000004</v>
      </c>
      <c r="BQ18" s="44">
        <v>103670.28000000003</v>
      </c>
      <c r="BR18" s="44">
        <v>39036.35000000002</v>
      </c>
      <c r="BS18" s="44">
        <v>19725</v>
      </c>
      <c r="BT18" s="44">
        <v>18300.909999999989</v>
      </c>
      <c r="BU18" s="44">
        <v>109698.01000000001</v>
      </c>
      <c r="BV18" s="44">
        <v>100667.12</v>
      </c>
      <c r="BW18" s="44">
        <v>119183.70000000001</v>
      </c>
      <c r="BX18" s="44">
        <v>140110.67000000004</v>
      </c>
      <c r="BY18" s="44">
        <v>106130.44</v>
      </c>
      <c r="BZ18" s="44">
        <v>89826.98000000001</v>
      </c>
      <c r="CA18" s="51">
        <v>1204496.79</v>
      </c>
      <c r="CB18" s="44">
        <v>119331.56</v>
      </c>
      <c r="CC18" s="44">
        <v>135826.02000000002</v>
      </c>
      <c r="CD18" s="44">
        <v>180756.5</v>
      </c>
      <c r="CE18" s="44">
        <v>236406.81000000006</v>
      </c>
      <c r="CF18" s="44">
        <v>276212.31000000006</v>
      </c>
      <c r="CG18" s="44">
        <v>227231.71999999997</v>
      </c>
      <c r="CH18" s="44">
        <v>237294.4800000001</v>
      </c>
      <c r="CI18" s="44">
        <v>336087.13</v>
      </c>
      <c r="CJ18" s="44">
        <v>383458.92999999993</v>
      </c>
      <c r="CK18" s="44">
        <v>384079.33000000031</v>
      </c>
      <c r="CL18" s="44">
        <v>366849.57999999984</v>
      </c>
      <c r="CM18" s="44">
        <v>315279.18000000017</v>
      </c>
      <c r="CN18" s="51">
        <v>3198813.5500000082</v>
      </c>
      <c r="CO18" s="44">
        <v>337102.91000000003</v>
      </c>
      <c r="CP18" s="44">
        <v>331470.18000000005</v>
      </c>
      <c r="CQ18" s="44">
        <v>347064.6100000001</v>
      </c>
      <c r="CR18" s="44">
        <v>340553.79999999981</v>
      </c>
      <c r="CS18" s="44">
        <v>321288.20999999985</v>
      </c>
      <c r="CT18" s="44">
        <v>334602.18000000017</v>
      </c>
      <c r="CU18" s="44">
        <v>321610.06999999983</v>
      </c>
      <c r="CV18" s="44">
        <v>222919.14000000013</v>
      </c>
      <c r="CW18" s="44">
        <v>157694.56000000006</v>
      </c>
      <c r="CX18" s="44">
        <v>167150.03000000003</v>
      </c>
      <c r="CY18" s="44">
        <v>155699.34999999998</v>
      </c>
      <c r="CZ18" s="44">
        <v>190638.08999999997</v>
      </c>
      <c r="DA18" s="51">
        <v>3227793.1300000008</v>
      </c>
      <c r="DB18" s="53">
        <f>+'EEFF historicoss'!AE17</f>
        <v>289680.15999999997</v>
      </c>
      <c r="DC18" s="53">
        <f>+'EEFF historicoss'!AF17</f>
        <v>183952.1</v>
      </c>
      <c r="DD18" s="53">
        <f>+'EEFF historicoss'!AG17</f>
        <v>-12614.83</v>
      </c>
      <c r="DE18" s="53">
        <f>+'EEFF historicoss'!AH17</f>
        <v>-155955.42000000001</v>
      </c>
      <c r="DF18" s="53">
        <f>+'EEFF historicoss'!AI17</f>
        <v>302165.61</v>
      </c>
      <c r="DG18" s="53">
        <f>+'EEFF historicoss'!AJ17</f>
        <v>-1350640.1</v>
      </c>
      <c r="DH18" s="53">
        <f>+'EEFF historicoss'!AK17</f>
        <v>197778.98</v>
      </c>
      <c r="DI18" s="53">
        <f>+'EEFF historicoss'!AL17</f>
        <v>-771323.72</v>
      </c>
      <c r="DJ18" s="53">
        <f>+'EEFF historicoss'!AM17</f>
        <v>-415922.54</v>
      </c>
      <c r="DK18" s="53">
        <f>+'EEFF historicoss'!AN17</f>
        <v>951277.21</v>
      </c>
      <c r="DL18" s="53">
        <f>+'EEFF historicoss'!AO17</f>
        <v>-1002953.4</v>
      </c>
      <c r="DM18" s="53">
        <f>+'EEFF historicoss'!AP17</f>
        <v>129858.06</v>
      </c>
    </row>
    <row r="19" spans="1:117" ht="15" thickBot="1" x14ac:dyDescent="0.35">
      <c r="A19" s="50" t="s">
        <v>250</v>
      </c>
      <c r="B19" s="44">
        <v>-160.54999999999993</v>
      </c>
      <c r="C19" s="44">
        <v>-7581.14</v>
      </c>
      <c r="D19" s="44">
        <v>-9075.35</v>
      </c>
      <c r="E19" s="44">
        <v>-5763.79</v>
      </c>
      <c r="F19" s="44">
        <v>-91414.9</v>
      </c>
      <c r="G19" s="44">
        <v>-228525.31000000003</v>
      </c>
      <c r="H19" s="44">
        <v>-1743.4699999999998</v>
      </c>
      <c r="I19" s="44">
        <v>-10046.539999999999</v>
      </c>
      <c r="J19" s="44">
        <v>-3362.29</v>
      </c>
      <c r="K19" s="44">
        <v>-323935.14999999991</v>
      </c>
      <c r="L19" s="44">
        <v>31708.660000000003</v>
      </c>
      <c r="M19" s="44">
        <v>-58478.31</v>
      </c>
      <c r="N19" s="52">
        <v>-708378.13999999978</v>
      </c>
      <c r="O19" s="44">
        <v>-11032.91</v>
      </c>
      <c r="P19" s="44">
        <v>522.69999999999993</v>
      </c>
      <c r="Q19" s="44">
        <v>-15341.270000000004</v>
      </c>
      <c r="R19" s="44">
        <v>-13516.739999999998</v>
      </c>
      <c r="S19" s="44">
        <v>-270288.48000000004</v>
      </c>
      <c r="T19" s="44">
        <v>-77825.640000000014</v>
      </c>
      <c r="U19" s="44">
        <v>-14527.83</v>
      </c>
      <c r="V19" s="44">
        <v>204208.11000000002</v>
      </c>
      <c r="W19" s="44">
        <v>424.99</v>
      </c>
      <c r="X19" s="44">
        <v>-2353.9700000000007</v>
      </c>
      <c r="Y19" s="44">
        <v>-4801.2299999999996</v>
      </c>
      <c r="Z19" s="44">
        <v>-17662.89</v>
      </c>
      <c r="AA19" s="52">
        <v>-222195.16000000012</v>
      </c>
      <c r="AB19" s="44">
        <v>-19801.89</v>
      </c>
      <c r="AC19" s="44">
        <v>-21699.260000000002</v>
      </c>
      <c r="AD19" s="44">
        <v>-32256.850000000002</v>
      </c>
      <c r="AE19" s="44">
        <v>-20044.88</v>
      </c>
      <c r="AF19" s="44">
        <v>-11572.209999999997</v>
      </c>
      <c r="AG19" s="44">
        <v>-7466.9</v>
      </c>
      <c r="AH19" s="44">
        <v>-8228.11</v>
      </c>
      <c r="AI19" s="44">
        <v>-38021</v>
      </c>
      <c r="AJ19" s="44">
        <v>-935.97000000000014</v>
      </c>
      <c r="AK19" s="44">
        <v>-1920.9</v>
      </c>
      <c r="AL19" s="44">
        <v>-7524.7199999999993</v>
      </c>
      <c r="AM19" s="44">
        <v>27534.63</v>
      </c>
      <c r="AN19" s="52">
        <v>-141938.06000000006</v>
      </c>
      <c r="AO19" s="44">
        <v>-13962.490000000002</v>
      </c>
      <c r="AP19" s="44">
        <v>-47618.570000000007</v>
      </c>
      <c r="AQ19" s="44">
        <v>-6339.8899999999994</v>
      </c>
      <c r="AR19" s="44">
        <v>-21087.620000000006</v>
      </c>
      <c r="AS19" s="44">
        <v>-11564.540000000003</v>
      </c>
      <c r="AT19" s="44">
        <v>-132200.64999999997</v>
      </c>
      <c r="AU19" s="44">
        <v>-5122.99</v>
      </c>
      <c r="AV19" s="44">
        <v>-4081.2400000000007</v>
      </c>
      <c r="AW19" s="44">
        <v>-14390.900000000001</v>
      </c>
      <c r="AX19" s="44">
        <v>-16345.700000000003</v>
      </c>
      <c r="AY19" s="44">
        <v>-414.29</v>
      </c>
      <c r="AZ19" s="44">
        <v>23605.7</v>
      </c>
      <c r="BA19" s="52">
        <v>-249523.17999999988</v>
      </c>
      <c r="BB19" s="44">
        <v>-216.12</v>
      </c>
      <c r="BC19" s="44">
        <v>-1503.06</v>
      </c>
      <c r="BD19" s="44">
        <v>-5058.7300000000014</v>
      </c>
      <c r="BE19" s="44">
        <v>-21417.300000000003</v>
      </c>
      <c r="BF19" s="44">
        <v>-14118.410000000002</v>
      </c>
      <c r="BG19" s="44">
        <v>-20770.37000000001</v>
      </c>
      <c r="BH19" s="44">
        <v>-42529.9</v>
      </c>
      <c r="BI19" s="44">
        <v>-68027.239999999991</v>
      </c>
      <c r="BJ19" s="44">
        <v>-19999.71</v>
      </c>
      <c r="BK19" s="44">
        <v>29790.729999999996</v>
      </c>
      <c r="BL19" s="44">
        <v>-5486.7999999999993</v>
      </c>
      <c r="BM19" s="44">
        <v>-46417.7</v>
      </c>
      <c r="BN19" s="52">
        <v>-215754.60999999969</v>
      </c>
      <c r="BO19" s="44">
        <v>-12018.23</v>
      </c>
      <c r="BP19" s="44">
        <v>-2057.0199999999995</v>
      </c>
      <c r="BQ19" s="44">
        <v>-1342.47</v>
      </c>
      <c r="BR19" s="44">
        <v>-6362.52</v>
      </c>
      <c r="BS19" s="44">
        <v>-19083.410000000003</v>
      </c>
      <c r="BT19" s="44">
        <v>-4783.6900000000014</v>
      </c>
      <c r="BU19" s="44">
        <v>-33234.670000000006</v>
      </c>
      <c r="BV19" s="44">
        <v>-21991.099999999995</v>
      </c>
      <c r="BW19" s="44">
        <v>-38215.64</v>
      </c>
      <c r="BX19" s="44">
        <v>-3758.900000000001</v>
      </c>
      <c r="BY19" s="44">
        <v>-17946.699999999993</v>
      </c>
      <c r="BZ19" s="44">
        <v>21268.55</v>
      </c>
      <c r="CA19" s="52">
        <v>-139525.7999999999</v>
      </c>
      <c r="CB19" s="44">
        <v>-532.93000000000052</v>
      </c>
      <c r="CC19" s="44">
        <v>12188.02</v>
      </c>
      <c r="CD19" s="44">
        <v>14126.2</v>
      </c>
      <c r="CE19" s="44">
        <v>-8703.6599999999962</v>
      </c>
      <c r="CF19" s="44">
        <v>-2057.9700000000007</v>
      </c>
      <c r="CG19" s="44">
        <v>-4760.8800000000028</v>
      </c>
      <c r="CH19" s="44">
        <v>-81233.74000000002</v>
      </c>
      <c r="CI19" s="44">
        <v>-20124.699999999993</v>
      </c>
      <c r="CJ19" s="44">
        <v>87066.39</v>
      </c>
      <c r="CK19" s="44">
        <v>-19290.689999999999</v>
      </c>
      <c r="CL19" s="44">
        <v>-2939.47</v>
      </c>
      <c r="CM19" s="44">
        <v>21399.350000000002</v>
      </c>
      <c r="CN19" s="52">
        <v>-4864.0799999998972</v>
      </c>
      <c r="CO19" s="44">
        <v>-16224.510000000004</v>
      </c>
      <c r="CP19" s="44">
        <v>-8578.2599999999966</v>
      </c>
      <c r="CQ19" s="44">
        <v>-5381.81</v>
      </c>
      <c r="CR19" s="44">
        <v>69.539999999999964</v>
      </c>
      <c r="CS19" s="44">
        <v>-6743.1600000000008</v>
      </c>
      <c r="CT19" s="44">
        <v>-2962.0699999999997</v>
      </c>
      <c r="CU19" s="44">
        <v>-8514.5700000000015</v>
      </c>
      <c r="CV19" s="44">
        <v>-11181.949999999999</v>
      </c>
      <c r="CW19" s="44">
        <v>-17866.219999999998</v>
      </c>
      <c r="CX19" s="44">
        <v>-2005.8999999999996</v>
      </c>
      <c r="CY19" s="44">
        <v>-13786.35</v>
      </c>
      <c r="CZ19" s="44">
        <v>-11274.51</v>
      </c>
      <c r="DA19" s="52">
        <v>-104449.76999999996</v>
      </c>
    </row>
    <row r="20" spans="1:117" x14ac:dyDescent="0.3">
      <c r="CO20" s="44"/>
    </row>
    <row r="23" spans="1:117" x14ac:dyDescent="0.3">
      <c r="A23" s="56" t="s">
        <v>253</v>
      </c>
      <c r="B23" s="56" t="s">
        <v>146</v>
      </c>
      <c r="C23" s="56" t="s">
        <v>147</v>
      </c>
      <c r="D23" s="56" t="s">
        <v>148</v>
      </c>
      <c r="E23" s="56" t="s">
        <v>149</v>
      </c>
      <c r="F23" s="56" t="s">
        <v>150</v>
      </c>
      <c r="G23" s="56" t="s">
        <v>151</v>
      </c>
      <c r="H23" s="56" t="s">
        <v>152</v>
      </c>
      <c r="I23" s="56" t="s">
        <v>153</v>
      </c>
      <c r="J23" s="56" t="s">
        <v>154</v>
      </c>
      <c r="K23" s="56" t="s">
        <v>155</v>
      </c>
      <c r="L23" s="56" t="s">
        <v>156</v>
      </c>
      <c r="M23" s="56" t="s">
        <v>157</v>
      </c>
      <c r="N23" s="57"/>
      <c r="O23" s="56" t="s">
        <v>158</v>
      </c>
      <c r="P23" s="56" t="s">
        <v>159</v>
      </c>
      <c r="Q23" s="56" t="s">
        <v>160</v>
      </c>
      <c r="R23" s="56" t="s">
        <v>161</v>
      </c>
      <c r="S23" s="56" t="s">
        <v>162</v>
      </c>
      <c r="T23" s="56" t="s">
        <v>163</v>
      </c>
      <c r="U23" s="56" t="s">
        <v>164</v>
      </c>
      <c r="V23" s="56" t="s">
        <v>165</v>
      </c>
      <c r="W23" s="56" t="s">
        <v>166</v>
      </c>
      <c r="X23" s="56" t="s">
        <v>167</v>
      </c>
      <c r="Y23" s="56" t="s">
        <v>168</v>
      </c>
      <c r="Z23" s="56" t="s">
        <v>169</v>
      </c>
      <c r="AA23" s="57"/>
      <c r="AB23" s="56" t="s">
        <v>170</v>
      </c>
      <c r="AC23" s="56" t="s">
        <v>171</v>
      </c>
      <c r="AD23" s="56" t="s">
        <v>172</v>
      </c>
      <c r="AE23" s="56" t="s">
        <v>173</v>
      </c>
      <c r="AF23" s="56" t="s">
        <v>174</v>
      </c>
      <c r="AG23" s="56" t="s">
        <v>175</v>
      </c>
      <c r="AH23" s="56" t="s">
        <v>176</v>
      </c>
      <c r="AI23" s="56" t="s">
        <v>177</v>
      </c>
      <c r="AJ23" s="56" t="s">
        <v>178</v>
      </c>
      <c r="AK23" s="56" t="s">
        <v>179</v>
      </c>
      <c r="AL23" s="56" t="s">
        <v>180</v>
      </c>
      <c r="AM23" s="56" t="s">
        <v>181</v>
      </c>
      <c r="AN23" s="57"/>
      <c r="AO23" s="56" t="s">
        <v>182</v>
      </c>
      <c r="AP23" s="56" t="s">
        <v>183</v>
      </c>
      <c r="AQ23" s="56" t="s">
        <v>184</v>
      </c>
      <c r="AR23" s="56" t="s">
        <v>185</v>
      </c>
      <c r="AS23" s="56" t="s">
        <v>186</v>
      </c>
      <c r="AT23" s="56" t="s">
        <v>187</v>
      </c>
      <c r="AU23" s="56" t="s">
        <v>188</v>
      </c>
      <c r="AV23" s="56" t="s">
        <v>189</v>
      </c>
      <c r="AW23" s="56" t="s">
        <v>190</v>
      </c>
      <c r="AX23" s="56" t="s">
        <v>191</v>
      </c>
      <c r="AY23" s="56" t="s">
        <v>192</v>
      </c>
      <c r="AZ23" s="56" t="s">
        <v>193</v>
      </c>
      <c r="BA23" s="57"/>
      <c r="BB23" s="56" t="s">
        <v>194</v>
      </c>
      <c r="BC23" s="56" t="s">
        <v>195</v>
      </c>
      <c r="BD23" s="56" t="s">
        <v>196</v>
      </c>
      <c r="BE23" s="56" t="s">
        <v>197</v>
      </c>
      <c r="BF23" s="56" t="s">
        <v>198</v>
      </c>
      <c r="BG23" s="56" t="s">
        <v>199</v>
      </c>
      <c r="BH23" s="56" t="s">
        <v>200</v>
      </c>
      <c r="BI23" s="56" t="s">
        <v>201</v>
      </c>
      <c r="BJ23" s="56" t="s">
        <v>202</v>
      </c>
      <c r="BK23" s="56" t="s">
        <v>203</v>
      </c>
      <c r="BL23" s="56" t="s">
        <v>204</v>
      </c>
      <c r="BM23" s="56" t="s">
        <v>205</v>
      </c>
      <c r="BN23" s="57"/>
      <c r="BO23" s="56" t="s">
        <v>206</v>
      </c>
      <c r="BP23" s="56" t="s">
        <v>207</v>
      </c>
      <c r="BQ23" s="56" t="s">
        <v>208</v>
      </c>
      <c r="BR23" s="56" t="s">
        <v>209</v>
      </c>
      <c r="BS23" s="56" t="s">
        <v>210</v>
      </c>
      <c r="BT23" s="56" t="s">
        <v>211</v>
      </c>
      <c r="BU23" s="56" t="s">
        <v>212</v>
      </c>
      <c r="BV23" s="56" t="s">
        <v>213</v>
      </c>
      <c r="BW23" s="56" t="s">
        <v>214</v>
      </c>
      <c r="BX23" s="56" t="s">
        <v>215</v>
      </c>
      <c r="BY23" s="56" t="s">
        <v>216</v>
      </c>
      <c r="BZ23" s="56" t="s">
        <v>217</v>
      </c>
      <c r="CA23" s="57"/>
      <c r="CB23" s="56" t="s">
        <v>218</v>
      </c>
      <c r="CC23" s="56" t="s">
        <v>219</v>
      </c>
      <c r="CD23" s="56" t="s">
        <v>220</v>
      </c>
      <c r="CE23" s="56" t="s">
        <v>221</v>
      </c>
      <c r="CF23" s="56" t="s">
        <v>222</v>
      </c>
      <c r="CG23" s="56" t="s">
        <v>223</v>
      </c>
      <c r="CH23" s="56" t="s">
        <v>224</v>
      </c>
      <c r="CI23" s="56" t="s">
        <v>225</v>
      </c>
      <c r="CJ23" s="56" t="s">
        <v>226</v>
      </c>
      <c r="CK23" s="56" t="s">
        <v>227</v>
      </c>
      <c r="CL23" s="56" t="s">
        <v>228</v>
      </c>
      <c r="CM23" s="56" t="s">
        <v>229</v>
      </c>
      <c r="CN23" s="57"/>
      <c r="CO23" s="56" t="s">
        <v>230</v>
      </c>
      <c r="CP23" s="56" t="s">
        <v>231</v>
      </c>
      <c r="CQ23" s="56" t="s">
        <v>232</v>
      </c>
      <c r="CR23" s="56" t="s">
        <v>233</v>
      </c>
      <c r="CS23" s="56" t="s">
        <v>234</v>
      </c>
      <c r="CT23" s="56" t="s">
        <v>235</v>
      </c>
      <c r="CU23" s="56" t="s">
        <v>236</v>
      </c>
      <c r="CV23" s="56" t="s">
        <v>237</v>
      </c>
      <c r="CW23" s="56" t="s">
        <v>238</v>
      </c>
      <c r="CX23" s="56" t="s">
        <v>239</v>
      </c>
      <c r="CY23" s="56" t="s">
        <v>240</v>
      </c>
      <c r="CZ23" s="56" t="s">
        <v>241</v>
      </c>
      <c r="DA23" s="57"/>
    </row>
    <row r="24" spans="1:117" x14ac:dyDescent="0.3">
      <c r="A24" s="58" t="s">
        <v>37</v>
      </c>
      <c r="B24" s="59">
        <v>1005506533.0999985</v>
      </c>
      <c r="C24" s="59">
        <v>2061103.2900036285</v>
      </c>
      <c r="D24" s="59">
        <v>19549672.880004495</v>
      </c>
      <c r="E24" s="59">
        <v>-16309002.5799974</v>
      </c>
      <c r="F24" s="59">
        <v>4269173.9599974602</v>
      </c>
      <c r="G24" s="59">
        <v>1433199.7400004575</v>
      </c>
      <c r="H24" s="59">
        <v>13107885.370001961</v>
      </c>
      <c r="I24" s="59">
        <v>701184.38000223506</v>
      </c>
      <c r="J24" s="59">
        <v>-8589067.5599981137</v>
      </c>
      <c r="K24" s="59">
        <v>-1107851.7599970573</v>
      </c>
      <c r="L24" s="59">
        <v>-8624555.8699991219</v>
      </c>
      <c r="M24" s="59">
        <v>-9314147.5699984469</v>
      </c>
      <c r="N24" s="60">
        <v>1002684127.3799309</v>
      </c>
      <c r="O24" s="59">
        <v>1002665805.1299895</v>
      </c>
      <c r="P24" s="59">
        <v>-20131524.77999942</v>
      </c>
      <c r="Q24" s="59">
        <v>-499137.24999883125</v>
      </c>
      <c r="R24" s="59">
        <v>-14352837.719997143</v>
      </c>
      <c r="S24" s="59">
        <v>26103471.210001484</v>
      </c>
      <c r="T24" s="59">
        <v>11954891.640002534</v>
      </c>
      <c r="U24" s="59">
        <v>33498759.780002773</v>
      </c>
      <c r="V24" s="59">
        <v>3014662.9900006498</v>
      </c>
      <c r="W24" s="59">
        <v>-5137221.8199993512</v>
      </c>
      <c r="X24" s="59">
        <v>-3593833.6399984621</v>
      </c>
      <c r="Y24" s="59">
        <v>-12079462.679997813</v>
      </c>
      <c r="Z24" s="59">
        <v>23843678.889997669</v>
      </c>
      <c r="AA24" s="60">
        <v>1045287251.7500194</v>
      </c>
      <c r="AB24" s="59">
        <v>1015197507.699991</v>
      </c>
      <c r="AC24" s="59">
        <v>-68874.990004521096</v>
      </c>
      <c r="AD24" s="59">
        <v>3431362.6999981939</v>
      </c>
      <c r="AE24" s="59">
        <v>-757768.6000003519</v>
      </c>
      <c r="AF24" s="59">
        <v>8158583.5099996841</v>
      </c>
      <c r="AG24" s="59">
        <v>750637.64999784098</v>
      </c>
      <c r="AH24" s="59">
        <v>17548628.529994141</v>
      </c>
      <c r="AI24" s="59">
        <v>6147992.7700003078</v>
      </c>
      <c r="AJ24" s="59">
        <v>997060.78999727778</v>
      </c>
      <c r="AK24" s="59">
        <v>-4751675.2700047689</v>
      </c>
      <c r="AL24" s="59">
        <v>-3129582.2800036226</v>
      </c>
      <c r="AM24" s="59">
        <v>-7651024.4100008206</v>
      </c>
      <c r="AN24" s="60">
        <v>1035872848.0998799</v>
      </c>
      <c r="AO24" s="59">
        <v>1027240404.2399913</v>
      </c>
      <c r="AP24" s="59">
        <v>3287905.9699995681</v>
      </c>
      <c r="AQ24" s="59">
        <v>22453194.119997978</v>
      </c>
      <c r="AR24" s="59">
        <v>-14016243.690002566</v>
      </c>
      <c r="AS24" s="59">
        <v>5563023.9400004232</v>
      </c>
      <c r="AT24" s="59">
        <v>4367920.0399976037</v>
      </c>
      <c r="AU24" s="59">
        <v>68803045.199996606</v>
      </c>
      <c r="AV24" s="59">
        <v>-12968816.799998226</v>
      </c>
      <c r="AW24" s="59">
        <v>22096157.049998652</v>
      </c>
      <c r="AX24" s="59">
        <v>-11896988.710000988</v>
      </c>
      <c r="AY24" s="59">
        <v>5359369.9299989194</v>
      </c>
      <c r="AZ24" s="59">
        <v>-23108461.800000131</v>
      </c>
      <c r="BA24" s="60">
        <v>1097180509.4899671</v>
      </c>
      <c r="BB24" s="59">
        <v>1084558793.1299977</v>
      </c>
      <c r="BC24" s="59">
        <v>-17378400.379999053</v>
      </c>
      <c r="BD24" s="59">
        <v>-3283868.3299993319</v>
      </c>
      <c r="BE24" s="59">
        <v>-13441748.140000129</v>
      </c>
      <c r="BF24" s="59">
        <v>-1346854.9599994635</v>
      </c>
      <c r="BG24" s="59">
        <v>-25801795.929997779</v>
      </c>
      <c r="BH24" s="59">
        <v>11839378.560001837</v>
      </c>
      <c r="BI24" s="59">
        <v>12064093.890000958</v>
      </c>
      <c r="BJ24" s="59">
        <v>-1852779.4999990249</v>
      </c>
      <c r="BK24" s="59">
        <v>-8440413.0199996307</v>
      </c>
      <c r="BL24" s="59">
        <v>119301.47000086364</v>
      </c>
      <c r="BM24" s="59">
        <v>-865605.96000028099</v>
      </c>
      <c r="BN24" s="60">
        <v>1036170100.8300229</v>
      </c>
      <c r="BO24" s="59">
        <v>1049547384.7500002</v>
      </c>
      <c r="BP24" s="59">
        <v>-11713508.060000265</v>
      </c>
      <c r="BQ24" s="59">
        <v>414294.08000013023</v>
      </c>
      <c r="BR24" s="59">
        <v>19033049.020001642</v>
      </c>
      <c r="BS24" s="59">
        <v>-6733594.4499994069</v>
      </c>
      <c r="BT24" s="59">
        <v>3456889.7400007178</v>
      </c>
      <c r="BU24" s="59">
        <v>-2098700.7499992643</v>
      </c>
      <c r="BV24" s="59">
        <v>10481745.43000089</v>
      </c>
      <c r="BW24" s="59">
        <v>-156531.79999925679</v>
      </c>
      <c r="BX24" s="59">
        <v>-9131964.8699999284</v>
      </c>
      <c r="BY24" s="59">
        <v>1426303.090000246</v>
      </c>
      <c r="BZ24" s="59">
        <v>1485469.4299998316</v>
      </c>
      <c r="CA24" s="60">
        <v>1056010835.6099859</v>
      </c>
      <c r="CB24" s="59">
        <v>1044044377.6199956</v>
      </c>
      <c r="CC24" s="59">
        <v>787233.18999983161</v>
      </c>
      <c r="CD24" s="59">
        <v>-19265353.510000858</v>
      </c>
      <c r="CE24" s="59">
        <v>8243766.9599997979</v>
      </c>
      <c r="CF24" s="59">
        <v>8267211.9199994216</v>
      </c>
      <c r="CG24" s="59">
        <v>4872796.8399999645</v>
      </c>
      <c r="CH24" s="59">
        <v>14515256.159999317</v>
      </c>
      <c r="CI24" s="59">
        <v>7012436.8400000809</v>
      </c>
      <c r="CJ24" s="59">
        <v>1274743.7299999539</v>
      </c>
      <c r="CK24" s="59">
        <v>-20393485.729999386</v>
      </c>
      <c r="CL24" s="59">
        <v>-14812924.079999404</v>
      </c>
      <c r="CM24" s="59">
        <v>1139082.7000000901</v>
      </c>
      <c r="CN24" s="60">
        <v>1035685142.6400059</v>
      </c>
      <c r="CO24" s="59">
        <v>1034645761.6000061</v>
      </c>
      <c r="CP24" s="59">
        <v>-6507114.4099990185</v>
      </c>
      <c r="CQ24" s="59">
        <v>-6881458.3699991629</v>
      </c>
      <c r="CR24" s="59">
        <v>6169622.6100005042</v>
      </c>
      <c r="CS24" s="59">
        <v>7349158.4100000244</v>
      </c>
      <c r="CT24" s="59">
        <v>10458067.829999171</v>
      </c>
      <c r="CU24" s="59">
        <v>6776209.7500003912</v>
      </c>
      <c r="CV24" s="59">
        <v>-1266869.8900006085</v>
      </c>
      <c r="CW24" s="59">
        <v>5261919.0599992266</v>
      </c>
      <c r="CX24" s="59">
        <v>13737822.109999616</v>
      </c>
      <c r="CY24" s="59">
        <v>-3336396.4000002397</v>
      </c>
      <c r="CZ24" s="59">
        <v>3387551.4900000505</v>
      </c>
      <c r="DA24" s="60">
        <v>1069794273.7900118</v>
      </c>
    </row>
    <row r="25" spans="1:117" x14ac:dyDescent="0.3">
      <c r="A25" s="61" t="s">
        <v>254</v>
      </c>
      <c r="B25" s="62">
        <v>231738406.97000036</v>
      </c>
      <c r="C25" s="62">
        <v>3031494.680003644</v>
      </c>
      <c r="D25" s="62">
        <v>22824060.840004485</v>
      </c>
      <c r="E25" s="62">
        <v>-12258275.289997289</v>
      </c>
      <c r="F25" s="62">
        <v>4908191.9199975878</v>
      </c>
      <c r="G25" s="62">
        <v>2584661.1899992833</v>
      </c>
      <c r="H25" s="62">
        <v>19451206.510001902</v>
      </c>
      <c r="I25" s="62">
        <v>7134948.9600021634</v>
      </c>
      <c r="J25" s="62">
        <v>-1275632.249998085</v>
      </c>
      <c r="K25" s="62">
        <v>3554951.1500029732</v>
      </c>
      <c r="L25" s="62">
        <v>-2363897.8199989768</v>
      </c>
      <c r="M25" s="62">
        <v>4429668.910001264</v>
      </c>
      <c r="N25" s="63">
        <v>283759785.76998818</v>
      </c>
      <c r="O25" s="62">
        <v>289106209.74000144</v>
      </c>
      <c r="P25" s="62">
        <v>-18413541.379999168</v>
      </c>
      <c r="Q25" s="62">
        <v>2432061.0200007474</v>
      </c>
      <c r="R25" s="62">
        <v>-12861703.119997215</v>
      </c>
      <c r="S25" s="62">
        <v>30972272.540001474</v>
      </c>
      <c r="T25" s="62">
        <v>-13856438.019998239</v>
      </c>
      <c r="U25" s="62">
        <v>43798475.190003</v>
      </c>
      <c r="V25" s="62">
        <v>4404232.5900003063</v>
      </c>
      <c r="W25" s="62">
        <v>-1609400.1499992849</v>
      </c>
      <c r="X25" s="62">
        <v>-1143836.4599994882</v>
      </c>
      <c r="Y25" s="62">
        <v>-10631714.649997868</v>
      </c>
      <c r="Z25" s="62">
        <v>32959863.469997231</v>
      </c>
      <c r="AA25" s="63">
        <v>345156480.76995867</v>
      </c>
      <c r="AB25" s="62">
        <v>316606305.72000128</v>
      </c>
      <c r="AC25" s="62">
        <v>-2253202.4900013763</v>
      </c>
      <c r="AD25" s="62">
        <v>-4811162.8100022674</v>
      </c>
      <c r="AE25" s="62">
        <v>-9585301.6899987757</v>
      </c>
      <c r="AF25" s="62">
        <v>11817446.309999444</v>
      </c>
      <c r="AG25" s="62">
        <v>1097829.2399978593</v>
      </c>
      <c r="AH25" s="62">
        <v>21868229.069994073</v>
      </c>
      <c r="AI25" s="62">
        <v>10429082.690000469</v>
      </c>
      <c r="AJ25" s="62">
        <v>-108485.65000310214</v>
      </c>
      <c r="AK25" s="62">
        <v>-3257204.8500048839</v>
      </c>
      <c r="AL25" s="62">
        <v>-1210008.3800034546</v>
      </c>
      <c r="AM25" s="62">
        <v>-1443145.9600008291</v>
      </c>
      <c r="AN25" s="63">
        <v>339150381.20002592</v>
      </c>
      <c r="AO25" s="62">
        <v>332938189.34000003</v>
      </c>
      <c r="AP25" s="62">
        <v>5727970.2099995548</v>
      </c>
      <c r="AQ25" s="62">
        <v>16037700.119998252</v>
      </c>
      <c r="AR25" s="62">
        <v>-14761551.740002044</v>
      </c>
      <c r="AS25" s="62">
        <v>4369561.0100006377</v>
      </c>
      <c r="AT25" s="62">
        <v>8318212.5299987802</v>
      </c>
      <c r="AU25" s="62">
        <v>3007830.6599963703</v>
      </c>
      <c r="AV25" s="62">
        <v>-4334074.9199982155</v>
      </c>
      <c r="AW25" s="62">
        <v>15671516.339999288</v>
      </c>
      <c r="AX25" s="62">
        <v>-8274078.8500010157</v>
      </c>
      <c r="AY25" s="62">
        <v>9807078.0899988972</v>
      </c>
      <c r="AZ25" s="62">
        <v>-18725425.620000273</v>
      </c>
      <c r="BA25" s="63">
        <v>349782927.16996193</v>
      </c>
      <c r="BB25" s="62">
        <v>347043603.84999985</v>
      </c>
      <c r="BC25" s="62">
        <v>-16993838.159999136</v>
      </c>
      <c r="BD25" s="62">
        <v>-4078624.9799992763</v>
      </c>
      <c r="BE25" s="62">
        <v>-11321277.749999985</v>
      </c>
      <c r="BF25" s="62">
        <v>304285.28000062029</v>
      </c>
      <c r="BG25" s="62">
        <v>-23974295.80999773</v>
      </c>
      <c r="BH25" s="62">
        <v>13828847.490001911</v>
      </c>
      <c r="BI25" s="62">
        <v>12884270.730001044</v>
      </c>
      <c r="BJ25" s="62">
        <v>-6926846.4399990076</v>
      </c>
      <c r="BK25" s="62">
        <v>-5877570.9199997811</v>
      </c>
      <c r="BL25" s="62">
        <v>2689655.890000863</v>
      </c>
      <c r="BM25" s="62">
        <v>1176782.609999852</v>
      </c>
      <c r="BN25" s="63">
        <v>308754991.79000705</v>
      </c>
      <c r="BO25" s="62">
        <v>306533768.01000029</v>
      </c>
      <c r="BP25" s="62">
        <v>-8625039.6300002076</v>
      </c>
      <c r="BQ25" s="62">
        <v>-1622058.4399999459</v>
      </c>
      <c r="BR25" s="62">
        <v>22779753.650001634</v>
      </c>
      <c r="BS25" s="62">
        <v>-2864506.3699997058</v>
      </c>
      <c r="BT25" s="62">
        <v>7784367.9400005518</v>
      </c>
      <c r="BU25" s="62">
        <v>681639.34000083373</v>
      </c>
      <c r="BV25" s="62">
        <v>13255959.35000073</v>
      </c>
      <c r="BW25" s="62">
        <v>-2565397.1699994272</v>
      </c>
      <c r="BX25" s="62">
        <v>-6762188.7499998994</v>
      </c>
      <c r="BY25" s="62">
        <v>4329602.8100001607</v>
      </c>
      <c r="BZ25" s="62">
        <v>2179226.79999999</v>
      </c>
      <c r="CA25" s="63">
        <v>335105127.53997701</v>
      </c>
      <c r="CB25" s="62">
        <v>332111560.97999942</v>
      </c>
      <c r="CC25" s="62">
        <v>522148.33999961778</v>
      </c>
      <c r="CD25" s="62">
        <v>-22802778.470000733</v>
      </c>
      <c r="CE25" s="62">
        <v>11663856.879999796</v>
      </c>
      <c r="CF25" s="62">
        <v>11460930.479999505</v>
      </c>
      <c r="CG25" s="62">
        <v>7864488.059999913</v>
      </c>
      <c r="CH25" s="62">
        <v>16820816.939999387</v>
      </c>
      <c r="CI25" s="62">
        <v>4174278.1100002122</v>
      </c>
      <c r="CJ25" s="62">
        <v>9393668.9499999098</v>
      </c>
      <c r="CK25" s="62">
        <v>-18556092.769999318</v>
      </c>
      <c r="CL25" s="62">
        <v>-12935904.119999273</v>
      </c>
      <c r="CM25" s="62">
        <v>1440459.6699998972</v>
      </c>
      <c r="CN25" s="63">
        <v>341157433.04994446</v>
      </c>
      <c r="CO25" s="62">
        <v>342450652.5400002</v>
      </c>
      <c r="CP25" s="62">
        <v>-5116815.3099989928</v>
      </c>
      <c r="CQ25" s="62">
        <v>-5246488.2699992303</v>
      </c>
      <c r="CR25" s="62">
        <v>9875197.3800004255</v>
      </c>
      <c r="CS25" s="62">
        <v>11841038.280000109</v>
      </c>
      <c r="CT25" s="62">
        <v>9912633.0699994564</v>
      </c>
      <c r="CU25" s="62">
        <v>9555919.1100004036</v>
      </c>
      <c r="CV25" s="62">
        <v>-2664089.5700004818</v>
      </c>
      <c r="CW25" s="62">
        <v>7197098.5799992802</v>
      </c>
      <c r="CX25" s="62">
        <v>16572079.659999957</v>
      </c>
      <c r="CY25" s="62">
        <v>-1902058.4300001729</v>
      </c>
      <c r="CZ25" s="62">
        <v>2415918.1000000159</v>
      </c>
      <c r="DA25" s="63">
        <v>394891085.14003813</v>
      </c>
    </row>
    <row r="26" spans="1:117" x14ac:dyDescent="0.3">
      <c r="A26" s="43" t="s">
        <v>255</v>
      </c>
      <c r="B26" s="44">
        <v>27184941.890000626</v>
      </c>
      <c r="C26" s="44">
        <v>3845497.1600003028</v>
      </c>
      <c r="D26" s="44">
        <v>20319239.68000105</v>
      </c>
      <c r="E26" s="44">
        <v>-16020608.37999923</v>
      </c>
      <c r="F26" s="44">
        <v>-891171.24999895971</v>
      </c>
      <c r="G26" s="44">
        <v>-7673463.9099993855</v>
      </c>
      <c r="H26" s="44">
        <v>3327845.0299997409</v>
      </c>
      <c r="I26" s="44">
        <v>-4519081.6800000686</v>
      </c>
      <c r="J26" s="44">
        <v>1188720.4000001631</v>
      </c>
      <c r="K26" s="44">
        <v>4119726.8500001002</v>
      </c>
      <c r="L26" s="44">
        <v>-3487568.3500005277</v>
      </c>
      <c r="M26" s="44">
        <v>5481800.5399997691</v>
      </c>
      <c r="N26" s="63">
        <v>32875877.97999819</v>
      </c>
      <c r="O26" s="44">
        <v>37318544.459999889</v>
      </c>
      <c r="P26" s="44">
        <v>-15829816.820000155</v>
      </c>
      <c r="Q26" s="44">
        <v>3443827.6699997187</v>
      </c>
      <c r="R26" s="44">
        <v>-7936058.0600000564</v>
      </c>
      <c r="S26" s="44">
        <v>18281778.459999874</v>
      </c>
      <c r="T26" s="44">
        <v>-6712208.9100004528</v>
      </c>
      <c r="U26" s="44">
        <v>23591999.209999472</v>
      </c>
      <c r="V26" s="44">
        <v>-25125452.210000258</v>
      </c>
      <c r="W26" s="44">
        <v>-3101690.7299982854</v>
      </c>
      <c r="X26" s="44">
        <v>-168087.33000028558</v>
      </c>
      <c r="Y26" s="44">
        <v>-7698316.8500001403</v>
      </c>
      <c r="Z26" s="44">
        <v>28808075.25000032</v>
      </c>
      <c r="AA26" s="63">
        <v>44872594.140012667</v>
      </c>
      <c r="AB26" s="44">
        <v>13463981.139999768</v>
      </c>
      <c r="AC26" s="44">
        <v>4380822.519999939</v>
      </c>
      <c r="AD26" s="44">
        <v>1053346.6600004281</v>
      </c>
      <c r="AE26" s="44">
        <v>2394984.1299998201</v>
      </c>
      <c r="AF26" s="44">
        <v>6337198.4999995483</v>
      </c>
      <c r="AG26" s="44">
        <v>-14086592.780000145</v>
      </c>
      <c r="AH26" s="44">
        <v>3544402.0000002561</v>
      </c>
      <c r="AI26" s="44">
        <v>-6472565.9200000996</v>
      </c>
      <c r="AJ26" s="44">
        <v>-522318.87999954441</v>
      </c>
      <c r="AK26" s="44">
        <v>1820912.3999998365</v>
      </c>
      <c r="AL26" s="44">
        <v>-2619866.360000046</v>
      </c>
      <c r="AM26" s="44">
        <v>7555982.8299999945</v>
      </c>
      <c r="AN26" s="63">
        <v>16850286.240007203</v>
      </c>
      <c r="AO26" s="44">
        <v>8853588.5300004818</v>
      </c>
      <c r="AP26" s="44">
        <v>2029922.8799999764</v>
      </c>
      <c r="AQ26" s="44">
        <v>6843076.54999978</v>
      </c>
      <c r="AR26" s="44">
        <v>-10354717.940000119</v>
      </c>
      <c r="AS26" s="44">
        <v>2653246.4099998884</v>
      </c>
      <c r="AT26" s="44">
        <v>9485706.8299996927</v>
      </c>
      <c r="AU26" s="44">
        <v>-2789960.8699992448</v>
      </c>
      <c r="AV26" s="44">
        <v>11445332.069999373</v>
      </c>
      <c r="AW26" s="44">
        <v>7733804.6600004211</v>
      </c>
      <c r="AX26" s="44">
        <v>-24941840.630000174</v>
      </c>
      <c r="AY26" s="44">
        <v>5835061.3899998292</v>
      </c>
      <c r="AZ26" s="44">
        <v>-3356147.640000104</v>
      </c>
      <c r="BA26" s="63">
        <v>13437072.239989096</v>
      </c>
      <c r="BB26" s="44">
        <v>12363364.309999982</v>
      </c>
      <c r="BC26" s="44">
        <v>2566060.5999999344</v>
      </c>
      <c r="BD26" s="44">
        <v>12895115.340000093</v>
      </c>
      <c r="BE26" s="44">
        <v>-5813367.0300000897</v>
      </c>
      <c r="BF26" s="44">
        <v>4477808.4699998815</v>
      </c>
      <c r="BG26" s="44">
        <v>-9851142.4700002726</v>
      </c>
      <c r="BH26" s="44">
        <v>12765963.149999825</v>
      </c>
      <c r="BI26" s="44">
        <v>-2389520.9300000472</v>
      </c>
      <c r="BJ26" s="44">
        <v>-12783508.55999992</v>
      </c>
      <c r="BK26" s="44">
        <v>-1176589.8400001484</v>
      </c>
      <c r="BL26" s="44">
        <v>-1768347.4600000817</v>
      </c>
      <c r="BM26" s="44">
        <v>6358453.9599999925</v>
      </c>
      <c r="BN26" s="63">
        <v>17644289.539995633</v>
      </c>
      <c r="BO26" s="44">
        <v>11137434.499999868</v>
      </c>
      <c r="BP26" s="44">
        <v>-2330941.2100000586</v>
      </c>
      <c r="BQ26" s="44">
        <v>3883098.8499999745</v>
      </c>
      <c r="BR26" s="44">
        <v>441612.6299999227</v>
      </c>
      <c r="BS26" s="44">
        <v>-5058849.7799999677</v>
      </c>
      <c r="BT26" s="44">
        <v>2315089.5100000552</v>
      </c>
      <c r="BU26" s="44">
        <v>-2635811.4099999964</v>
      </c>
      <c r="BV26" s="44">
        <v>4104067.4799999706</v>
      </c>
      <c r="BW26" s="44">
        <v>3765952.6799999317</v>
      </c>
      <c r="BX26" s="44">
        <v>-2173773.3299999703</v>
      </c>
      <c r="BY26" s="44">
        <v>-1340710.7500000168</v>
      </c>
      <c r="BZ26" s="44">
        <v>320690.88000004971</v>
      </c>
      <c r="CA26" s="63">
        <v>12427860.050000105</v>
      </c>
      <c r="CB26" s="44">
        <v>5174107.6499999538</v>
      </c>
      <c r="CC26" s="44">
        <v>14855779.170000104</v>
      </c>
      <c r="CD26" s="44">
        <v>-12692267.630000057</v>
      </c>
      <c r="CE26" s="44">
        <v>616417.1700000139</v>
      </c>
      <c r="CF26" s="44">
        <v>-2230800.4400001159</v>
      </c>
      <c r="CG26" s="44">
        <v>1594013.2699999867</v>
      </c>
      <c r="CH26" s="44">
        <v>-993542.28000002936</v>
      </c>
      <c r="CI26" s="44">
        <v>5620698.649999951</v>
      </c>
      <c r="CJ26" s="44">
        <v>1219038.8099998478</v>
      </c>
      <c r="CK26" s="44">
        <v>-4360355.9900001101</v>
      </c>
      <c r="CL26" s="44">
        <v>-2207230.1899999781</v>
      </c>
      <c r="CM26" s="44">
        <v>5570518.6799998684</v>
      </c>
      <c r="CN26" s="63">
        <v>12166376.870000821</v>
      </c>
      <c r="CO26" s="44">
        <v>10399824.860000012</v>
      </c>
      <c r="CP26" s="44">
        <v>-2078473.1299999766</v>
      </c>
      <c r="CQ26" s="44">
        <v>-2296378.8000000003</v>
      </c>
      <c r="CR26" s="44">
        <v>1489449.9199999454</v>
      </c>
      <c r="CS26" s="44">
        <v>1535980.5799999482</v>
      </c>
      <c r="CT26" s="44">
        <v>-40570.729999986157</v>
      </c>
      <c r="CU26" s="44">
        <v>9041898.0400000419</v>
      </c>
      <c r="CV26" s="44">
        <v>-4622009.359999964</v>
      </c>
      <c r="CW26" s="44">
        <v>-3001183.3099999852</v>
      </c>
      <c r="CX26" s="44">
        <v>3660172.8600000194</v>
      </c>
      <c r="CY26" s="44">
        <v>-1356328.7099999981</v>
      </c>
      <c r="CZ26" s="44">
        <v>-7100139.9900000375</v>
      </c>
      <c r="DA26" s="63">
        <v>5632242.2299979525</v>
      </c>
      <c r="DB26" s="44">
        <f>+'EEFF historicoss'!AE33</f>
        <v>8274482.5</v>
      </c>
      <c r="DC26" s="44">
        <f>+'EEFF historicoss'!AF33</f>
        <v>10847381.98</v>
      </c>
      <c r="DD26" s="44">
        <f>+'EEFF historicoss'!AG33</f>
        <v>6469042.5499999998</v>
      </c>
      <c r="DE26" s="44">
        <f>+'EEFF historicoss'!AH33</f>
        <v>5096890.55</v>
      </c>
      <c r="DF26" s="44">
        <f>+'EEFF historicoss'!AI33</f>
        <v>9562091.4900000002</v>
      </c>
      <c r="DG26" s="44">
        <f>+'EEFF historicoss'!AJ33</f>
        <v>10439955.130000001</v>
      </c>
      <c r="DH26" s="44">
        <f>+'EEFF historicoss'!AK33</f>
        <v>8680537.5399999991</v>
      </c>
      <c r="DI26" s="44">
        <f>+'EEFF historicoss'!AL33</f>
        <v>12962870.710000001</v>
      </c>
      <c r="DJ26" s="44">
        <f>+'EEFF historicoss'!AM33</f>
        <v>7911061.54</v>
      </c>
      <c r="DK26" s="44">
        <f>+'EEFF historicoss'!AN33</f>
        <v>10209517.119999999</v>
      </c>
      <c r="DL26" s="44">
        <f>+'EEFF historicoss'!AO33</f>
        <v>4369183.42</v>
      </c>
      <c r="DM26" s="44">
        <f>+'EEFF historicoss'!AP33</f>
        <v>11931058.91</v>
      </c>
    </row>
    <row r="27" spans="1:117" x14ac:dyDescent="0.3">
      <c r="A27" s="43" t="s">
        <v>256</v>
      </c>
      <c r="B27" s="44">
        <v>11525440.959999992</v>
      </c>
      <c r="C27" s="44">
        <v>1098480.5200000014</v>
      </c>
      <c r="D27" s="44">
        <v>-889195.74000000139</v>
      </c>
      <c r="E27" s="44">
        <v>-330232.61000000359</v>
      </c>
      <c r="F27" s="44">
        <v>-2118200.3100000024</v>
      </c>
      <c r="G27" s="44">
        <v>2208895.5500000087</v>
      </c>
      <c r="H27" s="44">
        <v>-81692.130000006713</v>
      </c>
      <c r="I27" s="44">
        <v>1590509.0299999935</v>
      </c>
      <c r="J27" s="44">
        <v>-3012036.650000012</v>
      </c>
      <c r="K27" s="44">
        <v>-498461.80999999639</v>
      </c>
      <c r="L27" s="44">
        <v>1483504.4000000078</v>
      </c>
      <c r="M27" s="44">
        <v>-526160.08999999892</v>
      </c>
      <c r="N27" s="63">
        <v>10450851.120000917</v>
      </c>
      <c r="O27" s="44">
        <v>9362054.2700000051</v>
      </c>
      <c r="P27" s="44">
        <v>824744.91000000422</v>
      </c>
      <c r="Q27" s="44">
        <v>1038123.109999998</v>
      </c>
      <c r="R27" s="44">
        <v>267203.73999999452</v>
      </c>
      <c r="S27" s="44">
        <v>1172415.4500000055</v>
      </c>
      <c r="T27" s="44">
        <v>505524.12999998953</v>
      </c>
      <c r="U27" s="44">
        <v>1667921.5400000103</v>
      </c>
      <c r="V27" s="44">
        <v>591460.63000000478</v>
      </c>
      <c r="W27" s="44">
        <v>-5668605.4899999909</v>
      </c>
      <c r="X27" s="44">
        <v>-2203490.6900000167</v>
      </c>
      <c r="Y27" s="44">
        <v>501092.68000000878</v>
      </c>
      <c r="Z27" s="44">
        <v>1431967.3799999768</v>
      </c>
      <c r="AA27" s="63">
        <v>9490411.6600002106</v>
      </c>
      <c r="AB27" s="44">
        <v>10418562.990000136</v>
      </c>
      <c r="AC27" s="44">
        <v>79664.519999987038</v>
      </c>
      <c r="AD27" s="44">
        <v>2017404.3100000084</v>
      </c>
      <c r="AE27" s="44">
        <v>4665116.6299999775</v>
      </c>
      <c r="AF27" s="44">
        <v>21991.619999993418</v>
      </c>
      <c r="AG27" s="44">
        <v>2969840.3099999991</v>
      </c>
      <c r="AH27" s="44">
        <v>-2254151.8200000045</v>
      </c>
      <c r="AI27" s="44">
        <v>-2111643.6899999962</v>
      </c>
      <c r="AJ27" s="44">
        <v>-2776681.5800000005</v>
      </c>
      <c r="AK27" s="44">
        <v>527439.66000000213</v>
      </c>
      <c r="AL27" s="44">
        <v>549798.9299999983</v>
      </c>
      <c r="AM27" s="44">
        <v>-2001485.6300000069</v>
      </c>
      <c r="AN27" s="63">
        <v>12105856.249998568</v>
      </c>
      <c r="AO27" s="44">
        <v>16264846.069999985</v>
      </c>
      <c r="AP27" s="44">
        <v>224818.88000000236</v>
      </c>
      <c r="AQ27" s="44">
        <v>5290327.0199999912</v>
      </c>
      <c r="AR27" s="44">
        <v>6093572.1000000089</v>
      </c>
      <c r="AS27" s="44">
        <v>10422894.760000004</v>
      </c>
      <c r="AT27" s="44">
        <v>973055.78000002587</v>
      </c>
      <c r="AU27" s="44">
        <v>7796678.5900000297</v>
      </c>
      <c r="AV27" s="44">
        <v>-9302676.9000000153</v>
      </c>
      <c r="AW27" s="44">
        <v>3218441.2099999995</v>
      </c>
      <c r="AX27" s="44">
        <v>3171864.0300000114</v>
      </c>
      <c r="AY27" s="44">
        <v>3050414.9300000127</v>
      </c>
      <c r="AZ27" s="44">
        <v>-2630651.1400000397</v>
      </c>
      <c r="BA27" s="63">
        <v>44573585.330000654</v>
      </c>
      <c r="BB27" s="44">
        <v>43885040.790000021</v>
      </c>
      <c r="BC27" s="44">
        <v>-1086804.4300000009</v>
      </c>
      <c r="BD27" s="44">
        <v>841076.78000001237</v>
      </c>
      <c r="BE27" s="44">
        <v>2349627.8899999829</v>
      </c>
      <c r="BF27" s="44">
        <v>-1978889.9000000036</v>
      </c>
      <c r="BG27" s="44">
        <v>-2422656.1499999841</v>
      </c>
      <c r="BH27" s="44">
        <v>-21696.110000025794</v>
      </c>
      <c r="BI27" s="44">
        <v>6028704.1799999867</v>
      </c>
      <c r="BJ27" s="44">
        <v>269256.0500000171</v>
      </c>
      <c r="BK27" s="44">
        <v>-1149460.5700000101</v>
      </c>
      <c r="BL27" s="44">
        <v>2458272.120000015</v>
      </c>
      <c r="BM27" s="44">
        <v>-1209984.4000000209</v>
      </c>
      <c r="BN27" s="63">
        <v>47962486.249999553</v>
      </c>
      <c r="BO27" s="44">
        <v>50527352.649999999</v>
      </c>
      <c r="BP27" s="44">
        <v>2016119.7000000076</v>
      </c>
      <c r="BQ27" s="44">
        <v>-2208795.3300000057</v>
      </c>
      <c r="BR27" s="44">
        <v>14783607.729999926</v>
      </c>
      <c r="BS27" s="44">
        <v>-1837283.1000000008</v>
      </c>
      <c r="BT27" s="44">
        <v>-872342.7299999973</v>
      </c>
      <c r="BU27" s="44">
        <v>-11609719.43</v>
      </c>
      <c r="BV27" s="44">
        <v>-3704324.4299999932</v>
      </c>
      <c r="BW27" s="44">
        <v>-10387170.530000001</v>
      </c>
      <c r="BX27" s="44">
        <v>-5387862.879999999</v>
      </c>
      <c r="BY27" s="44">
        <v>6901980.330000015</v>
      </c>
      <c r="BZ27" s="44">
        <v>-1836851.8499999994</v>
      </c>
      <c r="CA27" s="63">
        <v>36384710.130000181</v>
      </c>
      <c r="CB27" s="44">
        <v>44172532.630000055</v>
      </c>
      <c r="CC27" s="44">
        <v>-2656182.5500000091</v>
      </c>
      <c r="CD27" s="44">
        <v>1285575.1600000088</v>
      </c>
      <c r="CE27" s="44">
        <v>5175719.189999993</v>
      </c>
      <c r="CF27" s="44">
        <v>5889525.2000000263</v>
      </c>
      <c r="CG27" s="44">
        <v>143356.70000001887</v>
      </c>
      <c r="CH27" s="44">
        <v>7283610.3400000473</v>
      </c>
      <c r="CI27" s="44">
        <v>2027096.0199999912</v>
      </c>
      <c r="CJ27" s="44">
        <v>15641861.279999986</v>
      </c>
      <c r="CK27" s="44">
        <v>-8492924.9599999972</v>
      </c>
      <c r="CL27" s="44">
        <v>2901724.1699999962</v>
      </c>
      <c r="CM27" s="44">
        <v>7058584.4700000025</v>
      </c>
      <c r="CN27" s="63">
        <v>80430477.650000304</v>
      </c>
      <c r="CO27" s="44">
        <v>84341776.670000032</v>
      </c>
      <c r="CP27" s="44">
        <v>-255873.87000001289</v>
      </c>
      <c r="CQ27" s="44">
        <v>-142892.80000000246</v>
      </c>
      <c r="CR27" s="44">
        <v>437840.8200000049</v>
      </c>
      <c r="CS27" s="44">
        <v>4504657.8399999812</v>
      </c>
      <c r="CT27" s="44">
        <v>6462195.2899999972</v>
      </c>
      <c r="CU27" s="44">
        <v>-6161886.4500000067</v>
      </c>
      <c r="CV27" s="44">
        <v>-10529666.410000024</v>
      </c>
      <c r="CW27" s="44">
        <v>-2253974.5199999958</v>
      </c>
      <c r="CX27" s="44">
        <v>19627445.729999982</v>
      </c>
      <c r="CY27" s="44">
        <v>4245963.5800000066</v>
      </c>
      <c r="CZ27" s="44">
        <v>22264259.580000002</v>
      </c>
      <c r="DA27" s="63">
        <v>122539845.46000032</v>
      </c>
      <c r="DB27" s="44">
        <f>+'EEFF historicoss'!AE34</f>
        <v>216486403.37</v>
      </c>
      <c r="DC27" s="44">
        <f>+'EEFF historicoss'!AF34</f>
        <v>201446278.08000001</v>
      </c>
      <c r="DD27" s="44">
        <f>+'EEFF historicoss'!AG34</f>
        <v>203437186.94999999</v>
      </c>
      <c r="DE27" s="44">
        <f>+'EEFF historicoss'!AH34</f>
        <v>211365020.41999999</v>
      </c>
      <c r="DF27" s="44">
        <f>+'EEFF historicoss'!AI34</f>
        <v>209873215.41999999</v>
      </c>
      <c r="DG27" s="44">
        <f>+'EEFF historicoss'!AJ34</f>
        <v>207112289.69</v>
      </c>
      <c r="DH27" s="44">
        <f>+'EEFF historicoss'!AK34</f>
        <v>154382124.25999999</v>
      </c>
      <c r="DI27" s="44">
        <f>+'EEFF historicoss'!AL34</f>
        <v>148933035.16999999</v>
      </c>
      <c r="DJ27" s="44">
        <f>+'EEFF historicoss'!AM34</f>
        <v>148242277.19999999</v>
      </c>
      <c r="DK27" s="44">
        <f>+'EEFF historicoss'!AN34</f>
        <v>163576910.56</v>
      </c>
      <c r="DL27" s="44">
        <f>+'EEFF historicoss'!AO34</f>
        <v>158302317.44999999</v>
      </c>
      <c r="DM27" s="44">
        <f>+'EEFF historicoss'!AP34</f>
        <v>151740053.16999999</v>
      </c>
    </row>
    <row r="28" spans="1:117" x14ac:dyDescent="0.3">
      <c r="A28" s="43" t="s">
        <v>257</v>
      </c>
      <c r="B28" s="44">
        <v>7030944.1800000137</v>
      </c>
      <c r="C28" s="44">
        <v>503506.2599999982</v>
      </c>
      <c r="D28" s="44">
        <v>576026.99000000395</v>
      </c>
      <c r="E28" s="44">
        <v>4337532.909999975</v>
      </c>
      <c r="F28" s="44">
        <v>1326919.5500000033</v>
      </c>
      <c r="G28" s="44">
        <v>-20284.049999960698</v>
      </c>
      <c r="H28" s="44">
        <v>-984337.89000000898</v>
      </c>
      <c r="I28" s="44">
        <v>-1127761.6799999985</v>
      </c>
      <c r="J28" s="44">
        <v>-4017784.6000000183</v>
      </c>
      <c r="K28" s="44">
        <v>-666155.22999997833</v>
      </c>
      <c r="L28" s="44">
        <v>97450.46999998494</v>
      </c>
      <c r="M28" s="44">
        <v>4263432.6299999859</v>
      </c>
      <c r="N28" s="63">
        <v>11319489.539998844</v>
      </c>
      <c r="O28" s="44">
        <v>11406198.459999975</v>
      </c>
      <c r="P28" s="44">
        <v>-1867929.4500000034</v>
      </c>
      <c r="Q28" s="44">
        <v>2778868.4900000044</v>
      </c>
      <c r="R28" s="44">
        <v>-117232.27000001067</v>
      </c>
      <c r="S28" s="44">
        <v>339708.64999997744</v>
      </c>
      <c r="T28" s="44">
        <v>-540511.64999999548</v>
      </c>
      <c r="U28" s="44">
        <v>-1000985.2200000007</v>
      </c>
      <c r="V28" s="44">
        <v>13894223.679999996</v>
      </c>
      <c r="W28" s="44">
        <v>2946971.4599999613</v>
      </c>
      <c r="X28" s="44">
        <v>-280454.29999998864</v>
      </c>
      <c r="Y28" s="44">
        <v>785616.04999999027</v>
      </c>
      <c r="Z28" s="44">
        <v>8596069.4099999703</v>
      </c>
      <c r="AA28" s="63">
        <v>36940543.310001411</v>
      </c>
      <c r="AB28" s="44">
        <v>39050353.500000037</v>
      </c>
      <c r="AC28" s="44">
        <v>-1652791.5099999961</v>
      </c>
      <c r="AD28" s="44">
        <v>507506.07999999856</v>
      </c>
      <c r="AE28" s="44">
        <v>28617.910000002186</v>
      </c>
      <c r="AF28" s="44">
        <v>-2439290.8700000108</v>
      </c>
      <c r="AG28" s="44">
        <v>6529909.8899999838</v>
      </c>
      <c r="AH28" s="44">
        <v>13245213.50000008</v>
      </c>
      <c r="AI28" s="44">
        <v>6431307.9500000039</v>
      </c>
      <c r="AJ28" s="44">
        <v>-643769.52000000351</v>
      </c>
      <c r="AK28" s="44">
        <v>-749453.72000000207</v>
      </c>
      <c r="AL28" s="44">
        <v>-189943.62999999311</v>
      </c>
      <c r="AM28" s="44">
        <v>-4174386.1699999929</v>
      </c>
      <c r="AN28" s="63">
        <v>55943273.410001673</v>
      </c>
      <c r="AO28" s="44">
        <v>51404596.659999833</v>
      </c>
      <c r="AP28" s="44">
        <v>5847292.0600000098</v>
      </c>
      <c r="AQ28" s="44">
        <v>7446501.7200000072</v>
      </c>
      <c r="AR28" s="44">
        <v>2546424.7400000086</v>
      </c>
      <c r="AS28" s="44">
        <v>2616.2799999937415</v>
      </c>
      <c r="AT28" s="44">
        <v>-2090116.4500000272</v>
      </c>
      <c r="AU28" s="44">
        <v>861542.17999999598</v>
      </c>
      <c r="AV28" s="44">
        <v>-636126.38000001991</v>
      </c>
      <c r="AW28" s="44">
        <v>9094095.3300000038</v>
      </c>
      <c r="AX28" s="44">
        <v>-7989663.7699999912</v>
      </c>
      <c r="AY28" s="44">
        <v>-2812807.2700000191</v>
      </c>
      <c r="AZ28" s="44">
        <v>3599227.4499999881</v>
      </c>
      <c r="BA28" s="63">
        <v>67273582.550001547</v>
      </c>
      <c r="BB28" s="44">
        <v>65455532.039999984</v>
      </c>
      <c r="BC28" s="44">
        <v>774119.03000000038</v>
      </c>
      <c r="BD28" s="44">
        <v>1222532.3100000019</v>
      </c>
      <c r="BE28" s="44">
        <v>1935557.660000005</v>
      </c>
      <c r="BF28" s="44">
        <v>1729446.6900000025</v>
      </c>
      <c r="BG28" s="44">
        <v>924428.22999999567</v>
      </c>
      <c r="BH28" s="44">
        <v>-1773834.1200000115</v>
      </c>
      <c r="BI28" s="44">
        <v>419684.62999999919</v>
      </c>
      <c r="BJ28" s="44">
        <v>4253080.4800000088</v>
      </c>
      <c r="BK28" s="44">
        <v>-262816.73000000016</v>
      </c>
      <c r="BL28" s="44">
        <v>-1497875.5600000017</v>
      </c>
      <c r="BM28" s="44">
        <v>-692278.96000000427</v>
      </c>
      <c r="BN28" s="63">
        <v>72487575.699999914</v>
      </c>
      <c r="BO28" s="44">
        <v>73184186.759999961</v>
      </c>
      <c r="BP28" s="44">
        <v>-1809407.4800000042</v>
      </c>
      <c r="BQ28" s="44">
        <v>-201974.94999999893</v>
      </c>
      <c r="BR28" s="44">
        <v>-186818.65999999896</v>
      </c>
      <c r="BS28" s="44">
        <v>-76965.130000007048</v>
      </c>
      <c r="BT28" s="44">
        <v>-432739.59000000422</v>
      </c>
      <c r="BU28" s="44">
        <v>2095359.1899999978</v>
      </c>
      <c r="BV28" s="44">
        <v>3118266.7299999893</v>
      </c>
      <c r="BW28" s="44">
        <v>2082486.5700000091</v>
      </c>
      <c r="BX28" s="44">
        <v>2210050.7100000009</v>
      </c>
      <c r="BY28" s="44">
        <v>972173.78999999946</v>
      </c>
      <c r="BZ28" s="44">
        <v>3713774.5900000101</v>
      </c>
      <c r="CA28" s="63">
        <v>84668392.529999644</v>
      </c>
      <c r="CB28" s="44">
        <v>83006712.550000072</v>
      </c>
      <c r="CC28" s="44">
        <v>164592.71000001032</v>
      </c>
      <c r="CD28" s="44">
        <v>-5120099.620000002</v>
      </c>
      <c r="CE28" s="44">
        <v>-1242026.6300000024</v>
      </c>
      <c r="CF28" s="44">
        <v>3419693.2500000075</v>
      </c>
      <c r="CG28" s="44">
        <v>668763.24999999406</v>
      </c>
      <c r="CH28" s="44">
        <v>-3155606.5499999952</v>
      </c>
      <c r="CI28" s="44">
        <v>-579902.85999999952</v>
      </c>
      <c r="CJ28" s="44">
        <v>849075.4199999955</v>
      </c>
      <c r="CK28" s="44">
        <v>956380.70000000205</v>
      </c>
      <c r="CL28" s="44">
        <v>653290.30000000098</v>
      </c>
      <c r="CM28" s="44">
        <v>-346772.95999999653</v>
      </c>
      <c r="CN28" s="63">
        <v>79274099.559999496</v>
      </c>
      <c r="CO28" s="44">
        <v>78817685.560000047</v>
      </c>
      <c r="CP28" s="44">
        <v>-3290889.2400000105</v>
      </c>
      <c r="CQ28" s="44">
        <v>-2435630.960000006</v>
      </c>
      <c r="CR28" s="44">
        <v>-171643.33000000493</v>
      </c>
      <c r="CS28" s="44">
        <v>73118.660000003292</v>
      </c>
      <c r="CT28" s="44">
        <v>-1555542.1000000061</v>
      </c>
      <c r="CU28" s="44">
        <v>-862692.31999999541</v>
      </c>
      <c r="CV28" s="44">
        <v>6199471.4199999943</v>
      </c>
      <c r="CW28" s="44">
        <v>9103388.6900000125</v>
      </c>
      <c r="CX28" s="44">
        <v>1771966.8400000092</v>
      </c>
      <c r="CY28" s="44">
        <v>200906.27999999706</v>
      </c>
      <c r="CZ28" s="44">
        <v>-1074198.4499999974</v>
      </c>
      <c r="DA28" s="63">
        <v>86775941.049999297</v>
      </c>
    </row>
    <row r="29" spans="1:117" x14ac:dyDescent="0.3">
      <c r="A29" s="43" t="s">
        <v>258</v>
      </c>
      <c r="B29" s="44">
        <v>185997079.93999958</v>
      </c>
      <c r="C29" s="44">
        <v>-2415989.2599998936</v>
      </c>
      <c r="D29" s="44">
        <v>2817989.910000009</v>
      </c>
      <c r="E29" s="44">
        <v>-244967.21000002528</v>
      </c>
      <c r="F29" s="44">
        <v>6590643.9299998591</v>
      </c>
      <c r="G29" s="44">
        <v>8069513.600000415</v>
      </c>
      <c r="H29" s="44">
        <v>17189391.499999728</v>
      </c>
      <c r="I29" s="44">
        <v>11191283.28999972</v>
      </c>
      <c r="J29" s="44">
        <v>4565468.599999791</v>
      </c>
      <c r="K29" s="44">
        <v>599841.34000043536</v>
      </c>
      <c r="L29" s="44">
        <v>-457284.33999961941</v>
      </c>
      <c r="M29" s="44">
        <v>-4789404.1700000819</v>
      </c>
      <c r="N29" s="63">
        <v>229113567.13000107</v>
      </c>
      <c r="O29" s="44">
        <v>231019412.55000001</v>
      </c>
      <c r="P29" s="44">
        <v>-1540540.0199998512</v>
      </c>
      <c r="Q29" s="44">
        <v>-4828758.2500002449</v>
      </c>
      <c r="R29" s="44">
        <v>-5075616.5299998838</v>
      </c>
      <c r="S29" s="44">
        <v>11178369.980000021</v>
      </c>
      <c r="T29" s="44">
        <v>-7109241.5900000865</v>
      </c>
      <c r="U29" s="44">
        <v>19539539.659999318</v>
      </c>
      <c r="V29" s="44">
        <v>15044000.489999374</v>
      </c>
      <c r="W29" s="44">
        <v>4213924.6099997917</v>
      </c>
      <c r="X29" s="44">
        <v>1508195.8600001959</v>
      </c>
      <c r="Y29" s="44">
        <v>-4220106.5299997861</v>
      </c>
      <c r="Z29" s="44">
        <v>-5876248.5700005069</v>
      </c>
      <c r="AA29" s="63">
        <v>253852931.66002339</v>
      </c>
      <c r="AB29" s="44">
        <v>253673408.08999974</v>
      </c>
      <c r="AC29" s="44">
        <v>-5060898.0200000452</v>
      </c>
      <c r="AD29" s="44">
        <v>-8389419.8600002695</v>
      </c>
      <c r="AE29" s="44">
        <v>-16674020.360000284</v>
      </c>
      <c r="AF29" s="44">
        <v>7897547.0599990459</v>
      </c>
      <c r="AG29" s="44">
        <v>5684671.8199998625</v>
      </c>
      <c r="AH29" s="44">
        <v>7332765.3899998097</v>
      </c>
      <c r="AI29" s="44">
        <v>12581984.349999903</v>
      </c>
      <c r="AJ29" s="44">
        <v>3834284.330000421</v>
      </c>
      <c r="AK29" s="44">
        <v>-4856103.1900000991</v>
      </c>
      <c r="AL29" s="44">
        <v>1050002.6800001627</v>
      </c>
      <c r="AM29" s="44">
        <v>-2823256.9899999038</v>
      </c>
      <c r="AN29" s="63">
        <v>254250965.29999638</v>
      </c>
      <c r="AO29" s="44">
        <v>256415158.07999957</v>
      </c>
      <c r="AP29" s="44">
        <v>-2374063.6100002755</v>
      </c>
      <c r="AQ29" s="44">
        <v>-3542205.170000155</v>
      </c>
      <c r="AR29" s="44">
        <v>-13046830.640000384</v>
      </c>
      <c r="AS29" s="44">
        <v>-8709196.4399999809</v>
      </c>
      <c r="AT29" s="44">
        <v>-50433.630000520825</v>
      </c>
      <c r="AU29" s="44">
        <v>-2860429.2400004491</v>
      </c>
      <c r="AV29" s="44">
        <v>-5840603.7100002244</v>
      </c>
      <c r="AW29" s="44">
        <v>-4374824.8599999314</v>
      </c>
      <c r="AX29" s="44">
        <v>21485561.519999973</v>
      </c>
      <c r="AY29" s="44">
        <v>3734409.0400000704</v>
      </c>
      <c r="AZ29" s="44">
        <v>-16337854.290000075</v>
      </c>
      <c r="BA29" s="63">
        <v>224498687.05000958</v>
      </c>
      <c r="BB29" s="44">
        <v>225339666.71000004</v>
      </c>
      <c r="BC29" s="44">
        <v>-19247213.359999921</v>
      </c>
      <c r="BD29" s="44">
        <v>-19037349.409999982</v>
      </c>
      <c r="BE29" s="44">
        <v>-9793096.27000021</v>
      </c>
      <c r="BF29" s="44">
        <v>-3924079.9800000559</v>
      </c>
      <c r="BG29" s="44">
        <v>-12624925.419999732</v>
      </c>
      <c r="BH29" s="44">
        <v>2858414.5700001209</v>
      </c>
      <c r="BI29" s="44">
        <v>8825402.850000225</v>
      </c>
      <c r="BJ29" s="44">
        <v>1334325.5899998471</v>
      </c>
      <c r="BK29" s="44">
        <v>-3288703.7800001386</v>
      </c>
      <c r="BL29" s="44">
        <v>3497606.7899997309</v>
      </c>
      <c r="BM29" s="44">
        <v>-3279407.9900000459</v>
      </c>
      <c r="BN29" s="63">
        <v>170660640.30000186</v>
      </c>
      <c r="BO29" s="44">
        <v>171684794.09999993</v>
      </c>
      <c r="BP29" s="44">
        <v>-6500810.640000009</v>
      </c>
      <c r="BQ29" s="44">
        <v>-3094387.0100000682</v>
      </c>
      <c r="BR29" s="44">
        <v>7741351.949999718</v>
      </c>
      <c r="BS29" s="44">
        <v>4108591.6400001105</v>
      </c>
      <c r="BT29" s="44">
        <v>6774360.7500001062</v>
      </c>
      <c r="BU29" s="44">
        <v>12831810.98999981</v>
      </c>
      <c r="BV29" s="44">
        <v>9737949.5699998792</v>
      </c>
      <c r="BW29" s="44">
        <v>1973334.1100000171</v>
      </c>
      <c r="BX29" s="44">
        <v>-1410603.2500001586</v>
      </c>
      <c r="BY29" s="44">
        <v>-2203840.5599998045</v>
      </c>
      <c r="BZ29" s="44">
        <v>-18386.81999993627</v>
      </c>
      <c r="CA29" s="63">
        <v>201624164.83000413</v>
      </c>
      <c r="CB29" s="44">
        <v>199758208.15000013</v>
      </c>
      <c r="CC29" s="44">
        <v>-11842040.989999782</v>
      </c>
      <c r="CD29" s="44">
        <v>-6275986.3800000725</v>
      </c>
      <c r="CE29" s="44">
        <v>7113747.1499999911</v>
      </c>
      <c r="CF29" s="44">
        <v>4382512.4699998628</v>
      </c>
      <c r="CG29" s="44">
        <v>5458354.8399999365</v>
      </c>
      <c r="CH29" s="44">
        <v>13686355.429999962</v>
      </c>
      <c r="CI29" s="44">
        <v>-2893613.6999999555</v>
      </c>
      <c r="CJ29" s="44">
        <v>-8316306.5600000499</v>
      </c>
      <c r="CK29" s="44">
        <v>-6659192.5199999996</v>
      </c>
      <c r="CL29" s="44">
        <v>-14283688.399999935</v>
      </c>
      <c r="CM29" s="44">
        <v>-10841870.519999892</v>
      </c>
      <c r="CN29" s="63">
        <v>169286478.9699986</v>
      </c>
      <c r="CO29" s="44">
        <v>168891365.4499999</v>
      </c>
      <c r="CP29" s="44">
        <v>508420.93000025616</v>
      </c>
      <c r="CQ29" s="44">
        <v>-371585.70999972924</v>
      </c>
      <c r="CR29" s="44">
        <v>8119549.9700001478</v>
      </c>
      <c r="CS29" s="44">
        <v>5727281.2000001539</v>
      </c>
      <c r="CT29" s="44">
        <v>5046550.6100000376</v>
      </c>
      <c r="CU29" s="44">
        <v>7538599.8400001163</v>
      </c>
      <c r="CV29" s="44">
        <v>6288114.7799999584</v>
      </c>
      <c r="CW29" s="44">
        <v>3348867.7200000342</v>
      </c>
      <c r="CX29" s="44">
        <v>-8487505.7700001393</v>
      </c>
      <c r="CY29" s="44">
        <v>-4992599.5799998697</v>
      </c>
      <c r="CZ29" s="44">
        <v>-11674003.039999966</v>
      </c>
      <c r="DA29" s="63">
        <v>179943056.40000439</v>
      </c>
      <c r="DB29" s="44">
        <f>+'EEFF historicoss'!AE35</f>
        <v>171447265.41</v>
      </c>
      <c r="DC29" s="44">
        <f>+'EEFF historicoss'!AF35</f>
        <v>165789386.69</v>
      </c>
      <c r="DD29" s="44">
        <f>+'EEFF historicoss'!AG35</f>
        <v>166206265.47999999</v>
      </c>
      <c r="DE29" s="44">
        <f>+'EEFF historicoss'!AH35</f>
        <v>157971732.13999999</v>
      </c>
      <c r="DF29" s="44">
        <f>+'EEFF historicoss'!AI35</f>
        <v>151185463.80000001</v>
      </c>
      <c r="DG29" s="44">
        <f>+'EEFF historicoss'!AJ35</f>
        <v>162050947.49000001</v>
      </c>
      <c r="DH29" s="44">
        <f>+'EEFF historicoss'!AK35</f>
        <v>165671183</v>
      </c>
      <c r="DI29" s="44">
        <f>+'EEFF historicoss'!AL35</f>
        <v>154198147.21000001</v>
      </c>
      <c r="DJ29" s="44">
        <f>+'EEFF historicoss'!AM35</f>
        <v>153242317.33000001</v>
      </c>
      <c r="DK29" s="44">
        <f>+'EEFF historicoss'!AN35</f>
        <v>151276438.16</v>
      </c>
      <c r="DL29" s="44">
        <f>+'EEFF historicoss'!AO35</f>
        <v>144722074.22999999</v>
      </c>
      <c r="DM29" s="44">
        <f>+'EEFF historicoss'!AP35</f>
        <v>128296714.95999999</v>
      </c>
    </row>
    <row r="30" spans="1:117" x14ac:dyDescent="0.3">
      <c r="A30" s="61" t="s">
        <v>259</v>
      </c>
      <c r="B30" s="62">
        <v>773768126.13</v>
      </c>
      <c r="C30" s="62">
        <v>-970391.39000000292</v>
      </c>
      <c r="D30" s="62">
        <v>-3274387.9599999962</v>
      </c>
      <c r="E30" s="62">
        <v>-4050727.2899999991</v>
      </c>
      <c r="F30" s="62">
        <v>-639017.96000000462</v>
      </c>
      <c r="G30" s="62">
        <v>-1151461.4500000565</v>
      </c>
      <c r="H30" s="62">
        <v>-6343321.1399999997</v>
      </c>
      <c r="I30" s="62">
        <v>-6433764.5800000001</v>
      </c>
      <c r="J30" s="62">
        <v>-7313435.3100000042</v>
      </c>
      <c r="K30" s="62">
        <v>-4662802.9100000095</v>
      </c>
      <c r="L30" s="62">
        <v>-6260658.0500000007</v>
      </c>
      <c r="M30" s="62">
        <v>-13743816.479999999</v>
      </c>
      <c r="N30" s="63">
        <v>718924341.61000383</v>
      </c>
      <c r="O30" s="62">
        <v>713559595.38999939</v>
      </c>
      <c r="P30" s="62">
        <v>-1717983.4</v>
      </c>
      <c r="Q30" s="62">
        <v>-2931198.2700000019</v>
      </c>
      <c r="R30" s="62">
        <v>-1491134.6</v>
      </c>
      <c r="S30" s="62">
        <v>-4868801.33</v>
      </c>
      <c r="T30" s="62">
        <v>25811329.660000008</v>
      </c>
      <c r="U30" s="62">
        <v>-10299715.410000002</v>
      </c>
      <c r="V30" s="62">
        <v>-1389569.5999999989</v>
      </c>
      <c r="W30" s="62">
        <v>-3527821.6699999967</v>
      </c>
      <c r="X30" s="62">
        <v>-2449997.1799999997</v>
      </c>
      <c r="Y30" s="62">
        <v>-1447748.0300000007</v>
      </c>
      <c r="Z30" s="62">
        <v>-9116184.5800001845</v>
      </c>
      <c r="AA30" s="63">
        <v>700130770.97999918</v>
      </c>
      <c r="AB30" s="62">
        <v>698591201.9799999</v>
      </c>
      <c r="AC30" s="62">
        <v>2184327.5000000019</v>
      </c>
      <c r="AD30" s="62">
        <v>8242525.5100000063</v>
      </c>
      <c r="AE30" s="62">
        <v>8827533.0900000036</v>
      </c>
      <c r="AF30" s="62">
        <v>-3658862.8000000007</v>
      </c>
      <c r="AG30" s="62">
        <v>-347191.58999999973</v>
      </c>
      <c r="AH30" s="62">
        <v>-4319600.5399999991</v>
      </c>
      <c r="AI30" s="62">
        <v>-4281089.92</v>
      </c>
      <c r="AJ30" s="62">
        <v>1105546.4399999976</v>
      </c>
      <c r="AK30" s="62">
        <v>-1494470.4200000018</v>
      </c>
      <c r="AL30" s="62">
        <v>-1919573.899999999</v>
      </c>
      <c r="AM30" s="62">
        <v>-6207878.4499999993</v>
      </c>
      <c r="AN30" s="63">
        <v>696722466.89999926</v>
      </c>
      <c r="AO30" s="62">
        <v>694302214.89999962</v>
      </c>
      <c r="AP30" s="62">
        <v>-2440064.2400000007</v>
      </c>
      <c r="AQ30" s="62">
        <v>6415494.0000000028</v>
      </c>
      <c r="AR30" s="62">
        <v>745308.0499999912</v>
      </c>
      <c r="AS30" s="62">
        <v>1193462.9299999978</v>
      </c>
      <c r="AT30" s="62">
        <v>-3950292.4899999937</v>
      </c>
      <c r="AU30" s="62">
        <v>65795214.540000014</v>
      </c>
      <c r="AV30" s="62">
        <v>-8634741.879999999</v>
      </c>
      <c r="AW30" s="62">
        <v>6424640.7099999879</v>
      </c>
      <c r="AX30" s="62">
        <v>-3622909.8599999994</v>
      </c>
      <c r="AY30" s="62">
        <v>-4447708.16</v>
      </c>
      <c r="AZ30" s="62">
        <v>-4383036.1800000006</v>
      </c>
      <c r="BA30" s="63">
        <v>747397582.32000124</v>
      </c>
      <c r="BB30" s="62">
        <v>737515189.27999926</v>
      </c>
      <c r="BC30" s="62">
        <v>-384562.21999999974</v>
      </c>
      <c r="BD30" s="62">
        <v>794756.65000000142</v>
      </c>
      <c r="BE30" s="62">
        <v>-2120470.39</v>
      </c>
      <c r="BF30" s="62">
        <v>-1651140.2400000007</v>
      </c>
      <c r="BG30" s="62">
        <v>-1827500.1199999999</v>
      </c>
      <c r="BH30" s="62">
        <v>-1989468.9300000002</v>
      </c>
      <c r="BI30" s="62">
        <v>-820176.83999999217</v>
      </c>
      <c r="BJ30" s="62">
        <v>5074066.9400000013</v>
      </c>
      <c r="BK30" s="62">
        <v>-2562842.0999999996</v>
      </c>
      <c r="BL30" s="62">
        <v>-2570354.4200000004</v>
      </c>
      <c r="BM30" s="62">
        <v>-2042388.5700000008</v>
      </c>
      <c r="BN30" s="63">
        <v>727415109.03999865</v>
      </c>
      <c r="BO30" s="62">
        <v>743013616.73999929</v>
      </c>
      <c r="BP30" s="62">
        <v>-3088468.4299999997</v>
      </c>
      <c r="BQ30" s="62">
        <v>2036352.5199999968</v>
      </c>
      <c r="BR30" s="62">
        <v>-3746704.6300000004</v>
      </c>
      <c r="BS30" s="62">
        <v>-3869088.08</v>
      </c>
      <c r="BT30" s="62">
        <v>-4327478.1999999993</v>
      </c>
      <c r="BU30" s="62">
        <v>-2780340.0900000003</v>
      </c>
      <c r="BV30" s="62">
        <v>-2774213.9200000027</v>
      </c>
      <c r="BW30" s="62">
        <v>2408865.3699999982</v>
      </c>
      <c r="BX30" s="62">
        <v>-2369776.12</v>
      </c>
      <c r="BY30" s="62">
        <v>-2903299.7199999988</v>
      </c>
      <c r="BZ30" s="62">
        <v>-693757.37000000116</v>
      </c>
      <c r="CA30" s="63">
        <v>720905708.06999719</v>
      </c>
      <c r="CB30" s="62">
        <v>711932816.63999999</v>
      </c>
      <c r="CC30" s="62">
        <v>265084.84999999986</v>
      </c>
      <c r="CD30" s="62">
        <v>3537424.9600000004</v>
      </c>
      <c r="CE30" s="62">
        <v>-3420089.919999999</v>
      </c>
      <c r="CF30" s="62">
        <v>-3193718.5599999996</v>
      </c>
      <c r="CG30" s="62">
        <v>-2991691.2199999988</v>
      </c>
      <c r="CH30" s="62">
        <v>-2305560.7800000012</v>
      </c>
      <c r="CI30" s="62">
        <v>2838158.7300000009</v>
      </c>
      <c r="CJ30" s="62">
        <v>-8118925.2200000007</v>
      </c>
      <c r="CK30" s="62">
        <v>-1837392.9599999972</v>
      </c>
      <c r="CL30" s="62">
        <v>-1877019.9600000025</v>
      </c>
      <c r="CM30" s="62">
        <v>-301376.96999999939</v>
      </c>
      <c r="CN30" s="63">
        <v>694527709.59000206</v>
      </c>
      <c r="CO30" s="62">
        <v>692195109.05999851</v>
      </c>
      <c r="CP30" s="62">
        <v>-1390299.1</v>
      </c>
      <c r="CQ30" s="62">
        <v>-1634970.1000000031</v>
      </c>
      <c r="CR30" s="62">
        <v>-3705574.7700000005</v>
      </c>
      <c r="CS30" s="62">
        <v>-4491879.8699999992</v>
      </c>
      <c r="CT30" s="62">
        <v>545434.75999999815</v>
      </c>
      <c r="CU30" s="62">
        <v>-2779709.3600000013</v>
      </c>
      <c r="CV30" s="62">
        <v>1397219.6800000041</v>
      </c>
      <c r="CW30" s="62">
        <v>-1935179.5200000005</v>
      </c>
      <c r="CX30" s="62">
        <v>-2834257.5500000017</v>
      </c>
      <c r="CY30" s="62">
        <v>-1434337.9699999993</v>
      </c>
      <c r="CZ30" s="62">
        <v>971633.39000000712</v>
      </c>
      <c r="DA30" s="63">
        <v>674903188.64999986</v>
      </c>
    </row>
    <row r="31" spans="1:117" x14ac:dyDescent="0.3">
      <c r="A31" s="43" t="s">
        <v>260</v>
      </c>
      <c r="B31" s="44">
        <v>675479208.70000005</v>
      </c>
      <c r="C31" s="44">
        <v>-6161089.0599999987</v>
      </c>
      <c r="D31" s="44">
        <v>-5919423.5099999988</v>
      </c>
      <c r="E31" s="44">
        <v>-5631412.0800000001</v>
      </c>
      <c r="F31" s="44">
        <v>-3107858.6700000009</v>
      </c>
      <c r="G31" s="44">
        <v>66812875.370000027</v>
      </c>
      <c r="H31" s="44">
        <v>-7093555.7599999998</v>
      </c>
      <c r="I31" s="44">
        <v>-12600304.350000001</v>
      </c>
      <c r="J31" s="44">
        <v>-6111266.4199999999</v>
      </c>
      <c r="K31" s="44">
        <v>-6103768.0600000005</v>
      </c>
      <c r="L31" s="44">
        <v>-6687129.7400000012</v>
      </c>
      <c r="M31" s="44">
        <v>-6865517.8199999994</v>
      </c>
      <c r="N31" s="63">
        <v>676010758.60000014</v>
      </c>
      <c r="O31" s="44">
        <v>670065607.36000001</v>
      </c>
      <c r="P31" s="44">
        <v>-5213649.7499999991</v>
      </c>
      <c r="Q31" s="44">
        <v>-5274172.3699999992</v>
      </c>
      <c r="R31" s="44">
        <v>-6616170.2999999989</v>
      </c>
      <c r="S31" s="44">
        <v>-6171299.4400000004</v>
      </c>
      <c r="T31" s="44">
        <v>18011784.890000004</v>
      </c>
      <c r="U31" s="44">
        <v>-1677211.7500000002</v>
      </c>
      <c r="V31" s="44">
        <v>-1673103.090000001</v>
      </c>
      <c r="W31" s="44">
        <v>-1632677.0400000012</v>
      </c>
      <c r="X31" s="44">
        <v>-1871923.8599999996</v>
      </c>
      <c r="Y31" s="44">
        <v>-1810088.0600000005</v>
      </c>
      <c r="Z31" s="44">
        <v>-1858486.1299999207</v>
      </c>
      <c r="AA31" s="63">
        <v>654278610.46000075</v>
      </c>
      <c r="AB31" s="44">
        <v>652491807.84000063</v>
      </c>
      <c r="AC31" s="44">
        <v>-1710483.2400000005</v>
      </c>
      <c r="AD31" s="44">
        <v>-1492851.6299999994</v>
      </c>
      <c r="AE31" s="44">
        <v>36761.919999999984</v>
      </c>
      <c r="AF31" s="44">
        <v>-1653018.429999999</v>
      </c>
      <c r="AG31" s="44">
        <v>931939.80999999982</v>
      </c>
      <c r="AH31" s="44">
        <v>-2418622.65</v>
      </c>
      <c r="AI31" s="44">
        <v>-2283592.2200000002</v>
      </c>
      <c r="AJ31" s="44">
        <v>-2350744.9500000002</v>
      </c>
      <c r="AK31" s="44">
        <v>-1286106.23</v>
      </c>
      <c r="AL31" s="44">
        <v>-2328729.84</v>
      </c>
      <c r="AM31" s="44">
        <v>-2464275.2599999998</v>
      </c>
      <c r="AN31" s="63">
        <v>635472085.11999941</v>
      </c>
      <c r="AO31" s="44">
        <v>632946882.76999998</v>
      </c>
      <c r="AP31" s="44">
        <v>-2383960.73</v>
      </c>
      <c r="AQ31" s="44">
        <v>-2096479.7500000002</v>
      </c>
      <c r="AR31" s="44">
        <v>-1909352.0500000007</v>
      </c>
      <c r="AS31" s="44">
        <v>-1941423.8000000003</v>
      </c>
      <c r="AT31" s="44">
        <v>-1677158.3800000001</v>
      </c>
      <c r="AU31" s="44">
        <v>9830860.6699999962</v>
      </c>
      <c r="AV31" s="44">
        <v>-1453557.3799999992</v>
      </c>
      <c r="AW31" s="44">
        <v>10076766.710000003</v>
      </c>
      <c r="AX31" s="44">
        <v>-1399895.07</v>
      </c>
      <c r="AY31" s="44">
        <v>-2202898.25</v>
      </c>
      <c r="AZ31" s="44">
        <v>-109392.03000000177</v>
      </c>
      <c r="BA31" s="63">
        <v>637680392.71000016</v>
      </c>
      <c r="BB31" s="44">
        <v>636869709.56999981</v>
      </c>
      <c r="BC31" s="44">
        <v>-2171822.0699999998</v>
      </c>
      <c r="BD31" s="44">
        <v>-2319077.1199999996</v>
      </c>
      <c r="BE31" s="44">
        <v>-2307700.8400000003</v>
      </c>
      <c r="BF31" s="44">
        <v>-2267485.8800000004</v>
      </c>
      <c r="BG31" s="44">
        <v>-2318591.1</v>
      </c>
      <c r="BH31" s="44">
        <v>-2612832.14</v>
      </c>
      <c r="BI31" s="44">
        <v>16719718.910000013</v>
      </c>
      <c r="BJ31" s="44">
        <v>4721159.9800000004</v>
      </c>
      <c r="BK31" s="44">
        <v>-3130610.3299999996</v>
      </c>
      <c r="BL31" s="44">
        <v>-2636471.7100000004</v>
      </c>
      <c r="BM31" s="44">
        <v>-2502505.0299999998</v>
      </c>
      <c r="BN31" s="63">
        <v>636043492.23999894</v>
      </c>
      <c r="BO31" s="44">
        <v>653263520.0999999</v>
      </c>
      <c r="BP31" s="44">
        <v>-2732053.9399999995</v>
      </c>
      <c r="BQ31" s="44">
        <v>-2850313.2099999995</v>
      </c>
      <c r="BR31" s="44">
        <v>-2935749.5799999991</v>
      </c>
      <c r="BS31" s="44">
        <v>-2325928.1800000002</v>
      </c>
      <c r="BT31" s="44">
        <v>-3088959.43</v>
      </c>
      <c r="BU31" s="44">
        <v>-2802917.5700000003</v>
      </c>
      <c r="BV31" s="44">
        <v>-2833676.0900000008</v>
      </c>
      <c r="BW31" s="44">
        <v>-2700754.3200000003</v>
      </c>
      <c r="BX31" s="44">
        <v>-2617945.61</v>
      </c>
      <c r="BY31" s="44">
        <v>-2684263.7199999997</v>
      </c>
      <c r="BZ31" s="44">
        <v>-2467876.3800000004</v>
      </c>
      <c r="CA31" s="63">
        <v>623223082.06999922</v>
      </c>
      <c r="CB31" s="44">
        <v>620769486.60000026</v>
      </c>
      <c r="CC31" s="44">
        <v>-2690075.39</v>
      </c>
      <c r="CD31" s="44">
        <v>-2235481.12</v>
      </c>
      <c r="CE31" s="44">
        <v>-2064714.93</v>
      </c>
      <c r="CF31" s="44">
        <v>-1964011.7699999996</v>
      </c>
      <c r="CG31" s="44">
        <v>-2150679.9699999997</v>
      </c>
      <c r="CH31" s="44">
        <v>-422937.69999999949</v>
      </c>
      <c r="CI31" s="44">
        <v>-1722933.6100000003</v>
      </c>
      <c r="CJ31" s="44">
        <v>-6898017.6900000004</v>
      </c>
      <c r="CK31" s="44">
        <v>-1262802.0799999998</v>
      </c>
      <c r="CL31" s="44">
        <v>-1307535.7700000005</v>
      </c>
      <c r="CM31" s="44">
        <v>-463345.62999999942</v>
      </c>
      <c r="CN31" s="63">
        <v>597586950.94000125</v>
      </c>
      <c r="CO31" s="44">
        <v>596269700.48999977</v>
      </c>
      <c r="CP31" s="44">
        <v>-1429378.2700000005</v>
      </c>
      <c r="CQ31" s="44">
        <v>-1479891.7300000009</v>
      </c>
      <c r="CR31" s="44">
        <v>-1424254.0599999998</v>
      </c>
      <c r="CS31" s="44">
        <v>-1511140.85</v>
      </c>
      <c r="CT31" s="44">
        <v>-1341478.1899999995</v>
      </c>
      <c r="CU31" s="44">
        <v>-1343213.9600000009</v>
      </c>
      <c r="CV31" s="44">
        <v>-2909623.1999999997</v>
      </c>
      <c r="CW31" s="44">
        <v>-1882265.67</v>
      </c>
      <c r="CX31" s="44">
        <v>-1812748.7900000005</v>
      </c>
      <c r="CY31" s="44">
        <v>-1160625.2800000007</v>
      </c>
      <c r="CZ31" s="44">
        <v>-1510946.8000000003</v>
      </c>
      <c r="DA31" s="63">
        <v>578464133.68999994</v>
      </c>
      <c r="DB31" s="44">
        <f>+'EEFF historicoss'!AE37</f>
        <v>577407467.30999994</v>
      </c>
      <c r="DC31" s="44">
        <f>+'EEFF historicoss'!AF37</f>
        <v>576234959.88999999</v>
      </c>
      <c r="DD31" s="44">
        <f>+'EEFF historicoss'!AG37</f>
        <v>575117381.51999998</v>
      </c>
      <c r="DE31" s="44">
        <f>+'EEFF historicoss'!AH37</f>
        <v>574511724.75</v>
      </c>
      <c r="DF31" s="44">
        <f>+'EEFF historicoss'!AI37</f>
        <v>573736025.79999995</v>
      </c>
      <c r="DG31" s="44">
        <f>+'EEFF historicoss'!AJ37</f>
        <v>573877374.76999998</v>
      </c>
      <c r="DH31" s="44">
        <f>+'EEFF historicoss'!AK37</f>
        <v>593978590.98000002</v>
      </c>
      <c r="DI31" s="44">
        <f>+'EEFF historicoss'!AL37</f>
        <v>595289240.37</v>
      </c>
      <c r="DJ31" s="44">
        <f>+'EEFF historicoss'!AM37</f>
        <v>597355415.79999995</v>
      </c>
      <c r="DK31" s="44">
        <f>+'EEFF historicoss'!AN37</f>
        <v>599774235.46000004</v>
      </c>
      <c r="DL31" s="44">
        <f>+'EEFF historicoss'!AO37</f>
        <v>603054619.73000002</v>
      </c>
      <c r="DM31" s="44">
        <f>+'EEFF historicoss'!AP37</f>
        <v>606848758.82000005</v>
      </c>
    </row>
    <row r="32" spans="1:117" x14ac:dyDescent="0.3">
      <c r="A32" s="64" t="s">
        <v>261</v>
      </c>
      <c r="B32" s="62">
        <v>1521053649.8500001</v>
      </c>
      <c r="C32" s="62">
        <v>3381342.060000001</v>
      </c>
      <c r="D32" s="62">
        <v>3992388.5300000003</v>
      </c>
      <c r="E32" s="62">
        <v>4220361.9800000004</v>
      </c>
      <c r="F32" s="62">
        <v>6659839.4899999993</v>
      </c>
      <c r="G32" s="62">
        <v>77065968.169999987</v>
      </c>
      <c r="H32" s="62">
        <v>3262120.4499999997</v>
      </c>
      <c r="I32" s="62">
        <v>-26508868.349999998</v>
      </c>
      <c r="J32" s="62">
        <v>4067726.72</v>
      </c>
      <c r="K32" s="62">
        <v>4203803.209999999</v>
      </c>
      <c r="L32" s="62">
        <v>3399984.42</v>
      </c>
      <c r="M32" s="62">
        <v>3206661.99</v>
      </c>
      <c r="N32" s="63">
        <v>1608004978.5200014</v>
      </c>
      <c r="O32" s="62">
        <v>1612152773.8799999</v>
      </c>
      <c r="P32" s="62">
        <v>3030809.4799999995</v>
      </c>
      <c r="Q32" s="62">
        <v>2740013.1500000004</v>
      </c>
      <c r="R32" s="62">
        <v>1317776.73</v>
      </c>
      <c r="S32" s="62">
        <v>1872442.3699999999</v>
      </c>
      <c r="T32" s="62">
        <v>2521064.3200000008</v>
      </c>
      <c r="U32" s="62">
        <v>2769222.9</v>
      </c>
      <c r="V32" s="62">
        <v>2639324.9099999992</v>
      </c>
      <c r="W32" s="62">
        <v>-6441317.7100000009</v>
      </c>
      <c r="X32" s="62">
        <v>2240281.9400000004</v>
      </c>
      <c r="Y32" s="62">
        <v>2245885.9499999997</v>
      </c>
      <c r="Z32" s="62">
        <v>2202730.7699999809</v>
      </c>
      <c r="AA32" s="63">
        <v>1629291008.6899998</v>
      </c>
      <c r="AB32" s="62">
        <v>1631512812.3500004</v>
      </c>
      <c r="AC32" s="62">
        <v>2650448.4899999993</v>
      </c>
      <c r="AD32" s="62">
        <v>2508672.8100000005</v>
      </c>
      <c r="AE32" s="62">
        <v>3937350.05</v>
      </c>
      <c r="AF32" s="62">
        <v>2131521.7900000005</v>
      </c>
      <c r="AG32" s="62">
        <v>4512632.1999999993</v>
      </c>
      <c r="AH32" s="62">
        <v>991101.55999999982</v>
      </c>
      <c r="AI32" s="62">
        <v>1112983.7299999997</v>
      </c>
      <c r="AJ32" s="62">
        <v>1118127.9199999997</v>
      </c>
      <c r="AK32" s="62">
        <v>2210804.02</v>
      </c>
      <c r="AL32" s="62">
        <v>1163859.74</v>
      </c>
      <c r="AM32" s="62">
        <v>921670.0199999999</v>
      </c>
      <c r="AN32" s="63">
        <v>1654771984.6799998</v>
      </c>
      <c r="AO32" s="62">
        <v>1655610035.6800001</v>
      </c>
      <c r="AP32" s="62">
        <v>-2027102.37</v>
      </c>
      <c r="AQ32" s="62">
        <v>1282692.82</v>
      </c>
      <c r="AR32" s="62">
        <v>1057835.6900000002</v>
      </c>
      <c r="AS32" s="62">
        <v>1022353.9399999997</v>
      </c>
      <c r="AT32" s="62">
        <v>1815449.07</v>
      </c>
      <c r="AU32" s="62">
        <v>17021250.68</v>
      </c>
      <c r="AV32" s="62">
        <v>2164543.8500000006</v>
      </c>
      <c r="AW32" s="62">
        <v>13301576.379999999</v>
      </c>
      <c r="AX32" s="62">
        <v>1474607.5499999998</v>
      </c>
      <c r="AY32" s="62">
        <v>1215463.1599999999</v>
      </c>
      <c r="AZ32" s="62">
        <v>3932493.8099999991</v>
      </c>
      <c r="BA32" s="63">
        <v>1697871200.259999</v>
      </c>
      <c r="BB32" s="62">
        <v>1700500318.2899997</v>
      </c>
      <c r="BC32" s="62">
        <v>1342204.19</v>
      </c>
      <c r="BD32" s="62">
        <v>1123824.2000000002</v>
      </c>
      <c r="BE32" s="62">
        <v>1140861.03</v>
      </c>
      <c r="BF32" s="62">
        <v>1200170.0799999998</v>
      </c>
      <c r="BG32" s="62">
        <v>1122873.3899999999</v>
      </c>
      <c r="BH32" s="62">
        <v>656173.89000000013</v>
      </c>
      <c r="BI32" s="62">
        <v>19932776.270000003</v>
      </c>
      <c r="BJ32" s="62">
        <v>7749117.6100000003</v>
      </c>
      <c r="BK32" s="62">
        <v>113020.73</v>
      </c>
      <c r="BL32" s="62">
        <v>1310816.8599999999</v>
      </c>
      <c r="BM32" s="62">
        <v>1127863.5399999998</v>
      </c>
      <c r="BN32" s="63">
        <v>1737320020.0799997</v>
      </c>
      <c r="BO32" s="62">
        <v>1758329468.8099999</v>
      </c>
      <c r="BP32" s="62">
        <v>690669.96000000031</v>
      </c>
      <c r="BQ32" s="62">
        <v>464122.77000000008</v>
      </c>
      <c r="BR32" s="62">
        <v>317375.10000000003</v>
      </c>
      <c r="BS32" s="62">
        <v>865737.13000000012</v>
      </c>
      <c r="BT32" s="62">
        <v>129594.73</v>
      </c>
      <c r="BU32" s="62">
        <v>599257.67999999993</v>
      </c>
      <c r="BV32" s="62">
        <v>523790.70999999979</v>
      </c>
      <c r="BW32" s="62">
        <v>742972.91999999993</v>
      </c>
      <c r="BX32" s="62">
        <v>867146.99999999977</v>
      </c>
      <c r="BY32" s="62">
        <v>204966.4200000001</v>
      </c>
      <c r="BZ32" s="62">
        <v>488099.45000000024</v>
      </c>
      <c r="CA32" s="63">
        <v>1764223202.6800005</v>
      </c>
      <c r="CB32" s="62">
        <v>1765070193.0500002</v>
      </c>
      <c r="CC32" s="62">
        <v>561701.04</v>
      </c>
      <c r="CD32" s="62">
        <v>1190733.3699999996</v>
      </c>
      <c r="CE32" s="62">
        <v>1469072.4400000002</v>
      </c>
      <c r="CF32" s="62">
        <v>1674857.5500000005</v>
      </c>
      <c r="CG32" s="62">
        <v>1421186.9800000004</v>
      </c>
      <c r="CH32" s="62">
        <v>4411344.4800000004</v>
      </c>
      <c r="CI32" s="62">
        <v>1704316.7699999998</v>
      </c>
      <c r="CJ32" s="62">
        <v>-7179907.4400000004</v>
      </c>
      <c r="CK32" s="62">
        <v>2624687.7599999998</v>
      </c>
      <c r="CL32" s="62">
        <v>2321915.35</v>
      </c>
      <c r="CM32" s="62">
        <v>3216515.95</v>
      </c>
      <c r="CN32" s="63">
        <v>1778486617.2999992</v>
      </c>
      <c r="CO32" s="62">
        <v>1780875891.6699996</v>
      </c>
      <c r="CP32" s="62">
        <v>2300391.2499999995</v>
      </c>
      <c r="CQ32" s="62">
        <v>2335433.38</v>
      </c>
      <c r="CR32" s="62">
        <v>2367648.7300000004</v>
      </c>
      <c r="CS32" s="62">
        <v>1647603.62</v>
      </c>
      <c r="CT32" s="62">
        <v>2166207.0900000003</v>
      </c>
      <c r="CU32" s="62">
        <v>2485117.0099999993</v>
      </c>
      <c r="CV32" s="62">
        <v>-432437.0799999999</v>
      </c>
      <c r="CW32" s="62">
        <v>1500611.7900000007</v>
      </c>
      <c r="CX32" s="62">
        <v>1380366.8199999994</v>
      </c>
      <c r="CY32" s="62">
        <v>2265681.3199999994</v>
      </c>
      <c r="CZ32" s="62">
        <v>2102852.96</v>
      </c>
      <c r="DA32" s="63">
        <v>1800995368.5599995</v>
      </c>
    </row>
    <row r="33" spans="1:117" x14ac:dyDescent="0.3">
      <c r="A33" s="64" t="s">
        <v>262</v>
      </c>
      <c r="B33" s="62">
        <v>-845574441.1500001</v>
      </c>
      <c r="C33" s="62">
        <v>-9542431.1199999992</v>
      </c>
      <c r="D33" s="62">
        <v>-9911812.0399999991</v>
      </c>
      <c r="E33" s="62">
        <v>-9851774.0600000005</v>
      </c>
      <c r="F33" s="62">
        <v>-9767698.1600000001</v>
      </c>
      <c r="G33" s="62">
        <v>-10253092.800000001</v>
      </c>
      <c r="H33" s="62">
        <v>-10355676.209999999</v>
      </c>
      <c r="I33" s="62">
        <v>13908564.000000006</v>
      </c>
      <c r="J33" s="62">
        <v>-10178993.139999999</v>
      </c>
      <c r="K33" s="62">
        <v>-10307571.27</v>
      </c>
      <c r="L33" s="62">
        <v>-10087114.16</v>
      </c>
      <c r="M33" s="62">
        <v>-10072179.810000001</v>
      </c>
      <c r="N33" s="63">
        <v>-931994219.91999924</v>
      </c>
      <c r="O33" s="62">
        <v>-942087166.51999986</v>
      </c>
      <c r="P33" s="62">
        <v>-8244459.2299999995</v>
      </c>
      <c r="Q33" s="62">
        <v>-8014185.5200000005</v>
      </c>
      <c r="R33" s="62">
        <v>-7933947.0299999993</v>
      </c>
      <c r="S33" s="62">
        <v>-8043741.8100000005</v>
      </c>
      <c r="T33" s="62">
        <v>15490720.569999998</v>
      </c>
      <c r="U33" s="62">
        <v>-4446434.6499999994</v>
      </c>
      <c r="V33" s="62">
        <v>-4312428.0000000019</v>
      </c>
      <c r="W33" s="62">
        <v>4808640.6699999953</v>
      </c>
      <c r="X33" s="62">
        <v>-4112205.8000000003</v>
      </c>
      <c r="Y33" s="62">
        <v>-4055974.0100000002</v>
      </c>
      <c r="Z33" s="62">
        <v>-4061216.8999999608</v>
      </c>
      <c r="AA33" s="63">
        <v>-975012398.22999978</v>
      </c>
      <c r="AB33" s="62">
        <v>-979021004.50999975</v>
      </c>
      <c r="AC33" s="62">
        <v>-4360931.7300000004</v>
      </c>
      <c r="AD33" s="62">
        <v>-4001524.44</v>
      </c>
      <c r="AE33" s="62">
        <v>-3900588.1300000013</v>
      </c>
      <c r="AF33" s="62">
        <v>-3784540.2199999993</v>
      </c>
      <c r="AG33" s="62">
        <v>-3580692.39</v>
      </c>
      <c r="AH33" s="62">
        <v>-3409724.2100000004</v>
      </c>
      <c r="AI33" s="62">
        <v>-3396575.9500000007</v>
      </c>
      <c r="AJ33" s="62">
        <v>-3468872.8700000006</v>
      </c>
      <c r="AK33" s="62">
        <v>-3496910.2500000005</v>
      </c>
      <c r="AL33" s="62">
        <v>-3492589.58</v>
      </c>
      <c r="AM33" s="62">
        <v>-3385945.2800000003</v>
      </c>
      <c r="AN33" s="63">
        <v>-1019299899.5600004</v>
      </c>
      <c r="AO33" s="62">
        <v>-1022663152.9100001</v>
      </c>
      <c r="AP33" s="62">
        <v>-356858.36000000051</v>
      </c>
      <c r="AQ33" s="62">
        <v>-3379172.5699999994</v>
      </c>
      <c r="AR33" s="62">
        <v>-2967187.7399999993</v>
      </c>
      <c r="AS33" s="62">
        <v>-2963777.74</v>
      </c>
      <c r="AT33" s="62">
        <v>-3492607.4499999997</v>
      </c>
      <c r="AU33" s="62">
        <v>-7190390.0099999979</v>
      </c>
      <c r="AV33" s="62">
        <v>-3618101.23</v>
      </c>
      <c r="AW33" s="62">
        <v>-3224809.67</v>
      </c>
      <c r="AX33" s="62">
        <v>-2874502.6199999996</v>
      </c>
      <c r="AY33" s="62">
        <v>-3418361.41</v>
      </c>
      <c r="AZ33" s="62">
        <v>-4041885.8400000003</v>
      </c>
      <c r="BA33" s="63">
        <v>-1060190807.5499996</v>
      </c>
      <c r="BB33" s="62">
        <v>-1063630608.7199999</v>
      </c>
      <c r="BC33" s="62">
        <v>-3514026.26</v>
      </c>
      <c r="BD33" s="62">
        <v>-3442901.32</v>
      </c>
      <c r="BE33" s="62">
        <v>-3448561.8700000006</v>
      </c>
      <c r="BF33" s="62">
        <v>-3467655.9600000004</v>
      </c>
      <c r="BG33" s="62">
        <v>-3441464.4899999998</v>
      </c>
      <c r="BH33" s="62">
        <v>-3269006.0300000003</v>
      </c>
      <c r="BI33" s="62">
        <v>-3213057.36</v>
      </c>
      <c r="BJ33" s="62">
        <v>-3027957.63</v>
      </c>
      <c r="BK33" s="62">
        <v>-3243631.06</v>
      </c>
      <c r="BL33" s="62">
        <v>-3947288.57</v>
      </c>
      <c r="BM33" s="62">
        <v>-3630368.5700000003</v>
      </c>
      <c r="BN33" s="63">
        <v>-1101276527.8399992</v>
      </c>
      <c r="BO33" s="62">
        <v>-1105065948.7099998</v>
      </c>
      <c r="BP33" s="62">
        <v>-3422723.9000000004</v>
      </c>
      <c r="BQ33" s="62">
        <v>-3314435.9800000004</v>
      </c>
      <c r="BR33" s="62">
        <v>-3253124.6799999997</v>
      </c>
      <c r="BS33" s="62">
        <v>-3191665.3100000005</v>
      </c>
      <c r="BT33" s="62">
        <v>-3218554.1599999997</v>
      </c>
      <c r="BU33" s="62">
        <v>-3402175.25</v>
      </c>
      <c r="BV33" s="62">
        <v>-3357466.8000000007</v>
      </c>
      <c r="BW33" s="62">
        <v>-3443727.24</v>
      </c>
      <c r="BX33" s="62">
        <v>-3485092.61</v>
      </c>
      <c r="BY33" s="62">
        <v>-2889230.1399999997</v>
      </c>
      <c r="BZ33" s="62">
        <v>-2955975.83</v>
      </c>
      <c r="CA33" s="63">
        <v>-1141000120.6099963</v>
      </c>
      <c r="CB33" s="62">
        <v>-1144300706.4499996</v>
      </c>
      <c r="CC33" s="62">
        <v>-3251776.4299999997</v>
      </c>
      <c r="CD33" s="62">
        <v>-3426214.4899999998</v>
      </c>
      <c r="CE33" s="62">
        <v>-3533787.37</v>
      </c>
      <c r="CF33" s="62">
        <v>-3638869.32</v>
      </c>
      <c r="CG33" s="62">
        <v>-3571866.95</v>
      </c>
      <c r="CH33" s="62">
        <v>-4834282.1800000006</v>
      </c>
      <c r="CI33" s="62">
        <v>-3427250.3800000004</v>
      </c>
      <c r="CJ33" s="62">
        <v>281889.75000000017</v>
      </c>
      <c r="CK33" s="62">
        <v>-3887489.8400000008</v>
      </c>
      <c r="CL33" s="62">
        <v>-3629451.1199999996</v>
      </c>
      <c r="CM33" s="62">
        <v>-3679861.5799999996</v>
      </c>
      <c r="CN33" s="63">
        <v>-1180899666.3599994</v>
      </c>
      <c r="CO33" s="62">
        <v>-1184606191.1800003</v>
      </c>
      <c r="CP33" s="62">
        <v>-3729769.5199999996</v>
      </c>
      <c r="CQ33" s="62">
        <v>-3815325.1099999994</v>
      </c>
      <c r="CR33" s="62">
        <v>-3791902.7900000005</v>
      </c>
      <c r="CS33" s="62">
        <v>-3158744.4699999997</v>
      </c>
      <c r="CT33" s="62">
        <v>-3507685.2799999993</v>
      </c>
      <c r="CU33" s="62">
        <v>-3828330.9699999993</v>
      </c>
      <c r="CV33" s="62">
        <v>-2477186.12</v>
      </c>
      <c r="CW33" s="62">
        <v>-3382877.4600000004</v>
      </c>
      <c r="CX33" s="62">
        <v>-3193115.6099999994</v>
      </c>
      <c r="CY33" s="62">
        <v>-3426306.5999999996</v>
      </c>
      <c r="CZ33" s="62">
        <v>-3613799.76</v>
      </c>
      <c r="DA33" s="63">
        <v>-1222531234.8700013</v>
      </c>
    </row>
    <row r="34" spans="1:117" x14ac:dyDescent="0.3">
      <c r="A34" s="43" t="s">
        <v>263</v>
      </c>
      <c r="B34" s="44">
        <v>11463755.170000002</v>
      </c>
      <c r="C34" s="44">
        <v>1646097.6199999996</v>
      </c>
      <c r="D34" s="44">
        <v>-346462.08999999985</v>
      </c>
      <c r="E34" s="44">
        <v>-556391.31999999995</v>
      </c>
      <c r="F34" s="44">
        <v>1383976.2299999995</v>
      </c>
      <c r="G34" s="44">
        <v>1342797.6199999999</v>
      </c>
      <c r="H34" s="44">
        <v>139620.47999999978</v>
      </c>
      <c r="I34" s="44">
        <v>5630405.7200000007</v>
      </c>
      <c r="J34" s="44">
        <v>476232.62999999616</v>
      </c>
      <c r="K34" s="44">
        <v>-534860.12999999954</v>
      </c>
      <c r="L34" s="44">
        <v>-2503380.6100000003</v>
      </c>
      <c r="M34" s="44">
        <v>-5484888.7199999997</v>
      </c>
      <c r="N34" s="63">
        <v>12656902.599999998</v>
      </c>
      <c r="O34" s="44">
        <v>12456630.76</v>
      </c>
      <c r="P34" s="44">
        <v>529144.89</v>
      </c>
      <c r="Q34" s="44">
        <v>-110914.58000000007</v>
      </c>
      <c r="R34" s="44">
        <v>134896.53</v>
      </c>
      <c r="S34" s="44">
        <v>367753.47</v>
      </c>
      <c r="T34" s="44">
        <v>7494749.3799999999</v>
      </c>
      <c r="U34" s="44">
        <v>-9564398.0900000017</v>
      </c>
      <c r="V34" s="44">
        <v>-91118.749999999985</v>
      </c>
      <c r="W34" s="44">
        <v>4680769.38</v>
      </c>
      <c r="X34" s="44">
        <v>-1040485.4100000001</v>
      </c>
      <c r="Y34" s="44">
        <v>-67764.51999999999</v>
      </c>
      <c r="Z34" s="44">
        <v>-4438707.6999999993</v>
      </c>
      <c r="AA34" s="63">
        <v>10350555.360000007</v>
      </c>
      <c r="AB34" s="44">
        <v>10159093.959999999</v>
      </c>
      <c r="AC34" s="44">
        <v>1248767.45</v>
      </c>
      <c r="AD34" s="44">
        <v>8039878.6600000011</v>
      </c>
      <c r="AE34" s="44">
        <v>2517837.6600000006</v>
      </c>
      <c r="AF34" s="44">
        <v>-2149430.09</v>
      </c>
      <c r="AG34" s="44">
        <v>-2149430.09</v>
      </c>
      <c r="AH34" s="44">
        <v>-2149430.09</v>
      </c>
      <c r="AI34" s="44">
        <v>-2166474.64</v>
      </c>
      <c r="AJ34" s="44">
        <v>-2312910.14</v>
      </c>
      <c r="AK34" s="44">
        <v>-770936.63</v>
      </c>
      <c r="AL34" s="44">
        <v>-473823.06</v>
      </c>
      <c r="AM34" s="44">
        <v>-869769.39999999967</v>
      </c>
      <c r="AN34" s="63">
        <v>8923373.5900000129</v>
      </c>
      <c r="AO34" s="44">
        <v>8974079.129999999</v>
      </c>
      <c r="AP34" s="44">
        <v>-135456.58000000002</v>
      </c>
      <c r="AQ34" s="44">
        <v>8153061.370000002</v>
      </c>
      <c r="AR34" s="44">
        <v>2588315.5499999924</v>
      </c>
      <c r="AS34" s="44">
        <v>2874775.7299999977</v>
      </c>
      <c r="AT34" s="44">
        <v>-2618233.6900000009</v>
      </c>
      <c r="AU34" s="44">
        <v>-2397599.4299999997</v>
      </c>
      <c r="AV34" s="44">
        <v>-2544784.7999999998</v>
      </c>
      <c r="AW34" s="44">
        <v>-2647965.2999999998</v>
      </c>
      <c r="AX34" s="44">
        <v>-2463153.61</v>
      </c>
      <c r="AY34" s="44">
        <v>-3064538.8999999994</v>
      </c>
      <c r="AZ34" s="44">
        <v>-2369288.4300000002</v>
      </c>
      <c r="BA34" s="63">
        <v>4349211.0400000261</v>
      </c>
      <c r="BB34" s="44">
        <v>4349009.84</v>
      </c>
      <c r="BC34" s="44">
        <v>1324.15</v>
      </c>
      <c r="BD34" s="44">
        <v>2087679.51</v>
      </c>
      <c r="BE34" s="44">
        <v>-27256.529999999941</v>
      </c>
      <c r="BF34" s="44">
        <v>-232111.51</v>
      </c>
      <c r="BG34" s="44">
        <v>-232111.51</v>
      </c>
      <c r="BH34" s="44">
        <v>-232111.51</v>
      </c>
      <c r="BI34" s="44">
        <v>-232111.51</v>
      </c>
      <c r="BJ34" s="44">
        <v>-232111.51</v>
      </c>
      <c r="BK34" s="44">
        <v>589658.76999999979</v>
      </c>
      <c r="BL34" s="44">
        <v>-63019.290000000037</v>
      </c>
      <c r="BM34" s="44">
        <v>-1483656.4000000001</v>
      </c>
      <c r="BN34" s="63">
        <v>4293182.5000000056</v>
      </c>
      <c r="BO34" s="44">
        <v>4395311.8999999976</v>
      </c>
      <c r="BP34" s="44">
        <v>849324.32000000007</v>
      </c>
      <c r="BQ34" s="44">
        <v>1975335.31</v>
      </c>
      <c r="BR34" s="44">
        <v>-563818.67000000004</v>
      </c>
      <c r="BS34" s="44">
        <v>-601496.16</v>
      </c>
      <c r="BT34" s="44">
        <v>-636122.41</v>
      </c>
      <c r="BU34" s="44">
        <v>-638143.95000000007</v>
      </c>
      <c r="BV34" s="44">
        <v>-426045.80000000005</v>
      </c>
      <c r="BW34" s="44">
        <v>11725.01</v>
      </c>
      <c r="BX34" s="44"/>
      <c r="BY34" s="44">
        <v>-94498.78</v>
      </c>
      <c r="BZ34" s="44">
        <v>0</v>
      </c>
      <c r="CA34" s="63">
        <v>4271570.769999993</v>
      </c>
      <c r="CB34" s="44">
        <v>5058414.1199999992</v>
      </c>
      <c r="CC34" s="44">
        <v>3899987.6999999997</v>
      </c>
      <c r="CD34" s="44">
        <v>5260057.7600000007</v>
      </c>
      <c r="CE34" s="44">
        <v>-1415201.06</v>
      </c>
      <c r="CF34" s="44">
        <v>-1483311.4900000002</v>
      </c>
      <c r="CG34" s="44">
        <v>-1404401.13</v>
      </c>
      <c r="CH34" s="44">
        <v>-1172805.97</v>
      </c>
      <c r="CI34" s="44">
        <v>-1237862.8999999999</v>
      </c>
      <c r="CJ34" s="44">
        <v>-1247199.0899999999</v>
      </c>
      <c r="CK34" s="44">
        <v>-701878.41</v>
      </c>
      <c r="CL34" s="44">
        <v>-682436.81</v>
      </c>
      <c r="CM34" s="44">
        <v>298575.41999999987</v>
      </c>
      <c r="CN34" s="63">
        <v>5171938.1399999922</v>
      </c>
      <c r="CO34" s="44">
        <v>5152083.6399999969</v>
      </c>
      <c r="CP34" s="44">
        <v>-89926.43</v>
      </c>
      <c r="CQ34" s="44">
        <v>261390.16000000003</v>
      </c>
      <c r="CR34" s="44">
        <v>-193448.52</v>
      </c>
      <c r="CS34" s="44">
        <v>-112772.32</v>
      </c>
      <c r="CT34" s="44">
        <v>-232142.88</v>
      </c>
      <c r="CU34" s="44">
        <v>-230523.22</v>
      </c>
      <c r="CV34" s="44">
        <v>9957877.8499999996</v>
      </c>
      <c r="CW34" s="44">
        <v>160388.55999999994</v>
      </c>
      <c r="CX34" s="44">
        <v>-1398875.23</v>
      </c>
      <c r="CY34" s="44">
        <v>-93980.35999999952</v>
      </c>
      <c r="CZ34" s="44">
        <v>-78652.609999999986</v>
      </c>
      <c r="DA34" s="63">
        <v>13101418.63999998</v>
      </c>
      <c r="DB34" s="44">
        <f>+'EEFF historicoss'!AE40</f>
        <v>13101418.640000001</v>
      </c>
      <c r="DC34" s="44">
        <f>+'EEFF historicoss'!AF40</f>
        <v>13183210.550000001</v>
      </c>
      <c r="DD34" s="44">
        <f>+'EEFF historicoss'!AG40</f>
        <v>13127108.84</v>
      </c>
      <c r="DE34" s="44">
        <f>+'EEFF historicoss'!AH40</f>
        <v>13151610.35</v>
      </c>
      <c r="DF34" s="44">
        <f>+'EEFF historicoss'!AI40</f>
        <v>13094564.439999999</v>
      </c>
      <c r="DG34" s="44">
        <f>+'EEFF historicoss'!AJ40</f>
        <v>13050025.16</v>
      </c>
      <c r="DH34" s="44">
        <f>+'EEFF historicoss'!AK40</f>
        <v>13113661.189999999</v>
      </c>
      <c r="DI34" s="44">
        <f>+'EEFF historicoss'!AL40</f>
        <v>19000615.32</v>
      </c>
      <c r="DJ34" s="44">
        <f>+'EEFF historicoss'!AM40</f>
        <v>17572052.170000002</v>
      </c>
      <c r="DK34" s="44">
        <f>+'EEFF historicoss'!AN40</f>
        <v>16425744.65</v>
      </c>
      <c r="DL34" s="44">
        <f>+'EEFF historicoss'!AO40</f>
        <v>15680239.689999999</v>
      </c>
      <c r="DM34" s="44">
        <f>+'EEFF historicoss'!AP40</f>
        <v>15549164.27</v>
      </c>
    </row>
    <row r="35" spans="1:117" x14ac:dyDescent="0.3">
      <c r="A35" s="43" t="s">
        <v>264</v>
      </c>
      <c r="B35" s="44">
        <v>595624.56999999995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63">
        <v>595624.56999999995</v>
      </c>
      <c r="O35" s="44">
        <v>595624.56999999995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63">
        <v>595624.56999999995</v>
      </c>
      <c r="AB35" s="44">
        <v>595624.56999999995</v>
      </c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63">
        <v>595624.56999999995</v>
      </c>
      <c r="AO35" s="44">
        <v>595624.56999999995</v>
      </c>
      <c r="AP35" s="44"/>
      <c r="AQ35" s="44"/>
      <c r="AR35" s="44"/>
      <c r="AS35" s="44"/>
      <c r="AT35" s="44"/>
      <c r="AU35" s="44">
        <v>57498755.32</v>
      </c>
      <c r="AV35" s="44">
        <v>-4890816.67</v>
      </c>
      <c r="AW35" s="44">
        <v>5140576.67</v>
      </c>
      <c r="AX35" s="44"/>
      <c r="AY35" s="44"/>
      <c r="AZ35" s="44">
        <v>-3103372.65</v>
      </c>
      <c r="BA35" s="63">
        <v>55240767.240000002</v>
      </c>
      <c r="BB35" s="44">
        <v>46257062.550000004</v>
      </c>
      <c r="BC35" s="44">
        <v>1329072.24</v>
      </c>
      <c r="BD35" s="44">
        <v>2045761.43</v>
      </c>
      <c r="BE35" s="44">
        <v>156775.44</v>
      </c>
      <c r="BF35" s="44">
        <v>124058.98</v>
      </c>
      <c r="BG35" s="44">
        <v>515735.21</v>
      </c>
      <c r="BH35" s="44">
        <v>292335.84000000003</v>
      </c>
      <c r="BI35" s="44">
        <v>1587488.25</v>
      </c>
      <c r="BJ35" s="44">
        <v>167284.13999999966</v>
      </c>
      <c r="BK35" s="44"/>
      <c r="BL35" s="44"/>
      <c r="BM35" s="44"/>
      <c r="BN35" s="63">
        <v>52475574.079999998</v>
      </c>
      <c r="BO35" s="44">
        <v>50736641.799999997</v>
      </c>
      <c r="BP35" s="44">
        <v>-1463492.33</v>
      </c>
      <c r="BQ35" s="44">
        <v>2508353.19</v>
      </c>
      <c r="BR35" s="44">
        <v>-382441.72</v>
      </c>
      <c r="BS35" s="44">
        <v>-1230202.17</v>
      </c>
      <c r="BT35" s="44">
        <v>-823483.91</v>
      </c>
      <c r="BU35" s="44">
        <v>143014.32999999999</v>
      </c>
      <c r="BV35" s="44">
        <v>377340.94999999995</v>
      </c>
      <c r="BW35" s="44">
        <v>4807100.51</v>
      </c>
      <c r="BX35" s="44"/>
      <c r="BY35" s="44"/>
      <c r="BZ35" s="44">
        <v>17181.64</v>
      </c>
      <c r="CA35" s="63">
        <v>54690012.290000007</v>
      </c>
      <c r="CB35" s="44">
        <v>47156207.290000007</v>
      </c>
      <c r="CC35" s="44">
        <v>-1179379.6599999999</v>
      </c>
      <c r="CD35" s="44">
        <v>209203.38</v>
      </c>
      <c r="CE35" s="44">
        <v>81915.62</v>
      </c>
      <c r="CF35" s="44">
        <v>27969.48</v>
      </c>
      <c r="CG35" s="44">
        <v>367033.26</v>
      </c>
      <c r="CH35" s="44">
        <v>-849515.61</v>
      </c>
      <c r="CI35" s="44">
        <v>-5981.01</v>
      </c>
      <c r="CJ35" s="44">
        <v>-267306.75</v>
      </c>
      <c r="CK35" s="44"/>
      <c r="CL35" s="44"/>
      <c r="CM35" s="44"/>
      <c r="CN35" s="63">
        <v>45540146.000000015</v>
      </c>
      <c r="CO35" s="44">
        <v>43710479.870000012</v>
      </c>
      <c r="CP35" s="44">
        <v>-561007.53</v>
      </c>
      <c r="CQ35" s="44">
        <v>-1347827.51</v>
      </c>
      <c r="CR35" s="44">
        <v>-2153217.4</v>
      </c>
      <c r="CS35" s="44">
        <v>-268026.28999999998</v>
      </c>
      <c r="CT35" s="44">
        <v>1888270.9</v>
      </c>
      <c r="CU35" s="44">
        <v>-1127378.3600000001</v>
      </c>
      <c r="CV35" s="44">
        <v>-1945815.48</v>
      </c>
      <c r="CW35" s="44">
        <v>-282775.06</v>
      </c>
      <c r="CX35" s="44"/>
      <c r="CY35" s="44"/>
      <c r="CZ35" s="44">
        <v>-26870.559999999998</v>
      </c>
      <c r="DA35" s="63">
        <v>37885832.580000013</v>
      </c>
      <c r="DB35" s="44">
        <f>+'EEFF historicoss'!AE38</f>
        <v>37051364.509999998</v>
      </c>
      <c r="DC35" s="44">
        <f>+'EEFF historicoss'!AF38</f>
        <v>36914396.200000003</v>
      </c>
      <c r="DD35" s="44">
        <f>+'EEFF historicoss'!AG38</f>
        <v>37460407.840000004</v>
      </c>
      <c r="DE35" s="44">
        <f>+'EEFF historicoss'!AH38</f>
        <v>30316718.539999999</v>
      </c>
      <c r="DF35" s="44">
        <f>+'EEFF historicoss'!AI38</f>
        <v>29464288.640000001</v>
      </c>
      <c r="DG35" s="44">
        <f>+'EEFF historicoss'!AJ38</f>
        <v>26931687.809999999</v>
      </c>
      <c r="DH35" s="44">
        <f>+'EEFF historicoss'!AK38</f>
        <v>27486228.059999999</v>
      </c>
      <c r="DI35" s="44">
        <f>+'EEFF historicoss'!AL38</f>
        <v>27685380.489999998</v>
      </c>
      <c r="DJ35" s="44">
        <f>+'EEFF historicoss'!AM38</f>
        <v>28976725</v>
      </c>
      <c r="DK35" s="44">
        <f>+'EEFF historicoss'!AN38</f>
        <v>28976725</v>
      </c>
      <c r="DL35" s="44">
        <f>+'EEFF historicoss'!AO38</f>
        <v>28976725</v>
      </c>
      <c r="DM35" s="44">
        <f>+'EEFF historicoss'!AP38</f>
        <v>28976725</v>
      </c>
    </row>
    <row r="36" spans="1:117" x14ac:dyDescent="0.3">
      <c r="A36" s="43" t="s">
        <v>265</v>
      </c>
      <c r="B36" s="44">
        <v>86229537.689999998</v>
      </c>
      <c r="C36" s="44">
        <v>3544600.0499999956</v>
      </c>
      <c r="D36" s="44">
        <v>2991497.6400000011</v>
      </c>
      <c r="E36" s="44">
        <v>2137076.1099999989</v>
      </c>
      <c r="F36" s="44">
        <v>1084864.479999997</v>
      </c>
      <c r="G36" s="44">
        <v>-69307134.439999998</v>
      </c>
      <c r="H36" s="44">
        <v>610614.14</v>
      </c>
      <c r="I36" s="44">
        <v>536134.05000000005</v>
      </c>
      <c r="J36" s="44">
        <v>-1678401.5200000003</v>
      </c>
      <c r="K36" s="44">
        <v>1975825.2800000012</v>
      </c>
      <c r="L36" s="44">
        <v>2929852.2999999993</v>
      </c>
      <c r="M36" s="44">
        <v>-1393409.9400000004</v>
      </c>
      <c r="N36" s="63">
        <v>29661055.839999977</v>
      </c>
      <c r="O36" s="44">
        <v>30441732.699999988</v>
      </c>
      <c r="P36" s="44">
        <v>2966521.4600000004</v>
      </c>
      <c r="Q36" s="44">
        <v>2453888.6800000006</v>
      </c>
      <c r="R36" s="44">
        <v>4990139.169999999</v>
      </c>
      <c r="S36" s="44">
        <v>934744.63999999978</v>
      </c>
      <c r="T36" s="44">
        <v>304795.39000000013</v>
      </c>
      <c r="U36" s="44">
        <v>941894.4300000004</v>
      </c>
      <c r="V36" s="44">
        <v>374652.24</v>
      </c>
      <c r="W36" s="44">
        <v>-6575914.0099999988</v>
      </c>
      <c r="X36" s="44">
        <v>462412.09000000008</v>
      </c>
      <c r="Y36" s="44">
        <v>430104.54999999993</v>
      </c>
      <c r="Z36" s="44">
        <v>-2818990.7500000005</v>
      </c>
      <c r="AA36" s="63">
        <v>34905980.590000018</v>
      </c>
      <c r="AB36" s="44">
        <v>35344675.609999985</v>
      </c>
      <c r="AC36" s="44">
        <v>2646043.29</v>
      </c>
      <c r="AD36" s="44">
        <v>1695498.4799999995</v>
      </c>
      <c r="AE36" s="44">
        <v>6272933.5099999998</v>
      </c>
      <c r="AF36" s="44">
        <v>143585.72000000003</v>
      </c>
      <c r="AG36" s="44">
        <v>870298.69</v>
      </c>
      <c r="AH36" s="44">
        <v>248452.19999999998</v>
      </c>
      <c r="AI36" s="44">
        <v>168976.93999999997</v>
      </c>
      <c r="AJ36" s="44">
        <v>5769201.5299999984</v>
      </c>
      <c r="AK36" s="44">
        <v>562572.44000000064</v>
      </c>
      <c r="AL36" s="44">
        <v>882978.99999999988</v>
      </c>
      <c r="AM36" s="44">
        <v>-2873833.7899999991</v>
      </c>
      <c r="AN36" s="63">
        <v>51731383.620000035</v>
      </c>
      <c r="AO36" s="44">
        <v>51785628.430000007</v>
      </c>
      <c r="AP36" s="44">
        <v>79353.070000000065</v>
      </c>
      <c r="AQ36" s="44">
        <v>358912.37999999989</v>
      </c>
      <c r="AR36" s="44">
        <v>66344.550000000119</v>
      </c>
      <c r="AS36" s="44">
        <v>260111.00000000012</v>
      </c>
      <c r="AT36" s="44">
        <v>345099.57999999996</v>
      </c>
      <c r="AU36" s="44">
        <v>863197.98000000091</v>
      </c>
      <c r="AV36" s="44">
        <v>254416.97000000006</v>
      </c>
      <c r="AW36" s="44">
        <v>-6144737.3700000001</v>
      </c>
      <c r="AX36" s="44">
        <v>240138.82000000015</v>
      </c>
      <c r="AY36" s="44">
        <v>819728.98999999987</v>
      </c>
      <c r="AZ36" s="44">
        <v>1199016.9300000002</v>
      </c>
      <c r="BA36" s="63">
        <v>50127211.330000021</v>
      </c>
      <c r="BB36" s="44">
        <v>50039407.32</v>
      </c>
      <c r="BC36" s="44">
        <v>456863.4599999999</v>
      </c>
      <c r="BD36" s="44">
        <v>-1019607.17</v>
      </c>
      <c r="BE36" s="44">
        <v>57711.540000000081</v>
      </c>
      <c r="BF36" s="44">
        <v>724398.17000000016</v>
      </c>
      <c r="BG36" s="44">
        <v>207467.28000000003</v>
      </c>
      <c r="BH36" s="44">
        <v>563138.88</v>
      </c>
      <c r="BI36" s="44">
        <v>-18895272.489999998</v>
      </c>
      <c r="BJ36" s="44">
        <v>417734.3299999999</v>
      </c>
      <c r="BK36" s="44">
        <v>-21890.540000000092</v>
      </c>
      <c r="BL36" s="44">
        <v>129136.57999999999</v>
      </c>
      <c r="BM36" s="44">
        <v>1943772.86</v>
      </c>
      <c r="BN36" s="63">
        <v>34602860.219999954</v>
      </c>
      <c r="BO36" s="44">
        <v>34618142.939999983</v>
      </c>
      <c r="BP36" s="44">
        <v>257753.52</v>
      </c>
      <c r="BQ36" s="44">
        <v>402977.2300000001</v>
      </c>
      <c r="BR36" s="44">
        <v>135305.33999999997</v>
      </c>
      <c r="BS36" s="44">
        <v>288538.43000000005</v>
      </c>
      <c r="BT36" s="44">
        <v>221087.55000000002</v>
      </c>
      <c r="BU36" s="44">
        <v>517707.10000000003</v>
      </c>
      <c r="BV36" s="44">
        <v>108167.01999999984</v>
      </c>
      <c r="BW36" s="44">
        <v>290794.16999999993</v>
      </c>
      <c r="BX36" s="44">
        <v>248169.48999999993</v>
      </c>
      <c r="BY36" s="44">
        <v>-124537.22000000013</v>
      </c>
      <c r="BZ36" s="44">
        <v>1756937.3700000006</v>
      </c>
      <c r="CA36" s="63">
        <v>38721042.940000035</v>
      </c>
      <c r="CB36" s="44">
        <v>38948708.630000003</v>
      </c>
      <c r="CC36" s="44">
        <v>234552.19999999998</v>
      </c>
      <c r="CD36" s="44">
        <v>303644.94000000006</v>
      </c>
      <c r="CE36" s="44">
        <v>-22089.55000000009</v>
      </c>
      <c r="CF36" s="44">
        <v>225635.21999999994</v>
      </c>
      <c r="CG36" s="44">
        <v>196356.61999999982</v>
      </c>
      <c r="CH36" s="44">
        <v>139698.50000000006</v>
      </c>
      <c r="CI36" s="44">
        <v>5804936.2499999991</v>
      </c>
      <c r="CJ36" s="44">
        <v>293598.31</v>
      </c>
      <c r="CK36" s="44">
        <v>127287.52999999988</v>
      </c>
      <c r="CL36" s="44">
        <v>112952.61999999995</v>
      </c>
      <c r="CM36" s="44">
        <v>-136606.76000000015</v>
      </c>
      <c r="CN36" s="63">
        <v>46228674.510000035</v>
      </c>
      <c r="CO36" s="44">
        <v>47062845.059999995</v>
      </c>
      <c r="CP36" s="44">
        <v>690013.13</v>
      </c>
      <c r="CQ36" s="44">
        <v>931358.97999999986</v>
      </c>
      <c r="CR36" s="44">
        <v>65345.209999999948</v>
      </c>
      <c r="CS36" s="44">
        <v>-2599940.41</v>
      </c>
      <c r="CT36" s="44">
        <v>230784.93</v>
      </c>
      <c r="CU36" s="44">
        <v>-78593.819999999949</v>
      </c>
      <c r="CV36" s="44">
        <v>-3705219.49</v>
      </c>
      <c r="CW36" s="44">
        <v>69472.650000000009</v>
      </c>
      <c r="CX36" s="44">
        <v>377366.47000000009</v>
      </c>
      <c r="CY36" s="44">
        <v>-179732.33000000007</v>
      </c>
      <c r="CZ36" s="44">
        <v>2588103.3599999994</v>
      </c>
      <c r="DA36" s="63">
        <v>45451803.740000017</v>
      </c>
      <c r="DB36" s="44">
        <f>+'EEFF historicoss'!AE39</f>
        <v>202484432.28</v>
      </c>
      <c r="DC36" s="44">
        <f>+'EEFF historicoss'!AF39</f>
        <v>204678078.66</v>
      </c>
      <c r="DD36" s="44">
        <f>+'EEFF historicoss'!AG39</f>
        <v>201399467.86000001</v>
      </c>
      <c r="DE36" s="44">
        <f>+'EEFF historicoss'!AH39</f>
        <v>207733553.13999999</v>
      </c>
      <c r="DF36" s="44">
        <f>+'EEFF historicoss'!AI39</f>
        <v>206446193.16999999</v>
      </c>
      <c r="DG36" s="44">
        <f>+'EEFF historicoss'!AJ39</f>
        <v>206893907.47</v>
      </c>
      <c r="DH36" s="44">
        <f>+'EEFF historicoss'!AK39</f>
        <v>235468006.78</v>
      </c>
      <c r="DI36" s="44">
        <f>+'EEFF historicoss'!AL39</f>
        <v>222428756.72</v>
      </c>
      <c r="DJ36" s="44">
        <f>+'EEFF historicoss'!AM39</f>
        <v>221487582.08000001</v>
      </c>
      <c r="DK36" s="44">
        <f>+'EEFF historicoss'!AN39</f>
        <v>223866504.13999999</v>
      </c>
      <c r="DL36" s="44">
        <f>+'EEFF historicoss'!AO39</f>
        <v>225824215.34</v>
      </c>
      <c r="DM36" s="44">
        <f>+'EEFF historicoss'!AP39</f>
        <v>245738275.00999999</v>
      </c>
    </row>
    <row r="37" spans="1:117" x14ac:dyDescent="0.3">
      <c r="A37" s="58" t="s">
        <v>266</v>
      </c>
      <c r="B37" s="59">
        <v>517388126.44000059</v>
      </c>
      <c r="C37" s="59">
        <v>-3697385.7300006524</v>
      </c>
      <c r="D37" s="59">
        <v>10573514.10999939</v>
      </c>
      <c r="E37" s="59">
        <v>4896472.0499996888</v>
      </c>
      <c r="F37" s="59">
        <v>-6236567.5600001402</v>
      </c>
      <c r="G37" s="59">
        <v>-11395631.410000345</v>
      </c>
      <c r="H37" s="59">
        <v>366400.98999968322</v>
      </c>
      <c r="I37" s="59">
        <v>-12136515.970000492</v>
      </c>
      <c r="J37" s="59">
        <v>-18585205.499999773</v>
      </c>
      <c r="K37" s="59">
        <v>-11459453.720000776</v>
      </c>
      <c r="L37" s="59">
        <v>-10837983.040000677</v>
      </c>
      <c r="M37" s="59">
        <v>-2151702.2000001501</v>
      </c>
      <c r="N37" s="60">
        <v>456724068.45999956</v>
      </c>
      <c r="O37" s="59">
        <v>446689010.24000001</v>
      </c>
      <c r="P37" s="59">
        <v>-24768143.970000289</v>
      </c>
      <c r="Q37" s="59">
        <v>-536923.46000058204</v>
      </c>
      <c r="R37" s="59">
        <v>8838518.5800000541</v>
      </c>
      <c r="S37" s="59">
        <v>21130745.219999667</v>
      </c>
      <c r="T37" s="59">
        <v>-24773072.810000814</v>
      </c>
      <c r="U37" s="59">
        <v>11965917.799999604</v>
      </c>
      <c r="V37" s="59">
        <v>10205972.899999799</v>
      </c>
      <c r="W37" s="59">
        <v>-795784.80999955826</v>
      </c>
      <c r="X37" s="59">
        <v>-5551493.5100000706</v>
      </c>
      <c r="Y37" s="59">
        <v>-7689404.5900000101</v>
      </c>
      <c r="Z37" s="59">
        <v>10182780.800000541</v>
      </c>
      <c r="AA37" s="60">
        <v>444898122.38999021</v>
      </c>
      <c r="AB37" s="59">
        <v>422842040.14000028</v>
      </c>
      <c r="AC37" s="59">
        <v>2871755.3000000729</v>
      </c>
      <c r="AD37" s="59">
        <v>-1207546.3300002532</v>
      </c>
      <c r="AE37" s="59">
        <v>10516823.699999839</v>
      </c>
      <c r="AF37" s="59">
        <v>7015851.130000052</v>
      </c>
      <c r="AG37" s="59">
        <v>3187308.3099997714</v>
      </c>
      <c r="AH37" s="59">
        <v>9295774.8899997994</v>
      </c>
      <c r="AI37" s="59">
        <v>3304150.0199999134</v>
      </c>
      <c r="AJ37" s="59">
        <v>-8769935.26000016</v>
      </c>
      <c r="AK37" s="59">
        <v>8013864.3899999028</v>
      </c>
      <c r="AL37" s="59">
        <v>-970996.47999980184</v>
      </c>
      <c r="AM37" s="59">
        <v>13539289.430000052</v>
      </c>
      <c r="AN37" s="60">
        <v>469638379.24000806</v>
      </c>
      <c r="AO37" s="59">
        <v>475215534.66000068</v>
      </c>
      <c r="AP37" s="59">
        <v>5369377.3199998746</v>
      </c>
      <c r="AQ37" s="59">
        <v>-3704019.7600000575</v>
      </c>
      <c r="AR37" s="59">
        <v>-11303910.150000202</v>
      </c>
      <c r="AS37" s="59">
        <v>4237550.0699999714</v>
      </c>
      <c r="AT37" s="59">
        <v>1945654.6399998846</v>
      </c>
      <c r="AU37" s="59">
        <v>26306717.67999975</v>
      </c>
      <c r="AV37" s="59">
        <v>-5785501.7800002042</v>
      </c>
      <c r="AW37" s="59">
        <v>24303768.350000519</v>
      </c>
      <c r="AX37" s="59">
        <v>-3950377.4500005823</v>
      </c>
      <c r="AY37" s="59">
        <v>7044552.0499999123</v>
      </c>
      <c r="AZ37" s="59">
        <v>-3326002.5899999402</v>
      </c>
      <c r="BA37" s="60">
        <v>516353343.04000729</v>
      </c>
      <c r="BB37" s="59">
        <v>523645234.55999994</v>
      </c>
      <c r="BC37" s="59">
        <v>448886.95000002906</v>
      </c>
      <c r="BD37" s="59">
        <v>-1737125.949999999</v>
      </c>
      <c r="BE37" s="59">
        <v>4480171.2500000121</v>
      </c>
      <c r="BF37" s="59">
        <v>-5762537.2700000061</v>
      </c>
      <c r="BG37" s="59">
        <v>-23367541.080000293</v>
      </c>
      <c r="BH37" s="59">
        <v>798516.38999989862</v>
      </c>
      <c r="BI37" s="59">
        <v>19940745.870000053</v>
      </c>
      <c r="BJ37" s="59">
        <v>-7806765.4199997624</v>
      </c>
      <c r="BK37" s="59">
        <v>-4488623.5100000557</v>
      </c>
      <c r="BL37" s="59">
        <v>-202182.50000009278</v>
      </c>
      <c r="BM37" s="59">
        <v>1228878.6600001627</v>
      </c>
      <c r="BN37" s="60">
        <v>507177657.95000231</v>
      </c>
      <c r="BO37" s="59">
        <v>497469086.88000023</v>
      </c>
      <c r="BP37" s="59">
        <v>-5463788.7299999595</v>
      </c>
      <c r="BQ37" s="59">
        <v>9571406.0900000185</v>
      </c>
      <c r="BR37" s="59">
        <v>-1778967.1399996567</v>
      </c>
      <c r="BS37" s="59">
        <v>4066636.9100000081</v>
      </c>
      <c r="BT37" s="59">
        <v>1167176.6900000107</v>
      </c>
      <c r="BU37" s="59">
        <v>2192181.6299999319</v>
      </c>
      <c r="BV37" s="59">
        <v>9418791.4100000877</v>
      </c>
      <c r="BW37" s="59">
        <v>-2578321.5199998007</v>
      </c>
      <c r="BX37" s="59">
        <v>-1632740.6199999533</v>
      </c>
      <c r="BY37" s="59">
        <v>831890.54000002635</v>
      </c>
      <c r="BZ37" s="59">
        <v>3682912.30999992</v>
      </c>
      <c r="CA37" s="60">
        <v>516946264.45000356</v>
      </c>
      <c r="CB37" s="59">
        <v>503142401.62000018</v>
      </c>
      <c r="CC37" s="59">
        <v>11727199.480000054</v>
      </c>
      <c r="CD37" s="59">
        <v>-16415920.150000056</v>
      </c>
      <c r="CE37" s="59">
        <v>8255281.6400000509</v>
      </c>
      <c r="CF37" s="59">
        <v>-40832.560000027217</v>
      </c>
      <c r="CG37" s="59">
        <v>2732285.4900001599</v>
      </c>
      <c r="CH37" s="59">
        <v>12557091.740000127</v>
      </c>
      <c r="CI37" s="59">
        <v>2161359.1400000704</v>
      </c>
      <c r="CJ37" s="59">
        <v>-11321795.280000038</v>
      </c>
      <c r="CK37" s="59">
        <v>-15018975.189999871</v>
      </c>
      <c r="CL37" s="59">
        <v>-1763341.8099999502</v>
      </c>
      <c r="CM37" s="59">
        <v>-6804752.5599998869</v>
      </c>
      <c r="CN37" s="60">
        <v>489210001.56000018</v>
      </c>
      <c r="CO37" s="59">
        <v>492301949.26000005</v>
      </c>
      <c r="CP37" s="59">
        <v>4788704.0799999805</v>
      </c>
      <c r="CQ37" s="59">
        <v>-488380.30000008276</v>
      </c>
      <c r="CR37" s="59">
        <v>7443557.9599999152</v>
      </c>
      <c r="CS37" s="59">
        <v>-679298.70999999682</v>
      </c>
      <c r="CT37" s="59">
        <v>8073339.5699999798</v>
      </c>
      <c r="CU37" s="59">
        <v>1896139.490000081</v>
      </c>
      <c r="CV37" s="59">
        <v>2493057.630000154</v>
      </c>
      <c r="CW37" s="59">
        <v>-435178.83000023058</v>
      </c>
      <c r="CX37" s="59">
        <v>-6303553.5099999327</v>
      </c>
      <c r="CY37" s="59">
        <v>6455797.8099999391</v>
      </c>
      <c r="CZ37" s="59">
        <v>-2495175.4000001312</v>
      </c>
      <c r="DA37" s="60">
        <v>513050959.04999846</v>
      </c>
    </row>
    <row r="38" spans="1:117" x14ac:dyDescent="0.3">
      <c r="A38" s="61" t="s">
        <v>267</v>
      </c>
      <c r="B38" s="62">
        <v>174262937.76999912</v>
      </c>
      <c r="C38" s="62">
        <v>6105137.419999361</v>
      </c>
      <c r="D38" s="62">
        <v>18895576.369999424</v>
      </c>
      <c r="E38" s="62">
        <v>10117275.359999642</v>
      </c>
      <c r="F38" s="62">
        <v>10504513.499999836</v>
      </c>
      <c r="G38" s="62">
        <v>9433146.4599999841</v>
      </c>
      <c r="H38" s="62">
        <v>3354938.2299996926</v>
      </c>
      <c r="I38" s="62">
        <v>-10703633.730000421</v>
      </c>
      <c r="J38" s="62">
        <v>-29804478.799999792</v>
      </c>
      <c r="K38" s="62">
        <v>-5638812.3700009827</v>
      </c>
      <c r="L38" s="62">
        <v>-2688483.5399999339</v>
      </c>
      <c r="M38" s="62">
        <v>13164915.170000112</v>
      </c>
      <c r="N38" s="63">
        <v>197003031.83999348</v>
      </c>
      <c r="O38" s="62">
        <v>190397873.12000039</v>
      </c>
      <c r="P38" s="62">
        <v>-20626576.01000027</v>
      </c>
      <c r="Q38" s="62">
        <v>-2856174.7700005919</v>
      </c>
      <c r="R38" s="62">
        <v>9183914.4600001071</v>
      </c>
      <c r="S38" s="62">
        <v>10274959.119999513</v>
      </c>
      <c r="T38" s="62">
        <v>-26149320.070000835</v>
      </c>
      <c r="U38" s="62">
        <v>15362940.590000086</v>
      </c>
      <c r="V38" s="62">
        <v>-5648153.5300005255</v>
      </c>
      <c r="W38" s="62">
        <v>-64865719.809999831</v>
      </c>
      <c r="X38" s="62">
        <v>-6467630.3800000707</v>
      </c>
      <c r="Y38" s="62">
        <v>-6689191.3899999876</v>
      </c>
      <c r="Z38" s="62">
        <v>110878705.98999996</v>
      </c>
      <c r="AA38" s="63">
        <v>202795627.32000202</v>
      </c>
      <c r="AB38" s="62">
        <v>179957838.90999925</v>
      </c>
      <c r="AC38" s="62">
        <v>-10491149.879999969</v>
      </c>
      <c r="AD38" s="62">
        <v>-18674343.910000183</v>
      </c>
      <c r="AE38" s="62">
        <v>4657315.2599998256</v>
      </c>
      <c r="AF38" s="62">
        <v>4932304.0400000447</v>
      </c>
      <c r="AG38" s="62">
        <v>-881132.17000029562</v>
      </c>
      <c r="AH38" s="62">
        <v>8473178.1999997757</v>
      </c>
      <c r="AI38" s="62">
        <v>-435983.24000005145</v>
      </c>
      <c r="AJ38" s="62">
        <v>-29279403.600000229</v>
      </c>
      <c r="AK38" s="62">
        <v>2608785.1599999135</v>
      </c>
      <c r="AL38" s="62">
        <v>-22032709.989999801</v>
      </c>
      <c r="AM38" s="62">
        <v>114227973.04000014</v>
      </c>
      <c r="AN38" s="63">
        <v>233062671.81999159</v>
      </c>
      <c r="AO38" s="62">
        <v>132163171.58000043</v>
      </c>
      <c r="AP38" s="62">
        <v>4293240.6199998669</v>
      </c>
      <c r="AQ38" s="62">
        <v>-3266103.6100000534</v>
      </c>
      <c r="AR38" s="62">
        <v>-7813098.6500000702</v>
      </c>
      <c r="AS38" s="62">
        <v>5114188.4699999802</v>
      </c>
      <c r="AT38" s="62">
        <v>-10654372.36000013</v>
      </c>
      <c r="AU38" s="62">
        <v>-1429715.9900003585</v>
      </c>
      <c r="AV38" s="62">
        <v>-4445329.950000097</v>
      </c>
      <c r="AW38" s="62">
        <v>-11716087.070000362</v>
      </c>
      <c r="AX38" s="62">
        <v>3001481.539999783</v>
      </c>
      <c r="AY38" s="62">
        <v>6925759.0699998867</v>
      </c>
      <c r="AZ38" s="62">
        <v>54592395.81000001</v>
      </c>
      <c r="BA38" s="63">
        <v>166765529.46000668</v>
      </c>
      <c r="BB38" s="62">
        <v>172719643.53000024</v>
      </c>
      <c r="BC38" s="62">
        <v>-4116705.349999967</v>
      </c>
      <c r="BD38" s="62">
        <v>-23136245.330000009</v>
      </c>
      <c r="BE38" s="62">
        <v>3977009.5200000587</v>
      </c>
      <c r="BF38" s="62">
        <v>-7112154.9300000053</v>
      </c>
      <c r="BG38" s="62">
        <v>-22233909.340000223</v>
      </c>
      <c r="BH38" s="62">
        <v>529165.90999984671</v>
      </c>
      <c r="BI38" s="62">
        <v>21200462.370000049</v>
      </c>
      <c r="BJ38" s="62">
        <v>-10648342.549999829</v>
      </c>
      <c r="BK38" s="62">
        <v>-5063523.440000046</v>
      </c>
      <c r="BL38" s="62">
        <v>-5211101.8600000842</v>
      </c>
      <c r="BM38" s="62">
        <v>63230613.119999982</v>
      </c>
      <c r="BN38" s="63">
        <v>184134911.65000245</v>
      </c>
      <c r="BO38" s="62">
        <v>184117698.93000001</v>
      </c>
      <c r="BP38" s="62">
        <v>-8175889.5099999448</v>
      </c>
      <c r="BQ38" s="62">
        <v>-18530810.5</v>
      </c>
      <c r="BR38" s="62">
        <v>-12529201.260000121</v>
      </c>
      <c r="BS38" s="62">
        <v>5480960.7399999797</v>
      </c>
      <c r="BT38" s="62">
        <v>3667239.0099999434</v>
      </c>
      <c r="BU38" s="62">
        <v>-4598863.5400000727</v>
      </c>
      <c r="BV38" s="62">
        <v>8307657.3800000753</v>
      </c>
      <c r="BW38" s="62">
        <v>-4997222.7499999944</v>
      </c>
      <c r="BX38" s="62">
        <v>573064.67000000004</v>
      </c>
      <c r="BY38" s="62">
        <v>-1634175.2699999493</v>
      </c>
      <c r="BZ38" s="62">
        <v>34791198.219999947</v>
      </c>
      <c r="CA38" s="63">
        <v>186471656.12000155</v>
      </c>
      <c r="CB38" s="62">
        <v>172183983.19000009</v>
      </c>
      <c r="CC38" s="62">
        <v>7280221.3100000583</v>
      </c>
      <c r="CD38" s="62">
        <v>-22341005.280000053</v>
      </c>
      <c r="CE38" s="62">
        <v>7278220.3300000364</v>
      </c>
      <c r="CF38" s="62">
        <v>-9043546.7900000419</v>
      </c>
      <c r="CG38" s="62">
        <v>-10261320.119999861</v>
      </c>
      <c r="CH38" s="62">
        <v>12321181.660000112</v>
      </c>
      <c r="CI38" s="62">
        <v>3894149.1700000921</v>
      </c>
      <c r="CJ38" s="62">
        <v>-31315853.300000057</v>
      </c>
      <c r="CK38" s="62">
        <v>-15432633.409999857</v>
      </c>
      <c r="CL38" s="62">
        <v>-2160514.5199999665</v>
      </c>
      <c r="CM38" s="62">
        <v>123428993.45000015</v>
      </c>
      <c r="CN38" s="63">
        <v>235831875.6900053</v>
      </c>
      <c r="CO38" s="62">
        <v>200940878.72999996</v>
      </c>
      <c r="CP38" s="62">
        <v>3486324.4099999852</v>
      </c>
      <c r="CQ38" s="62">
        <v>-2394235.3400000795</v>
      </c>
      <c r="CR38" s="62">
        <v>5313276.3999999128</v>
      </c>
      <c r="CS38" s="62">
        <v>-420351.12999999529</v>
      </c>
      <c r="CT38" s="62">
        <v>-4888185.8800000288</v>
      </c>
      <c r="CU38" s="62">
        <v>1259302.7800001043</v>
      </c>
      <c r="CV38" s="62">
        <v>1475327.7300001536</v>
      </c>
      <c r="CW38" s="62">
        <v>-2635398.910000084</v>
      </c>
      <c r="CX38" s="62">
        <v>-7120633.2499999385</v>
      </c>
      <c r="CY38" s="62">
        <v>5746815.3199999342</v>
      </c>
      <c r="CZ38" s="62">
        <v>91741148.529999956</v>
      </c>
      <c r="DA38" s="63">
        <v>292504269.38999701</v>
      </c>
    </row>
    <row r="39" spans="1:117" x14ac:dyDescent="0.3">
      <c r="A39" s="43" t="s">
        <v>268</v>
      </c>
      <c r="B39" s="44">
        <v>66963221.229999997</v>
      </c>
      <c r="C39" s="44">
        <v>-131288.98999999982</v>
      </c>
      <c r="D39" s="44">
        <v>4072492.0200000005</v>
      </c>
      <c r="E39" s="44">
        <v>-2837647.32</v>
      </c>
      <c r="F39" s="44">
        <v>-4388636.3700000057</v>
      </c>
      <c r="G39" s="44">
        <v>-2312550.9500000025</v>
      </c>
      <c r="H39" s="44">
        <v>-2795496.2199999988</v>
      </c>
      <c r="I39" s="44">
        <v>-12198842.84999999</v>
      </c>
      <c r="J39" s="44">
        <v>6202084.5700000003</v>
      </c>
      <c r="K39" s="44">
        <v>-2729959.7</v>
      </c>
      <c r="L39" s="44">
        <v>-2051876.4300000016</v>
      </c>
      <c r="M39" s="44">
        <v>1478100.2200000004</v>
      </c>
      <c r="N39" s="63">
        <v>49269599.209999889</v>
      </c>
      <c r="O39" s="44">
        <v>45464582.320000008</v>
      </c>
      <c r="P39" s="44">
        <v>-5164832.8600000013</v>
      </c>
      <c r="Q39" s="44">
        <v>1100179.7299999993</v>
      </c>
      <c r="R39" s="44">
        <v>-3111400.92</v>
      </c>
      <c r="S39" s="44">
        <v>-2443833.810000001</v>
      </c>
      <c r="T39" s="44">
        <v>-3889498.42</v>
      </c>
      <c r="U39" s="44">
        <v>-613588.51000000024</v>
      </c>
      <c r="V39" s="44">
        <v>-9747437.4499999974</v>
      </c>
      <c r="W39" s="44">
        <v>4273397.1599999983</v>
      </c>
      <c r="X39" s="44">
        <v>41459.509999999951</v>
      </c>
      <c r="Y39" s="44">
        <v>-8085155.8100000108</v>
      </c>
      <c r="Z39" s="44">
        <v>93606525.040000007</v>
      </c>
      <c r="AA39" s="63">
        <v>111430395.98000011</v>
      </c>
      <c r="AB39" s="44">
        <v>111444437.13999999</v>
      </c>
      <c r="AC39" s="44">
        <v>-857100.64000000118</v>
      </c>
      <c r="AD39" s="44">
        <v>-18209078.640000001</v>
      </c>
      <c r="AE39" s="44">
        <v>-2106414.8699999996</v>
      </c>
      <c r="AF39" s="44">
        <v>-6427491.4899999956</v>
      </c>
      <c r="AG39" s="44">
        <v>-14368220.67</v>
      </c>
      <c r="AH39" s="44">
        <v>78305.319999999905</v>
      </c>
      <c r="AI39" s="44">
        <v>-9908930.2400000077</v>
      </c>
      <c r="AJ39" s="44">
        <v>-17606221.749999993</v>
      </c>
      <c r="AK39" s="44">
        <v>-254205.41000000012</v>
      </c>
      <c r="AL39" s="44">
        <v>-26101240.319999997</v>
      </c>
      <c r="AM39" s="44">
        <v>106655791.92999999</v>
      </c>
      <c r="AN39" s="63">
        <v>122339630.36000003</v>
      </c>
      <c r="AO39" s="44">
        <v>48325827.710000001</v>
      </c>
      <c r="AP39" s="44">
        <v>1141759.2599999993</v>
      </c>
      <c r="AQ39" s="44">
        <v>-5936319.9100000029</v>
      </c>
      <c r="AR39" s="44">
        <v>-6288642.1699999971</v>
      </c>
      <c r="AS39" s="44">
        <v>1116551.3900000001</v>
      </c>
      <c r="AT39" s="44">
        <v>-11689304.109999992</v>
      </c>
      <c r="AU39" s="44">
        <v>-5126691.929999995</v>
      </c>
      <c r="AV39" s="44">
        <v>451208.35999999987</v>
      </c>
      <c r="AW39" s="44">
        <v>-12201796.580000004</v>
      </c>
      <c r="AX39" s="44">
        <v>-6081041.9900000012</v>
      </c>
      <c r="AY39" s="44">
        <v>1427319.3</v>
      </c>
      <c r="AZ39" s="44">
        <v>44261341.980000004</v>
      </c>
      <c r="BA39" s="63">
        <v>49400211.309999928</v>
      </c>
      <c r="BB39" s="44">
        <v>47780275.830000006</v>
      </c>
      <c r="BC39" s="44">
        <v>3290208.61</v>
      </c>
      <c r="BD39" s="44">
        <v>-14963773.370000001</v>
      </c>
      <c r="BE39" s="44">
        <v>848355.09999999928</v>
      </c>
      <c r="BF39" s="44">
        <v>1464056.91</v>
      </c>
      <c r="BG39" s="44">
        <v>-5143622.330000001</v>
      </c>
      <c r="BH39" s="44">
        <v>1720848.2999999998</v>
      </c>
      <c r="BI39" s="44">
        <v>1911696.82</v>
      </c>
      <c r="BJ39" s="44">
        <v>771135.19000000006</v>
      </c>
      <c r="BK39" s="44">
        <v>-9591345.8499999922</v>
      </c>
      <c r="BL39" s="44">
        <v>1082092.76</v>
      </c>
      <c r="BM39" s="44">
        <v>56048300.45000004</v>
      </c>
      <c r="BN39" s="63">
        <v>85218228.419999987</v>
      </c>
      <c r="BO39" s="44">
        <v>76761612.800000012</v>
      </c>
      <c r="BP39" s="44">
        <v>200334.38</v>
      </c>
      <c r="BQ39" s="44">
        <v>-14057798.499999998</v>
      </c>
      <c r="BR39" s="44">
        <v>-12162399.780000005</v>
      </c>
      <c r="BS39" s="44">
        <v>804091.36</v>
      </c>
      <c r="BT39" s="44">
        <v>-127820.74000000005</v>
      </c>
      <c r="BU39" s="44">
        <v>-7693490.2000000002</v>
      </c>
      <c r="BV39" s="44">
        <v>-605153.92000000039</v>
      </c>
      <c r="BW39" s="44">
        <v>-5896378.0500000007</v>
      </c>
      <c r="BX39" s="44">
        <v>262722.16999999993</v>
      </c>
      <c r="BY39" s="44">
        <v>-2869771.3100000005</v>
      </c>
      <c r="BZ39" s="44">
        <v>31162605.740000002</v>
      </c>
      <c r="CA39" s="63">
        <v>65778553.950000115</v>
      </c>
      <c r="CB39" s="44">
        <v>64490571.88000001</v>
      </c>
      <c r="CC39" s="44">
        <v>-2991561.2700000028</v>
      </c>
      <c r="CD39" s="44">
        <v>-6553122.6099999975</v>
      </c>
      <c r="CE39" s="44">
        <v>-2488690.6399999978</v>
      </c>
      <c r="CF39" s="44">
        <v>-11825874.760000002</v>
      </c>
      <c r="CG39" s="44">
        <v>-11755528.260000004</v>
      </c>
      <c r="CH39" s="44">
        <v>-2603594.3399999994</v>
      </c>
      <c r="CI39" s="44">
        <v>-54789.219999999827</v>
      </c>
      <c r="CJ39" s="44">
        <v>-19625619.359999992</v>
      </c>
      <c r="CK39" s="44">
        <v>-2127239.62</v>
      </c>
      <c r="CL39" s="44">
        <v>-795705.49999999988</v>
      </c>
      <c r="CM39" s="44">
        <v>122268459.61999997</v>
      </c>
      <c r="CN39" s="63">
        <v>125937305.91999988</v>
      </c>
      <c r="CO39" s="44">
        <v>86693082.25999999</v>
      </c>
      <c r="CP39" s="44">
        <v>-902533.75999999978</v>
      </c>
      <c r="CQ39" s="44">
        <v>329333.7</v>
      </c>
      <c r="CR39" s="44">
        <v>-4321973.3999999985</v>
      </c>
      <c r="CS39" s="44">
        <v>374275.14999999991</v>
      </c>
      <c r="CT39" s="44">
        <v>-13335915.279999999</v>
      </c>
      <c r="CU39" s="44">
        <v>-1466121.5900000008</v>
      </c>
      <c r="CV39" s="44">
        <v>1139997.6499999999</v>
      </c>
      <c r="CW39" s="44">
        <v>-3856067.620000001</v>
      </c>
      <c r="CX39" s="44">
        <v>102273.87999999971</v>
      </c>
      <c r="CY39" s="44">
        <v>296033.61999999994</v>
      </c>
      <c r="CZ39" s="44">
        <v>92933174.420000002</v>
      </c>
      <c r="DA39" s="63">
        <v>157985559.03000003</v>
      </c>
      <c r="DB39" s="44">
        <f>+'EEFF historicoss'!AE45</f>
        <v>157466210.15000001</v>
      </c>
      <c r="DC39" s="44">
        <f>+'EEFF historicoss'!AF45</f>
        <v>157614200.46000001</v>
      </c>
      <c r="DD39" s="44">
        <f>+'EEFF historicoss'!AG45</f>
        <v>157301125.74000001</v>
      </c>
      <c r="DE39" s="44">
        <f>+'EEFF historicoss'!AH45</f>
        <v>155724430.13</v>
      </c>
      <c r="DF39" s="44">
        <f>+'EEFF historicoss'!AI45</f>
        <v>38013624.460000001</v>
      </c>
      <c r="DG39" s="44">
        <f>+'EEFF historicoss'!AJ45</f>
        <v>37397831.950000003</v>
      </c>
      <c r="DH39" s="44">
        <f>+'EEFF historicoss'!AK45</f>
        <v>14393185.32</v>
      </c>
      <c r="DI39" s="44">
        <f>+'EEFF historicoss'!AL45</f>
        <v>14122143.859999999</v>
      </c>
      <c r="DJ39" s="44">
        <f>+'EEFF historicoss'!AM45</f>
        <v>11319759.359999999</v>
      </c>
      <c r="DK39" s="44">
        <f>+'EEFF historicoss'!AN45</f>
        <v>8036301</v>
      </c>
      <c r="DL39" s="44">
        <f>+'EEFF historicoss'!AO45</f>
        <v>4022779.71</v>
      </c>
      <c r="DM39" s="44">
        <f>+'EEFF historicoss'!AP45</f>
        <v>55901487.469999999</v>
      </c>
    </row>
    <row r="40" spans="1:117" x14ac:dyDescent="0.3">
      <c r="A40" s="43" t="s">
        <v>99</v>
      </c>
      <c r="B40" s="44">
        <v>32521971.730000246</v>
      </c>
      <c r="C40" s="44">
        <v>179701.66000012588</v>
      </c>
      <c r="D40" s="44">
        <v>7792090.2200001422</v>
      </c>
      <c r="E40" s="44">
        <v>1526300.7300000836</v>
      </c>
      <c r="F40" s="44">
        <v>8036385.3500000574</v>
      </c>
      <c r="G40" s="44">
        <v>7488330.4999997541</v>
      </c>
      <c r="H40" s="44">
        <v>1206214.6900000265</v>
      </c>
      <c r="I40" s="44">
        <v>-4989440.2299999716</v>
      </c>
      <c r="J40" s="44">
        <v>-572696.08999989252</v>
      </c>
      <c r="K40" s="44">
        <v>-8110996.8999997359</v>
      </c>
      <c r="L40" s="44">
        <v>-4869104.8899998311</v>
      </c>
      <c r="M40" s="44">
        <v>540977.89000006625</v>
      </c>
      <c r="N40" s="63">
        <v>40749734.659998812</v>
      </c>
      <c r="O40" s="44">
        <v>32461084.65000011</v>
      </c>
      <c r="P40" s="44">
        <v>-2060767.7399999113</v>
      </c>
      <c r="Q40" s="44">
        <v>-3551687.7499998729</v>
      </c>
      <c r="R40" s="44">
        <v>6615001.3099999707</v>
      </c>
      <c r="S40" s="44">
        <v>8834121.6600001231</v>
      </c>
      <c r="T40" s="44">
        <v>-1627522.1299998551</v>
      </c>
      <c r="U40" s="44">
        <v>12606852.440000078</v>
      </c>
      <c r="V40" s="44">
        <v>2557033.5500000282</v>
      </c>
      <c r="W40" s="44">
        <v>-1897651.8699998991</v>
      </c>
      <c r="X40" s="44">
        <v>-6953573.149999951</v>
      </c>
      <c r="Y40" s="44">
        <v>-866839.36999999383</v>
      </c>
      <c r="Z40" s="44">
        <v>2343124.1300000171</v>
      </c>
      <c r="AA40" s="63">
        <v>48459175.729999118</v>
      </c>
      <c r="AB40" s="44">
        <v>30203006.259999953</v>
      </c>
      <c r="AC40" s="44">
        <v>-2544562.4399999706</v>
      </c>
      <c r="AD40" s="44">
        <v>-311325.74999985145</v>
      </c>
      <c r="AE40" s="44">
        <v>-3244969.1499999692</v>
      </c>
      <c r="AF40" s="44">
        <v>10868425.810000023</v>
      </c>
      <c r="AG40" s="44">
        <v>12699657.190000037</v>
      </c>
      <c r="AH40" s="44">
        <v>2842898.7900000568</v>
      </c>
      <c r="AI40" s="44">
        <v>4221341.270000034</v>
      </c>
      <c r="AJ40" s="44">
        <v>7569542.0600000974</v>
      </c>
      <c r="AK40" s="44">
        <v>966387.72000008472</v>
      </c>
      <c r="AL40" s="44">
        <v>2232118.3799999817</v>
      </c>
      <c r="AM40" s="44">
        <v>2846999.1100000106</v>
      </c>
      <c r="AN40" s="63">
        <v>68349519.250000715</v>
      </c>
      <c r="AO40" s="44">
        <v>43423989.719999954</v>
      </c>
      <c r="AP40" s="44">
        <v>-1257090.7699999732</v>
      </c>
      <c r="AQ40" s="44">
        <v>2680679.1899999855</v>
      </c>
      <c r="AR40" s="44">
        <v>-3426732.6399999643</v>
      </c>
      <c r="AS40" s="44">
        <v>3109313.9000000353</v>
      </c>
      <c r="AT40" s="44">
        <v>9273471.500000082</v>
      </c>
      <c r="AU40" s="44">
        <v>1907716.4800000959</v>
      </c>
      <c r="AV40" s="44">
        <v>-5847713.9799999082</v>
      </c>
      <c r="AW40" s="44">
        <v>6331542.6200001752</v>
      </c>
      <c r="AX40" s="44">
        <v>9571519.4700001031</v>
      </c>
      <c r="AY40" s="44">
        <v>5739162.679999996</v>
      </c>
      <c r="AZ40" s="44">
        <v>7699960.5699999928</v>
      </c>
      <c r="BA40" s="63">
        <v>79205818.740001038</v>
      </c>
      <c r="BB40" s="44">
        <v>79366012.680000067</v>
      </c>
      <c r="BC40" s="44">
        <v>-8572885.5899999831</v>
      </c>
      <c r="BD40" s="44">
        <v>-8839470.3399999831</v>
      </c>
      <c r="BE40" s="44">
        <v>-1029601.3800000143</v>
      </c>
      <c r="BF40" s="44">
        <v>899327.82000002498</v>
      </c>
      <c r="BG40" s="44">
        <v>-10108023.089999976</v>
      </c>
      <c r="BH40" s="44">
        <v>459154.06000000995</v>
      </c>
      <c r="BI40" s="44">
        <v>17415290.560000069</v>
      </c>
      <c r="BJ40" s="44">
        <v>-4695304.439999979</v>
      </c>
      <c r="BK40" s="44">
        <v>-5097441.2799999816</v>
      </c>
      <c r="BL40" s="44">
        <v>-5050027.6699999934</v>
      </c>
      <c r="BM40" s="44">
        <v>4647172.9799999846</v>
      </c>
      <c r="BN40" s="63">
        <v>59394204.310000889</v>
      </c>
      <c r="BO40" s="44">
        <v>60300665.630000018</v>
      </c>
      <c r="BP40" s="44">
        <v>-8539138.1300000008</v>
      </c>
      <c r="BQ40" s="44">
        <v>1989663.6300000031</v>
      </c>
      <c r="BR40" s="44">
        <v>93900.229999974079</v>
      </c>
      <c r="BS40" s="44">
        <v>4277885.2900000121</v>
      </c>
      <c r="BT40" s="44">
        <v>3816813.8099999968</v>
      </c>
      <c r="BU40" s="44">
        <v>2299068.609999923</v>
      </c>
      <c r="BV40" s="44">
        <v>1705685.7600000249</v>
      </c>
      <c r="BW40" s="44">
        <v>4084635.9700000021</v>
      </c>
      <c r="BX40" s="44">
        <v>-3122182.9100000081</v>
      </c>
      <c r="BY40" s="44">
        <v>1216962.2100000051</v>
      </c>
      <c r="BZ40" s="44">
        <v>-3445806.4200000004</v>
      </c>
      <c r="CA40" s="63">
        <v>64678153.680000424</v>
      </c>
      <c r="CB40" s="44">
        <v>56664068.629999988</v>
      </c>
      <c r="CC40" s="44">
        <v>-6883140.9900000049</v>
      </c>
      <c r="CD40" s="44">
        <v>-5953439.1000000406</v>
      </c>
      <c r="CE40" s="44">
        <v>9107648.6799999941</v>
      </c>
      <c r="CF40" s="44">
        <v>6308059.0999999968</v>
      </c>
      <c r="CG40" s="44">
        <v>258851.47999981255</v>
      </c>
      <c r="CH40" s="44">
        <v>12164516.260000076</v>
      </c>
      <c r="CI40" s="44">
        <v>4915592.7799999882</v>
      </c>
      <c r="CJ40" s="44">
        <v>-4689504.8200000254</v>
      </c>
      <c r="CK40" s="44">
        <v>-8927796.5000000037</v>
      </c>
      <c r="CL40" s="44">
        <v>-1427954.1200000022</v>
      </c>
      <c r="CM40" s="44">
        <v>-2854170.3700000192</v>
      </c>
      <c r="CN40" s="63">
        <v>58682731.030000582</v>
      </c>
      <c r="CO40" s="44">
        <v>62291980.449999988</v>
      </c>
      <c r="CP40" s="44">
        <v>1612422.1800000076</v>
      </c>
      <c r="CQ40" s="44">
        <v>1473006.7799999886</v>
      </c>
      <c r="CR40" s="44">
        <v>9134233.2500000205</v>
      </c>
      <c r="CS40" s="44">
        <v>4054443.9800000293</v>
      </c>
      <c r="CT40" s="44">
        <v>4632137.0500000641</v>
      </c>
      <c r="CU40" s="44">
        <v>2867859.9400000055</v>
      </c>
      <c r="CV40" s="44">
        <v>16177301.530000027</v>
      </c>
      <c r="CW40" s="44">
        <v>-1090709.059999923</v>
      </c>
      <c r="CX40" s="44">
        <v>-10959381.489999976</v>
      </c>
      <c r="CY40" s="44">
        <v>5533910.6200000206</v>
      </c>
      <c r="CZ40" s="44">
        <v>-1857801.100000011</v>
      </c>
      <c r="DA40" s="63">
        <v>93869404.130003139</v>
      </c>
      <c r="DB40" s="44">
        <f>+'EEFF historicoss'!AE43+'EEFF historicoss'!AE44</f>
        <v>94400228.799999997</v>
      </c>
      <c r="DC40" s="44">
        <f>+'EEFF historicoss'!AF43+'EEFF historicoss'!AF44</f>
        <v>87198359.659999996</v>
      </c>
      <c r="DD40" s="44">
        <f>+'EEFF historicoss'!AG43+'EEFF historicoss'!AG44</f>
        <v>93325083.519999996</v>
      </c>
      <c r="DE40" s="44">
        <f>+'EEFF historicoss'!AH43+'EEFF historicoss'!AH44</f>
        <v>100466424.84999999</v>
      </c>
      <c r="DF40" s="44">
        <f>+'EEFF historicoss'!AI43+'EEFF historicoss'!AI44</f>
        <v>99071856.049999997</v>
      </c>
      <c r="DG40" s="44">
        <f>+'EEFF historicoss'!AJ43+'EEFF historicoss'!AJ44</f>
        <v>99994238.329999998</v>
      </c>
      <c r="DH40" s="44">
        <f>+'EEFF historicoss'!AK43+'EEFF historicoss'!AK44</f>
        <v>98781638.070000008</v>
      </c>
      <c r="DI40" s="44">
        <f>+'EEFF historicoss'!AL43+'EEFF historicoss'!AL44</f>
        <v>89017182.310000002</v>
      </c>
      <c r="DJ40" s="44">
        <f>+'EEFF historicoss'!AM43+'EEFF historicoss'!AM44</f>
        <v>89443900.5</v>
      </c>
      <c r="DK40" s="44">
        <f>+'EEFF historicoss'!AN43+'EEFF historicoss'!AN44</f>
        <v>91670360.599999994</v>
      </c>
      <c r="DL40" s="44">
        <f>+'EEFF historicoss'!AO43+'EEFF historicoss'!AO44</f>
        <v>83796667.349999994</v>
      </c>
      <c r="DM40" s="44">
        <f>+'EEFF historicoss'!AP43+'EEFF historicoss'!AP44</f>
        <v>80218725.890000001</v>
      </c>
    </row>
    <row r="41" spans="1:117" x14ac:dyDescent="0.3">
      <c r="A41" s="43" t="s">
        <v>269</v>
      </c>
      <c r="B41" s="44">
        <v>25224796.96000006</v>
      </c>
      <c r="C41" s="44">
        <v>6277881.2400000039</v>
      </c>
      <c r="D41" s="44">
        <v>6206319.9899999993</v>
      </c>
      <c r="E41" s="44">
        <v>5262359.4799999986</v>
      </c>
      <c r="F41" s="44">
        <v>7484558.4799999995</v>
      </c>
      <c r="G41" s="44">
        <v>7349942.2400000021</v>
      </c>
      <c r="H41" s="44">
        <v>6183351.1100000022</v>
      </c>
      <c r="I41" s="44">
        <v>6081485.8199999994</v>
      </c>
      <c r="J41" s="44">
        <v>-39593918.969999991</v>
      </c>
      <c r="K41" s="44">
        <v>6477821.0700000012</v>
      </c>
      <c r="L41" s="44">
        <v>4601877.839999998</v>
      </c>
      <c r="M41" s="44">
        <v>11658727.529999999</v>
      </c>
      <c r="N41" s="63">
        <v>53215202.789999656</v>
      </c>
      <c r="O41" s="44">
        <v>58819018.239999995</v>
      </c>
      <c r="P41" s="44">
        <v>-14215131.970000004</v>
      </c>
      <c r="Q41" s="44">
        <v>-4627113.5000000065</v>
      </c>
      <c r="R41" s="44">
        <v>4873534.0199999949</v>
      </c>
      <c r="S41" s="44">
        <v>6834036.6800000053</v>
      </c>
      <c r="T41" s="44">
        <v>-20177825.930000007</v>
      </c>
      <c r="U41" s="44">
        <v>3442919.4600000004</v>
      </c>
      <c r="V41" s="44">
        <v>859938.04000000271</v>
      </c>
      <c r="W41" s="44">
        <v>-16072200.589999998</v>
      </c>
      <c r="X41" s="44">
        <v>1814336.2300000049</v>
      </c>
      <c r="Y41" s="44">
        <v>2926619.2599999984</v>
      </c>
      <c r="Z41" s="44">
        <v>13249381.119999997</v>
      </c>
      <c r="AA41" s="63">
        <v>37727511.060000353</v>
      </c>
      <c r="AB41" s="44">
        <v>32964357.269999996</v>
      </c>
      <c r="AC41" s="44">
        <v>-6540940.0300000031</v>
      </c>
      <c r="AD41" s="44">
        <v>-2498056.9799999939</v>
      </c>
      <c r="AE41" s="44">
        <v>4218274.2199999988</v>
      </c>
      <c r="AF41" s="44">
        <v>1911221.2400000033</v>
      </c>
      <c r="AG41" s="44">
        <v>2099991.5199999972</v>
      </c>
      <c r="AH41" s="44">
        <v>2242595.9099999988</v>
      </c>
      <c r="AI41" s="44">
        <v>2930751.8499999973</v>
      </c>
      <c r="AJ41" s="44">
        <v>-18579210.730000012</v>
      </c>
      <c r="AK41" s="44">
        <v>2662325.8900000076</v>
      </c>
      <c r="AL41" s="44">
        <v>2268079.650000005</v>
      </c>
      <c r="AM41" s="44">
        <v>8895308.6799999792</v>
      </c>
      <c r="AN41" s="63">
        <v>32574698.489999928</v>
      </c>
      <c r="AO41" s="44">
        <v>27607198.23</v>
      </c>
      <c r="AP41" s="44">
        <v>1075741.4100000008</v>
      </c>
      <c r="AQ41" s="44">
        <v>208676.40999999619</v>
      </c>
      <c r="AR41" s="44">
        <v>1068680.8199999963</v>
      </c>
      <c r="AS41" s="44">
        <v>1782819.1700000016</v>
      </c>
      <c r="AT41" s="44">
        <v>-5816051.7600000007</v>
      </c>
      <c r="AU41" s="44">
        <v>1850472.0499999975</v>
      </c>
      <c r="AV41" s="44">
        <v>273065.13999999728</v>
      </c>
      <c r="AW41" s="44">
        <v>-9952867.50999997</v>
      </c>
      <c r="AX41" s="44">
        <v>1315490.080000001</v>
      </c>
      <c r="AY41" s="44">
        <v>625849.18999999552</v>
      </c>
      <c r="AZ41" s="44">
        <v>2448757.7499999967</v>
      </c>
      <c r="BA41" s="63">
        <v>22487830.979999986</v>
      </c>
      <c r="BB41" s="44">
        <v>28760405.75999999</v>
      </c>
      <c r="BC41" s="44">
        <v>1396944.0100000002</v>
      </c>
      <c r="BD41" s="44">
        <v>2664141.5399999991</v>
      </c>
      <c r="BE41" s="44">
        <v>4727257.1899999976</v>
      </c>
      <c r="BF41" s="44">
        <v>-7883018.8700000076</v>
      </c>
      <c r="BG41" s="44">
        <v>-3485498.8199999952</v>
      </c>
      <c r="BH41" s="44">
        <v>-424964.79000000219</v>
      </c>
      <c r="BI41" s="44">
        <v>2048648.0500000003</v>
      </c>
      <c r="BJ41" s="44">
        <v>-10270315.460000012</v>
      </c>
      <c r="BK41" s="44">
        <v>9115239.0399999991</v>
      </c>
      <c r="BL41" s="44">
        <v>498176.27000000194</v>
      </c>
      <c r="BM41" s="44">
        <v>2685494.7799999989</v>
      </c>
      <c r="BN41" s="63">
        <v>29832508.700000018</v>
      </c>
      <c r="BO41" s="44">
        <v>38090258.12000002</v>
      </c>
      <c r="BP41" s="44">
        <v>1028241.1899999974</v>
      </c>
      <c r="BQ41" s="44">
        <v>-6030423.1699999981</v>
      </c>
      <c r="BR41" s="44">
        <v>701843.48999999964</v>
      </c>
      <c r="BS41" s="44">
        <v>463145.61000000191</v>
      </c>
      <c r="BT41" s="44">
        <v>4725.7400000007347</v>
      </c>
      <c r="BU41" s="44">
        <v>723527.09000000043</v>
      </c>
      <c r="BV41" s="44">
        <v>253317.03000000026</v>
      </c>
      <c r="BW41" s="44">
        <v>-3116348.9199999967</v>
      </c>
      <c r="BX41" s="44">
        <v>1129319.1800000006</v>
      </c>
      <c r="BY41" s="44">
        <v>-4774455.3499999996</v>
      </c>
      <c r="BZ41" s="44">
        <v>7557463.2700000014</v>
      </c>
      <c r="CA41" s="63">
        <v>36030613.280000098</v>
      </c>
      <c r="CB41" s="44">
        <v>31456054.630000006</v>
      </c>
      <c r="CC41" s="44">
        <v>3676308.9999999939</v>
      </c>
      <c r="CD41" s="44">
        <v>-9676361.2700000014</v>
      </c>
      <c r="CE41" s="44">
        <v>1039043.2000000026</v>
      </c>
      <c r="CF41" s="44">
        <v>-4080657.7899999963</v>
      </c>
      <c r="CG41" s="44">
        <v>1027684.3699999999</v>
      </c>
      <c r="CH41" s="44">
        <v>3286765.2299999991</v>
      </c>
      <c r="CI41" s="44">
        <v>-566799.9599999995</v>
      </c>
      <c r="CJ41" s="44">
        <v>-5506408.6299999896</v>
      </c>
      <c r="CK41" s="44">
        <v>-4104253.1</v>
      </c>
      <c r="CL41" s="44">
        <v>72768.149999999499</v>
      </c>
      <c r="CM41" s="44">
        <v>3929223.7500000005</v>
      </c>
      <c r="CN41" s="63">
        <v>20553367.579999965</v>
      </c>
      <c r="CO41" s="44">
        <v>22809393.140000012</v>
      </c>
      <c r="CP41" s="44">
        <v>3362800.9999999986</v>
      </c>
      <c r="CQ41" s="44">
        <v>724661.02000000142</v>
      </c>
      <c r="CR41" s="44">
        <v>636508.76999999303</v>
      </c>
      <c r="CS41" s="44">
        <v>-5970120.3299999973</v>
      </c>
      <c r="CT41" s="44">
        <v>5229395.870000001</v>
      </c>
      <c r="CU41" s="44">
        <v>1851875.4800000023</v>
      </c>
      <c r="CV41" s="44">
        <v>-1640156.6299999929</v>
      </c>
      <c r="CW41" s="44">
        <v>-5180052.2399999946</v>
      </c>
      <c r="CX41" s="44">
        <v>2613943.4900000007</v>
      </c>
      <c r="CY41" s="44">
        <v>555215.78000000096</v>
      </c>
      <c r="CZ41" s="44">
        <v>4313950.330000001</v>
      </c>
      <c r="DA41" s="63">
        <v>29307415.6800001</v>
      </c>
      <c r="DB41" s="44">
        <f>+'EEFF historicoss'!AE48</f>
        <v>11324973.789999999</v>
      </c>
      <c r="DC41" s="44">
        <f>+'EEFF historicoss'!AF48</f>
        <v>10739211.84</v>
      </c>
      <c r="DD41" s="44">
        <f>+'EEFF historicoss'!AG48</f>
        <v>11519713.6</v>
      </c>
      <c r="DE41" s="44">
        <f>+'EEFF historicoss'!AH48</f>
        <v>12208854.85</v>
      </c>
      <c r="DF41" s="44">
        <f>+'EEFF historicoss'!AI48</f>
        <v>12801984.779999999</v>
      </c>
      <c r="DG41" s="44">
        <f>+'EEFF historicoss'!AJ48</f>
        <v>13525194.27</v>
      </c>
      <c r="DH41" s="44">
        <f>+'EEFF historicoss'!AK48</f>
        <v>14193495.4</v>
      </c>
      <c r="DI41" s="44">
        <f>+'EEFF historicoss'!AL48</f>
        <v>14882362.220000001</v>
      </c>
      <c r="DJ41" s="44">
        <f>+'EEFF historicoss'!AM48</f>
        <v>7234498.46</v>
      </c>
      <c r="DK41" s="44">
        <f>+'EEFF historicoss'!AN48</f>
        <v>7926969.0199999996</v>
      </c>
      <c r="DL41" s="44">
        <f>+'EEFF historicoss'!AO48</f>
        <v>8625258.9600000009</v>
      </c>
      <c r="DM41" s="44">
        <f>+'EEFF historicoss'!AP48</f>
        <v>12003839.960000001</v>
      </c>
    </row>
    <row r="42" spans="1:117" x14ac:dyDescent="0.3">
      <c r="A42" s="43" t="s">
        <v>270</v>
      </c>
      <c r="B42" s="44">
        <v>5.3260009735822678E-9</v>
      </c>
      <c r="C42" s="44">
        <v>-4.6566128730773926E-9</v>
      </c>
      <c r="D42" s="44">
        <v>4.9913069233298302E-9</v>
      </c>
      <c r="E42" s="44">
        <v>-3.7252902984619141E-9</v>
      </c>
      <c r="F42" s="44">
        <v>1.1325028026476502E-8</v>
      </c>
      <c r="G42" s="44">
        <v>1.1175870895385742E-8</v>
      </c>
      <c r="H42" s="44">
        <v>-4.0963641367852688E-9</v>
      </c>
      <c r="I42" s="44">
        <v>9.3132257461547852E-9</v>
      </c>
      <c r="J42" s="44">
        <v>0</v>
      </c>
      <c r="K42" s="44">
        <v>-1.862645149230957E-9</v>
      </c>
      <c r="L42" s="44">
        <v>-1.862645149230957E-9</v>
      </c>
      <c r="M42" s="44">
        <v>21327.000000002794</v>
      </c>
      <c r="N42" s="63">
        <v>21326.999999604188</v>
      </c>
      <c r="O42" s="44">
        <v>5.5151758715510368E-9</v>
      </c>
      <c r="P42" s="44">
        <v>5.5879354476928711E-9</v>
      </c>
      <c r="Q42" s="44">
        <v>7.8216544352471828E-9</v>
      </c>
      <c r="R42" s="44">
        <v>-3.7980498746037483E-9</v>
      </c>
      <c r="S42" s="44">
        <v>3.7252902984619141E-9</v>
      </c>
      <c r="T42" s="44">
        <v>8.5856299847364426E-10</v>
      </c>
      <c r="U42" s="44">
        <v>9.4623828772455454E-9</v>
      </c>
      <c r="V42" s="44">
        <v>-3.3905962482094765E-9</v>
      </c>
      <c r="W42" s="44">
        <v>4.6566128730773926E-9</v>
      </c>
      <c r="X42" s="44">
        <v>-1.862645149230957E-9</v>
      </c>
      <c r="Y42" s="44">
        <v>-9.3132257461547852E-10</v>
      </c>
      <c r="Z42" s="44">
        <v>-9.3132257461547852E-10</v>
      </c>
      <c r="AA42" s="63">
        <v>1.4335091691464186E-7</v>
      </c>
      <c r="AB42" s="44">
        <v>3.1286617740988731E-9</v>
      </c>
      <c r="AC42" s="44">
        <v>9.3132257461547852E-10</v>
      </c>
      <c r="AD42" s="44">
        <v>2.7939677238464355E-9</v>
      </c>
      <c r="AE42" s="44">
        <v>1.2740201782435179E-8</v>
      </c>
      <c r="AF42" s="44">
        <v>3.7252902984619141E-9</v>
      </c>
      <c r="AG42" s="44">
        <v>-5.2204995881766081E-10</v>
      </c>
      <c r="AH42" s="44">
        <v>-2.9049260774627328E-9</v>
      </c>
      <c r="AI42" s="44">
        <v>-1.862645149230957E-9</v>
      </c>
      <c r="AJ42" s="44">
        <v>-1.8553691916167736E-10</v>
      </c>
      <c r="AK42" s="44">
        <v>-5.9662852436304092E-10</v>
      </c>
      <c r="AL42" s="44">
        <v>9.3132257461547852E-10</v>
      </c>
      <c r="AM42" s="44">
        <v>1.6207195585593581E-9</v>
      </c>
      <c r="AN42" s="63">
        <v>3.9137921703513712E-7</v>
      </c>
      <c r="AO42" s="44">
        <v>1.0804797057062387E-9</v>
      </c>
      <c r="AP42" s="44">
        <v>5.7370925787836313E-9</v>
      </c>
      <c r="AQ42" s="44">
        <v>2.7939677238464355E-9</v>
      </c>
      <c r="AR42" s="44">
        <v>-1.862645149230957E-9</v>
      </c>
      <c r="AS42" s="44">
        <v>4.9167283577844501E-9</v>
      </c>
      <c r="AT42" s="44">
        <v>9.3132257461547852E-9</v>
      </c>
      <c r="AU42" s="44">
        <v>-5.5879354476928711E-9</v>
      </c>
      <c r="AV42" s="44">
        <v>6.5192580223083496E-9</v>
      </c>
      <c r="AW42" s="44">
        <v>-4.6566128730773926E-9</v>
      </c>
      <c r="AX42" s="44">
        <v>0</v>
      </c>
      <c r="AY42" s="44">
        <v>4.7311914386227727E-9</v>
      </c>
      <c r="AZ42" s="44">
        <v>1.6298145055770874E-9</v>
      </c>
      <c r="BA42" s="63">
        <v>5.2852556109428406E-8</v>
      </c>
      <c r="BB42" s="44">
        <v>-4.6566128730773926E-10</v>
      </c>
      <c r="BC42" s="44">
        <v>9.3132257461547852E-10</v>
      </c>
      <c r="BD42" s="44">
        <v>2.0118022803217173E-9</v>
      </c>
      <c r="BE42" s="44">
        <v>3.2414391171187162E-9</v>
      </c>
      <c r="BF42" s="44">
        <v>1.5270416042767465E-9</v>
      </c>
      <c r="BG42" s="44">
        <v>2.2373569663614035E-10</v>
      </c>
      <c r="BH42" s="44">
        <v>-1.5643308870494366E-9</v>
      </c>
      <c r="BI42" s="44">
        <v>-4.0981831261888146E-9</v>
      </c>
      <c r="BJ42" s="44">
        <v>-3.8744474295526743E-9</v>
      </c>
      <c r="BK42" s="44">
        <v>-2.9831426218152046E-10</v>
      </c>
      <c r="BL42" s="44">
        <v>-4.6202330850064754E-9</v>
      </c>
      <c r="BM42" s="44">
        <v>-6.9849193096160889E-9</v>
      </c>
      <c r="BN42" s="63">
        <v>-4.6100467443466187E-8</v>
      </c>
      <c r="BO42" s="44">
        <v>1.0422809282317758E-9</v>
      </c>
      <c r="BP42" s="44">
        <v>-5.95719029661268E-10</v>
      </c>
      <c r="BQ42" s="44">
        <v>6.3300831243395805E-10</v>
      </c>
      <c r="BR42" s="44">
        <v>4.0236045606434345E-9</v>
      </c>
      <c r="BS42" s="44">
        <v>-3.2596290111541748E-9</v>
      </c>
      <c r="BT42" s="44">
        <v>-2.6011548470705748E-10</v>
      </c>
      <c r="BU42" s="44">
        <v>2.1236701286397874E-9</v>
      </c>
      <c r="BV42" s="44">
        <v>4.3582986108958721E-9</v>
      </c>
      <c r="BW42" s="44">
        <v>4.1018211049959064E-10</v>
      </c>
      <c r="BX42" s="44">
        <v>-4.0608938434161246E-9</v>
      </c>
      <c r="BY42" s="44">
        <v>8.567440090700984E-10</v>
      </c>
      <c r="BZ42" s="44">
        <v>7.8216544352471828E-10</v>
      </c>
      <c r="CA42" s="63">
        <v>-2.0504012354649603E-7</v>
      </c>
      <c r="CB42" s="44">
        <v>2.2373569663614035E-10</v>
      </c>
      <c r="CC42" s="44">
        <v>-1.8999344320036471E-9</v>
      </c>
      <c r="CD42" s="44">
        <v>-4.3582986108958721E-9</v>
      </c>
      <c r="CE42" s="44">
        <v>3.2041498343460262E-9</v>
      </c>
      <c r="CF42" s="44">
        <v>1.4897523215040565E-9</v>
      </c>
      <c r="CG42" s="44">
        <v>8.2709448179230094E-9</v>
      </c>
      <c r="CH42" s="44">
        <v>1.5643308870494366E-9</v>
      </c>
      <c r="CI42" s="44">
        <v>5.5879354476928711E-9</v>
      </c>
      <c r="CJ42" s="44">
        <v>-1.0207259037997574E-8</v>
      </c>
      <c r="CK42" s="44">
        <v>-1.6771082300692797E-9</v>
      </c>
      <c r="CL42" s="44">
        <v>-3.2778189051896334E-9</v>
      </c>
      <c r="CM42" s="44">
        <v>-1.6614649211987853E-8</v>
      </c>
      <c r="CN42" s="63">
        <v>-2.2336826077662408E-7</v>
      </c>
      <c r="CO42" s="44">
        <v>5.4387783166021109E-9</v>
      </c>
      <c r="CP42" s="44">
        <v>4.1018211049959064E-10</v>
      </c>
      <c r="CQ42" s="44">
        <v>1.1847077985294163E-8</v>
      </c>
      <c r="CR42" s="44">
        <v>-1.862645149230957E-9</v>
      </c>
      <c r="CS42" s="44">
        <v>-7.4578565545380116E-11</v>
      </c>
      <c r="CT42" s="44">
        <v>1.6389094525948167E-9</v>
      </c>
      <c r="CU42" s="44">
        <v>-2.0863808458670974E-9</v>
      </c>
      <c r="CV42" s="44">
        <v>-6.109075911808759E-9</v>
      </c>
      <c r="CW42" s="44">
        <v>2.3464963305741549E-9</v>
      </c>
      <c r="CX42" s="44">
        <v>2.1867890609428287E-8</v>
      </c>
      <c r="CY42" s="44">
        <v>-1.4156285033095628E-9</v>
      </c>
      <c r="CZ42" s="44">
        <v>9.3132257461547852E-9</v>
      </c>
      <c r="DA42" s="63">
        <v>1.3038516044616699E-7</v>
      </c>
      <c r="DB42" s="44">
        <f>+'EEFF historicoss'!AE46</f>
        <v>0</v>
      </c>
      <c r="DC42" s="44">
        <f>+'EEFF historicoss'!AF46</f>
        <v>0</v>
      </c>
      <c r="DD42" s="44">
        <f>+'EEFF historicoss'!AG46</f>
        <v>0</v>
      </c>
      <c r="DE42" s="44">
        <f>+'EEFF historicoss'!AH46</f>
        <v>0</v>
      </c>
      <c r="DF42" s="44">
        <f>+'EEFF historicoss'!AI46</f>
        <v>0</v>
      </c>
      <c r="DG42" s="44">
        <f>+'EEFF historicoss'!AJ46</f>
        <v>0</v>
      </c>
      <c r="DH42" s="44">
        <f>+'EEFF historicoss'!AK46</f>
        <v>0</v>
      </c>
      <c r="DI42" s="44">
        <f>+'EEFF historicoss'!AL46</f>
        <v>0</v>
      </c>
      <c r="DJ42" s="44">
        <f>+'EEFF historicoss'!AM46</f>
        <v>0</v>
      </c>
      <c r="DK42" s="44">
        <f>+'EEFF historicoss'!AN46</f>
        <v>0</v>
      </c>
      <c r="DL42" s="44">
        <f>+'EEFF historicoss'!AO46</f>
        <v>1</v>
      </c>
      <c r="DM42" s="44">
        <f>+'EEFF historicoss'!AP46</f>
        <v>0</v>
      </c>
    </row>
    <row r="43" spans="1:117" x14ac:dyDescent="0.3">
      <c r="A43" s="43" t="s">
        <v>271</v>
      </c>
      <c r="B43" s="44">
        <v>49552947.850000001</v>
      </c>
      <c r="C43" s="44">
        <v>-221156.49000000139</v>
      </c>
      <c r="D43" s="44">
        <v>824674.1399999999</v>
      </c>
      <c r="E43" s="44">
        <v>6166262.4699999988</v>
      </c>
      <c r="F43" s="44">
        <v>-627793.96000000089</v>
      </c>
      <c r="G43" s="44">
        <v>-3092575.3299999987</v>
      </c>
      <c r="H43" s="44">
        <v>-1239131.3500000024</v>
      </c>
      <c r="I43" s="44">
        <v>403163.52999999892</v>
      </c>
      <c r="J43" s="44">
        <v>4160051.6900000051</v>
      </c>
      <c r="K43" s="44">
        <v>-1275676.8400000003</v>
      </c>
      <c r="L43" s="44">
        <v>-369380.06000000099</v>
      </c>
      <c r="M43" s="44">
        <v>-534217.47000000114</v>
      </c>
      <c r="N43" s="63">
        <v>53747168.180000015</v>
      </c>
      <c r="O43" s="44">
        <v>53653187.909999989</v>
      </c>
      <c r="P43" s="44">
        <v>814156.56</v>
      </c>
      <c r="Q43" s="44">
        <v>4222446.7499999953</v>
      </c>
      <c r="R43" s="44">
        <v>806780.04999999492</v>
      </c>
      <c r="S43" s="44">
        <v>-2949365.4099999964</v>
      </c>
      <c r="T43" s="44">
        <v>-454473.59000000358</v>
      </c>
      <c r="U43" s="44">
        <v>-73242.799999998882</v>
      </c>
      <c r="V43" s="44">
        <v>682312.33000000124</v>
      </c>
      <c r="W43" s="44">
        <v>-51169264.509999983</v>
      </c>
      <c r="X43" s="44">
        <v>-1369852.9700000002</v>
      </c>
      <c r="Y43" s="44">
        <v>-663815.4700000002</v>
      </c>
      <c r="Z43" s="44">
        <v>1679675.7000000002</v>
      </c>
      <c r="AA43" s="63">
        <v>5178544.5500000389</v>
      </c>
      <c r="AB43" s="44">
        <v>5346038.2400000012</v>
      </c>
      <c r="AC43" s="44">
        <v>-548546.7699999999</v>
      </c>
      <c r="AD43" s="44">
        <v>2344117.46</v>
      </c>
      <c r="AE43" s="44">
        <v>5790425.0600000024</v>
      </c>
      <c r="AF43" s="44">
        <v>-1419851.5200000009</v>
      </c>
      <c r="AG43" s="44">
        <v>-1312560.209999999</v>
      </c>
      <c r="AH43" s="44">
        <v>3309378.1799999988</v>
      </c>
      <c r="AI43" s="44">
        <v>2320853.8800000004</v>
      </c>
      <c r="AJ43" s="44">
        <v>-663513.17999999993</v>
      </c>
      <c r="AK43" s="44">
        <v>-765723.04</v>
      </c>
      <c r="AL43" s="44">
        <v>-431667.70000000019</v>
      </c>
      <c r="AM43" s="44">
        <v>-4170126.6799999978</v>
      </c>
      <c r="AN43" s="63">
        <v>9798823.7199999616</v>
      </c>
      <c r="AO43" s="44">
        <v>12806155.919999996</v>
      </c>
      <c r="AP43" s="44">
        <v>3332830.7199999993</v>
      </c>
      <c r="AQ43" s="44">
        <v>-219139.30000000005</v>
      </c>
      <c r="AR43" s="44">
        <v>833595.34</v>
      </c>
      <c r="AS43" s="44">
        <v>-894495.9899999979</v>
      </c>
      <c r="AT43" s="44">
        <v>-2422487.9900000007</v>
      </c>
      <c r="AU43" s="44">
        <v>-61212.589999998723</v>
      </c>
      <c r="AV43" s="44">
        <v>678110.53</v>
      </c>
      <c r="AW43" s="44">
        <v>4107034.4</v>
      </c>
      <c r="AX43" s="44">
        <v>-1804486.0200000014</v>
      </c>
      <c r="AY43" s="44">
        <v>-866572.10000000021</v>
      </c>
      <c r="AZ43" s="44">
        <v>182335.50999999899</v>
      </c>
      <c r="BA43" s="63">
        <v>15671668.429999979</v>
      </c>
      <c r="BB43" s="44">
        <v>16812949.259999998</v>
      </c>
      <c r="BC43" s="44">
        <v>-230972.37999999942</v>
      </c>
      <c r="BD43" s="44">
        <v>-1997143.1600000006</v>
      </c>
      <c r="BE43" s="44">
        <v>-569001.38999999966</v>
      </c>
      <c r="BF43" s="44">
        <v>-1592520.7899999982</v>
      </c>
      <c r="BG43" s="44">
        <v>-3496765.100000001</v>
      </c>
      <c r="BH43" s="44">
        <v>-1225871.6599999995</v>
      </c>
      <c r="BI43" s="44">
        <v>-175173.06000000006</v>
      </c>
      <c r="BJ43" s="44">
        <v>3546142.1599999997</v>
      </c>
      <c r="BK43" s="44">
        <v>510024.6500000002</v>
      </c>
      <c r="BL43" s="44">
        <v>-1741343.22</v>
      </c>
      <c r="BM43" s="44">
        <v>-150355.08999999985</v>
      </c>
      <c r="BN43" s="63">
        <v>9689970.2200000007</v>
      </c>
      <c r="BO43" s="44">
        <v>8965162.3800000027</v>
      </c>
      <c r="BP43" s="44">
        <v>-865326.95000000019</v>
      </c>
      <c r="BQ43" s="44">
        <v>-432252.46000000008</v>
      </c>
      <c r="BR43" s="44">
        <v>-1162545.2000000009</v>
      </c>
      <c r="BS43" s="44">
        <v>-64161.519999999844</v>
      </c>
      <c r="BT43" s="44">
        <v>-26479.800000000039</v>
      </c>
      <c r="BU43" s="44">
        <v>72030.959999999846</v>
      </c>
      <c r="BV43" s="44">
        <v>6953808.5099999998</v>
      </c>
      <c r="BW43" s="44">
        <v>-69131.749999999869</v>
      </c>
      <c r="BX43" s="44">
        <v>2303206.23</v>
      </c>
      <c r="BY43" s="44">
        <v>4793089.18</v>
      </c>
      <c r="BZ43" s="44">
        <v>-483064.37</v>
      </c>
      <c r="CA43" s="63">
        <v>19984335.210000001</v>
      </c>
      <c r="CB43" s="44">
        <v>19573288.050000001</v>
      </c>
      <c r="CC43" s="44">
        <v>13478614.57</v>
      </c>
      <c r="CD43" s="44">
        <v>-158082.30000000005</v>
      </c>
      <c r="CE43" s="44">
        <v>-379780.91</v>
      </c>
      <c r="CF43" s="44">
        <v>554926.65999999968</v>
      </c>
      <c r="CG43" s="44">
        <v>207672.28999999989</v>
      </c>
      <c r="CH43" s="44">
        <v>-526505.49000000011</v>
      </c>
      <c r="CI43" s="44">
        <v>-399854.42999999959</v>
      </c>
      <c r="CJ43" s="44">
        <v>-1494320.4900000002</v>
      </c>
      <c r="CK43" s="44">
        <v>-273344.18999999965</v>
      </c>
      <c r="CL43" s="44">
        <v>-9623.0500000000247</v>
      </c>
      <c r="CM43" s="44">
        <v>85480.449999999779</v>
      </c>
      <c r="CN43" s="63">
        <v>30658471.159999989</v>
      </c>
      <c r="CO43" s="44">
        <v>29146422.879999995</v>
      </c>
      <c r="CP43" s="44">
        <v>-586365.00999999978</v>
      </c>
      <c r="CQ43" s="44">
        <v>-4921236.84</v>
      </c>
      <c r="CR43" s="44">
        <v>-135492.21999999986</v>
      </c>
      <c r="CS43" s="44">
        <v>1121050.0699999998</v>
      </c>
      <c r="CT43" s="44">
        <v>-1413803.5199999993</v>
      </c>
      <c r="CU43" s="44">
        <v>-1994311.0499999966</v>
      </c>
      <c r="CV43" s="44">
        <v>-14201814.82</v>
      </c>
      <c r="CW43" s="44">
        <v>7491430.0099999998</v>
      </c>
      <c r="CX43" s="44">
        <v>1122530.8700000001</v>
      </c>
      <c r="CY43" s="44">
        <v>-638344.70000000135</v>
      </c>
      <c r="CZ43" s="44">
        <v>-3648175.1199999996</v>
      </c>
      <c r="DA43" s="63">
        <v>11341890.550000047</v>
      </c>
      <c r="DB43" s="44">
        <f>+'EEFF historicoss'!AE47</f>
        <v>15928872.67</v>
      </c>
      <c r="DC43" s="44">
        <f>+'EEFF historicoss'!AF47</f>
        <v>17175431.600000001</v>
      </c>
      <c r="DD43" s="44">
        <f>+'EEFF historicoss'!AG47</f>
        <v>13727871.6</v>
      </c>
      <c r="DE43" s="44">
        <f>+'EEFF historicoss'!AH47</f>
        <v>22770279.039999999</v>
      </c>
      <c r="DF43" s="44">
        <f>+'EEFF historicoss'!AI47</f>
        <v>22650669.210000001</v>
      </c>
      <c r="DG43" s="44">
        <f>+'EEFF historicoss'!AJ47</f>
        <v>25001086.57</v>
      </c>
      <c r="DH43" s="44">
        <f>+'EEFF historicoss'!AK47</f>
        <v>26369339.260000002</v>
      </c>
      <c r="DI43" s="44">
        <f>+'EEFF historicoss'!AL47</f>
        <v>27567655.670000002</v>
      </c>
      <c r="DJ43" s="44">
        <f>+'EEFF historicoss'!AM47</f>
        <v>28045944</v>
      </c>
      <c r="DK43" s="44">
        <f>+'EEFF historicoss'!AN47</f>
        <v>28090409.800000001</v>
      </c>
      <c r="DL43" s="44">
        <f>+'EEFF historicoss'!AO47</f>
        <v>20353698.719999999</v>
      </c>
      <c r="DM43" s="44">
        <f>+'EEFF historicoss'!AP47</f>
        <v>22520089.329999998</v>
      </c>
    </row>
    <row r="44" spans="1:117" s="69" customFormat="1" x14ac:dyDescent="0.3">
      <c r="A44" s="66" t="s">
        <v>288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8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8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8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8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8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8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8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8"/>
      <c r="DB44" s="67">
        <f>+'EEFF historicoss'!AE49</f>
        <v>2779752.09</v>
      </c>
      <c r="DC44" s="67">
        <f>+'EEFF historicoss'!AF49</f>
        <v>1837914.89</v>
      </c>
      <c r="DD44" s="67">
        <f>+'EEFF historicoss'!AG49</f>
        <v>1565626.32</v>
      </c>
      <c r="DE44" s="67">
        <f>+'EEFF historicoss'!AH49</f>
        <v>1495181.61</v>
      </c>
      <c r="DF44" s="67">
        <f>+'EEFF historicoss'!AI49</f>
        <v>1646098.94</v>
      </c>
      <c r="DG44" s="67">
        <f>+'EEFF historicoss'!AJ49</f>
        <v>3185093.54</v>
      </c>
      <c r="DH44" s="67">
        <f>+'EEFF historicoss'!AK49</f>
        <v>22447148.239999998</v>
      </c>
      <c r="DI44" s="67">
        <f>+'EEFF historicoss'!AL49</f>
        <v>6339981.1399999997</v>
      </c>
      <c r="DJ44" s="67">
        <f>+'EEFF historicoss'!AM49</f>
        <v>4400421.4400000004</v>
      </c>
      <c r="DK44" s="67">
        <f>+'EEFF historicoss'!AN49</f>
        <v>1545075.21</v>
      </c>
      <c r="DL44" s="67">
        <f>+'EEFF historicoss'!AO49</f>
        <v>14522964.560000001</v>
      </c>
      <c r="DM44" s="67">
        <f>+'EEFF historicoss'!AP49</f>
        <v>14822367.77</v>
      </c>
    </row>
    <row r="45" spans="1:117" x14ac:dyDescent="0.3">
      <c r="A45" s="61" t="s">
        <v>272</v>
      </c>
      <c r="B45" s="62">
        <v>343125188.66999996</v>
      </c>
      <c r="C45" s="62">
        <v>-9802523.1499999985</v>
      </c>
      <c r="D45" s="62">
        <v>-8322062.2599999998</v>
      </c>
      <c r="E45" s="62">
        <v>-5220803.3099999996</v>
      </c>
      <c r="F45" s="62">
        <v>-16741081.059999993</v>
      </c>
      <c r="G45" s="62">
        <v>-20828777.869999986</v>
      </c>
      <c r="H45" s="62">
        <v>-2988537.2399999998</v>
      </c>
      <c r="I45" s="62">
        <v>-1432882.2399999998</v>
      </c>
      <c r="J45" s="62">
        <v>11219273.300000001</v>
      </c>
      <c r="K45" s="62">
        <v>-5820641.3500000034</v>
      </c>
      <c r="L45" s="62">
        <v>-8149499.5</v>
      </c>
      <c r="M45" s="62">
        <v>-15316617.369999997</v>
      </c>
      <c r="N45" s="63">
        <v>259721036.61999997</v>
      </c>
      <c r="O45" s="62">
        <v>256291137.12</v>
      </c>
      <c r="P45" s="62">
        <v>-4141567.9600000004</v>
      </c>
      <c r="Q45" s="62">
        <v>2319251.3099999996</v>
      </c>
      <c r="R45" s="62">
        <v>-345395.88000000035</v>
      </c>
      <c r="S45" s="62">
        <v>10855786.099999998</v>
      </c>
      <c r="T45" s="62">
        <v>1376247.2599999998</v>
      </c>
      <c r="U45" s="62">
        <v>-3397022.7899999996</v>
      </c>
      <c r="V45" s="62">
        <v>15854126.429999994</v>
      </c>
      <c r="W45" s="62">
        <v>64069934.999999993</v>
      </c>
      <c r="X45" s="62">
        <v>916136.87000000093</v>
      </c>
      <c r="Y45" s="62">
        <v>-1000213.1999999987</v>
      </c>
      <c r="Z45" s="62">
        <v>-100695925.18999994</v>
      </c>
      <c r="AA45" s="63">
        <v>242102495.06999964</v>
      </c>
      <c r="AB45" s="62">
        <v>242884201.23000014</v>
      </c>
      <c r="AC45" s="62">
        <v>13362905.179999992</v>
      </c>
      <c r="AD45" s="62">
        <v>17466797.579999931</v>
      </c>
      <c r="AE45" s="62">
        <v>5859508.4399999948</v>
      </c>
      <c r="AF45" s="62">
        <v>2083547.0899999999</v>
      </c>
      <c r="AG45" s="62">
        <v>4068440.4800000018</v>
      </c>
      <c r="AH45" s="62">
        <v>822596.68999999971</v>
      </c>
      <c r="AI45" s="62">
        <v>3740133.2600000002</v>
      </c>
      <c r="AJ45" s="62">
        <v>20509468.340000007</v>
      </c>
      <c r="AK45" s="62">
        <v>5405079.2300000004</v>
      </c>
      <c r="AL45" s="62">
        <v>21061713.509999998</v>
      </c>
      <c r="AM45" s="62">
        <v>-100688683.60999995</v>
      </c>
      <c r="AN45" s="63">
        <v>236575707.41999948</v>
      </c>
      <c r="AO45" s="62">
        <v>343052363.07999986</v>
      </c>
      <c r="AP45" s="62">
        <v>1076136.6999999997</v>
      </c>
      <c r="AQ45" s="62">
        <v>-437916.14999999967</v>
      </c>
      <c r="AR45" s="62">
        <v>-3490811.5000000033</v>
      </c>
      <c r="AS45" s="62">
        <v>-876638.39999999932</v>
      </c>
      <c r="AT45" s="62">
        <v>12600027.000000004</v>
      </c>
      <c r="AU45" s="62">
        <v>27736433.669999998</v>
      </c>
      <c r="AV45" s="62">
        <v>-1340171.8300000005</v>
      </c>
      <c r="AW45" s="62">
        <v>36019855.419999987</v>
      </c>
      <c r="AX45" s="62">
        <v>-6951858.9900000021</v>
      </c>
      <c r="AY45" s="62">
        <v>118792.97999999978</v>
      </c>
      <c r="AZ45" s="62">
        <v>-57918398.400000013</v>
      </c>
      <c r="BA45" s="63">
        <v>349587813.57999974</v>
      </c>
      <c r="BB45" s="62">
        <v>350925591.02999979</v>
      </c>
      <c r="BC45" s="62">
        <v>4565592.3</v>
      </c>
      <c r="BD45" s="62">
        <v>21399119.380000003</v>
      </c>
      <c r="BE45" s="62">
        <v>503161.73000000004</v>
      </c>
      <c r="BF45" s="62">
        <v>1349617.66</v>
      </c>
      <c r="BG45" s="62">
        <v>-1133631.7399999993</v>
      </c>
      <c r="BH45" s="62">
        <v>269350.4800000001</v>
      </c>
      <c r="BI45" s="62">
        <v>-1259716.4999999995</v>
      </c>
      <c r="BJ45" s="62">
        <v>2841577.1300000004</v>
      </c>
      <c r="BK45" s="62">
        <v>574899.92999999982</v>
      </c>
      <c r="BL45" s="62">
        <v>5008919.3599999994</v>
      </c>
      <c r="BM45" s="62">
        <v>-62001734.460000023</v>
      </c>
      <c r="BN45" s="63">
        <v>323042746.29999983</v>
      </c>
      <c r="BO45" s="62">
        <v>313351387.95000029</v>
      </c>
      <c r="BP45" s="62">
        <v>2712100.7799999933</v>
      </c>
      <c r="BQ45" s="62">
        <v>28102216.590000015</v>
      </c>
      <c r="BR45" s="62">
        <v>10750234.120000031</v>
      </c>
      <c r="BS45" s="62">
        <v>-1414323.8299999984</v>
      </c>
      <c r="BT45" s="62">
        <v>-2500062.3200000064</v>
      </c>
      <c r="BU45" s="62">
        <v>6791045.1699999953</v>
      </c>
      <c r="BV45" s="62">
        <v>1111134.0300000007</v>
      </c>
      <c r="BW45" s="62">
        <v>2418901.229999993</v>
      </c>
      <c r="BX45" s="62">
        <v>-2205805.2900000066</v>
      </c>
      <c r="BY45" s="62">
        <v>2466065.8099999973</v>
      </c>
      <c r="BZ45" s="62">
        <v>-31108285.909999974</v>
      </c>
      <c r="CA45" s="63">
        <v>330474608.3299998</v>
      </c>
      <c r="CB45" s="62">
        <v>330958418.43000019</v>
      </c>
      <c r="CC45" s="62">
        <v>4446978.1699999971</v>
      </c>
      <c r="CD45" s="62">
        <v>5925085.1299999962</v>
      </c>
      <c r="CE45" s="62">
        <v>977061.31000000052</v>
      </c>
      <c r="CF45" s="62">
        <v>9002714.2300000042</v>
      </c>
      <c r="CG45" s="62">
        <v>12993605.610000003</v>
      </c>
      <c r="CH45" s="62">
        <v>235910.08</v>
      </c>
      <c r="CI45" s="62">
        <v>-1732790.0299999998</v>
      </c>
      <c r="CJ45" s="62">
        <v>19994058.020000003</v>
      </c>
      <c r="CK45" s="62">
        <v>413658.21999999986</v>
      </c>
      <c r="CL45" s="62">
        <v>397172.7099999999</v>
      </c>
      <c r="CM45" s="62">
        <v>-130233746.00999995</v>
      </c>
      <c r="CN45" s="63">
        <v>253378125.86999997</v>
      </c>
      <c r="CO45" s="62">
        <v>291361070.53000003</v>
      </c>
      <c r="CP45" s="62">
        <v>1302379.6700000002</v>
      </c>
      <c r="CQ45" s="62">
        <v>1905855.04</v>
      </c>
      <c r="CR45" s="62">
        <v>2130281.5599999991</v>
      </c>
      <c r="CS45" s="62">
        <v>-258947.58000000013</v>
      </c>
      <c r="CT45" s="62">
        <v>12961525.450000001</v>
      </c>
      <c r="CU45" s="62">
        <v>636836.71</v>
      </c>
      <c r="CV45" s="62">
        <v>1017729.9000000001</v>
      </c>
      <c r="CW45" s="62">
        <v>2200220.0799999982</v>
      </c>
      <c r="CX45" s="62">
        <v>817079.74000000011</v>
      </c>
      <c r="CY45" s="62">
        <v>708982.49000000011</v>
      </c>
      <c r="CZ45" s="62">
        <v>-94236323.930000007</v>
      </c>
      <c r="DA45" s="63">
        <v>220546689.66</v>
      </c>
    </row>
    <row r="46" spans="1:117" x14ac:dyDescent="0.3">
      <c r="A46" s="43" t="s">
        <v>290</v>
      </c>
      <c r="B46" s="44">
        <v>251026.31</v>
      </c>
      <c r="C46" s="44">
        <v>250.34</v>
      </c>
      <c r="D46" s="44">
        <v>1.61</v>
      </c>
      <c r="E46" s="44">
        <v>532426.03999999992</v>
      </c>
      <c r="F46" s="44">
        <v>531055.81999999995</v>
      </c>
      <c r="G46" s="44">
        <v>3857.0000000002328</v>
      </c>
      <c r="H46" s="44">
        <v>612603.79</v>
      </c>
      <c r="I46" s="44">
        <v>-1448480.5999999999</v>
      </c>
      <c r="J46" s="44">
        <v>448439.06</v>
      </c>
      <c r="K46" s="44">
        <v>-1104238.9799999997</v>
      </c>
      <c r="L46" s="44">
        <v>551149.87000000011</v>
      </c>
      <c r="M46" s="44">
        <v>551196.64</v>
      </c>
      <c r="N46" s="63">
        <v>929286.89999999688</v>
      </c>
      <c r="O46" s="44">
        <v>1481046.13</v>
      </c>
      <c r="P46" s="44">
        <v>-550508.71999999986</v>
      </c>
      <c r="Q46" s="44">
        <v>9.94</v>
      </c>
      <c r="R46" s="44">
        <v>721706.34000000008</v>
      </c>
      <c r="S46" s="44">
        <v>719716.99</v>
      </c>
      <c r="T46" s="44">
        <v>-1440858.08</v>
      </c>
      <c r="U46" s="44">
        <v>621241.41</v>
      </c>
      <c r="V46" s="44">
        <v>620843.64999999991</v>
      </c>
      <c r="W46" s="44">
        <v>-1241622.429999995</v>
      </c>
      <c r="X46" s="44">
        <v>659709.12000000069</v>
      </c>
      <c r="Y46" s="44">
        <v>637656.76000000071</v>
      </c>
      <c r="Z46" s="44">
        <v>-2031439.1499999962</v>
      </c>
      <c r="AA46" s="63">
        <v>197501.95999999985</v>
      </c>
      <c r="AB46" s="44">
        <v>805965.68000000191</v>
      </c>
      <c r="AC46" s="44">
        <v>609292.23000000126</v>
      </c>
      <c r="AD46" s="44">
        <v>-1216504.219999996</v>
      </c>
      <c r="AE46" s="44">
        <v>637589.8600000008</v>
      </c>
      <c r="AF46" s="44">
        <v>637672.97000000009</v>
      </c>
      <c r="AG46" s="44">
        <v>-1274460.0700000003</v>
      </c>
      <c r="AH46" s="44">
        <v>656206.74</v>
      </c>
      <c r="AI46" s="44">
        <v>655920.55999999994</v>
      </c>
      <c r="AJ46" s="44">
        <v>-1311277.7000000002</v>
      </c>
      <c r="AK46" s="44">
        <v>646712.03000000014</v>
      </c>
      <c r="AL46" s="44">
        <v>646400.82000000018</v>
      </c>
      <c r="AM46" s="44">
        <v>-1014649.0499999988</v>
      </c>
      <c r="AN46" s="63">
        <v>478869.85000000504</v>
      </c>
      <c r="AO46" s="44">
        <v>1087210.2100000011</v>
      </c>
      <c r="AP46" s="44">
        <v>608239</v>
      </c>
      <c r="AQ46" s="44">
        <v>677374.52</v>
      </c>
      <c r="AR46" s="44">
        <v>-1242888.3599999994</v>
      </c>
      <c r="AS46" s="44">
        <v>650881.88000000012</v>
      </c>
      <c r="AT46" s="44">
        <v>650939.9</v>
      </c>
      <c r="AU46" s="44">
        <v>656307.05000000005</v>
      </c>
      <c r="AV46" s="44">
        <v>649305.84000000008</v>
      </c>
      <c r="AW46" s="44">
        <v>648019.88</v>
      </c>
      <c r="AX46" s="44">
        <v>-1339130.9999999998</v>
      </c>
      <c r="AY46" s="44">
        <v>617307.58000000019</v>
      </c>
      <c r="AZ46" s="44">
        <v>-1333867.0899999996</v>
      </c>
      <c r="BA46" s="63">
        <v>2329699.4099999992</v>
      </c>
      <c r="BB46" s="44">
        <v>2913907</v>
      </c>
      <c r="BC46" s="44">
        <v>595390.06999999995</v>
      </c>
      <c r="BD46" s="44">
        <v>575521.81999999995</v>
      </c>
      <c r="BE46" s="44">
        <v>584202.49</v>
      </c>
      <c r="BF46" s="44">
        <v>584202.46</v>
      </c>
      <c r="BG46" s="44">
        <v>-1287204.5999999992</v>
      </c>
      <c r="BH46" s="44">
        <v>584591.41999999993</v>
      </c>
      <c r="BI46" s="44">
        <v>-1168357.1899999995</v>
      </c>
      <c r="BJ46" s="44">
        <v>584199.63</v>
      </c>
      <c r="BK46" s="44">
        <v>778296.4</v>
      </c>
      <c r="BL46" s="44">
        <v>607072.77000000014</v>
      </c>
      <c r="BM46" s="44">
        <v>-4581247.5100000016</v>
      </c>
      <c r="BN46" s="63">
        <v>770574.75999999372</v>
      </c>
      <c r="BO46" s="44">
        <v>1399977.4500000011</v>
      </c>
      <c r="BP46" s="44">
        <v>580972.29000000155</v>
      </c>
      <c r="BQ46" s="44">
        <v>629514.89000000106</v>
      </c>
      <c r="BR46" s="44">
        <v>643120.52000000176</v>
      </c>
      <c r="BS46" s="44">
        <v>-1323604.1499999983</v>
      </c>
      <c r="BT46" s="44">
        <v>629393.39000000141</v>
      </c>
      <c r="BU46" s="44">
        <v>579590.84000000136</v>
      </c>
      <c r="BV46" s="44">
        <v>579591.45000000088</v>
      </c>
      <c r="BW46" s="44">
        <v>579597.15000000072</v>
      </c>
      <c r="BX46" s="44">
        <v>-3562108.030000004</v>
      </c>
      <c r="BY46" s="44">
        <v>-18691.61</v>
      </c>
      <c r="BZ46" s="44">
        <v>18691.099999999995</v>
      </c>
      <c r="CA46" s="63">
        <v>736045.28999999922</v>
      </c>
      <c r="CB46" s="44">
        <v>1315634.7200000007</v>
      </c>
      <c r="CC46" s="44">
        <v>579605.55000000098</v>
      </c>
      <c r="CD46" s="44">
        <v>579604.23000000045</v>
      </c>
      <c r="CE46" s="44">
        <v>579592.5400000005</v>
      </c>
      <c r="CF46" s="44">
        <v>579642.65000000037</v>
      </c>
      <c r="CG46" s="44">
        <v>579590.0000000007</v>
      </c>
      <c r="CH46" s="44">
        <v>579590.13000000035</v>
      </c>
      <c r="CI46" s="44">
        <v>579590.36000000022</v>
      </c>
      <c r="CJ46" s="44">
        <v>525214.10000000009</v>
      </c>
      <c r="CK46" s="44">
        <v>633979.27</v>
      </c>
      <c r="CL46" s="44">
        <v>579605.70000000007</v>
      </c>
      <c r="CM46" s="44">
        <v>-6375462.8900000025</v>
      </c>
      <c r="CN46" s="63">
        <v>736186.35999999754</v>
      </c>
      <c r="CO46" s="44">
        <v>1316022.2200000002</v>
      </c>
      <c r="CP46" s="44">
        <v>579594.3600000001</v>
      </c>
      <c r="CQ46" s="44">
        <v>535509.67000000004</v>
      </c>
      <c r="CR46" s="44">
        <v>623675.71000000008</v>
      </c>
      <c r="CS46" s="44">
        <v>510331.07999999996</v>
      </c>
      <c r="CT46" s="44">
        <v>648872.4</v>
      </c>
      <c r="CU46" s="44">
        <v>579610.69999999995</v>
      </c>
      <c r="CV46" s="44">
        <v>579589.35</v>
      </c>
      <c r="CW46" s="44">
        <v>-4636692.4900000012</v>
      </c>
      <c r="CX46" s="44">
        <v>-12617.099999999999</v>
      </c>
      <c r="CY46" s="44">
        <v>-9030.7599999999984</v>
      </c>
      <c r="CZ46" s="44">
        <v>11922.560000000001</v>
      </c>
      <c r="DA46" s="63">
        <v>726787.69999999844</v>
      </c>
      <c r="DB46" s="44">
        <f>+'EEFF historicoss'!AE54</f>
        <v>251961550.06999999</v>
      </c>
      <c r="DC46" s="44">
        <f>+'EEFF historicoss'!AF54</f>
        <v>250454684.56999999</v>
      </c>
      <c r="DD46" s="44">
        <f>+'EEFF historicoss'!AG54</f>
        <v>248647402.63999999</v>
      </c>
      <c r="DE46" s="44">
        <f>+'EEFF historicoss'!AH54</f>
        <v>249660604.88999999</v>
      </c>
      <c r="DF46" s="44">
        <f>+'EEFF historicoss'!AI54</f>
        <v>250378385.30000001</v>
      </c>
      <c r="DG46" s="44">
        <f>+'EEFF historicoss'!AJ54</f>
        <v>253174863.97</v>
      </c>
      <c r="DH46" s="44">
        <f>+'EEFF historicoss'!AK54</f>
        <v>253503837.22999999</v>
      </c>
      <c r="DI46" s="44">
        <f>+'EEFF historicoss'!AL54</f>
        <v>258498278.65000001</v>
      </c>
      <c r="DJ46" s="44">
        <f>+'EEFF historicoss'!AM54</f>
        <v>260366389.16999999</v>
      </c>
      <c r="DK46" s="44">
        <f>+'EEFF historicoss'!AN54</f>
        <v>266525845.41</v>
      </c>
      <c r="DL46" s="44">
        <f>+'EEFF historicoss'!AO54</f>
        <v>263329343.72999999</v>
      </c>
      <c r="DM46" s="44">
        <f>+'EEFF historicoss'!AP54</f>
        <v>267617053.50999999</v>
      </c>
    </row>
    <row r="47" spans="1:117" x14ac:dyDescent="0.3">
      <c r="A47" s="43" t="s">
        <v>274</v>
      </c>
      <c r="B47" s="44">
        <v>126099612.91000001</v>
      </c>
      <c r="C47" s="44">
        <v>-6526058.2700000005</v>
      </c>
      <c r="D47" s="44">
        <v>-4456532.9399999995</v>
      </c>
      <c r="E47" s="44">
        <v>-2333756.2399999998</v>
      </c>
      <c r="F47" s="44">
        <v>-12584391.6</v>
      </c>
      <c r="G47" s="44">
        <v>-15119864.74</v>
      </c>
      <c r="H47" s="44">
        <v>-127089.57</v>
      </c>
      <c r="I47" s="44">
        <v>4266335.5199999996</v>
      </c>
      <c r="J47" s="44">
        <v>10210133.74</v>
      </c>
      <c r="K47" s="44">
        <v>-1009442.51</v>
      </c>
      <c r="L47" s="44">
        <v>-4830919.3800000008</v>
      </c>
      <c r="M47" s="44">
        <v>-6668211.9800000004</v>
      </c>
      <c r="N47" s="63">
        <v>86919814.940000013</v>
      </c>
      <c r="O47" s="44">
        <v>86919814.939999998</v>
      </c>
      <c r="P47" s="44"/>
      <c r="Q47" s="44">
        <v>6562500</v>
      </c>
      <c r="R47" s="44">
        <v>2927400</v>
      </c>
      <c r="S47" s="44">
        <v>14479579.550000001</v>
      </c>
      <c r="T47" s="44">
        <v>959922.15</v>
      </c>
      <c r="U47" s="44"/>
      <c r="V47" s="44">
        <v>19300000</v>
      </c>
      <c r="W47" s="44">
        <v>139679424.57999998</v>
      </c>
      <c r="X47" s="44"/>
      <c r="Y47" s="44"/>
      <c r="Z47" s="44">
        <v>-85304762.269999996</v>
      </c>
      <c r="AA47" s="63">
        <v>185523878.95000002</v>
      </c>
      <c r="AB47" s="44">
        <v>185523878.94999999</v>
      </c>
      <c r="AC47" s="44">
        <v>10000000</v>
      </c>
      <c r="AD47" s="44">
        <v>17974269.02</v>
      </c>
      <c r="AE47" s="44"/>
      <c r="AF47" s="44">
        <v>1499037.7000000002</v>
      </c>
      <c r="AG47" s="44">
        <v>5400000</v>
      </c>
      <c r="AH47" s="44"/>
      <c r="AI47" s="44">
        <v>1178125.6200000001</v>
      </c>
      <c r="AJ47" s="44">
        <v>20687014.409999996</v>
      </c>
      <c r="AK47" s="44">
        <v>5250000</v>
      </c>
      <c r="AL47" s="44">
        <v>19183594.379999999</v>
      </c>
      <c r="AM47" s="44">
        <v>-96698187</v>
      </c>
      <c r="AN47" s="63">
        <v>169997733.08000004</v>
      </c>
      <c r="AO47" s="44">
        <v>278780714.63999993</v>
      </c>
      <c r="AP47" s="44">
        <v>509117.93</v>
      </c>
      <c r="AQ47" s="44"/>
      <c r="AR47" s="44"/>
      <c r="AS47" s="44">
        <v>838451.11</v>
      </c>
      <c r="AT47" s="44">
        <v>12056287.310000001</v>
      </c>
      <c r="AU47" s="44">
        <v>29724660.579999998</v>
      </c>
      <c r="AV47" s="44">
        <v>938125</v>
      </c>
      <c r="AW47" s="44">
        <v>31762969.909999996</v>
      </c>
      <c r="AX47" s="44">
        <v>-5520353.7599999998</v>
      </c>
      <c r="AY47" s="44"/>
      <c r="AZ47" s="44">
        <v>-58033860.920000002</v>
      </c>
      <c r="BA47" s="63">
        <v>291056111.80000001</v>
      </c>
      <c r="BB47" s="44">
        <v>291056111.79999995</v>
      </c>
      <c r="BC47" s="44">
        <v>3191488</v>
      </c>
      <c r="BD47" s="44">
        <v>21065574.16</v>
      </c>
      <c r="BE47" s="44"/>
      <c r="BF47" s="44"/>
      <c r="BG47" s="44"/>
      <c r="BH47" s="44"/>
      <c r="BI47" s="44"/>
      <c r="BJ47" s="44"/>
      <c r="BK47" s="44"/>
      <c r="BL47" s="44">
        <v>4000000</v>
      </c>
      <c r="BM47" s="44">
        <v>-57014774.139999993</v>
      </c>
      <c r="BN47" s="63">
        <v>262298399.82000002</v>
      </c>
      <c r="BO47" s="44">
        <v>264609101.28000003</v>
      </c>
      <c r="BP47" s="44">
        <v>1590189.21</v>
      </c>
      <c r="BQ47" s="44">
        <v>23365126.049999997</v>
      </c>
      <c r="BR47" s="44">
        <v>9699635.3000000007</v>
      </c>
      <c r="BS47" s="44">
        <v>-308910.98</v>
      </c>
      <c r="BT47" s="44">
        <v>-900277.58999999985</v>
      </c>
      <c r="BU47" s="44">
        <v>5618353.9900000002</v>
      </c>
      <c r="BV47" s="44">
        <v>-19643.29</v>
      </c>
      <c r="BW47" s="44">
        <v>3623198.9999999991</v>
      </c>
      <c r="BX47" s="44">
        <v>858811.41999999993</v>
      </c>
      <c r="BY47" s="44">
        <v>2315001.41</v>
      </c>
      <c r="BZ47" s="44">
        <v>-31760287.850000005</v>
      </c>
      <c r="CA47" s="63">
        <v>278690297.95000005</v>
      </c>
      <c r="CB47" s="44">
        <v>278690297.94999999</v>
      </c>
      <c r="CC47" s="44">
        <v>4341225</v>
      </c>
      <c r="CD47" s="44">
        <v>4869863.68</v>
      </c>
      <c r="CE47" s="44"/>
      <c r="CF47" s="44">
        <v>8422496.1800000016</v>
      </c>
      <c r="CG47" s="44">
        <v>10508614.18</v>
      </c>
      <c r="CH47" s="44">
        <v>70000</v>
      </c>
      <c r="CI47" s="44"/>
      <c r="CJ47" s="44">
        <v>18977660.699999999</v>
      </c>
      <c r="CK47" s="44"/>
      <c r="CL47" s="44"/>
      <c r="CM47" s="44">
        <v>-122740244.52</v>
      </c>
      <c r="CN47" s="63">
        <v>203139913.17000008</v>
      </c>
      <c r="CO47" s="44">
        <v>240147695.80000001</v>
      </c>
      <c r="CP47" s="44"/>
      <c r="CQ47" s="44"/>
      <c r="CR47" s="44">
        <v>3346401.39</v>
      </c>
      <c r="CS47" s="44"/>
      <c r="CT47" s="44">
        <v>12199182.039999999</v>
      </c>
      <c r="CU47" s="44">
        <v>649824.84</v>
      </c>
      <c r="CV47" s="44"/>
      <c r="CW47" s="44">
        <v>2773875.7699999982</v>
      </c>
      <c r="CX47" s="44">
        <v>90833.33</v>
      </c>
      <c r="CY47" s="44"/>
      <c r="CZ47" s="44">
        <v>-94570641.859999999</v>
      </c>
      <c r="DA47" s="63">
        <v>164637171.31000009</v>
      </c>
      <c r="DB47" s="44">
        <f>+'EEFF historicoss'!AE51</f>
        <v>164637171.31</v>
      </c>
      <c r="DC47" s="44">
        <f>+'EEFF historicoss'!AF51</f>
        <v>164637171.31</v>
      </c>
      <c r="DD47" s="44">
        <f>+'EEFF historicoss'!AG51</f>
        <v>164637171.31</v>
      </c>
      <c r="DE47" s="44">
        <f>+'EEFF historicoss'!AH51</f>
        <v>164637171.31</v>
      </c>
      <c r="DF47" s="44">
        <f>+'EEFF historicoss'!AI51</f>
        <v>280581956.83999997</v>
      </c>
      <c r="DG47" s="44">
        <f>+'EEFF historicoss'!AJ51</f>
        <v>280581956.52999997</v>
      </c>
      <c r="DH47" s="44">
        <f>+'EEFF historicoss'!AK51</f>
        <v>277119940.11000001</v>
      </c>
      <c r="DI47" s="44">
        <f>+'EEFF historicoss'!AL51</f>
        <v>265044641.37</v>
      </c>
      <c r="DJ47" s="44">
        <f>+'EEFF historicoss'!AM51</f>
        <v>266153434.65000001</v>
      </c>
      <c r="DK47" s="44">
        <f>+'EEFF historicoss'!AN51</f>
        <v>266153434.65000001</v>
      </c>
      <c r="DL47" s="44">
        <f>+'EEFF historicoss'!AO51</f>
        <v>258146794.25999999</v>
      </c>
      <c r="DM47" s="44">
        <f>+'EEFF historicoss'!AP51</f>
        <v>204507293.19</v>
      </c>
    </row>
    <row r="48" spans="1:117" x14ac:dyDescent="0.3">
      <c r="A48" s="43" t="s">
        <v>275</v>
      </c>
      <c r="B48" s="44">
        <v>169206230.73000002</v>
      </c>
      <c r="C48" s="44">
        <v>-4296111.37</v>
      </c>
      <c r="D48" s="44">
        <v>-4328418.8</v>
      </c>
      <c r="E48" s="44">
        <v>-4360717.43</v>
      </c>
      <c r="F48" s="44">
        <v>-4393210</v>
      </c>
      <c r="G48" s="44">
        <v>-4429179.57</v>
      </c>
      <c r="H48" s="44">
        <v>-4459047.13</v>
      </c>
      <c r="I48" s="44">
        <v>-4494001.84</v>
      </c>
      <c r="J48" s="44">
        <v>-4527663.34</v>
      </c>
      <c r="K48" s="44">
        <v>-4562618.04</v>
      </c>
      <c r="L48" s="44">
        <v>-4596495.75</v>
      </c>
      <c r="M48" s="44">
        <v>-4631450.46</v>
      </c>
      <c r="N48" s="63">
        <v>120127317</v>
      </c>
      <c r="O48" s="44">
        <v>115462142.90000001</v>
      </c>
      <c r="P48" s="44">
        <v>-4700128.8100000005</v>
      </c>
      <c r="Q48" s="44">
        <v>-4734965.26</v>
      </c>
      <c r="R48" s="44">
        <v>-4772786.2300000004</v>
      </c>
      <c r="S48" s="44">
        <v>-4810955.18</v>
      </c>
      <c r="T48" s="44">
        <v>-4844459.8599999994</v>
      </c>
      <c r="U48" s="44">
        <v>-4880777.41</v>
      </c>
      <c r="V48" s="44">
        <v>-4919742.2699999996</v>
      </c>
      <c r="W48" s="44">
        <v>-74901051.049999997</v>
      </c>
      <c r="X48" s="44"/>
      <c r="Y48" s="44">
        <v>-1118192.25</v>
      </c>
      <c r="Z48" s="44">
        <v>-5722101.9000000004</v>
      </c>
      <c r="AA48" s="63">
        <v>56982.680000014312</v>
      </c>
      <c r="AB48" s="44">
        <v>56982.68</v>
      </c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63">
        <v>56982.68</v>
      </c>
      <c r="AO48" s="44">
        <v>56982.68</v>
      </c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63">
        <v>56982.68</v>
      </c>
      <c r="BB48" s="44">
        <v>56982.68</v>
      </c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63">
        <v>56982.68</v>
      </c>
      <c r="BO48" s="44">
        <v>56982.68</v>
      </c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63">
        <v>56982.68</v>
      </c>
      <c r="CB48" s="44">
        <v>56982.68</v>
      </c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63">
        <v>56982.68</v>
      </c>
      <c r="CO48" s="44">
        <v>56982.68</v>
      </c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63">
        <v>56982.68</v>
      </c>
      <c r="DB48" s="44">
        <f>+'EEFF historicoss'!AE53</f>
        <v>714544.21</v>
      </c>
      <c r="DC48" s="44">
        <f>+'EEFF historicoss'!AF53</f>
        <v>726798.27</v>
      </c>
      <c r="DD48" s="44">
        <f>+'EEFF historicoss'!AG53</f>
        <v>705348.99</v>
      </c>
      <c r="DE48" s="44">
        <f>+'EEFF historicoss'!AH53</f>
        <v>726810.16</v>
      </c>
      <c r="DF48" s="44">
        <f>+'EEFF historicoss'!AI53</f>
        <v>732572.32</v>
      </c>
      <c r="DG48" s="44">
        <f>+'EEFF historicoss'!AJ53</f>
        <v>732581.56</v>
      </c>
      <c r="DH48" s="44">
        <f>+'EEFF historicoss'!AK53</f>
        <v>732684.6</v>
      </c>
      <c r="DI48" s="44">
        <f>+'EEFF historicoss'!AL53</f>
        <v>713682.74</v>
      </c>
      <c r="DJ48" s="44">
        <f>+'EEFF historicoss'!AM53</f>
        <v>732723.53</v>
      </c>
      <c r="DK48" s="44">
        <f>+'EEFF historicoss'!AN53</f>
        <v>723430</v>
      </c>
      <c r="DL48" s="44">
        <f>+'EEFF historicoss'!AO53</f>
        <v>683844.76</v>
      </c>
      <c r="DM48" s="44">
        <f>+'EEFF historicoss'!AP53</f>
        <v>733017.78</v>
      </c>
    </row>
    <row r="49" spans="1:130" x14ac:dyDescent="0.3">
      <c r="A49" s="43" t="s">
        <v>276</v>
      </c>
      <c r="B49" s="44">
        <v>47568318.719999999</v>
      </c>
      <c r="C49" s="44">
        <v>1019396.15</v>
      </c>
      <c r="D49" s="44">
        <v>462887.87000000005</v>
      </c>
      <c r="E49" s="44">
        <v>941244.32</v>
      </c>
      <c r="F49" s="44">
        <v>-294535.2800000002</v>
      </c>
      <c r="G49" s="44">
        <v>-1283590.5599999996</v>
      </c>
      <c r="H49" s="44">
        <v>984995.67</v>
      </c>
      <c r="I49" s="44">
        <v>243264.68</v>
      </c>
      <c r="J49" s="44">
        <v>5088363.8400000008</v>
      </c>
      <c r="K49" s="44">
        <v>855658.17999999993</v>
      </c>
      <c r="L49" s="44">
        <v>726765.76</v>
      </c>
      <c r="M49" s="44">
        <v>-4568151.57</v>
      </c>
      <c r="N49" s="63">
        <v>51744617.780000009</v>
      </c>
      <c r="O49" s="44">
        <v>52428133.149999999</v>
      </c>
      <c r="P49" s="44">
        <v>1109069.5700000003</v>
      </c>
      <c r="Q49" s="44">
        <v>491706.63</v>
      </c>
      <c r="R49" s="44">
        <v>778284.01</v>
      </c>
      <c r="S49" s="44">
        <v>467444.74000000005</v>
      </c>
      <c r="T49" s="44">
        <v>6701643.0499999998</v>
      </c>
      <c r="U49" s="44">
        <v>862513.21000000008</v>
      </c>
      <c r="V49" s="44">
        <v>853025.05</v>
      </c>
      <c r="W49" s="44">
        <v>533183.9</v>
      </c>
      <c r="X49" s="44">
        <v>256427.74999999991</v>
      </c>
      <c r="Y49" s="44">
        <v>-519677.70999999985</v>
      </c>
      <c r="Z49" s="44">
        <v>-7637621.8700000001</v>
      </c>
      <c r="AA49" s="63">
        <v>56324131.479999997</v>
      </c>
      <c r="AB49" s="44">
        <v>56497373.920000009</v>
      </c>
      <c r="AC49" s="44">
        <v>2753612.95</v>
      </c>
      <c r="AD49" s="44">
        <v>709032.77999999991</v>
      </c>
      <c r="AE49" s="44">
        <v>5221918.58</v>
      </c>
      <c r="AF49" s="44">
        <v>-53163.579999999965</v>
      </c>
      <c r="AG49" s="44">
        <v>-57099.449999999983</v>
      </c>
      <c r="AH49" s="44">
        <v>166389.9499999999</v>
      </c>
      <c r="AI49" s="44">
        <v>1906087.08</v>
      </c>
      <c r="AJ49" s="44">
        <v>1133731.6299999999</v>
      </c>
      <c r="AK49" s="44">
        <v>-491632.8</v>
      </c>
      <c r="AL49" s="44">
        <v>1231718.31</v>
      </c>
      <c r="AM49" s="44">
        <v>-2975847.56</v>
      </c>
      <c r="AN49" s="63">
        <v>66042121.809999987</v>
      </c>
      <c r="AO49" s="44">
        <v>63127455.549999997</v>
      </c>
      <c r="AP49" s="44">
        <v>-41220.230000000389</v>
      </c>
      <c r="AQ49" s="44">
        <v>-1115290.6699999997</v>
      </c>
      <c r="AR49" s="44">
        <v>-2247923.14</v>
      </c>
      <c r="AS49" s="44">
        <v>-2365971.3899999997</v>
      </c>
      <c r="AT49" s="44">
        <v>-107200.2099999999</v>
      </c>
      <c r="AU49" s="44">
        <v>-2644533.9600000004</v>
      </c>
      <c r="AV49" s="44">
        <v>-2927602.6700000004</v>
      </c>
      <c r="AW49" s="44">
        <v>3608865.63</v>
      </c>
      <c r="AX49" s="44">
        <v>-92374.230000000185</v>
      </c>
      <c r="AY49" s="44">
        <v>-498514.60000000044</v>
      </c>
      <c r="AZ49" s="44">
        <v>1449329.6099999999</v>
      </c>
      <c r="BA49" s="63">
        <v>56145019.690000005</v>
      </c>
      <c r="BB49" s="44">
        <v>56898589.549999997</v>
      </c>
      <c r="BC49" s="44">
        <v>778714.23</v>
      </c>
      <c r="BD49" s="44">
        <v>-241976.59999999971</v>
      </c>
      <c r="BE49" s="44">
        <v>-81040.759999999951</v>
      </c>
      <c r="BF49" s="44">
        <v>765415.20000000007</v>
      </c>
      <c r="BG49" s="44">
        <v>153572.85999999993</v>
      </c>
      <c r="BH49" s="44">
        <v>-315240.94</v>
      </c>
      <c r="BI49" s="44">
        <v>-91359.309999999969</v>
      </c>
      <c r="BJ49" s="44">
        <v>2257377.5</v>
      </c>
      <c r="BK49" s="44">
        <v>-203396.47000000009</v>
      </c>
      <c r="BL49" s="44">
        <v>401846.59</v>
      </c>
      <c r="BM49" s="44">
        <v>-405712.81000000006</v>
      </c>
      <c r="BN49" s="63">
        <v>59916789.039999999</v>
      </c>
      <c r="BO49" s="44">
        <v>47285326.539999999</v>
      </c>
      <c r="BP49" s="44">
        <v>540939.27999999991</v>
      </c>
      <c r="BQ49" s="44">
        <v>4107575.65</v>
      </c>
      <c r="BR49" s="44">
        <v>407478.3</v>
      </c>
      <c r="BS49" s="44">
        <v>218191.3</v>
      </c>
      <c r="BT49" s="44">
        <v>-2229178.12</v>
      </c>
      <c r="BU49" s="44">
        <v>593100.34000000008</v>
      </c>
      <c r="BV49" s="44">
        <v>551185.86999999988</v>
      </c>
      <c r="BW49" s="44">
        <v>-1783894.92</v>
      </c>
      <c r="BX49" s="44">
        <v>497491.31999999995</v>
      </c>
      <c r="BY49" s="44">
        <v>169756.01</v>
      </c>
      <c r="BZ49" s="44">
        <v>633310.84000000008</v>
      </c>
      <c r="CA49" s="63">
        <v>50991282.409999996</v>
      </c>
      <c r="CB49" s="44">
        <v>50895503.079999998</v>
      </c>
      <c r="CC49" s="44">
        <v>-473852.38</v>
      </c>
      <c r="CD49" s="44">
        <v>475617.22000000009</v>
      </c>
      <c r="CE49" s="44">
        <v>397468.77000000008</v>
      </c>
      <c r="CF49" s="44">
        <v>575.40000000002874</v>
      </c>
      <c r="CG49" s="44">
        <v>1905401.4299999997</v>
      </c>
      <c r="CH49" s="44">
        <v>-413680.05000000005</v>
      </c>
      <c r="CI49" s="44">
        <v>-2312380.39</v>
      </c>
      <c r="CJ49" s="44">
        <v>491183.22000000003</v>
      </c>
      <c r="CK49" s="44">
        <v>-220321.05000000019</v>
      </c>
      <c r="CL49" s="44">
        <v>-182432.99000000005</v>
      </c>
      <c r="CM49" s="44">
        <v>-1118038.6000000001</v>
      </c>
      <c r="CN49" s="63">
        <v>49445043.659999989</v>
      </c>
      <c r="CO49" s="44">
        <v>49840369.830000006</v>
      </c>
      <c r="CP49" s="44">
        <v>722785.31</v>
      </c>
      <c r="CQ49" s="44">
        <v>1370345.3699999999</v>
      </c>
      <c r="CR49" s="44">
        <v>-1839795.5400000007</v>
      </c>
      <c r="CS49" s="44">
        <v>-769278.66000000015</v>
      </c>
      <c r="CT49" s="44">
        <v>113471.01000000002</v>
      </c>
      <c r="CU49" s="44">
        <v>-592598.83000000007</v>
      </c>
      <c r="CV49" s="44">
        <v>438140.55000000005</v>
      </c>
      <c r="CW49" s="44">
        <v>4063036.8000000003</v>
      </c>
      <c r="CX49" s="44">
        <v>738863.51000000013</v>
      </c>
      <c r="CY49" s="44">
        <v>718013.25</v>
      </c>
      <c r="CZ49" s="44">
        <v>322395.37000000005</v>
      </c>
      <c r="DA49" s="63">
        <v>55125747.970000014</v>
      </c>
      <c r="DB49" s="44">
        <f>+'EEFF historicoss'!AE52</f>
        <v>55654467.380000003</v>
      </c>
      <c r="DC49" s="44">
        <f>+'EEFF historicoss'!AF52</f>
        <v>56153004.920000002</v>
      </c>
      <c r="DD49" s="44">
        <f>+'EEFF historicoss'!AG52</f>
        <v>56797273.170000002</v>
      </c>
      <c r="DE49" s="44">
        <f>+'EEFF historicoss'!AH52</f>
        <v>55112229.909999996</v>
      </c>
      <c r="DF49" s="44">
        <f>+'EEFF historicoss'!AI52</f>
        <v>53522081.689999998</v>
      </c>
      <c r="DG49" s="44">
        <f>+'EEFF historicoss'!AJ52</f>
        <v>49971305.630000003</v>
      </c>
      <c r="DH49" s="44">
        <f>+'EEFF historicoss'!AK52</f>
        <v>49772313.130000003</v>
      </c>
      <c r="DI49" s="44">
        <f>+'EEFF historicoss'!AL52</f>
        <v>49992748.770000003</v>
      </c>
      <c r="DJ49" s="44">
        <f>+'EEFF historicoss'!AM52</f>
        <v>51288116.93</v>
      </c>
      <c r="DK49" s="44">
        <f>+'EEFF historicoss'!AN52</f>
        <v>51121244.32</v>
      </c>
      <c r="DL49" s="44">
        <f>+'EEFF historicoss'!AO52</f>
        <v>51668832.109999999</v>
      </c>
      <c r="DM49" s="44">
        <f>+'EEFF historicoss'!AP52</f>
        <v>52779691.670000002</v>
      </c>
    </row>
    <row r="50" spans="1:130" ht="15" thickBot="1" x14ac:dyDescent="0.35">
      <c r="A50" s="61" t="s">
        <v>277</v>
      </c>
      <c r="B50" s="62">
        <v>-6.6938810050487518E-9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5">
        <v>-6.6938810050487518E-9</v>
      </c>
      <c r="O50" s="62">
        <v>1.0244548320770264E-8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5">
        <v>1.0244548320770264E-8</v>
      </c>
      <c r="AB50" s="62">
        <v>9.3132257461547852E-10</v>
      </c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5">
        <v>9.3132257461547852E-10</v>
      </c>
      <c r="AO50" s="62">
        <v>2.1973391994833946E-9</v>
      </c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5">
        <v>2.1973391994833946E-9</v>
      </c>
      <c r="BB50" s="62">
        <v>-1.4915713109076023E-9</v>
      </c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5">
        <v>-1.4915713109076023E-9</v>
      </c>
      <c r="BO50" s="62">
        <v>0</v>
      </c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5">
        <v>0</v>
      </c>
      <c r="CB50" s="62">
        <v>0</v>
      </c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5">
        <v>0</v>
      </c>
      <c r="CO50" s="62">
        <v>0</v>
      </c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5">
        <v>0</v>
      </c>
    </row>
    <row r="51" spans="1:130" x14ac:dyDescent="0.3">
      <c r="A51" t="str">
        <f>+'EEFF historicoss'!D57</f>
        <v>FONDO SOCIAL UNIDADES</v>
      </c>
      <c r="DB51" s="44">
        <f>+'EEFF historicoss'!AE57</f>
        <v>462216922.91000003</v>
      </c>
      <c r="DC51" s="44">
        <f>+'EEFF historicoss'!AF57</f>
        <v>463483184.29000002</v>
      </c>
      <c r="DD51" s="44">
        <f>+'EEFF historicoss'!AG57</f>
        <v>464818042.56</v>
      </c>
      <c r="DE51" s="44">
        <f>+'EEFF historicoss'!AH57</f>
        <v>466232621.52999997</v>
      </c>
      <c r="DF51" s="44">
        <f>+'EEFF historicoss'!AI57</f>
        <v>467726921.19999999</v>
      </c>
      <c r="DG51" s="44">
        <f>+'EEFF historicoss'!AJ57</f>
        <v>469562351.31999999</v>
      </c>
      <c r="DH51" s="44">
        <f>+'EEFF historicoss'!AK57</f>
        <v>471798238.92000002</v>
      </c>
      <c r="DI51" s="44">
        <f>+'EEFF historicoss'!AL57</f>
        <v>474579193.63999999</v>
      </c>
      <c r="DJ51" s="44">
        <f>+'EEFF historicoss'!AM57</f>
        <v>478014599.70999998</v>
      </c>
      <c r="DK51" s="44">
        <f>+'EEFF historicoss'!AN57</f>
        <v>481752202.86000001</v>
      </c>
      <c r="DL51" s="44">
        <f>+'EEFF historicoss'!AO57</f>
        <v>486070098.56</v>
      </c>
      <c r="DM51" s="44">
        <f>+'EEFF historicoss'!AP57</f>
        <v>490979410.63</v>
      </c>
    </row>
    <row r="52" spans="1:130" x14ac:dyDescent="0.3">
      <c r="A52" t="str">
        <f>+'EEFF historicoss'!D58</f>
        <v>UTILIDAD DEL PERIODO</v>
      </c>
      <c r="DB52" s="44">
        <f>+'EEFF historicoss'!AE58</f>
        <v>9168140.639999995</v>
      </c>
      <c r="DC52" s="44">
        <f>+'EEFF historicoss'!AF58</f>
        <v>-926269.76000000536</v>
      </c>
      <c r="DD52" s="44">
        <f>+'EEFF historicoss'!AG58</f>
        <v>-9827798.4100000076</v>
      </c>
      <c r="DE52" s="44">
        <f>+'EEFF historicoss'!AH58</f>
        <v>-28887358.390000012</v>
      </c>
      <c r="DF52" s="44">
        <f>+'EEFF historicoss'!AI58</f>
        <v>-33764308.030000016</v>
      </c>
      <c r="DG52" s="44">
        <f>+'EEFF historicoss'!AJ58</f>
        <v>-32770316.150000013</v>
      </c>
      <c r="DH52" s="44">
        <f>+'EEFF historicoss'!AK58</f>
        <v>-30331488.470000014</v>
      </c>
      <c r="DI52" s="44">
        <f>+'EEFF historicoss'!AL58</f>
        <v>-20259824.380000014</v>
      </c>
      <c r="DJ52" s="44">
        <f>+'EEFF historicoss'!AM58</f>
        <v>-22212356.630000014</v>
      </c>
      <c r="DK52" s="44">
        <f>+'EEFF historicoss'!AN58</f>
        <v>-9439197.7800000105</v>
      </c>
      <c r="DL52" s="44">
        <f>+'EEFF historicoss'!AO58</f>
        <v>-10290908.860000012</v>
      </c>
      <c r="DM52" s="44">
        <f>+'EEFF historicoss'!AP58</f>
        <v>-13002227.060000015</v>
      </c>
    </row>
    <row r="54" spans="1:130" x14ac:dyDescent="0.3">
      <c r="A54" t="s">
        <v>424</v>
      </c>
      <c r="B54" s="44">
        <f>+B33</f>
        <v>-845574441.1500001</v>
      </c>
      <c r="C54" s="44">
        <f t="shared" ref="C54:M54" si="0">+B54+C33</f>
        <v>-855116872.2700001</v>
      </c>
      <c r="D54" s="44">
        <f t="shared" si="0"/>
        <v>-865028684.31000006</v>
      </c>
      <c r="E54" s="44">
        <f t="shared" si="0"/>
        <v>-874880458.37</v>
      </c>
      <c r="F54" s="44">
        <f t="shared" si="0"/>
        <v>-884648156.52999997</v>
      </c>
      <c r="G54" s="44">
        <f t="shared" si="0"/>
        <v>-894901249.32999992</v>
      </c>
      <c r="H54" s="44">
        <f t="shared" si="0"/>
        <v>-905256925.53999996</v>
      </c>
      <c r="I54" s="44">
        <f t="shared" si="0"/>
        <v>-891348361.53999996</v>
      </c>
      <c r="J54" s="44">
        <f t="shared" si="0"/>
        <v>-901527354.67999995</v>
      </c>
      <c r="K54" s="44">
        <f t="shared" si="0"/>
        <v>-911834925.94999993</v>
      </c>
      <c r="L54" s="44">
        <f t="shared" si="0"/>
        <v>-921922040.1099999</v>
      </c>
      <c r="M54" s="44">
        <f t="shared" si="0"/>
        <v>-931994219.91999984</v>
      </c>
      <c r="N54" s="44">
        <f>(+B54+N33)</f>
        <v>-1777568661.0699992</v>
      </c>
      <c r="O54" s="44">
        <f>+O33</f>
        <v>-942087166.51999986</v>
      </c>
      <c r="P54" s="44">
        <f t="shared" ref="P54:Z54" si="1">+O54+P33</f>
        <v>-950331625.74999988</v>
      </c>
      <c r="Q54" s="44">
        <f t="shared" si="1"/>
        <v>-958345811.26999986</v>
      </c>
      <c r="R54" s="44">
        <f t="shared" si="1"/>
        <v>-966279758.29999983</v>
      </c>
      <c r="S54" s="44">
        <f t="shared" si="1"/>
        <v>-974323500.10999978</v>
      </c>
      <c r="T54" s="44">
        <f t="shared" si="1"/>
        <v>-958832779.53999972</v>
      </c>
      <c r="U54" s="44">
        <f t="shared" si="1"/>
        <v>-963279214.1899997</v>
      </c>
      <c r="V54" s="44">
        <f t="shared" si="1"/>
        <v>-967591642.1899997</v>
      </c>
      <c r="W54" s="44">
        <f t="shared" si="1"/>
        <v>-962783001.51999974</v>
      </c>
      <c r="X54" s="44">
        <f t="shared" si="1"/>
        <v>-966895207.31999969</v>
      </c>
      <c r="Y54" s="44">
        <f t="shared" si="1"/>
        <v>-970951181.32999969</v>
      </c>
      <c r="Z54" s="44">
        <f t="shared" si="1"/>
        <v>-975012398.22999966</v>
      </c>
      <c r="AA54" s="44">
        <f>(+N54+AA33)</f>
        <v>-2752581059.2999992</v>
      </c>
      <c r="AB54" s="44">
        <f>+AB33</f>
        <v>-979021004.50999975</v>
      </c>
      <c r="AC54" s="44">
        <f t="shared" ref="AC54:AM54" si="2">+AB54+AC33</f>
        <v>-983381936.23999977</v>
      </c>
      <c r="AD54" s="44">
        <f t="shared" si="2"/>
        <v>-987383460.67999983</v>
      </c>
      <c r="AE54" s="44">
        <f t="shared" si="2"/>
        <v>-991284048.80999982</v>
      </c>
      <c r="AF54" s="44">
        <f t="shared" si="2"/>
        <v>-995068589.02999985</v>
      </c>
      <c r="AG54" s="44">
        <f t="shared" si="2"/>
        <v>-998649281.41999984</v>
      </c>
      <c r="AH54" s="44">
        <f t="shared" si="2"/>
        <v>-1002059005.6299999</v>
      </c>
      <c r="AI54" s="44">
        <f t="shared" si="2"/>
        <v>-1005455581.5799999</v>
      </c>
      <c r="AJ54" s="44">
        <f t="shared" si="2"/>
        <v>-1008924454.4499999</v>
      </c>
      <c r="AK54" s="44">
        <f t="shared" si="2"/>
        <v>-1012421364.6999999</v>
      </c>
      <c r="AL54" s="44">
        <f t="shared" si="2"/>
        <v>-1015913954.28</v>
      </c>
      <c r="AM54" s="44">
        <f t="shared" si="2"/>
        <v>-1019299899.5599999</v>
      </c>
      <c r="AN54" s="44">
        <f>(+AA54+AN33)</f>
        <v>-3771880958.8599997</v>
      </c>
      <c r="AO54" s="113">
        <f>+AO33</f>
        <v>-1022663152.9100001</v>
      </c>
      <c r="AP54" s="113">
        <f t="shared" ref="AP54:AZ54" si="3">+AO54+AP33</f>
        <v>-1023020011.2700001</v>
      </c>
      <c r="AQ54" s="113">
        <f t="shared" si="3"/>
        <v>-1026399183.8400002</v>
      </c>
      <c r="AR54" s="113">
        <f t="shared" si="3"/>
        <v>-1029366371.5800002</v>
      </c>
      <c r="AS54" s="113">
        <f t="shared" si="3"/>
        <v>-1032330149.3200002</v>
      </c>
      <c r="AT54" s="113">
        <f t="shared" si="3"/>
        <v>-1035822756.7700002</v>
      </c>
      <c r="AU54" s="113">
        <f t="shared" si="3"/>
        <v>-1043013146.7800002</v>
      </c>
      <c r="AV54" s="113">
        <f t="shared" si="3"/>
        <v>-1046631248.0100002</v>
      </c>
      <c r="AW54" s="113">
        <f t="shared" si="3"/>
        <v>-1049856057.6800002</v>
      </c>
      <c r="AX54" s="113">
        <f t="shared" si="3"/>
        <v>-1052730560.3000002</v>
      </c>
      <c r="AY54" s="113">
        <f t="shared" si="3"/>
        <v>-1056148921.7100002</v>
      </c>
      <c r="AZ54" s="113">
        <f t="shared" si="3"/>
        <v>-1060190807.5500002</v>
      </c>
      <c r="BA54" s="44">
        <f>BA33</f>
        <v>-1060190807.5499996</v>
      </c>
      <c r="BB54" s="113">
        <f>+BB33</f>
        <v>-1063630608.7199999</v>
      </c>
      <c r="BC54" s="113">
        <f t="shared" ref="BC54:BM54" si="4">+BB54+BC33</f>
        <v>-1067144634.9799999</v>
      </c>
      <c r="BD54" s="113">
        <f t="shared" si="4"/>
        <v>-1070587536.3</v>
      </c>
      <c r="BE54" s="113">
        <f t="shared" si="4"/>
        <v>-1074036098.1699998</v>
      </c>
      <c r="BF54" s="113">
        <f t="shared" si="4"/>
        <v>-1077503754.1299999</v>
      </c>
      <c r="BG54" s="113">
        <f t="shared" si="4"/>
        <v>-1080945218.6199999</v>
      </c>
      <c r="BH54" s="113">
        <f t="shared" si="4"/>
        <v>-1084214224.6499999</v>
      </c>
      <c r="BI54" s="113">
        <f t="shared" si="4"/>
        <v>-1087427282.0099998</v>
      </c>
      <c r="BJ54" s="113">
        <f t="shared" si="4"/>
        <v>-1090455239.6399999</v>
      </c>
      <c r="BK54" s="113">
        <f t="shared" si="4"/>
        <v>-1093698870.6999998</v>
      </c>
      <c r="BL54" s="113">
        <f t="shared" si="4"/>
        <v>-1097646159.2699997</v>
      </c>
      <c r="BM54" s="113">
        <f t="shared" si="4"/>
        <v>-1101276527.8399997</v>
      </c>
      <c r="BN54" s="44">
        <f>BN33</f>
        <v>-1101276527.8399992</v>
      </c>
      <c r="BO54" s="113">
        <f>+BO33</f>
        <v>-1105065948.7099998</v>
      </c>
      <c r="BP54" s="113">
        <f t="shared" ref="BP54:BZ54" si="5">+BO54+BP33</f>
        <v>-1108488672.6099999</v>
      </c>
      <c r="BQ54" s="113">
        <f t="shared" si="5"/>
        <v>-1111803108.5899999</v>
      </c>
      <c r="BR54" s="113">
        <f t="shared" si="5"/>
        <v>-1115056233.27</v>
      </c>
      <c r="BS54" s="113">
        <f t="shared" si="5"/>
        <v>-1118247898.5799999</v>
      </c>
      <c r="BT54" s="113">
        <f t="shared" si="5"/>
        <v>-1121466452.74</v>
      </c>
      <c r="BU54" s="113">
        <f t="shared" si="5"/>
        <v>-1124868627.99</v>
      </c>
      <c r="BV54" s="113">
        <f t="shared" si="5"/>
        <v>-1128226094.79</v>
      </c>
      <c r="BW54" s="113">
        <f t="shared" si="5"/>
        <v>-1131669822.03</v>
      </c>
      <c r="BX54" s="113">
        <f t="shared" si="5"/>
        <v>-1135154914.6399999</v>
      </c>
      <c r="BY54" s="113">
        <f t="shared" si="5"/>
        <v>-1138044144.78</v>
      </c>
      <c r="BZ54" s="113">
        <f t="shared" si="5"/>
        <v>-1141000120.6099999</v>
      </c>
      <c r="CA54" s="44">
        <f>CA33</f>
        <v>-1141000120.6099963</v>
      </c>
      <c r="CB54" s="113">
        <f>+CB33</f>
        <v>-1144300706.4499996</v>
      </c>
      <c r="CC54" s="113">
        <f t="shared" ref="CC54:CM54" si="6">+CB54+CC33</f>
        <v>-1147552482.8799996</v>
      </c>
      <c r="CD54" s="113">
        <f t="shared" si="6"/>
        <v>-1150978697.3699996</v>
      </c>
      <c r="CE54" s="113">
        <f t="shared" si="6"/>
        <v>-1154512484.7399995</v>
      </c>
      <c r="CF54" s="113">
        <f t="shared" si="6"/>
        <v>-1158151354.0599995</v>
      </c>
      <c r="CG54" s="113">
        <f t="shared" si="6"/>
        <v>-1161723221.0099995</v>
      </c>
      <c r="CH54" s="113">
        <f t="shared" si="6"/>
        <v>-1166557503.1899996</v>
      </c>
      <c r="CI54" s="113">
        <f t="shared" si="6"/>
        <v>-1169984753.5699997</v>
      </c>
      <c r="CJ54" s="113">
        <f t="shared" si="6"/>
        <v>-1169702863.8199997</v>
      </c>
      <c r="CK54" s="113">
        <f t="shared" si="6"/>
        <v>-1173590353.6599996</v>
      </c>
      <c r="CL54" s="113">
        <f t="shared" si="6"/>
        <v>-1177219804.7799995</v>
      </c>
      <c r="CM54" s="113">
        <f t="shared" si="6"/>
        <v>-1180899666.3599994</v>
      </c>
      <c r="CN54" s="44">
        <f>CN33</f>
        <v>-1180899666.3599994</v>
      </c>
      <c r="CO54" s="113">
        <f>+CO33</f>
        <v>-1184606191.1800003</v>
      </c>
      <c r="CP54" s="113">
        <f>+CO54+CP33</f>
        <v>-1188335960.7000003</v>
      </c>
      <c r="CQ54" s="113">
        <f t="shared" ref="CQ54:CZ54" si="7">+CP54+CQ33</f>
        <v>-1192151285.8100002</v>
      </c>
      <c r="CR54" s="113">
        <f t="shared" si="7"/>
        <v>-1195943188.6000001</v>
      </c>
      <c r="CS54" s="113">
        <f t="shared" si="7"/>
        <v>-1199101933.0700002</v>
      </c>
      <c r="CT54" s="113">
        <f t="shared" si="7"/>
        <v>-1202609618.3500001</v>
      </c>
      <c r="CU54" s="113">
        <f t="shared" si="7"/>
        <v>-1206437949.3200002</v>
      </c>
      <c r="CV54" s="113">
        <f t="shared" si="7"/>
        <v>-1208915135.4400001</v>
      </c>
      <c r="CW54" s="113">
        <f t="shared" si="7"/>
        <v>-1212298012.9000001</v>
      </c>
      <c r="CX54" s="113">
        <f t="shared" si="7"/>
        <v>-1215491128.51</v>
      </c>
      <c r="CY54" s="113">
        <f t="shared" si="7"/>
        <v>-1218917435.1099999</v>
      </c>
      <c r="CZ54" s="113">
        <f t="shared" si="7"/>
        <v>-1222531234.8699999</v>
      </c>
      <c r="DA54" s="44">
        <f>DA33</f>
        <v>-1222531234.8700013</v>
      </c>
    </row>
    <row r="55" spans="1:130" x14ac:dyDescent="0.3">
      <c r="A55" s="43" t="s">
        <v>278</v>
      </c>
      <c r="B55" s="44" t="e">
        <f>+B33-A33</f>
        <v>#VALUE!</v>
      </c>
      <c r="C55" s="44">
        <f t="shared" ref="C55:M55" si="8">+C54-B54</f>
        <v>-9542431.1200000048</v>
      </c>
      <c r="D55" s="44">
        <f t="shared" si="8"/>
        <v>-9911812.0399999619</v>
      </c>
      <c r="E55" s="44">
        <f t="shared" si="8"/>
        <v>-9851774.0599999428</v>
      </c>
      <c r="F55" s="44">
        <f t="shared" si="8"/>
        <v>-9767698.1599999666</v>
      </c>
      <c r="G55" s="44">
        <f t="shared" si="8"/>
        <v>-10253092.799999952</v>
      </c>
      <c r="H55" s="44">
        <f t="shared" si="8"/>
        <v>-10355676.210000038</v>
      </c>
      <c r="I55" s="44">
        <f t="shared" si="8"/>
        <v>13908564</v>
      </c>
      <c r="J55" s="44">
        <f t="shared" si="8"/>
        <v>-10178993.139999986</v>
      </c>
      <c r="K55" s="44">
        <f t="shared" si="8"/>
        <v>-10307571.269999981</v>
      </c>
      <c r="L55" s="44">
        <f t="shared" si="8"/>
        <v>-10087114.159999967</v>
      </c>
      <c r="M55" s="44">
        <f t="shared" si="8"/>
        <v>-10072179.809999943</v>
      </c>
      <c r="N55" s="44">
        <f>+N54-B54</f>
        <v>-931994219.91999912</v>
      </c>
      <c r="O55" s="44">
        <f>+O33-N33</f>
        <v>-10092946.60000062</v>
      </c>
      <c r="P55" s="44">
        <f t="shared" ref="P55:Z55" si="9">+P54-O54</f>
        <v>-8244459.2300000191</v>
      </c>
      <c r="Q55" s="44">
        <f t="shared" si="9"/>
        <v>-8014185.5199999809</v>
      </c>
      <c r="R55" s="44">
        <f t="shared" si="9"/>
        <v>-7933947.0299999714</v>
      </c>
      <c r="S55" s="44">
        <f t="shared" si="9"/>
        <v>-8043741.8099999428</v>
      </c>
      <c r="T55" s="44">
        <f t="shared" si="9"/>
        <v>15490720.570000052</v>
      </c>
      <c r="U55" s="44">
        <f t="shared" si="9"/>
        <v>-4446434.6499999762</v>
      </c>
      <c r="V55" s="44">
        <f t="shared" si="9"/>
        <v>-4312428</v>
      </c>
      <c r="W55" s="44">
        <f t="shared" si="9"/>
        <v>4808640.6699999571</v>
      </c>
      <c r="X55" s="44">
        <f t="shared" si="9"/>
        <v>-4112205.7999999523</v>
      </c>
      <c r="Y55" s="44">
        <f t="shared" si="9"/>
        <v>-4055974.0099999905</v>
      </c>
      <c r="Z55" s="44">
        <f t="shared" si="9"/>
        <v>-4061216.8999999762</v>
      </c>
      <c r="AA55" s="44">
        <f>+AA54-N54</f>
        <v>-975012398.23000002</v>
      </c>
      <c r="AB55" s="44">
        <f>+AB33-AA33</f>
        <v>-4008606.2799999714</v>
      </c>
      <c r="AC55" s="44">
        <f t="shared" ref="AC55:AM55" si="10">+AC54-AB54</f>
        <v>-4360931.7300000191</v>
      </c>
      <c r="AD55" s="44">
        <f t="shared" si="10"/>
        <v>-4001524.4400000572</v>
      </c>
      <c r="AE55" s="44">
        <f t="shared" si="10"/>
        <v>-3900588.1299999952</v>
      </c>
      <c r="AF55" s="44">
        <f t="shared" si="10"/>
        <v>-3784540.2200000286</v>
      </c>
      <c r="AG55" s="44">
        <f t="shared" si="10"/>
        <v>-3580692.3899999857</v>
      </c>
      <c r="AH55" s="44">
        <f t="shared" si="10"/>
        <v>-3409724.2100000381</v>
      </c>
      <c r="AI55" s="44">
        <f t="shared" si="10"/>
        <v>-3396575.9500000477</v>
      </c>
      <c r="AJ55" s="44">
        <f t="shared" si="10"/>
        <v>-3468872.8700000048</v>
      </c>
      <c r="AK55" s="44">
        <f t="shared" si="10"/>
        <v>-3496910.25</v>
      </c>
      <c r="AL55" s="44">
        <f t="shared" si="10"/>
        <v>-3492589.5800000429</v>
      </c>
      <c r="AM55" s="44">
        <f t="shared" si="10"/>
        <v>-3385945.2799999714</v>
      </c>
      <c r="AN55" s="44">
        <f>+AN54-AA54</f>
        <v>-1019299899.5600004</v>
      </c>
      <c r="AO55" s="113">
        <f t="shared" ref="AO55:AZ55" si="11">+AO54-AN54</f>
        <v>2749217805.9499998</v>
      </c>
      <c r="AP55" s="44">
        <f t="shared" si="11"/>
        <v>-356858.36000001431</v>
      </c>
      <c r="AQ55" s="44">
        <f t="shared" si="11"/>
        <v>-3379172.5700000525</v>
      </c>
      <c r="AR55" s="44">
        <f t="shared" si="11"/>
        <v>-2967187.7400000095</v>
      </c>
      <c r="AS55" s="44">
        <f t="shared" si="11"/>
        <v>-2963777.7400000095</v>
      </c>
      <c r="AT55" s="44">
        <f t="shared" si="11"/>
        <v>-3492607.4500000477</v>
      </c>
      <c r="AU55" s="44">
        <f t="shared" si="11"/>
        <v>-7190390.0099999905</v>
      </c>
      <c r="AV55" s="44">
        <f t="shared" si="11"/>
        <v>-3618101.2300000191</v>
      </c>
      <c r="AW55" s="44">
        <f t="shared" si="11"/>
        <v>-3224809.6699999571</v>
      </c>
      <c r="AX55" s="44">
        <f t="shared" si="11"/>
        <v>-2874502.6200000048</v>
      </c>
      <c r="AY55" s="44">
        <f t="shared" si="11"/>
        <v>-3418361.4099999666</v>
      </c>
      <c r="AZ55" s="44">
        <f t="shared" si="11"/>
        <v>-4041885.8400000334</v>
      </c>
      <c r="BA55" s="44">
        <f>+BA54-AN54</f>
        <v>2711690151.3099999</v>
      </c>
      <c r="BB55" s="113">
        <f t="shared" ref="BB55:BM55" si="12">+BB54-BA54</f>
        <v>-3439801.1700003147</v>
      </c>
      <c r="BC55" s="44">
        <f t="shared" si="12"/>
        <v>-3514026.2599999905</v>
      </c>
      <c r="BD55" s="44">
        <f t="shared" si="12"/>
        <v>-3442901.3200000525</v>
      </c>
      <c r="BE55" s="44">
        <f t="shared" si="12"/>
        <v>-3448561.8699998856</v>
      </c>
      <c r="BF55" s="44">
        <f t="shared" si="12"/>
        <v>-3467655.9600000381</v>
      </c>
      <c r="BG55" s="44">
        <f t="shared" si="12"/>
        <v>-3441464.4900000095</v>
      </c>
      <c r="BH55" s="44">
        <f t="shared" si="12"/>
        <v>-3269006.0299999714</v>
      </c>
      <c r="BI55" s="44">
        <f t="shared" si="12"/>
        <v>-3213057.3599998951</v>
      </c>
      <c r="BJ55" s="44">
        <f t="shared" si="12"/>
        <v>-3027957.6300001144</v>
      </c>
      <c r="BK55" s="44">
        <f t="shared" si="12"/>
        <v>-3243631.0599999428</v>
      </c>
      <c r="BL55" s="44">
        <f t="shared" si="12"/>
        <v>-3947288.5699999332</v>
      </c>
      <c r="BM55" s="44">
        <f t="shared" si="12"/>
        <v>-3630368.5699999332</v>
      </c>
      <c r="BN55" s="44">
        <f>+BN54-BA54</f>
        <v>-41085720.289999604</v>
      </c>
      <c r="BO55" s="113">
        <f t="shared" ref="BO55:BZ55" si="13">+BO54-BN54</f>
        <v>-3789420.8700006008</v>
      </c>
      <c r="BP55" s="44">
        <f t="shared" si="13"/>
        <v>-3422723.9000000954</v>
      </c>
      <c r="BQ55" s="44">
        <f t="shared" si="13"/>
        <v>-3314435.9800000191</v>
      </c>
      <c r="BR55" s="44">
        <f t="shared" si="13"/>
        <v>-3253124.6800000668</v>
      </c>
      <c r="BS55" s="44">
        <f t="shared" si="13"/>
        <v>-3191665.3099999428</v>
      </c>
      <c r="BT55" s="44">
        <f t="shared" si="13"/>
        <v>-3218554.1600000858</v>
      </c>
      <c r="BU55" s="44">
        <f t="shared" si="13"/>
        <v>-3402175.25</v>
      </c>
      <c r="BV55" s="44">
        <f t="shared" si="13"/>
        <v>-3357466.7999999523</v>
      </c>
      <c r="BW55" s="44">
        <f t="shared" si="13"/>
        <v>-3443727.2400000095</v>
      </c>
      <c r="BX55" s="44">
        <f t="shared" si="13"/>
        <v>-3485092.6099998951</v>
      </c>
      <c r="BY55" s="44">
        <f t="shared" si="13"/>
        <v>-2889230.1400001049</v>
      </c>
      <c r="BZ55" s="44">
        <f t="shared" si="13"/>
        <v>-2955975.8299999237</v>
      </c>
      <c r="CA55" s="44">
        <f>+CA54-BN54</f>
        <v>-39723592.76999712</v>
      </c>
      <c r="CB55" s="113">
        <f t="shared" ref="CB55:CM55" si="14">+CB54-CA54</f>
        <v>-3300585.840003252</v>
      </c>
      <c r="CC55" s="44">
        <f t="shared" si="14"/>
        <v>-3251776.4300000668</v>
      </c>
      <c r="CD55" s="44">
        <f t="shared" si="14"/>
        <v>-3426214.4900000095</v>
      </c>
      <c r="CE55" s="44">
        <f t="shared" si="14"/>
        <v>-3533787.3699998856</v>
      </c>
      <c r="CF55" s="44">
        <f t="shared" si="14"/>
        <v>-3638869.3199999332</v>
      </c>
      <c r="CG55" s="44">
        <f t="shared" si="14"/>
        <v>-3571866.9500000477</v>
      </c>
      <c r="CH55" s="44">
        <f t="shared" si="14"/>
        <v>-4834282.1800000668</v>
      </c>
      <c r="CI55" s="44">
        <f t="shared" si="14"/>
        <v>-3427250.3800001144</v>
      </c>
      <c r="CJ55" s="44">
        <f t="shared" si="14"/>
        <v>281889.75</v>
      </c>
      <c r="CK55" s="44">
        <f t="shared" si="14"/>
        <v>-3887489.8399999142</v>
      </c>
      <c r="CL55" s="44">
        <f t="shared" si="14"/>
        <v>-3629451.1199998856</v>
      </c>
      <c r="CM55" s="44">
        <f t="shared" si="14"/>
        <v>-3679861.5799999237</v>
      </c>
      <c r="CN55" s="44">
        <f>+CN54-CA54</f>
        <v>-39899545.750003099</v>
      </c>
      <c r="CO55" s="113">
        <f t="shared" ref="CO55:CZ55" si="15">+CO54-CN54</f>
        <v>-3706524.8200008869</v>
      </c>
      <c r="CP55" s="44">
        <f t="shared" si="15"/>
        <v>-3729769.5199999809</v>
      </c>
      <c r="CQ55" s="44">
        <f t="shared" si="15"/>
        <v>-3815325.1099998951</v>
      </c>
      <c r="CR55" s="44">
        <f t="shared" si="15"/>
        <v>-3791902.7899999619</v>
      </c>
      <c r="CS55" s="44">
        <f t="shared" si="15"/>
        <v>-3158744.4700000286</v>
      </c>
      <c r="CT55" s="44">
        <f t="shared" si="15"/>
        <v>-3507685.2799999714</v>
      </c>
      <c r="CU55" s="44">
        <f t="shared" si="15"/>
        <v>-3828330.9700000286</v>
      </c>
      <c r="CV55" s="44">
        <f t="shared" si="15"/>
        <v>-2477186.1199998856</v>
      </c>
      <c r="CW55" s="44">
        <f t="shared" si="15"/>
        <v>-3382877.4600000381</v>
      </c>
      <c r="CX55" s="44">
        <f t="shared" si="15"/>
        <v>-3193115.6099998951</v>
      </c>
      <c r="CY55" s="44">
        <f t="shared" si="15"/>
        <v>-3426306.5999999046</v>
      </c>
      <c r="CZ55" s="44">
        <f t="shared" si="15"/>
        <v>-3613799.7599999905</v>
      </c>
      <c r="DA55" s="44">
        <f>+DA54-CN54</f>
        <v>-41631568.510001898</v>
      </c>
      <c r="DB55" s="44">
        <f>+CZ55</f>
        <v>-3613799.7599999905</v>
      </c>
      <c r="DC55" s="44">
        <f>+DB55</f>
        <v>-3613799.7599999905</v>
      </c>
      <c r="DD55" s="44">
        <f t="shared" ref="DD55:DM55" si="16">+DC55</f>
        <v>-3613799.7599999905</v>
      </c>
      <c r="DE55" s="44">
        <f t="shared" si="16"/>
        <v>-3613799.7599999905</v>
      </c>
      <c r="DF55" s="44">
        <f t="shared" si="16"/>
        <v>-3613799.7599999905</v>
      </c>
      <c r="DG55" s="44">
        <f t="shared" si="16"/>
        <v>-3613799.7599999905</v>
      </c>
      <c r="DH55" s="44">
        <f t="shared" si="16"/>
        <v>-3613799.7599999905</v>
      </c>
      <c r="DI55" s="44">
        <f t="shared" si="16"/>
        <v>-3613799.7599999905</v>
      </c>
      <c r="DJ55" s="44">
        <f t="shared" si="16"/>
        <v>-3613799.7599999905</v>
      </c>
      <c r="DK55" s="44">
        <f t="shared" si="16"/>
        <v>-3613799.7599999905</v>
      </c>
      <c r="DL55" s="44">
        <f t="shared" si="16"/>
        <v>-3613799.7599999905</v>
      </c>
      <c r="DM55" s="44">
        <f t="shared" si="16"/>
        <v>-3613799.7599999905</v>
      </c>
      <c r="DN55" s="44">
        <f>+DN54-DA54</f>
        <v>1222531234.8700013</v>
      </c>
      <c r="DO55" s="44">
        <f>+-'Presupuesto 25'!C88</f>
        <v>-2020006.0344743158</v>
      </c>
      <c r="DP55" s="44">
        <f>+DO55</f>
        <v>-2020006.0344743158</v>
      </c>
      <c r="DQ55" s="44">
        <f t="shared" ref="DQ55:DZ55" si="17">+DP55</f>
        <v>-2020006.0344743158</v>
      </c>
      <c r="DR55" s="44">
        <f t="shared" si="17"/>
        <v>-2020006.0344743158</v>
      </c>
      <c r="DS55" s="44">
        <f t="shared" si="17"/>
        <v>-2020006.0344743158</v>
      </c>
      <c r="DT55" s="44">
        <f t="shared" si="17"/>
        <v>-2020006.0344743158</v>
      </c>
      <c r="DU55" s="44">
        <f t="shared" si="17"/>
        <v>-2020006.0344743158</v>
      </c>
      <c r="DV55" s="44">
        <f t="shared" si="17"/>
        <v>-2020006.0344743158</v>
      </c>
      <c r="DW55" s="44">
        <f t="shared" si="17"/>
        <v>-2020006.0344743158</v>
      </c>
      <c r="DX55" s="44">
        <f t="shared" si="17"/>
        <v>-2020006.0344743158</v>
      </c>
      <c r="DY55" s="44">
        <f t="shared" si="17"/>
        <v>-2020006.0344743158</v>
      </c>
      <c r="DZ55" s="44">
        <f t="shared" si="17"/>
        <v>-2020006.0344743158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88D8-E607-41DA-B082-A0FF8697D63A}">
  <dimension ref="A1:Q43"/>
  <sheetViews>
    <sheetView topLeftCell="B6" workbookViewId="0"/>
  </sheetViews>
  <sheetFormatPr baseColWidth="10" defaultRowHeight="14.4" x14ac:dyDescent="0.3"/>
  <cols>
    <col min="1" max="1" width="4.6640625" style="1" hidden="1" customWidth="1"/>
    <col min="2" max="2" width="27.33203125" style="1" customWidth="1"/>
    <col min="3" max="11" width="9" style="1" customWidth="1"/>
    <col min="12" max="17" width="7.77734375" style="1" customWidth="1"/>
  </cols>
  <sheetData>
    <row r="1" spans="1:17" hidden="1" x14ac:dyDescent="0.3">
      <c r="C1" s="33">
        <v>-1.862645149230957E-8</v>
      </c>
      <c r="D1" s="33">
        <v>1.1175870895385742E-8</v>
      </c>
      <c r="E1" s="33">
        <v>0</v>
      </c>
      <c r="F1" s="33">
        <v>9.3132257461547852E-9</v>
      </c>
      <c r="G1" s="33">
        <v>0</v>
      </c>
      <c r="H1" s="33">
        <v>0</v>
      </c>
      <c r="I1" s="33">
        <v>0</v>
      </c>
      <c r="J1" s="33">
        <v>0</v>
      </c>
      <c r="K1" s="33">
        <v>0</v>
      </c>
      <c r="L1" s="33">
        <v>1.4901161193847656E-8</v>
      </c>
      <c r="M1" s="33">
        <v>4.4703483581542969E-8</v>
      </c>
      <c r="N1" s="33">
        <v>0</v>
      </c>
      <c r="O1" s="33">
        <v>-2.1187588572502136E-8</v>
      </c>
      <c r="P1" s="33">
        <v>8.6147338151931763E-9</v>
      </c>
      <c r="Q1" s="33">
        <v>0</v>
      </c>
    </row>
    <row r="2" spans="1:17" hidden="1" x14ac:dyDescent="0.3"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</row>
    <row r="3" spans="1:17" hidden="1" x14ac:dyDescent="0.3">
      <c r="C3" s="119">
        <v>0</v>
      </c>
      <c r="D3" s="119">
        <v>0</v>
      </c>
      <c r="E3" s="119">
        <v>0</v>
      </c>
      <c r="F3" s="119">
        <v>0</v>
      </c>
      <c r="G3" s="119">
        <v>0</v>
      </c>
      <c r="H3" s="119">
        <v>0</v>
      </c>
      <c r="I3" s="119">
        <v>0</v>
      </c>
      <c r="J3" s="119">
        <v>0</v>
      </c>
      <c r="K3" s="119">
        <v>0</v>
      </c>
      <c r="L3" s="119">
        <v>0</v>
      </c>
      <c r="M3" s="119">
        <v>0</v>
      </c>
      <c r="N3" s="119">
        <v>0</v>
      </c>
      <c r="O3" s="119">
        <v>0</v>
      </c>
      <c r="P3" s="119">
        <v>0</v>
      </c>
      <c r="Q3" s="119">
        <v>0</v>
      </c>
    </row>
    <row r="4" spans="1:17" hidden="1" x14ac:dyDescent="0.3">
      <c r="C4" s="119">
        <v>0</v>
      </c>
      <c r="D4" s="119">
        <v>0</v>
      </c>
      <c r="E4" s="119">
        <v>0</v>
      </c>
      <c r="F4" s="119">
        <v>0</v>
      </c>
      <c r="G4" s="119">
        <v>0</v>
      </c>
      <c r="H4" s="119">
        <v>0</v>
      </c>
      <c r="I4" s="119">
        <v>0</v>
      </c>
      <c r="J4" s="119">
        <v>0</v>
      </c>
      <c r="K4" s="119">
        <v>0</v>
      </c>
      <c r="L4" s="119">
        <v>0</v>
      </c>
      <c r="M4" s="119">
        <v>0</v>
      </c>
      <c r="N4" s="119">
        <v>0</v>
      </c>
      <c r="O4" s="119">
        <v>0</v>
      </c>
      <c r="P4" s="119">
        <v>0</v>
      </c>
      <c r="Q4" s="119">
        <v>0</v>
      </c>
    </row>
    <row r="5" spans="1:17" hidden="1" x14ac:dyDescent="0.3">
      <c r="C5" s="119">
        <v>0</v>
      </c>
      <c r="D5" s="119">
        <v>0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0</v>
      </c>
      <c r="M5" s="119">
        <v>0</v>
      </c>
      <c r="N5" s="119">
        <v>0</v>
      </c>
      <c r="O5" s="119">
        <v>0</v>
      </c>
      <c r="P5" s="119">
        <v>0</v>
      </c>
      <c r="Q5" s="119">
        <v>0</v>
      </c>
    </row>
    <row r="6" spans="1:17" x14ac:dyDescent="0.3">
      <c r="B6" s="1" t="s">
        <v>508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</row>
    <row r="7" spans="1:17" x14ac:dyDescent="0.3">
      <c r="B7" s="1" t="s">
        <v>509</v>
      </c>
      <c r="C7" s="120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</row>
    <row r="8" spans="1:17" x14ac:dyDescent="0.3">
      <c r="C8" s="120"/>
      <c r="E8" s="121" t="s">
        <v>510</v>
      </c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7" x14ac:dyDescent="0.3">
      <c r="C9" s="119"/>
      <c r="D9" s="119"/>
      <c r="E9" s="122" t="s">
        <v>511</v>
      </c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</row>
    <row r="10" spans="1:17" ht="15" thickBot="1" x14ac:dyDescent="0.35">
      <c r="B10" s="1" t="s">
        <v>512</v>
      </c>
      <c r="C10" s="120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x14ac:dyDescent="0.3">
      <c r="A11" s="129"/>
      <c r="B11" s="129"/>
      <c r="C11" s="159"/>
      <c r="D11" s="160" t="s">
        <v>513</v>
      </c>
      <c r="E11" s="161"/>
      <c r="F11" s="159"/>
      <c r="G11" s="160" t="s">
        <v>514</v>
      </c>
      <c r="H11" s="161"/>
      <c r="I11" s="159"/>
      <c r="J11" s="162">
        <v>44986</v>
      </c>
      <c r="K11" s="161"/>
      <c r="L11" s="159"/>
      <c r="M11" s="162">
        <v>45352</v>
      </c>
      <c r="N11" s="161"/>
      <c r="O11" s="159"/>
      <c r="P11" s="163" t="s">
        <v>542</v>
      </c>
      <c r="Q11" s="161"/>
    </row>
    <row r="12" spans="1:17" x14ac:dyDescent="0.3">
      <c r="A12" s="129"/>
      <c r="B12" s="129"/>
      <c r="C12" s="144" t="s">
        <v>515</v>
      </c>
      <c r="D12" s="145" t="s">
        <v>516</v>
      </c>
      <c r="E12" s="146" t="s">
        <v>517</v>
      </c>
      <c r="F12" s="144" t="s">
        <v>515</v>
      </c>
      <c r="G12" s="145" t="s">
        <v>516</v>
      </c>
      <c r="H12" s="146" t="s">
        <v>517</v>
      </c>
      <c r="I12" s="144" t="s">
        <v>515</v>
      </c>
      <c r="J12" s="145" t="s">
        <v>516</v>
      </c>
      <c r="K12" s="146" t="s">
        <v>517</v>
      </c>
      <c r="L12" s="144" t="s">
        <v>515</v>
      </c>
      <c r="M12" s="145" t="s">
        <v>516</v>
      </c>
      <c r="N12" s="146" t="s">
        <v>517</v>
      </c>
      <c r="O12" s="144" t="s">
        <v>515</v>
      </c>
      <c r="P12" s="145" t="s">
        <v>516</v>
      </c>
      <c r="Q12" s="146" t="s">
        <v>517</v>
      </c>
    </row>
    <row r="13" spans="1:17" ht="15" thickBot="1" x14ac:dyDescent="0.35">
      <c r="B13" s="147" t="s">
        <v>518</v>
      </c>
      <c r="C13" s="148">
        <v>389170554.04694629</v>
      </c>
      <c r="D13" s="149">
        <v>193705531.96177828</v>
      </c>
      <c r="E13" s="150">
        <v>195465022.08516797</v>
      </c>
      <c r="F13" s="148">
        <v>350416784.12090003</v>
      </c>
      <c r="G13" s="149">
        <v>175360490.49874079</v>
      </c>
      <c r="H13" s="150">
        <v>175056293.62215927</v>
      </c>
      <c r="I13" s="148">
        <v>436295999.03897119</v>
      </c>
      <c r="J13" s="149">
        <v>207193668.44072238</v>
      </c>
      <c r="K13" s="150">
        <v>229102330.59824887</v>
      </c>
      <c r="L13" s="148">
        <v>453062267.29249346</v>
      </c>
      <c r="M13" s="149">
        <v>210631944.91048744</v>
      </c>
      <c r="N13" s="150">
        <v>242430322.38200605</v>
      </c>
      <c r="O13" s="148">
        <v>403829167.03092504</v>
      </c>
      <c r="P13" s="149">
        <v>195312450.13411149</v>
      </c>
      <c r="Q13" s="150">
        <v>208516716.89681363</v>
      </c>
    </row>
    <row r="14" spans="1:17" ht="15" thickTop="1" x14ac:dyDescent="0.3">
      <c r="B14" s="151" t="s">
        <v>7</v>
      </c>
      <c r="C14" s="152">
        <v>287716193.94694626</v>
      </c>
      <c r="D14" s="153">
        <v>146771187.64177829</v>
      </c>
      <c r="E14" s="154">
        <v>140945006.305168</v>
      </c>
      <c r="F14" s="152">
        <v>255184862.95090002</v>
      </c>
      <c r="G14" s="153">
        <v>127439821.06874074</v>
      </c>
      <c r="H14" s="154">
        <v>127745041.88215926</v>
      </c>
      <c r="I14" s="152">
        <v>331380471.91897124</v>
      </c>
      <c r="J14" s="153">
        <v>160042343.35072234</v>
      </c>
      <c r="K14" s="154">
        <v>171338128.5682489</v>
      </c>
      <c r="L14" s="152">
        <v>327021799.61249346</v>
      </c>
      <c r="M14" s="153">
        <v>160097555.33048749</v>
      </c>
      <c r="N14" s="154">
        <v>166924244.28200606</v>
      </c>
      <c r="O14" s="152">
        <v>304531508.19092506</v>
      </c>
      <c r="P14" s="153">
        <v>149821199.3548575</v>
      </c>
      <c r="Q14" s="154">
        <v>154710308.83606759</v>
      </c>
    </row>
    <row r="15" spans="1:17" x14ac:dyDescent="0.3">
      <c r="B15" s="130" t="s">
        <v>519</v>
      </c>
      <c r="C15" s="135">
        <v>282994544.92694628</v>
      </c>
      <c r="D15" s="136">
        <v>142049538.62177828</v>
      </c>
      <c r="E15" s="137">
        <v>140945006.305168</v>
      </c>
      <c r="F15" s="135">
        <v>250254110.21090001</v>
      </c>
      <c r="G15" s="136">
        <v>122509068.32874075</v>
      </c>
      <c r="H15" s="137">
        <v>127745041.88215926</v>
      </c>
      <c r="I15" s="135">
        <v>313651785.10897124</v>
      </c>
      <c r="J15" s="136">
        <v>142313656.54072234</v>
      </c>
      <c r="K15" s="137">
        <v>171338128.5682489</v>
      </c>
      <c r="L15" s="135">
        <v>311312319.00249344</v>
      </c>
      <c r="M15" s="136">
        <v>144388074.72048745</v>
      </c>
      <c r="N15" s="137">
        <v>166924244.28200606</v>
      </c>
      <c r="O15" s="135">
        <v>302885893.73092508</v>
      </c>
      <c r="P15" s="136">
        <v>148175584.8948575</v>
      </c>
      <c r="Q15" s="137">
        <v>154710308.83606759</v>
      </c>
    </row>
    <row r="16" spans="1:17" x14ac:dyDescent="0.3">
      <c r="B16" s="131" t="s">
        <v>520</v>
      </c>
      <c r="C16" s="138">
        <v>79872030.260786712</v>
      </c>
      <c r="D16" s="139">
        <v>73242843.428592727</v>
      </c>
      <c r="E16" s="140">
        <v>6629186.8321939949</v>
      </c>
      <c r="F16" s="138">
        <v>71659422.464139298</v>
      </c>
      <c r="G16" s="139">
        <v>65186368.458874427</v>
      </c>
      <c r="H16" s="140">
        <v>6473054.0052648596</v>
      </c>
      <c r="I16" s="138">
        <v>79825685.898407623</v>
      </c>
      <c r="J16" s="139">
        <v>71455546.354380652</v>
      </c>
      <c r="K16" s="140">
        <v>8370139.5440269606</v>
      </c>
      <c r="L16" s="138">
        <v>79638527.426179305</v>
      </c>
      <c r="M16" s="139">
        <v>72540447.102577329</v>
      </c>
      <c r="N16" s="140">
        <v>7098080.3236019723</v>
      </c>
      <c r="O16" s="138">
        <v>92904426.205423608</v>
      </c>
      <c r="P16" s="139">
        <v>85624745.633171335</v>
      </c>
      <c r="Q16" s="140">
        <v>7279680.5722522801</v>
      </c>
    </row>
    <row r="17" spans="2:17" x14ac:dyDescent="0.3">
      <c r="B17" s="131" t="s">
        <v>521</v>
      </c>
      <c r="C17" s="138">
        <v>13439710.420456367</v>
      </c>
      <c r="D17" s="139">
        <v>12507920.697559318</v>
      </c>
      <c r="E17" s="140">
        <v>931789.72289705102</v>
      </c>
      <c r="F17" s="138">
        <v>12096072.847946038</v>
      </c>
      <c r="G17" s="139">
        <v>11129826.390705615</v>
      </c>
      <c r="H17" s="140">
        <v>966246.45724042074</v>
      </c>
      <c r="I17" s="138">
        <v>13253202.422104688</v>
      </c>
      <c r="J17" s="139">
        <v>11986281.265456861</v>
      </c>
      <c r="K17" s="140">
        <v>1266921.1566478289</v>
      </c>
      <c r="L17" s="138">
        <v>13261913.232913543</v>
      </c>
      <c r="M17" s="139">
        <v>12092187.49343119</v>
      </c>
      <c r="N17" s="140">
        <v>1169725.7394823527</v>
      </c>
      <c r="O17" s="138">
        <v>15648857.686092367</v>
      </c>
      <c r="P17" s="139">
        <v>14434497.703038039</v>
      </c>
      <c r="Q17" s="140">
        <v>1214359.9830543285</v>
      </c>
    </row>
    <row r="18" spans="2:17" x14ac:dyDescent="0.3">
      <c r="B18" s="131" t="s">
        <v>522</v>
      </c>
      <c r="C18" s="138">
        <v>15830565.495749429</v>
      </c>
      <c r="D18" s="139">
        <v>13972562.290068414</v>
      </c>
      <c r="E18" s="140">
        <v>1858003.2056810139</v>
      </c>
      <c r="F18" s="138">
        <v>11990306.20118716</v>
      </c>
      <c r="G18" s="139">
        <v>10063595.731094353</v>
      </c>
      <c r="H18" s="140">
        <v>1926710.4700928079</v>
      </c>
      <c r="I18" s="138">
        <v>15206676.597445067</v>
      </c>
      <c r="J18" s="139">
        <v>12680416.098372318</v>
      </c>
      <c r="K18" s="140">
        <v>2526260.4990727501</v>
      </c>
      <c r="L18" s="138">
        <v>19953943.066424105</v>
      </c>
      <c r="M18" s="139">
        <v>18114286.937794119</v>
      </c>
      <c r="N18" s="140">
        <v>1839656.1286299876</v>
      </c>
      <c r="O18" s="138">
        <v>13786310.952050233</v>
      </c>
      <c r="P18" s="139">
        <v>12602183.387986746</v>
      </c>
      <c r="Q18" s="140">
        <v>1184127.5640634878</v>
      </c>
    </row>
    <row r="19" spans="2:17" x14ac:dyDescent="0.3">
      <c r="B19" s="131" t="s">
        <v>523</v>
      </c>
      <c r="C19" s="138">
        <v>30384197.57377483</v>
      </c>
      <c r="D19" s="139">
        <v>2227.3000000000002</v>
      </c>
      <c r="E19" s="140">
        <v>30381970.273774829</v>
      </c>
      <c r="F19" s="138">
        <v>27451884.162239984</v>
      </c>
      <c r="G19" s="139">
        <v>2329.11</v>
      </c>
      <c r="H19" s="140">
        <v>27449555.052239984</v>
      </c>
      <c r="I19" s="138">
        <v>37869397.383208126</v>
      </c>
      <c r="J19" s="139">
        <v>7343.87</v>
      </c>
      <c r="K19" s="140">
        <v>37862053.513208121</v>
      </c>
      <c r="L19" s="138">
        <v>40544667.762141004</v>
      </c>
      <c r="M19" s="139">
        <v>114.44</v>
      </c>
      <c r="N19" s="140">
        <v>40544553.322141007</v>
      </c>
      <c r="O19" s="138">
        <v>40701514.8248953</v>
      </c>
      <c r="P19" s="139">
        <v>0</v>
      </c>
      <c r="Q19" s="140">
        <v>40701514.8248953</v>
      </c>
    </row>
    <row r="20" spans="2:17" x14ac:dyDescent="0.3">
      <c r="B20" s="131" t="s">
        <v>524</v>
      </c>
      <c r="C20" s="138">
        <v>101159492.35062112</v>
      </c>
      <c r="D20" s="139">
        <v>21443.200000000001</v>
      </c>
      <c r="E20" s="140">
        <v>101138049.15062112</v>
      </c>
      <c r="F20" s="138">
        <v>90819419.737531871</v>
      </c>
      <c r="G20" s="139">
        <v>11880.109999999999</v>
      </c>
      <c r="H20" s="140">
        <v>90807539.627531871</v>
      </c>
      <c r="I20" s="138">
        <v>125047223.63417374</v>
      </c>
      <c r="J20" s="139">
        <v>3909537.1468613665</v>
      </c>
      <c r="K20" s="140">
        <v>121137686.48731238</v>
      </c>
      <c r="L20" s="138">
        <v>123859883.77992639</v>
      </c>
      <c r="M20" s="139">
        <v>7719426.3617364727</v>
      </c>
      <c r="N20" s="140">
        <v>116140457.41818991</v>
      </c>
      <c r="O20" s="138">
        <v>105744779.36221407</v>
      </c>
      <c r="P20" s="139">
        <v>1424721.259465381</v>
      </c>
      <c r="Q20" s="140">
        <v>104320058.10274869</v>
      </c>
    </row>
    <row r="21" spans="2:17" x14ac:dyDescent="0.3">
      <c r="B21" s="131" t="s">
        <v>525</v>
      </c>
      <c r="C21" s="138">
        <v>2534564.3706860803</v>
      </c>
      <c r="D21" s="139">
        <v>2528557.2506860802</v>
      </c>
      <c r="E21" s="140">
        <v>6007.1199999999953</v>
      </c>
      <c r="F21" s="138">
        <v>4805987.104540105</v>
      </c>
      <c r="G21" s="139">
        <v>4684050.8347507799</v>
      </c>
      <c r="H21" s="140">
        <v>121936.26978932598</v>
      </c>
      <c r="I21" s="138">
        <v>6766730.465881763</v>
      </c>
      <c r="J21" s="139">
        <v>6591663.0979009252</v>
      </c>
      <c r="K21" s="140">
        <v>175067.36798083739</v>
      </c>
      <c r="L21" s="138">
        <v>5286438.3160499139</v>
      </c>
      <c r="M21" s="139">
        <v>5154666.9660891118</v>
      </c>
      <c r="N21" s="140">
        <v>131771.34996080177</v>
      </c>
      <c r="O21" s="138">
        <v>3074803.7455372424</v>
      </c>
      <c r="P21" s="139">
        <v>3064235.9564837459</v>
      </c>
      <c r="Q21" s="140">
        <v>10567.789053496597</v>
      </c>
    </row>
    <row r="22" spans="2:17" x14ac:dyDescent="0.3">
      <c r="B22" s="131" t="s">
        <v>526</v>
      </c>
      <c r="C22" s="138">
        <v>39773984.454871729</v>
      </c>
      <c r="D22" s="139">
        <v>39773984.454871729</v>
      </c>
      <c r="E22" s="140">
        <v>0</v>
      </c>
      <c r="F22" s="138">
        <v>31431017.693315588</v>
      </c>
      <c r="G22" s="139">
        <v>31431017.693315588</v>
      </c>
      <c r="H22" s="140">
        <v>0</v>
      </c>
      <c r="I22" s="138">
        <v>35682868.707750224</v>
      </c>
      <c r="J22" s="139">
        <v>35682868.707750224</v>
      </c>
      <c r="K22" s="140">
        <v>0</v>
      </c>
      <c r="L22" s="138">
        <v>28766945.418859206</v>
      </c>
      <c r="M22" s="139">
        <v>28766945.418859206</v>
      </c>
      <c r="N22" s="140">
        <v>0</v>
      </c>
      <c r="O22" s="138">
        <v>31025200.954712242</v>
      </c>
      <c r="P22" s="139">
        <v>31025200.954712242</v>
      </c>
      <c r="Q22" s="140">
        <v>0</v>
      </c>
    </row>
    <row r="23" spans="2:17" x14ac:dyDescent="0.3">
      <c r="B23" s="132" t="s">
        <v>527</v>
      </c>
      <c r="C23" s="138">
        <v>35773567.837494344</v>
      </c>
      <c r="D23" s="139">
        <v>35773567.837494344</v>
      </c>
      <c r="E23" s="140">
        <v>0</v>
      </c>
      <c r="F23" s="138">
        <v>28440087.641171072</v>
      </c>
      <c r="G23" s="139">
        <v>28440087.641171072</v>
      </c>
      <c r="H23" s="140">
        <v>0</v>
      </c>
      <c r="I23" s="138">
        <v>32107725.853225064</v>
      </c>
      <c r="J23" s="139">
        <v>32107725.853225064</v>
      </c>
      <c r="K23" s="140">
        <v>0</v>
      </c>
      <c r="L23" s="138">
        <v>25821653.569675498</v>
      </c>
      <c r="M23" s="139">
        <v>25821653.569675498</v>
      </c>
      <c r="N23" s="140">
        <v>0</v>
      </c>
      <c r="O23" s="138">
        <v>27233327.671663854</v>
      </c>
      <c r="P23" s="139">
        <v>27233327.671663854</v>
      </c>
      <c r="Q23" s="140">
        <v>0</v>
      </c>
    </row>
    <row r="24" spans="2:17" x14ac:dyDescent="0.3">
      <c r="B24" s="132" t="s">
        <v>528</v>
      </c>
      <c r="C24" s="138">
        <v>4000416.6173773925</v>
      </c>
      <c r="D24" s="139">
        <v>4000416.6173773925</v>
      </c>
      <c r="E24" s="140">
        <v>0</v>
      </c>
      <c r="F24" s="138">
        <v>2990930.0521445111</v>
      </c>
      <c r="G24" s="139">
        <v>2990930.0521445111</v>
      </c>
      <c r="H24" s="140">
        <v>0</v>
      </c>
      <c r="I24" s="138">
        <v>3575142.854525167</v>
      </c>
      <c r="J24" s="139">
        <v>3575142.854525167</v>
      </c>
      <c r="K24" s="140">
        <v>0</v>
      </c>
      <c r="L24" s="138">
        <v>2945291.8491837131</v>
      </c>
      <c r="M24" s="139">
        <v>2945291.8491837131</v>
      </c>
      <c r="N24" s="140">
        <v>0</v>
      </c>
      <c r="O24" s="138">
        <v>3791873.2830483774</v>
      </c>
      <c r="P24" s="139">
        <v>3791873.2830483774</v>
      </c>
      <c r="Q24" s="140">
        <v>0</v>
      </c>
    </row>
    <row r="25" spans="2:17" x14ac:dyDescent="0.3">
      <c r="B25" s="130" t="s">
        <v>529</v>
      </c>
      <c r="C25" s="135">
        <v>4721649.0199999996</v>
      </c>
      <c r="D25" s="136">
        <v>4721649.0199999996</v>
      </c>
      <c r="E25" s="137">
        <v>0</v>
      </c>
      <c r="F25" s="135">
        <v>4930752.74</v>
      </c>
      <c r="G25" s="136">
        <v>4930752.74</v>
      </c>
      <c r="H25" s="137">
        <v>0</v>
      </c>
      <c r="I25" s="135">
        <v>17728686.809999999</v>
      </c>
      <c r="J25" s="136">
        <v>17728686.809999999</v>
      </c>
      <c r="K25" s="137">
        <v>0</v>
      </c>
      <c r="L25" s="135">
        <v>15709480.609999999</v>
      </c>
      <c r="M25" s="136">
        <v>15709480.609999999</v>
      </c>
      <c r="N25" s="137">
        <v>0</v>
      </c>
      <c r="O25" s="135">
        <v>1645614.4599999997</v>
      </c>
      <c r="P25" s="136">
        <v>1645614.4599999997</v>
      </c>
      <c r="Q25" s="137">
        <v>0</v>
      </c>
    </row>
    <row r="26" spans="2:17" x14ac:dyDescent="0.3">
      <c r="B26" s="155" t="s">
        <v>530</v>
      </c>
      <c r="C26" s="156">
        <v>101454360.09999998</v>
      </c>
      <c r="D26" s="157">
        <v>46934344.319999985</v>
      </c>
      <c r="E26" s="158">
        <v>54520015.780000009</v>
      </c>
      <c r="F26" s="156">
        <v>95231921.169999987</v>
      </c>
      <c r="G26" s="157">
        <v>47920669.429999992</v>
      </c>
      <c r="H26" s="158">
        <v>47311251.740000002</v>
      </c>
      <c r="I26" s="156">
        <v>104915527.11999999</v>
      </c>
      <c r="J26" s="157">
        <v>47151325.089999996</v>
      </c>
      <c r="K26" s="158">
        <v>57764202.029999994</v>
      </c>
      <c r="L26" s="156">
        <v>126040467.67999999</v>
      </c>
      <c r="M26" s="157">
        <v>50534389.579999983</v>
      </c>
      <c r="N26" s="158">
        <v>75506078.100000009</v>
      </c>
      <c r="O26" s="156">
        <v>99297658.839999989</v>
      </c>
      <c r="P26" s="157">
        <v>45491250.779253997</v>
      </c>
      <c r="Q26" s="158">
        <v>53806408.060746007</v>
      </c>
    </row>
    <row r="27" spans="2:17" x14ac:dyDescent="0.3">
      <c r="B27" s="133" t="s">
        <v>531</v>
      </c>
      <c r="C27" s="138">
        <v>10577450.720000001</v>
      </c>
      <c r="D27" s="139">
        <v>10577450.720000001</v>
      </c>
      <c r="E27" s="140">
        <v>0</v>
      </c>
      <c r="F27" s="138">
        <v>12563276.02</v>
      </c>
      <c r="G27" s="139">
        <v>12563276.02</v>
      </c>
      <c r="H27" s="140">
        <v>0</v>
      </c>
      <c r="I27" s="138">
        <v>11344365.6</v>
      </c>
      <c r="J27" s="139">
        <v>11344365.6</v>
      </c>
      <c r="K27" s="140">
        <v>0</v>
      </c>
      <c r="L27" s="138">
        <v>11611717.859999999</v>
      </c>
      <c r="M27" s="139">
        <v>11611717.859999999</v>
      </c>
      <c r="N27" s="140">
        <v>0</v>
      </c>
      <c r="O27" s="138">
        <v>9389992.5999999978</v>
      </c>
      <c r="P27" s="139">
        <v>9389992.5999999978</v>
      </c>
      <c r="Q27" s="140">
        <v>0</v>
      </c>
    </row>
    <row r="28" spans="2:17" x14ac:dyDescent="0.3">
      <c r="B28" s="133" t="s">
        <v>532</v>
      </c>
      <c r="C28" s="138">
        <v>46676140.109999992</v>
      </c>
      <c r="D28" s="139">
        <v>20573462.319999985</v>
      </c>
      <c r="E28" s="140">
        <v>26102677.790000003</v>
      </c>
      <c r="F28" s="138">
        <v>48727405.57</v>
      </c>
      <c r="G28" s="139">
        <v>18336722.419999998</v>
      </c>
      <c r="H28" s="140">
        <v>30390683.149999995</v>
      </c>
      <c r="I28" s="138">
        <v>56422179.010000005</v>
      </c>
      <c r="J28" s="139">
        <v>21919660.879999999</v>
      </c>
      <c r="K28" s="140">
        <v>34502518.130000003</v>
      </c>
      <c r="L28" s="138">
        <v>66257970</v>
      </c>
      <c r="M28" s="139">
        <v>23898289.699999992</v>
      </c>
      <c r="N28" s="140">
        <v>42359680.300000004</v>
      </c>
      <c r="O28" s="138">
        <v>46395056.219999999</v>
      </c>
      <c r="P28" s="139">
        <v>18631808.920000002</v>
      </c>
      <c r="Q28" s="140">
        <v>27763247.300000001</v>
      </c>
    </row>
    <row r="29" spans="2:17" x14ac:dyDescent="0.3">
      <c r="B29" s="133" t="s">
        <v>533</v>
      </c>
      <c r="C29" s="138">
        <v>17342204.43</v>
      </c>
      <c r="D29" s="139">
        <v>17342204.43</v>
      </c>
      <c r="E29" s="140">
        <v>0</v>
      </c>
      <c r="F29" s="138">
        <v>18085641.979999997</v>
      </c>
      <c r="G29" s="139">
        <v>18085641.979999997</v>
      </c>
      <c r="H29" s="140">
        <v>0</v>
      </c>
      <c r="I29" s="138">
        <v>17081248.079999998</v>
      </c>
      <c r="J29" s="139">
        <v>17081248.079999998</v>
      </c>
      <c r="K29" s="140">
        <v>0</v>
      </c>
      <c r="L29" s="138">
        <v>18147725.379999999</v>
      </c>
      <c r="M29" s="139">
        <v>18147725.379999999</v>
      </c>
      <c r="N29" s="140">
        <v>0</v>
      </c>
      <c r="O29" s="138">
        <v>16268240.509999998</v>
      </c>
      <c r="P29" s="139">
        <v>16268240.509999998</v>
      </c>
      <c r="Q29" s="140">
        <v>0</v>
      </c>
    </row>
    <row r="30" spans="2:17" x14ac:dyDescent="0.3">
      <c r="B30" s="133" t="s">
        <v>534</v>
      </c>
      <c r="C30" s="138">
        <v>15182882.370000003</v>
      </c>
      <c r="D30" s="139">
        <v>0</v>
      </c>
      <c r="E30" s="140">
        <v>15182882.370000003</v>
      </c>
      <c r="F30" s="138">
        <v>15827642.66</v>
      </c>
      <c r="G30" s="139">
        <v>0</v>
      </c>
      <c r="H30" s="140">
        <v>15827642.66</v>
      </c>
      <c r="I30" s="138">
        <v>18961072.559999999</v>
      </c>
      <c r="J30" s="139">
        <v>0</v>
      </c>
      <c r="K30" s="140">
        <v>18961072.559999999</v>
      </c>
      <c r="L30" s="138">
        <v>19571127.550000004</v>
      </c>
      <c r="M30" s="139">
        <v>0</v>
      </c>
      <c r="N30" s="140">
        <v>19571127.550000004</v>
      </c>
      <c r="O30" s="138">
        <v>16649444.34</v>
      </c>
      <c r="P30" s="139">
        <v>0</v>
      </c>
      <c r="Q30" s="140">
        <v>16649444.34</v>
      </c>
    </row>
    <row r="31" spans="2:17" x14ac:dyDescent="0.3">
      <c r="B31" s="133" t="s">
        <v>535</v>
      </c>
      <c r="C31" s="138">
        <v>13234455.620000001</v>
      </c>
      <c r="D31" s="139">
        <v>0</v>
      </c>
      <c r="E31" s="140">
        <v>13234455.620000001</v>
      </c>
      <c r="F31" s="138">
        <v>1092925.93</v>
      </c>
      <c r="G31" s="139">
        <v>0</v>
      </c>
      <c r="H31" s="140">
        <v>1092925.93</v>
      </c>
      <c r="I31" s="138">
        <v>4300611.34</v>
      </c>
      <c r="J31" s="139">
        <v>0</v>
      </c>
      <c r="K31" s="140">
        <v>4300611.34</v>
      </c>
      <c r="L31" s="138">
        <v>13575270.249999998</v>
      </c>
      <c r="M31" s="139">
        <v>0</v>
      </c>
      <c r="N31" s="140">
        <v>13575270.249999998</v>
      </c>
      <c r="O31" s="138">
        <v>9382049.9400000013</v>
      </c>
      <c r="P31" s="139">
        <v>0</v>
      </c>
      <c r="Q31" s="140">
        <v>9382049.9400000013</v>
      </c>
    </row>
    <row r="32" spans="2:17" ht="15" thickBot="1" x14ac:dyDescent="0.35">
      <c r="B32" s="134" t="s">
        <v>536</v>
      </c>
      <c r="C32" s="141">
        <v>-1558773.15</v>
      </c>
      <c r="D32" s="142">
        <v>-1558773.15</v>
      </c>
      <c r="E32" s="143">
        <v>0</v>
      </c>
      <c r="F32" s="141">
        <v>-1064970.99</v>
      </c>
      <c r="G32" s="142">
        <v>-1064970.99</v>
      </c>
      <c r="H32" s="143">
        <v>0</v>
      </c>
      <c r="I32" s="141">
        <v>-3193949.4699999997</v>
      </c>
      <c r="J32" s="142">
        <v>-3193949.4699999997</v>
      </c>
      <c r="K32" s="143">
        <v>0</v>
      </c>
      <c r="L32" s="141">
        <v>-3123343.3599999999</v>
      </c>
      <c r="M32" s="142">
        <v>-3123343.3599999999</v>
      </c>
      <c r="N32" s="143">
        <v>0</v>
      </c>
      <c r="O32" s="141">
        <v>1212875.2300000002</v>
      </c>
      <c r="P32" s="142">
        <v>1201208.7492540001</v>
      </c>
      <c r="Q32" s="143">
        <v>11666.480745999999</v>
      </c>
    </row>
    <row r="34" spans="2:17" hidden="1" x14ac:dyDescent="0.3">
      <c r="B34" s="126" t="s">
        <v>537</v>
      </c>
      <c r="D34" s="33"/>
      <c r="E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spans="2:17" hidden="1" x14ac:dyDescent="0.3">
      <c r="B35" s="127" t="s">
        <v>538</v>
      </c>
      <c r="C35" s="123">
        <v>313118638.02694631</v>
      </c>
      <c r="D35" s="124"/>
      <c r="E35" s="125"/>
      <c r="F35" s="123">
        <v>269704607.52830428</v>
      </c>
      <c r="G35" s="124"/>
      <c r="H35" s="125"/>
      <c r="I35" s="123">
        <v>329843778.22293878</v>
      </c>
      <c r="J35" s="124"/>
      <c r="K35" s="125"/>
      <c r="L35" s="123">
        <v>311312319.00249356</v>
      </c>
      <c r="M35" s="124"/>
      <c r="N35" s="125"/>
      <c r="O35" s="123">
        <v>264188046.35826665</v>
      </c>
      <c r="P35" s="124"/>
      <c r="Q35" s="125"/>
    </row>
    <row r="36" spans="2:17" hidden="1" x14ac:dyDescent="0.3">
      <c r="B36" s="128" t="s">
        <v>539</v>
      </c>
      <c r="C36" s="123">
        <v>-3400812.38</v>
      </c>
      <c r="D36" s="124"/>
      <c r="E36" s="125"/>
      <c r="F36" s="123">
        <v>-4087473.3570411368</v>
      </c>
      <c r="G36" s="124"/>
      <c r="H36" s="125"/>
      <c r="I36" s="123">
        <v>-4430888.8539676294</v>
      </c>
      <c r="J36" s="124"/>
      <c r="K36" s="125"/>
      <c r="L36" s="123">
        <v>293528.62</v>
      </c>
      <c r="M36" s="124"/>
      <c r="N36" s="125"/>
      <c r="O36" s="123">
        <v>293528.62</v>
      </c>
      <c r="P36" s="124"/>
      <c r="Q36" s="125"/>
    </row>
    <row r="37" spans="2:17" hidden="1" x14ac:dyDescent="0.3">
      <c r="B37" s="128" t="s">
        <v>540</v>
      </c>
      <c r="C37" s="123">
        <v>-27125498.789999999</v>
      </c>
      <c r="D37" s="124"/>
      <c r="E37" s="125"/>
      <c r="F37" s="123">
        <v>-15363023.940363066</v>
      </c>
      <c r="G37" s="124"/>
      <c r="H37" s="125"/>
      <c r="I37" s="123">
        <v>-11760175.35</v>
      </c>
      <c r="J37" s="124"/>
      <c r="K37" s="125"/>
      <c r="L37" s="123">
        <v>-8320587.04</v>
      </c>
      <c r="M37" s="124"/>
      <c r="N37" s="125"/>
      <c r="O37" s="123">
        <v>-7099208.79</v>
      </c>
      <c r="P37" s="124"/>
      <c r="Q37" s="125"/>
    </row>
    <row r="38" spans="2:17" hidden="1" x14ac:dyDescent="0.3">
      <c r="B38" s="127" t="s">
        <v>541</v>
      </c>
      <c r="C38" s="123">
        <v>282994544.93000001</v>
      </c>
      <c r="D38" s="124"/>
      <c r="E38" s="125"/>
      <c r="F38" s="123">
        <v>250254110.22999999</v>
      </c>
      <c r="G38" s="124"/>
      <c r="H38" s="125"/>
      <c r="I38" s="123">
        <v>313651785.10897112</v>
      </c>
      <c r="J38" s="124"/>
      <c r="K38" s="125"/>
      <c r="L38" s="123">
        <v>311312319.00249356</v>
      </c>
      <c r="M38" s="124"/>
      <c r="N38" s="125"/>
      <c r="O38" s="123">
        <v>264188046.35826662</v>
      </c>
      <c r="P38" s="124"/>
      <c r="Q38" s="125"/>
    </row>
    <row r="39" spans="2:17" hidden="1" x14ac:dyDescent="0.3"/>
    <row r="40" spans="2:17" hidden="1" x14ac:dyDescent="0.3"/>
    <row r="41" spans="2:17" hidden="1" x14ac:dyDescent="0.3"/>
    <row r="43" spans="2:17" x14ac:dyDescent="0.3">
      <c r="C43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89A3-F0B2-4A75-9889-6498B6F168E8}">
  <dimension ref="A1:O37"/>
  <sheetViews>
    <sheetView tabSelected="1" topLeftCell="A14" workbookViewId="0">
      <selection activeCell="I40" sqref="I40"/>
    </sheetView>
  </sheetViews>
  <sheetFormatPr baseColWidth="10" defaultColWidth="11.5546875" defaultRowHeight="13.8" x14ac:dyDescent="0.25"/>
  <cols>
    <col min="1" max="1" width="13.6640625" style="194" customWidth="1"/>
    <col min="2" max="2" width="7.6640625" style="193" bestFit="1" customWidth="1"/>
    <col min="3" max="6" width="15.21875" style="193" bestFit="1" customWidth="1"/>
    <col min="7" max="7" width="15.109375" style="194" bestFit="1" customWidth="1"/>
    <col min="8" max="9" width="14" style="194" bestFit="1" customWidth="1"/>
    <col min="10" max="10" width="15.109375" style="194" bestFit="1" customWidth="1"/>
    <col min="11" max="12" width="14" style="194" bestFit="1" customWidth="1"/>
    <col min="13" max="14" width="12.21875" style="194" bestFit="1" customWidth="1"/>
    <col min="15" max="15" width="14" style="194" bestFit="1" customWidth="1"/>
    <col min="16" max="16384" width="11.5546875" style="194"/>
  </cols>
  <sheetData>
    <row r="1" spans="1:15" ht="41.4" x14ac:dyDescent="0.25">
      <c r="A1" s="525" t="s">
        <v>601</v>
      </c>
      <c r="B1" s="525" t="s">
        <v>603</v>
      </c>
      <c r="C1" s="525" t="s">
        <v>602</v>
      </c>
      <c r="D1" s="525" t="s">
        <v>565</v>
      </c>
      <c r="E1" s="525" t="s">
        <v>586</v>
      </c>
      <c r="F1" s="525" t="s">
        <v>600</v>
      </c>
      <c r="G1" s="525" t="s">
        <v>604</v>
      </c>
      <c r="H1" s="525" t="s">
        <v>605</v>
      </c>
      <c r="I1" s="525" t="s">
        <v>606</v>
      </c>
      <c r="J1" s="525" t="s">
        <v>607</v>
      </c>
      <c r="K1" s="525" t="s">
        <v>608</v>
      </c>
      <c r="L1" s="525" t="s">
        <v>609</v>
      </c>
      <c r="M1" s="525" t="s">
        <v>666</v>
      </c>
      <c r="N1" s="525" t="s">
        <v>667</v>
      </c>
      <c r="O1" s="525"/>
    </row>
    <row r="2" spans="1:15" x14ac:dyDescent="0.25">
      <c r="A2" s="346">
        <v>45046</v>
      </c>
      <c r="B2" s="193">
        <f>+YEAR(A2)</f>
        <v>2023</v>
      </c>
      <c r="C2" s="347">
        <v>27830430.059999999</v>
      </c>
      <c r="D2" s="347">
        <v>2169586.9299999997</v>
      </c>
      <c r="E2" s="347">
        <v>-2933989.2100000004</v>
      </c>
      <c r="F2" s="347">
        <v>-6623056.6900000004</v>
      </c>
      <c r="G2" s="211">
        <v>25660843.129999999</v>
      </c>
      <c r="H2" s="211">
        <v>753872.57</v>
      </c>
      <c r="I2" s="211">
        <v>4349703.57</v>
      </c>
      <c r="J2" s="211">
        <v>1276296.0699999998</v>
      </c>
      <c r="K2" s="211">
        <v>1427810.92</v>
      </c>
      <c r="L2" s="211">
        <v>984960.49</v>
      </c>
      <c r="M2" s="211"/>
      <c r="N2" s="211"/>
      <c r="O2" s="211"/>
    </row>
    <row r="3" spans="1:15" x14ac:dyDescent="0.25">
      <c r="A3" s="346">
        <v>45077</v>
      </c>
      <c r="B3" s="193">
        <f>+YEAR(A3)</f>
        <v>2023</v>
      </c>
      <c r="C3" s="347">
        <v>29395565.350000001</v>
      </c>
      <c r="D3" s="347">
        <v>291814.12000000104</v>
      </c>
      <c r="E3" s="347">
        <v>-6319161.5099999988</v>
      </c>
      <c r="F3" s="347">
        <v>-10047421.77</v>
      </c>
      <c r="G3" s="211">
        <v>29103751.23</v>
      </c>
      <c r="H3" s="211">
        <v>940756.54</v>
      </c>
      <c r="I3" s="211">
        <v>5670219.0899999999</v>
      </c>
      <c r="J3" s="211">
        <v>1148716.3800000001</v>
      </c>
      <c r="K3" s="211">
        <v>1550155.5499999998</v>
      </c>
      <c r="L3" s="211">
        <v>1029388.33</v>
      </c>
      <c r="M3" s="211"/>
      <c r="N3" s="211"/>
      <c r="O3" s="211"/>
    </row>
    <row r="4" spans="1:15" x14ac:dyDescent="0.25">
      <c r="A4" s="346">
        <v>45107</v>
      </c>
      <c r="B4" s="193">
        <f>+YEAR(A2)</f>
        <v>2023</v>
      </c>
      <c r="C4" s="347">
        <v>32325750.850000001</v>
      </c>
      <c r="D4" s="347">
        <v>5429454.4200000018</v>
      </c>
      <c r="E4" s="347">
        <v>-626169.2799999984</v>
      </c>
      <c r="F4" s="347">
        <v>-4397849.5799999982</v>
      </c>
      <c r="G4" s="211">
        <v>26896296.43</v>
      </c>
      <c r="H4" s="211">
        <v>992983.88</v>
      </c>
      <c r="I4" s="211">
        <v>5062639.82</v>
      </c>
      <c r="J4" s="211">
        <v>857631.23</v>
      </c>
      <c r="K4" s="211">
        <v>1527982.05</v>
      </c>
      <c r="L4" s="211">
        <v>1386067.02</v>
      </c>
      <c r="M4" s="211"/>
      <c r="N4" s="211"/>
      <c r="O4" s="211"/>
    </row>
    <row r="5" spans="1:15" x14ac:dyDescent="0.25">
      <c r="A5" s="346">
        <v>45138</v>
      </c>
      <c r="B5" s="193">
        <f>+YEAR(A2)</f>
        <v>2023</v>
      </c>
      <c r="C5" s="347">
        <v>33791663.299999997</v>
      </c>
      <c r="D5" s="347">
        <v>10891206.019999996</v>
      </c>
      <c r="E5" s="347">
        <v>5074029.4699999951</v>
      </c>
      <c r="F5" s="347">
        <v>273777.51999999583</v>
      </c>
      <c r="G5" s="211">
        <v>22900457.280000001</v>
      </c>
      <c r="H5" s="211">
        <v>778109.73</v>
      </c>
      <c r="I5" s="211">
        <v>5039066.82</v>
      </c>
      <c r="J5" s="211">
        <v>1774094.5899999996</v>
      </c>
      <c r="K5" s="211">
        <v>1366811.6099999999</v>
      </c>
      <c r="L5" s="211">
        <v>1659345.75</v>
      </c>
      <c r="M5" s="211"/>
      <c r="N5" s="211"/>
      <c r="O5" s="211"/>
    </row>
    <row r="6" spans="1:15" x14ac:dyDescent="0.25">
      <c r="A6" s="346">
        <v>45169</v>
      </c>
      <c r="B6" s="193">
        <f t="shared" ref="B6:B28" si="0">+YEAR(A3)</f>
        <v>2023</v>
      </c>
      <c r="C6" s="347">
        <v>37781578.539999999</v>
      </c>
      <c r="D6" s="347">
        <v>11711235.009999998</v>
      </c>
      <c r="E6" s="347">
        <v>5245768.7199999979</v>
      </c>
      <c r="F6" s="347">
        <v>2302691.9199999981</v>
      </c>
      <c r="G6" s="211">
        <v>26070343.530000001</v>
      </c>
      <c r="H6" s="211">
        <v>1110318.0800000001</v>
      </c>
      <c r="I6" s="211">
        <v>5355148.21</v>
      </c>
      <c r="J6" s="211">
        <v>-377374.22000000003</v>
      </c>
      <c r="K6" s="211">
        <v>1498656.73</v>
      </c>
      <c r="L6" s="211">
        <v>1821794.29</v>
      </c>
      <c r="M6" s="211"/>
      <c r="N6" s="211"/>
      <c r="O6" s="211"/>
    </row>
    <row r="7" spans="1:15" x14ac:dyDescent="0.25">
      <c r="A7" s="346">
        <v>45199</v>
      </c>
      <c r="B7" s="193">
        <f t="shared" si="0"/>
        <v>2023</v>
      </c>
      <c r="C7" s="347">
        <v>33754569.810000002</v>
      </c>
      <c r="D7" s="347">
        <v>10120349.950000003</v>
      </c>
      <c r="E7" s="347">
        <v>3478407.2800000031</v>
      </c>
      <c r="F7" s="347">
        <v>2171597.8600000031</v>
      </c>
      <c r="G7" s="211">
        <v>23634219.859999999</v>
      </c>
      <c r="H7" s="211">
        <v>1479437.93</v>
      </c>
      <c r="I7" s="211">
        <v>5162504.74</v>
      </c>
      <c r="J7" s="211">
        <v>-2545627.63</v>
      </c>
      <c r="K7" s="211">
        <v>1766023.21</v>
      </c>
      <c r="L7" s="211">
        <v>2086413.84</v>
      </c>
      <c r="M7" s="211"/>
      <c r="N7" s="211"/>
      <c r="O7" s="211"/>
    </row>
    <row r="8" spans="1:15" x14ac:dyDescent="0.25">
      <c r="A8" s="346">
        <v>45230</v>
      </c>
      <c r="B8" s="193">
        <f t="shared" si="0"/>
        <v>2023</v>
      </c>
      <c r="C8" s="347">
        <v>42512451.609999999</v>
      </c>
      <c r="D8" s="347">
        <v>18572380.949999999</v>
      </c>
      <c r="E8" s="347">
        <v>10975656.579999998</v>
      </c>
      <c r="F8" s="347">
        <v>6841314.9499999993</v>
      </c>
      <c r="G8" s="211">
        <v>23940070.66</v>
      </c>
      <c r="H8" s="211">
        <v>1015844.17</v>
      </c>
      <c r="I8" s="211">
        <v>6580880.2000000002</v>
      </c>
      <c r="J8" s="211">
        <v>774381.3</v>
      </c>
      <c r="K8" s="211">
        <v>1392649.5</v>
      </c>
      <c r="L8" s="211">
        <v>1967310.83</v>
      </c>
      <c r="M8" s="211"/>
      <c r="N8" s="211"/>
      <c r="O8" s="211"/>
    </row>
    <row r="9" spans="1:15" x14ac:dyDescent="0.25">
      <c r="A9" s="346">
        <v>45260</v>
      </c>
      <c r="B9" s="193">
        <f t="shared" si="0"/>
        <v>2023</v>
      </c>
      <c r="C9" s="347">
        <v>35905824.469999999</v>
      </c>
      <c r="D9" s="347">
        <v>938882.3200000003</v>
      </c>
      <c r="E9" s="347">
        <v>-5357911.63</v>
      </c>
      <c r="F9" s="347">
        <v>-2122133.35</v>
      </c>
      <c r="G9" s="211">
        <v>34966942.149999999</v>
      </c>
      <c r="H9" s="211">
        <v>865259.05</v>
      </c>
      <c r="I9" s="211">
        <v>5431534.9000000004</v>
      </c>
      <c r="J9" s="211">
        <v>-7023819.9500000011</v>
      </c>
      <c r="K9" s="211">
        <v>1701909.3699999999</v>
      </c>
      <c r="L9" s="211">
        <v>2086132.3</v>
      </c>
      <c r="M9" s="211"/>
      <c r="N9" s="211"/>
      <c r="O9" s="211"/>
    </row>
    <row r="10" spans="1:15" x14ac:dyDescent="0.25">
      <c r="A10" s="346">
        <v>45291</v>
      </c>
      <c r="B10" s="193">
        <f t="shared" si="0"/>
        <v>2023</v>
      </c>
      <c r="C10" s="347">
        <v>35422531.700000003</v>
      </c>
      <c r="D10" s="347">
        <v>13395288.330000002</v>
      </c>
      <c r="E10" s="347">
        <v>6848261.6900000013</v>
      </c>
      <c r="F10" s="347">
        <v>4026142.8000000021</v>
      </c>
      <c r="G10" s="211">
        <v>22027243.370000001</v>
      </c>
      <c r="H10" s="211">
        <v>1088031.07</v>
      </c>
      <c r="I10" s="211">
        <v>5458995.5700000003</v>
      </c>
      <c r="J10" s="211">
        <v>-12253.020000000048</v>
      </c>
      <c r="K10" s="211">
        <v>1121162.8900000001</v>
      </c>
      <c r="L10" s="211">
        <v>1713209.02</v>
      </c>
      <c r="M10" s="211"/>
      <c r="N10" s="211"/>
      <c r="O10" s="211"/>
    </row>
    <row r="11" spans="1:15" x14ac:dyDescent="0.25">
      <c r="A11" s="346">
        <v>45322</v>
      </c>
      <c r="B11" s="193">
        <f t="shared" si="0"/>
        <v>2023</v>
      </c>
      <c r="C11" s="347">
        <v>55428653.460000001</v>
      </c>
      <c r="D11" s="347">
        <v>26265292.010000002</v>
      </c>
      <c r="E11" s="347">
        <v>20441374.630000003</v>
      </c>
      <c r="F11" s="347">
        <v>17254588.629999999</v>
      </c>
      <c r="G11" s="211">
        <v>29163361.449999999</v>
      </c>
      <c r="H11" s="211">
        <v>705014.41</v>
      </c>
      <c r="I11" s="211">
        <v>5118902.97</v>
      </c>
      <c r="J11" s="211">
        <v>-319601.79000000004</v>
      </c>
      <c r="K11" s="211">
        <v>1580029.7899999998</v>
      </c>
      <c r="L11" s="211">
        <v>1926358</v>
      </c>
      <c r="M11" s="211"/>
      <c r="N11" s="211"/>
      <c r="O11" s="211"/>
    </row>
    <row r="12" spans="1:15" x14ac:dyDescent="0.25">
      <c r="A12" s="346">
        <v>45351</v>
      </c>
      <c r="B12" s="193">
        <f t="shared" si="0"/>
        <v>2023</v>
      </c>
      <c r="C12" s="347">
        <v>26525657.09</v>
      </c>
      <c r="D12" s="347">
        <v>-995986.78000000119</v>
      </c>
      <c r="E12" s="347">
        <v>-6965335.7200000007</v>
      </c>
      <c r="F12" s="347">
        <v>-8302607.209999999</v>
      </c>
      <c r="G12" s="211">
        <v>27521643.870000001</v>
      </c>
      <c r="H12" s="211">
        <v>812545.65</v>
      </c>
      <c r="I12" s="211">
        <v>5156803.29</v>
      </c>
      <c r="J12" s="211">
        <v>-988616.76</v>
      </c>
      <c r="K12" s="211">
        <v>1303272.56</v>
      </c>
      <c r="L12" s="211">
        <v>1022615.69</v>
      </c>
      <c r="M12" s="211"/>
      <c r="N12" s="211"/>
      <c r="O12" s="211"/>
    </row>
    <row r="13" spans="1:15" x14ac:dyDescent="0.25">
      <c r="A13" s="346">
        <v>45382</v>
      </c>
      <c r="B13" s="193">
        <f t="shared" si="0"/>
        <v>2023</v>
      </c>
      <c r="C13" s="347">
        <v>47089941.869999997</v>
      </c>
      <c r="D13" s="347">
        <v>11953315.199999996</v>
      </c>
      <c r="E13" s="347">
        <v>3012199.5999999959</v>
      </c>
      <c r="F13" s="347">
        <v>-427138.3300000045</v>
      </c>
      <c r="G13" s="211">
        <v>35136626.670000002</v>
      </c>
      <c r="H13" s="211">
        <v>1069544.78</v>
      </c>
      <c r="I13" s="211">
        <v>7871570.8200000003</v>
      </c>
      <c r="J13" s="211">
        <v>-338697.85</v>
      </c>
      <c r="K13" s="211">
        <v>1890503.79</v>
      </c>
      <c r="L13" s="211">
        <v>1887531.99</v>
      </c>
      <c r="M13" s="211"/>
      <c r="N13" s="211"/>
      <c r="O13" s="211"/>
    </row>
    <row r="14" spans="1:15" x14ac:dyDescent="0.25">
      <c r="A14" s="346">
        <v>45412</v>
      </c>
      <c r="B14" s="193">
        <f t="shared" si="0"/>
        <v>2024</v>
      </c>
      <c r="C14" s="347">
        <v>51738407.869999997</v>
      </c>
      <c r="D14" s="347">
        <v>17906190.449999996</v>
      </c>
      <c r="E14" s="347">
        <v>11519461.609999996</v>
      </c>
      <c r="F14" s="347">
        <v>9168140.639999995</v>
      </c>
      <c r="G14" s="211">
        <v>33832217.420000002</v>
      </c>
      <c r="H14" s="211">
        <v>762056.68</v>
      </c>
      <c r="I14" s="211">
        <v>5624672.1600000001</v>
      </c>
      <c r="J14" s="211">
        <v>-840567.0399999998</v>
      </c>
      <c r="K14" s="211">
        <v>1397698.41</v>
      </c>
      <c r="L14" s="211">
        <v>1794189.6</v>
      </c>
      <c r="M14" s="211">
        <v>40.701959715611849</v>
      </c>
      <c r="N14" s="211">
        <v>45.283700290488198</v>
      </c>
      <c r="O14" s="211"/>
    </row>
    <row r="15" spans="1:15" x14ac:dyDescent="0.25">
      <c r="A15" s="346">
        <v>45443</v>
      </c>
      <c r="B15" s="193">
        <f t="shared" si="0"/>
        <v>2024</v>
      </c>
      <c r="C15" s="347">
        <v>31208457.460000001</v>
      </c>
      <c r="D15" s="347">
        <v>-616963.08999999985</v>
      </c>
      <c r="E15" s="347">
        <v>-7738595.5600000005</v>
      </c>
      <c r="F15" s="347">
        <v>-10094410.4</v>
      </c>
      <c r="G15" s="211">
        <v>31825420.550000001</v>
      </c>
      <c r="H15" s="211">
        <v>803591.32</v>
      </c>
      <c r="I15" s="211">
        <v>6318041.1500000004</v>
      </c>
      <c r="J15" s="211">
        <v>-301008.05000000005</v>
      </c>
      <c r="K15" s="211">
        <v>1557213.9</v>
      </c>
      <c r="L15" s="211">
        <v>1099608.99</v>
      </c>
      <c r="M15" s="211">
        <v>40.521261812584925</v>
      </c>
      <c r="N15" s="211">
        <v>37.81057763097678</v>
      </c>
      <c r="O15" s="211"/>
    </row>
    <row r="16" spans="1:15" x14ac:dyDescent="0.25">
      <c r="A16" s="346">
        <v>45473</v>
      </c>
      <c r="B16" s="193">
        <f t="shared" si="0"/>
        <v>2024</v>
      </c>
      <c r="C16" s="347">
        <v>28752480.579999998</v>
      </c>
      <c r="D16" s="347">
        <v>-73487.35000000149</v>
      </c>
      <c r="E16" s="347">
        <v>-6738708.3300000019</v>
      </c>
      <c r="F16" s="347">
        <v>-8901528.6500000022</v>
      </c>
      <c r="G16" s="211">
        <v>28825967.93</v>
      </c>
      <c r="H16" s="211">
        <v>1372664.15</v>
      </c>
      <c r="I16" s="211">
        <v>5292556.83</v>
      </c>
      <c r="J16" s="211">
        <v>-750598.9</v>
      </c>
      <c r="K16" s="211">
        <v>1446625.4700000002</v>
      </c>
      <c r="L16" s="211">
        <v>1466793.75</v>
      </c>
      <c r="M16" s="211">
        <v>41.158697786415274</v>
      </c>
      <c r="N16" s="211">
        <v>37.551830216787522</v>
      </c>
      <c r="O16" s="211"/>
    </row>
    <row r="17" spans="1:15" x14ac:dyDescent="0.25">
      <c r="A17" s="346">
        <v>45504</v>
      </c>
      <c r="B17" s="193">
        <f t="shared" si="0"/>
        <v>2024</v>
      </c>
      <c r="C17" s="347">
        <v>27246878.329999998</v>
      </c>
      <c r="D17" s="347">
        <v>-2946782.6800000034</v>
      </c>
      <c r="E17" s="347">
        <v>-9508941.4700000025</v>
      </c>
      <c r="F17" s="347">
        <v>-19059559.980000004</v>
      </c>
      <c r="G17" s="211">
        <v>30193661.010000002</v>
      </c>
      <c r="H17" s="211">
        <v>899199.17</v>
      </c>
      <c r="I17" s="211">
        <v>5662959.6200000001</v>
      </c>
      <c r="J17" s="211">
        <v>7291701.9500000002</v>
      </c>
      <c r="K17" s="211">
        <v>1037246.02</v>
      </c>
      <c r="L17" s="211">
        <v>1221670.54</v>
      </c>
      <c r="M17" s="211">
        <v>40.311059666105677</v>
      </c>
      <c r="N17" s="211">
        <v>40.56985093696764</v>
      </c>
      <c r="O17" s="211"/>
    </row>
    <row r="18" spans="1:15" x14ac:dyDescent="0.25">
      <c r="A18" s="346">
        <v>45535</v>
      </c>
      <c r="B18" s="193">
        <f t="shared" si="0"/>
        <v>2024</v>
      </c>
      <c r="C18" s="347">
        <v>32330703.41</v>
      </c>
      <c r="D18" s="347">
        <v>4485043.3999999985</v>
      </c>
      <c r="E18" s="347">
        <v>-846352.05000000168</v>
      </c>
      <c r="F18" s="347">
        <v>-4876949.6400000015</v>
      </c>
      <c r="G18" s="211">
        <v>27845660.010000002</v>
      </c>
      <c r="H18" s="211">
        <v>744969.87</v>
      </c>
      <c r="I18" s="211">
        <v>4586425.58</v>
      </c>
      <c r="J18" s="211">
        <v>181389.30000000005</v>
      </c>
      <c r="K18" s="211">
        <v>2574987.29</v>
      </c>
      <c r="L18" s="211">
        <v>1274221</v>
      </c>
      <c r="M18" s="211">
        <v>40.177655037349673</v>
      </c>
      <c r="N18" s="211">
        <v>39.236445274419587</v>
      </c>
      <c r="O18" s="211"/>
    </row>
    <row r="19" spans="1:15" x14ac:dyDescent="0.25">
      <c r="A19" s="346">
        <v>45565</v>
      </c>
      <c r="B19" s="193">
        <f t="shared" si="0"/>
        <v>2024</v>
      </c>
      <c r="C19" s="347">
        <v>28854165.98</v>
      </c>
      <c r="D19" s="347">
        <v>12778747.560000001</v>
      </c>
      <c r="E19" s="347">
        <v>7835026.4500000011</v>
      </c>
      <c r="F19" s="347">
        <v>993991.88000000175</v>
      </c>
      <c r="G19" s="211">
        <v>16075418.42</v>
      </c>
      <c r="H19" s="211">
        <v>821586.58</v>
      </c>
      <c r="I19" s="211">
        <v>4122134.53</v>
      </c>
      <c r="J19" s="211">
        <v>3577247.68</v>
      </c>
      <c r="K19" s="211">
        <v>1759860.97</v>
      </c>
      <c r="L19" s="211">
        <v>1503925.92</v>
      </c>
      <c r="M19" s="211">
        <v>41.136518837168559</v>
      </c>
      <c r="N19" s="211">
        <v>38.155378883849572</v>
      </c>
      <c r="O19" s="211"/>
    </row>
    <row r="20" spans="1:15" x14ac:dyDescent="0.25">
      <c r="A20" s="346">
        <v>45596</v>
      </c>
      <c r="B20" s="193">
        <f t="shared" si="0"/>
        <v>2024</v>
      </c>
      <c r="C20" s="347">
        <v>27306657.91</v>
      </c>
      <c r="D20" s="347">
        <v>8805346.870000001</v>
      </c>
      <c r="E20" s="347">
        <v>4489808.1100000013</v>
      </c>
      <c r="F20" s="347">
        <v>2438827.6800000016</v>
      </c>
      <c r="G20" s="211">
        <v>18501311.039999999</v>
      </c>
      <c r="H20" s="211">
        <v>782527.88</v>
      </c>
      <c r="I20" s="211">
        <v>3533010.88</v>
      </c>
      <c r="J20" s="211">
        <v>-1501687.71</v>
      </c>
      <c r="K20" s="211">
        <v>2225091.13</v>
      </c>
      <c r="L20" s="211">
        <v>1327577.01</v>
      </c>
      <c r="M20" s="211">
        <v>41.896000402170976</v>
      </c>
      <c r="N20" s="211">
        <v>38.11107930031487</v>
      </c>
      <c r="O20" s="211"/>
    </row>
    <row r="21" spans="1:15" x14ac:dyDescent="0.25">
      <c r="A21" s="346">
        <v>45626</v>
      </c>
      <c r="B21" s="193">
        <f t="shared" si="0"/>
        <v>2024</v>
      </c>
      <c r="C21" s="347">
        <v>45750390.670000002</v>
      </c>
      <c r="D21" s="347">
        <v>18128380.210000001</v>
      </c>
      <c r="E21" s="347">
        <v>14047924.49</v>
      </c>
      <c r="F21" s="347">
        <v>10071664.09</v>
      </c>
      <c r="G21" s="211">
        <v>27622010.460000001</v>
      </c>
      <c r="H21" s="211">
        <v>1080400.23</v>
      </c>
      <c r="I21" s="211">
        <v>3000055.49</v>
      </c>
      <c r="J21" s="211">
        <v>663115.1</v>
      </c>
      <c r="K21" s="211">
        <v>1486442.11</v>
      </c>
      <c r="L21" s="211">
        <v>1826703.19</v>
      </c>
      <c r="M21" s="211">
        <v>39.800369594501149</v>
      </c>
      <c r="N21" s="211">
        <v>39.849148343117449</v>
      </c>
      <c r="O21" s="211"/>
    </row>
    <row r="22" spans="1:15" x14ac:dyDescent="0.25">
      <c r="A22" s="346">
        <v>45657</v>
      </c>
      <c r="B22" s="193">
        <f t="shared" si="0"/>
        <v>2024</v>
      </c>
      <c r="C22" s="347">
        <v>32770688.190000001</v>
      </c>
      <c r="D22" s="347">
        <v>4133091.41</v>
      </c>
      <c r="E22" s="347">
        <v>38968.729999999981</v>
      </c>
      <c r="F22" s="347">
        <v>-1952532.25</v>
      </c>
      <c r="G22" s="211">
        <v>28637596.780000001</v>
      </c>
      <c r="H22" s="211">
        <v>950464.02</v>
      </c>
      <c r="I22" s="211">
        <v>3143658.66</v>
      </c>
      <c r="J22" s="211">
        <v>-1132985.1599999999</v>
      </c>
      <c r="K22" s="211">
        <v>1262975.3999999999</v>
      </c>
      <c r="L22" s="211">
        <v>1861510.74</v>
      </c>
      <c r="M22" s="211">
        <v>43.438132726488817</v>
      </c>
      <c r="N22" s="211">
        <v>40.855983361793655</v>
      </c>
      <c r="O22" s="211"/>
    </row>
    <row r="23" spans="1:15" x14ac:dyDescent="0.25">
      <c r="A23" s="346">
        <v>45688</v>
      </c>
      <c r="B23" s="193">
        <f t="shared" si="0"/>
        <v>2024</v>
      </c>
      <c r="C23" s="347">
        <v>45612167.270000003</v>
      </c>
      <c r="D23" s="347">
        <v>18016011.190000005</v>
      </c>
      <c r="E23" s="347">
        <v>14585770.020000003</v>
      </c>
      <c r="F23" s="347">
        <v>12773158.850000003</v>
      </c>
      <c r="G23" s="211">
        <v>27596156.079999998</v>
      </c>
      <c r="H23" s="211">
        <v>723857.37</v>
      </c>
      <c r="I23" s="211">
        <v>2706383.8</v>
      </c>
      <c r="J23" s="211">
        <v>-1206971.6399999999</v>
      </c>
      <c r="K23" s="211">
        <v>1308932.51</v>
      </c>
      <c r="L23" s="211">
        <v>1710650.3</v>
      </c>
      <c r="M23" s="211">
        <v>40.534110562523061</v>
      </c>
      <c r="N23" s="211">
        <v>37.1788658737593</v>
      </c>
      <c r="O23" s="211"/>
    </row>
    <row r="24" spans="1:15" x14ac:dyDescent="0.25">
      <c r="A24" s="346">
        <v>45716</v>
      </c>
      <c r="B24" s="193">
        <f t="shared" si="0"/>
        <v>2024</v>
      </c>
      <c r="C24" s="347">
        <v>39629762.890000001</v>
      </c>
      <c r="D24" s="347">
        <v>6037286.5099999979</v>
      </c>
      <c r="E24" s="347">
        <v>2889502.379999998</v>
      </c>
      <c r="F24" s="347">
        <v>-851711.0800000024</v>
      </c>
      <c r="G24" s="211">
        <v>33592476.380000003</v>
      </c>
      <c r="H24" s="211">
        <v>722581.34</v>
      </c>
      <c r="I24" s="211">
        <v>2425202.79</v>
      </c>
      <c r="J24" s="211">
        <v>759820.28</v>
      </c>
      <c r="K24" s="211">
        <v>1203301.8800000001</v>
      </c>
      <c r="L24" s="211">
        <v>1778091.3</v>
      </c>
      <c r="M24" s="211">
        <v>43.555121528911805</v>
      </c>
      <c r="N24" s="211">
        <v>43.560092286477023</v>
      </c>
      <c r="O24" s="211"/>
    </row>
    <row r="25" spans="1:15" x14ac:dyDescent="0.25">
      <c r="A25" s="346">
        <v>45747</v>
      </c>
      <c r="B25" s="193">
        <f t="shared" si="0"/>
        <v>2024</v>
      </c>
      <c r="C25" s="347">
        <v>40921415.979999997</v>
      </c>
      <c r="D25" s="347">
        <v>127092.79999999702</v>
      </c>
      <c r="E25" s="347">
        <v>-3599221.010000003</v>
      </c>
      <c r="F25" s="347">
        <v>-2711318.200000003</v>
      </c>
      <c r="G25" s="211">
        <v>40794323.18</v>
      </c>
      <c r="H25" s="211">
        <v>998115.77</v>
      </c>
      <c r="I25" s="211">
        <v>2728198.04</v>
      </c>
      <c r="J25" s="211">
        <v>-4129074.16</v>
      </c>
      <c r="K25" s="211">
        <v>1235477.8500000001</v>
      </c>
      <c r="L25" s="211">
        <v>2005693.5</v>
      </c>
      <c r="M25" s="211">
        <v>43.92075721483539</v>
      </c>
      <c r="N25" s="211">
        <v>41.079583937569772</v>
      </c>
      <c r="O25" s="211"/>
    </row>
    <row r="26" spans="1:15" x14ac:dyDescent="0.25">
      <c r="A26" s="346">
        <v>45777</v>
      </c>
      <c r="B26" s="193">
        <f t="shared" si="0"/>
        <v>2025</v>
      </c>
      <c r="C26" s="347">
        <v>36690257.549999997</v>
      </c>
      <c r="D26" s="347">
        <v>5650288.299999997</v>
      </c>
      <c r="E26" s="347">
        <v>2795763.4099999969</v>
      </c>
      <c r="F26" s="347">
        <v>-2044664.3800000031</v>
      </c>
      <c r="G26" s="211">
        <v>31039969.25</v>
      </c>
      <c r="H26" s="211">
        <v>818156.95</v>
      </c>
      <c r="I26" s="211">
        <v>2036367.94</v>
      </c>
      <c r="J26" s="211">
        <v>2002187.7000000002</v>
      </c>
      <c r="K26" s="211">
        <v>1181079.0900000001</v>
      </c>
      <c r="L26" s="211">
        <v>1657161</v>
      </c>
      <c r="M26" s="211">
        <v>45.168847606455515</v>
      </c>
      <c r="N26" s="211">
        <v>41.848955759458612</v>
      </c>
      <c r="O26" s="211"/>
    </row>
    <row r="27" spans="1:15" x14ac:dyDescent="0.25">
      <c r="A27" s="346">
        <v>45808</v>
      </c>
      <c r="B27" s="193">
        <f t="shared" si="0"/>
        <v>2025</v>
      </c>
      <c r="C27" s="347">
        <v>44235384.57</v>
      </c>
      <c r="D27" s="347">
        <v>15128877.530000001</v>
      </c>
      <c r="E27" s="347">
        <v>12225404.670000002</v>
      </c>
      <c r="F27" s="347">
        <v>9345258.6700000018</v>
      </c>
      <c r="G27" s="211">
        <v>29106507.039999999</v>
      </c>
      <c r="H27" s="211">
        <v>753385.32</v>
      </c>
      <c r="I27" s="211">
        <v>2150087.54</v>
      </c>
      <c r="J27" s="211">
        <v>41543.619999999995</v>
      </c>
      <c r="K27" s="211">
        <v>1168771.3800000001</v>
      </c>
      <c r="L27" s="211">
        <v>1669831</v>
      </c>
      <c r="M27" s="211">
        <v>46.327796612435726</v>
      </c>
      <c r="N27" s="211">
        <v>44.886165030982781</v>
      </c>
      <c r="O27" s="211"/>
    </row>
    <row r="28" spans="1:15" x14ac:dyDescent="0.25">
      <c r="A28" s="346">
        <v>45838</v>
      </c>
      <c r="B28" s="193">
        <f t="shared" si="0"/>
        <v>2025</v>
      </c>
      <c r="C28" s="347">
        <v>39029367.32</v>
      </c>
      <c r="D28" s="347">
        <v>12281201.399999999</v>
      </c>
      <c r="E28" s="347">
        <v>8861196.8299999982</v>
      </c>
      <c r="F28" s="347">
        <v>6701597.5599999987</v>
      </c>
      <c r="G28" s="211">
        <v>26748165.920000002</v>
      </c>
      <c r="H28" s="211">
        <v>1268038.97</v>
      </c>
      <c r="I28" s="211">
        <v>2151965.6</v>
      </c>
      <c r="J28" s="211">
        <v>-501698.7</v>
      </c>
      <c r="K28" s="211">
        <v>1087488.3700000001</v>
      </c>
      <c r="L28" s="211">
        <v>1573809.6</v>
      </c>
      <c r="M28" s="211">
        <v>54.838920166081699</v>
      </c>
      <c r="N28" s="211">
        <v>47.354290566288817</v>
      </c>
      <c r="O28" s="211"/>
    </row>
    <row r="29" spans="1:15" x14ac:dyDescent="0.25">
      <c r="A29" s="346">
        <v>45869</v>
      </c>
      <c r="B29" s="193">
        <f>+YEAR(A26)</f>
        <v>2025</v>
      </c>
      <c r="C29" s="347">
        <v>54197570.82</v>
      </c>
      <c r="D29" s="347">
        <v>25720702.670000002</v>
      </c>
      <c r="E29" s="347">
        <v>22754692.210000001</v>
      </c>
      <c r="F29" s="347">
        <v>16599308.319999997</v>
      </c>
      <c r="G29" s="211">
        <v>28476868.149999999</v>
      </c>
      <c r="H29" s="211">
        <v>883562.16</v>
      </c>
      <c r="I29" s="211">
        <v>2082448.3</v>
      </c>
      <c r="J29" s="211">
        <v>2293853.1100000003</v>
      </c>
      <c r="K29" s="211">
        <v>1193301.0699999998</v>
      </c>
      <c r="L29" s="211">
        <v>2668229.71</v>
      </c>
      <c r="M29" s="211">
        <v>55.239020880623869</v>
      </c>
      <c r="N29" s="211">
        <v>46.97588283996803</v>
      </c>
      <c r="O29" s="211"/>
    </row>
    <row r="30" spans="1:15" x14ac:dyDescent="0.25">
      <c r="A30" s="346">
        <v>45900</v>
      </c>
      <c r="B30" s="193">
        <f>+YEAR(A27)</f>
        <v>2025</v>
      </c>
      <c r="C30" s="347">
        <v>24291089.52</v>
      </c>
      <c r="D30" s="347">
        <v>4330007.1699999981</v>
      </c>
      <c r="E30" s="347">
        <v>1111995.2599999979</v>
      </c>
      <c r="F30" s="347">
        <v>-731112.72000000207</v>
      </c>
      <c r="G30" s="211">
        <v>19961082.350000001</v>
      </c>
      <c r="H30" s="211">
        <v>1308160.83</v>
      </c>
      <c r="I30" s="211">
        <v>1909851.08</v>
      </c>
      <c r="J30" s="211">
        <v>-555075.16</v>
      </c>
      <c r="K30" s="211">
        <v>1165279.8699999999</v>
      </c>
      <c r="L30" s="211">
        <v>1232903.27</v>
      </c>
      <c r="M30" s="211">
        <v>56.830294147712145</v>
      </c>
      <c r="N30" s="211">
        <v>52.23863138187194</v>
      </c>
      <c r="O30" s="211"/>
    </row>
    <row r="31" spans="1:15" x14ac:dyDescent="0.25">
      <c r="A31" s="346">
        <v>45930</v>
      </c>
      <c r="B31" s="193">
        <f>+YEAR(A28)</f>
        <v>2025</v>
      </c>
      <c r="C31" s="347">
        <v>51938199.030000001</v>
      </c>
      <c r="D31" s="347">
        <v>29010956.5</v>
      </c>
      <c r="E31" s="347">
        <v>25566889.920000002</v>
      </c>
      <c r="F31" s="347">
        <v>12864255.690000001</v>
      </c>
      <c r="G31" s="211">
        <v>22927242.530000001</v>
      </c>
      <c r="H31" s="211">
        <v>1228978.45</v>
      </c>
      <c r="I31" s="211">
        <v>2215088.13</v>
      </c>
      <c r="J31" s="211">
        <v>11089728.468780935</v>
      </c>
      <c r="K31" s="211">
        <v>1126666.7464521497</v>
      </c>
      <c r="L31" s="211">
        <v>1371226.3716025758</v>
      </c>
      <c r="M31" s="211">
        <v>59.216465750015928</v>
      </c>
      <c r="N31" s="211">
        <v>51.754081947570988</v>
      </c>
      <c r="O31" s="211"/>
    </row>
    <row r="32" spans="1:15" x14ac:dyDescent="0.25">
      <c r="A32" s="346">
        <v>45961</v>
      </c>
      <c r="B32" s="193">
        <f t="shared" ref="B32:B36" si="1">+YEAR(A29)</f>
        <v>2025</v>
      </c>
      <c r="C32" s="347">
        <f>HLOOKUP($A32,'[53]EEFF proyectados'!$A$1:$EN$15,5,FALSE)</f>
        <v>60759933.960000001</v>
      </c>
      <c r="D32" s="347">
        <f>HLOOKUP($A32,'[53]EEFF proyectados'!$A$1:$EN$15,7,FALSE)</f>
        <v>34121758.909999996</v>
      </c>
      <c r="E32" s="347">
        <f>HLOOKUP($A32,'[53]EEFF proyectados'!$A$1:$EN$15,11,FALSE)</f>
        <v>29556925.779999994</v>
      </c>
      <c r="F32" s="347">
        <f>HLOOKUP($A32,'[53]EEFF proyectados'!$A$1:$EN$15,15,FALSE)</f>
        <v>26673969.189999994</v>
      </c>
      <c r="G32" s="347">
        <f>-HLOOKUP($A32,'[53]EEFF proyectados'!$A$1:$EN$15,6,FALSE)</f>
        <v>26638175.050000001</v>
      </c>
      <c r="H32" s="347">
        <f>-HLOOKUP($A32,'[53]EEFF proyectados'!$A$1:$EN$15,8,FALSE)</f>
        <v>4895995.7699999996</v>
      </c>
      <c r="I32" s="347">
        <f>-HLOOKUP($A32,'[53]EEFF proyectados'!$A$1:$EN$15,9,FALSE)</f>
        <v>2047390.85</v>
      </c>
      <c r="J32" s="347">
        <f>-HLOOKUP($A32,'[53]EEFF proyectados'!$A$1:$EN$15,10,FALSE)</f>
        <v>-2378553.4899999998</v>
      </c>
      <c r="K32" s="347">
        <f>-HLOOKUP($A32,'[53]EEFF proyectados'!$A$1:$EN$15,12,FALSE)</f>
        <v>1421872.72</v>
      </c>
      <c r="L32" s="347">
        <f>-HLOOKUP($A32,'[53]EEFF proyectados'!$A$1:$EN$15,14,FALSE)</f>
        <v>1461083.87</v>
      </c>
      <c r="M32" s="561">
        <v>59.216465750015928</v>
      </c>
      <c r="N32" s="561">
        <v>51.754081947570988</v>
      </c>
    </row>
    <row r="33" spans="1:14" x14ac:dyDescent="0.25">
      <c r="A33" s="346">
        <v>45991</v>
      </c>
      <c r="B33" s="193">
        <f t="shared" si="1"/>
        <v>2025</v>
      </c>
      <c r="C33" s="347">
        <f>HLOOKUP($A33,'[53]EEFF proyectados'!$A$1:$EN$15,5,FALSE)</f>
        <v>50135309.590000004</v>
      </c>
      <c r="D33" s="347">
        <f>HLOOKUP($A33,'[53]EEFF proyectados'!$A$1:$EN$15,7,FALSE)</f>
        <v>16563468.860000007</v>
      </c>
      <c r="E33" s="347">
        <f>HLOOKUP($A33,'[53]EEFF proyectados'!$A$1:$EN$15,11,FALSE)</f>
        <v>14805423.480000008</v>
      </c>
      <c r="F33" s="347">
        <f>HLOOKUP($A33,'[53]EEFF proyectados'!$A$1:$EN$15,15,FALSE)</f>
        <v>11228691.020000007</v>
      </c>
      <c r="G33" s="347">
        <f>-HLOOKUP($A33,'[53]EEFF proyectados'!$A$1:$EN$15,6,FALSE)</f>
        <v>33571840.729999997</v>
      </c>
      <c r="H33" s="347">
        <f>-HLOOKUP($A33,'[53]EEFF proyectados'!$A$1:$EN$15,8,FALSE)</f>
        <v>1049694.29</v>
      </c>
      <c r="I33" s="347">
        <f>-HLOOKUP($A33,'[53]EEFF proyectados'!$A$1:$EN$15,9,FALSE)</f>
        <v>2031099.88</v>
      </c>
      <c r="J33" s="347">
        <f>-HLOOKUP($A33,'[53]EEFF proyectados'!$A$1:$EN$15,10,FALSE)</f>
        <v>-1322748.79</v>
      </c>
      <c r="K33" s="347">
        <f>-HLOOKUP($A33,'[53]EEFF proyectados'!$A$1:$EN$15,12,FALSE)</f>
        <v>876720.06</v>
      </c>
      <c r="L33" s="347">
        <f>-HLOOKUP($A33,'[53]EEFF proyectados'!$A$1:$EN$15,14,FALSE)</f>
        <v>2700012.4</v>
      </c>
      <c r="M33" s="561">
        <v>59.216465750015928</v>
      </c>
      <c r="N33" s="561">
        <v>51.754081947570988</v>
      </c>
    </row>
    <row r="34" spans="1:14" x14ac:dyDescent="0.25">
      <c r="A34" s="346">
        <v>46022</v>
      </c>
      <c r="B34" s="193">
        <f t="shared" si="1"/>
        <v>2025</v>
      </c>
      <c r="C34" s="347">
        <f>HLOOKUP($A34,'[53]EEFF proyectados'!$A$1:$EN$15,5,FALSE)</f>
        <v>71971308.310000002</v>
      </c>
      <c r="D34" s="347">
        <f>HLOOKUP($A34,'[53]EEFF proyectados'!$A$1:$EN$15,7,FALSE)</f>
        <v>48718790.700000003</v>
      </c>
      <c r="E34" s="347">
        <f>HLOOKUP($A34,'[53]EEFF proyectados'!$A$1:$EN$15,11,FALSE)</f>
        <v>44742905.480000004</v>
      </c>
      <c r="F34" s="347">
        <f>HLOOKUP($A34,'[53]EEFF proyectados'!$A$1:$EN$15,15,FALSE)</f>
        <v>40100648.050000004</v>
      </c>
      <c r="G34" s="347">
        <f>-HLOOKUP($A34,'[53]EEFF proyectados'!$A$1:$EN$15,6,FALSE)</f>
        <v>23252517.609999999</v>
      </c>
      <c r="H34" s="347">
        <f>-HLOOKUP($A34,'[53]EEFF proyectados'!$A$1:$EN$15,8,FALSE)</f>
        <v>1205608.68</v>
      </c>
      <c r="I34" s="347">
        <f>-HLOOKUP($A34,'[53]EEFF proyectados'!$A$1:$EN$15,9,FALSE)</f>
        <v>2487313.23</v>
      </c>
      <c r="J34" s="347">
        <f>-HLOOKUP($A34,'[53]EEFF proyectados'!$A$1:$EN$15,10,FALSE)</f>
        <v>282963.31000000006</v>
      </c>
      <c r="K34" s="347">
        <f>-HLOOKUP($A34,'[53]EEFF proyectados'!$A$1:$EN$15,12,FALSE)</f>
        <v>1026742.12</v>
      </c>
      <c r="L34" s="347">
        <f>-HLOOKUP($A34,'[53]EEFF proyectados'!$A$1:$EN$15,14,FALSE)</f>
        <v>3615515.31</v>
      </c>
      <c r="M34" s="561">
        <v>59.216465750015928</v>
      </c>
      <c r="N34" s="561">
        <v>51.754081947570988</v>
      </c>
    </row>
    <row r="35" spans="1:14" x14ac:dyDescent="0.25">
      <c r="A35" s="346">
        <v>46053</v>
      </c>
      <c r="B35" s="193">
        <f t="shared" si="1"/>
        <v>2025</v>
      </c>
      <c r="C35" s="347">
        <f>HLOOKUP($A35,'[53]EEFF proyectados'!$A$1:$EN$15,5,FALSE)</f>
        <v>32039382.399999999</v>
      </c>
      <c r="D35" s="347">
        <f>HLOOKUP($A35,'[53]EEFF proyectados'!$A$1:$EN$15,7,FALSE)</f>
        <v>-115809.49000000209</v>
      </c>
      <c r="E35" s="347">
        <f>HLOOKUP($A35,'[53]EEFF proyectados'!$A$1:$EN$15,11,FALSE)</f>
        <v>-5504236.0300000021</v>
      </c>
      <c r="F35" s="347">
        <f>HLOOKUP($A35,'[53]EEFF proyectados'!$A$1:$EN$15,15,FALSE)</f>
        <v>-7813338.7300000023</v>
      </c>
      <c r="G35" s="347">
        <f>-HLOOKUP($A35,'[53]EEFF proyectados'!$A$1:$EN$15,6,FALSE)</f>
        <v>32155191.890000001</v>
      </c>
      <c r="H35" s="347">
        <f>-HLOOKUP($A35,'[53]EEFF proyectados'!$A$1:$EN$15,8,FALSE)</f>
        <v>5261478.4000000004</v>
      </c>
      <c r="I35" s="347">
        <f>-HLOOKUP($A35,'[53]EEFF proyectados'!$A$1:$EN$15,9,FALSE)</f>
        <v>2369895.2999999998</v>
      </c>
      <c r="J35" s="347">
        <f>-HLOOKUP($A35,'[53]EEFF proyectados'!$A$1:$EN$15,10,FALSE)</f>
        <v>-2242947.16</v>
      </c>
      <c r="K35" s="347">
        <f>-HLOOKUP($A35,'[53]EEFF proyectados'!$A$1:$EN$15,12,FALSE)</f>
        <v>1027591.4100000001</v>
      </c>
      <c r="L35" s="347">
        <f>-HLOOKUP($A35,'[53]EEFF proyectados'!$A$1:$EN$15,14,FALSE)</f>
        <v>1281511.29</v>
      </c>
      <c r="M35" s="561">
        <v>59.2164657500159</v>
      </c>
      <c r="N35" s="561">
        <v>51.754081947571002</v>
      </c>
    </row>
    <row r="36" spans="1:14" x14ac:dyDescent="0.25">
      <c r="A36" s="346">
        <v>46081</v>
      </c>
      <c r="B36" s="193">
        <f t="shared" si="1"/>
        <v>2025</v>
      </c>
      <c r="C36" s="347">
        <f>HLOOKUP($A36,'[53]EEFF proyectados'!$A$1:$EN$15,5,FALSE)</f>
        <v>26100000</v>
      </c>
      <c r="D36" s="347">
        <f>HLOOKUP($A36,'[53]EEFF proyectados'!$A$1:$EN$15,7,FALSE)</f>
        <v>3403342.5547000058</v>
      </c>
      <c r="E36" s="347">
        <f>HLOOKUP($A36,'[53]EEFF proyectados'!$A$1:$EN$15,11,FALSE)</f>
        <v>682197.29191538086</v>
      </c>
      <c r="F36" s="347">
        <f>HLOOKUP($A36,'[53]EEFF proyectados'!$A$1:$EN$15,15,FALSE)</f>
        <v>-797160.87985616201</v>
      </c>
      <c r="G36" s="347">
        <f>-HLOOKUP($A36,'[53]EEFF proyectados'!$A$1:$EN$15,6,FALSE)</f>
        <v>22696657.445299994</v>
      </c>
      <c r="H36" s="347">
        <f>-HLOOKUP($A36,'[53]EEFF proyectados'!$A$1:$EN$15,8,FALSE)</f>
        <v>991771.72235376632</v>
      </c>
      <c r="I36" s="347">
        <f>-HLOOKUP($A36,'[53]EEFF proyectados'!$A$1:$EN$15,9,FALSE)</f>
        <v>1389136.1263993485</v>
      </c>
      <c r="J36" s="347">
        <f>-HLOOKUP($A36,'[53]EEFF proyectados'!$A$1:$EN$15,10,FALSE)</f>
        <v>340237.41403151024</v>
      </c>
      <c r="K36" s="347">
        <f>-HLOOKUP($A36,'[53]EEFF proyectados'!$A$1:$EN$15,12,FALSE)</f>
        <v>385572.93385965301</v>
      </c>
      <c r="L36" s="347">
        <f>-HLOOKUP($A36,'[53]EEFF proyectados'!$A$1:$EN$15,14,FALSE)</f>
        <v>1093785.2379118898</v>
      </c>
      <c r="M36" s="561">
        <v>59.2164657500159</v>
      </c>
      <c r="N36" s="561">
        <v>51.754081947571002</v>
      </c>
    </row>
    <row r="37" spans="1:14" x14ac:dyDescent="0.25">
      <c r="G37" s="4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57" workbookViewId="0">
      <selection activeCell="G163" sqref="G163"/>
    </sheetView>
  </sheetViews>
  <sheetFormatPr baseColWidth="10" defaultColWidth="11.44140625" defaultRowHeight="13.8" x14ac:dyDescent="0.25"/>
  <cols>
    <col min="1" max="1" width="44.109375" style="194" bestFit="1" customWidth="1"/>
    <col min="2" max="2" width="12.6640625" style="303" hidden="1" customWidth="1"/>
    <col min="3" max="3" width="12.44140625" style="303" bestFit="1" customWidth="1"/>
    <col min="4" max="4" width="12.33203125" style="303" bestFit="1" customWidth="1"/>
    <col min="5" max="5" width="9.6640625" style="303" bestFit="1" customWidth="1"/>
    <col min="6" max="6" width="9.109375" style="340" bestFit="1" customWidth="1"/>
    <col min="7" max="7" width="10.77734375" style="194" customWidth="1"/>
    <col min="8" max="13" width="9.5546875" style="194" bestFit="1" customWidth="1"/>
    <col min="14" max="14" width="53.33203125" style="194" bestFit="1" customWidth="1"/>
    <col min="15" max="15" width="14" style="194" bestFit="1" customWidth="1"/>
    <col min="16" max="16" width="25.21875" style="194" bestFit="1" customWidth="1"/>
    <col min="17" max="17" width="15.109375" style="194" bestFit="1" customWidth="1"/>
    <col min="18" max="16384" width="11.44140625" style="194"/>
  </cols>
  <sheetData>
    <row r="1" spans="1:13" x14ac:dyDescent="0.25">
      <c r="B1" s="286">
        <v>2021</v>
      </c>
      <c r="C1" s="286">
        <v>2022</v>
      </c>
      <c r="D1" s="286">
        <v>2023</v>
      </c>
      <c r="E1" s="286">
        <v>2024</v>
      </c>
      <c r="F1" s="324">
        <v>45901</v>
      </c>
      <c r="G1" s="195">
        <v>2025</v>
      </c>
      <c r="H1" s="195">
        <v>2026</v>
      </c>
      <c r="I1" s="195">
        <v>2027</v>
      </c>
      <c r="J1" s="195">
        <v>2028</v>
      </c>
      <c r="K1" s="195">
        <v>2029</v>
      </c>
      <c r="L1" s="195">
        <v>2030</v>
      </c>
      <c r="M1" s="195"/>
    </row>
    <row r="2" spans="1:13" x14ac:dyDescent="0.25">
      <c r="A2" s="197" t="s">
        <v>427</v>
      </c>
      <c r="B2" s="287"/>
      <c r="C2" s="287"/>
      <c r="D2" s="287"/>
      <c r="E2" s="287"/>
      <c r="F2" s="325"/>
      <c r="G2" s="254"/>
      <c r="H2" s="254"/>
      <c r="I2" s="254"/>
      <c r="J2" s="254"/>
      <c r="K2" s="254"/>
      <c r="L2" s="254"/>
    </row>
    <row r="3" spans="1:13" x14ac:dyDescent="0.25">
      <c r="A3" s="255"/>
      <c r="B3" s="288"/>
      <c r="C3" s="288"/>
      <c r="D3" s="288"/>
      <c r="E3" s="288"/>
      <c r="F3" s="326"/>
      <c r="G3" s="256"/>
      <c r="H3" s="256"/>
      <c r="I3" s="256"/>
      <c r="J3" s="256"/>
      <c r="K3" s="256"/>
      <c r="L3" s="256"/>
    </row>
    <row r="4" spans="1:13" x14ac:dyDescent="0.25">
      <c r="A4" s="257" t="s">
        <v>102</v>
      </c>
      <c r="B4" s="289"/>
      <c r="C4" s="290">
        <f>+C56/B56-1</f>
        <v>0.18743373371180194</v>
      </c>
      <c r="D4" s="290">
        <f>+D56/C56-1</f>
        <v>4.6893167670449376E-2</v>
      </c>
      <c r="E4" s="290">
        <f>+E56/D56-1</f>
        <v>-1.2889213373069364E-2</v>
      </c>
      <c r="F4" s="327"/>
      <c r="G4" s="259">
        <f>+G56/E56-1</f>
        <v>0.17181864932964586</v>
      </c>
      <c r="H4" s="259">
        <v>0.04</v>
      </c>
      <c r="I4" s="259">
        <v>0.04</v>
      </c>
      <c r="J4" s="259">
        <v>0.04</v>
      </c>
      <c r="K4" s="259">
        <v>0.04</v>
      </c>
      <c r="L4" s="259">
        <v>0.04</v>
      </c>
    </row>
    <row r="5" spans="1:13" x14ac:dyDescent="0.25">
      <c r="A5" s="260" t="s">
        <v>90</v>
      </c>
      <c r="B5" s="289"/>
      <c r="C5" s="289"/>
      <c r="D5" s="289"/>
      <c r="E5" s="289"/>
      <c r="F5" s="328"/>
      <c r="G5" s="193"/>
      <c r="H5" s="193"/>
      <c r="I5" s="193"/>
      <c r="J5" s="193"/>
      <c r="K5" s="193"/>
      <c r="L5" s="193"/>
    </row>
    <row r="6" spans="1:13" x14ac:dyDescent="0.25">
      <c r="A6" s="257" t="s">
        <v>93</v>
      </c>
      <c r="B6" s="290">
        <f>+-B57/B56</f>
        <v>0.71064435409072224</v>
      </c>
      <c r="C6" s="290">
        <f>+-C57/C56</f>
        <v>0.7500832576796348</v>
      </c>
      <c r="D6" s="290">
        <f>+-D57/D56</f>
        <v>0.74702656656419664</v>
      </c>
      <c r="E6" s="290">
        <f>+-E57/E56</f>
        <v>0.79917726515485354</v>
      </c>
      <c r="F6" s="327">
        <f>+-SUM('EEFF proyectados'!BO6:BS6)/SUM('EEFF proyectados'!BO5:BS5)</f>
        <v>0.68196981470879559</v>
      </c>
      <c r="G6" s="259">
        <f>+-G57/G56</f>
        <v>0.71919492357228021</v>
      </c>
      <c r="H6" s="259">
        <f>+G6</f>
        <v>0.71919492357228021</v>
      </c>
      <c r="I6" s="259">
        <f>+H6</f>
        <v>0.71919492357228021</v>
      </c>
      <c r="J6" s="259">
        <f>+I6</f>
        <v>0.71919492357228021</v>
      </c>
      <c r="K6" s="259">
        <f>+J6</f>
        <v>0.71919492357228021</v>
      </c>
      <c r="L6" s="259">
        <f>+K6</f>
        <v>0.71919492357228021</v>
      </c>
    </row>
    <row r="7" spans="1:13" x14ac:dyDescent="0.25">
      <c r="A7" s="257" t="s">
        <v>94</v>
      </c>
      <c r="B7" s="290">
        <f>+-B59/B56</f>
        <v>3.5752596211228893E-2</v>
      </c>
      <c r="C7" s="290">
        <f>+-C59/C56</f>
        <v>2.7129142402634338E-2</v>
      </c>
      <c r="D7" s="290">
        <f>+-D59/D56</f>
        <v>2.6525025960600242E-2</v>
      </c>
      <c r="E7" s="290">
        <f>+-E59/E56</f>
        <v>2.4673610749095756E-2</v>
      </c>
      <c r="F7" s="327">
        <f>-SUM('EEFF proyectados'!BO8:BS8)/SUM('EEFF proyectados'!BO5:BS5)</f>
        <v>2.5353815697814093E-2</v>
      </c>
      <c r="G7" s="258">
        <f>+-G59/G56</f>
        <v>2.3955344789883454E-2</v>
      </c>
      <c r="H7" s="258">
        <v>2.5000000000000001E-2</v>
      </c>
      <c r="I7" s="258">
        <v>2.5000000000000001E-2</v>
      </c>
      <c r="J7" s="258">
        <v>2.5000000000000001E-2</v>
      </c>
      <c r="K7" s="258">
        <v>2.5000000000000001E-2</v>
      </c>
      <c r="L7" s="258">
        <v>2.5000000000000001E-2</v>
      </c>
    </row>
    <row r="8" spans="1:13" x14ac:dyDescent="0.25">
      <c r="A8" s="257" t="s">
        <v>95</v>
      </c>
      <c r="B8" s="290">
        <f>+-B60/B56</f>
        <v>0.13829400302454364</v>
      </c>
      <c r="C8" s="290">
        <f>+-C60/C56</f>
        <v>0.13493094523186355</v>
      </c>
      <c r="D8" s="290">
        <f>+-D60/D56</f>
        <v>0.15135524265542843</v>
      </c>
      <c r="E8" s="290">
        <f>+-E60/E56</f>
        <v>0.11372547440978417</v>
      </c>
      <c r="F8" s="327">
        <f>+-SUM('EEFF proyectados'!BO9:BS9)/SUM('EEFF proyectados'!BO$5:BS$5)</f>
        <v>5.2058704978863349E-2</v>
      </c>
      <c r="G8" s="259">
        <f>+-G60/G56</f>
        <v>6.8698926248331099E-2</v>
      </c>
      <c r="H8" s="259">
        <f t="shared" ref="H8:L9" si="0">+G8</f>
        <v>6.8698926248331099E-2</v>
      </c>
      <c r="I8" s="259">
        <f t="shared" si="0"/>
        <v>6.8698926248331099E-2</v>
      </c>
      <c r="J8" s="259">
        <f t="shared" si="0"/>
        <v>6.8698926248331099E-2</v>
      </c>
      <c r="K8" s="259">
        <f t="shared" si="0"/>
        <v>6.8698926248331099E-2</v>
      </c>
      <c r="L8" s="259">
        <f t="shared" si="0"/>
        <v>6.8698926248331099E-2</v>
      </c>
    </row>
    <row r="9" spans="1:13" x14ac:dyDescent="0.25">
      <c r="A9" s="257" t="s">
        <v>292</v>
      </c>
      <c r="B9" s="290">
        <f>+-B65/B56</f>
        <v>4.4945615017299691E-2</v>
      </c>
      <c r="C9" s="290">
        <f>+-C65/C56</f>
        <v>4.5344630590734382E-2</v>
      </c>
      <c r="D9" s="290">
        <f>+-D65/D56</f>
        <v>4.4706965205402315E-2</v>
      </c>
      <c r="E9" s="290">
        <f>+-E65/E56</f>
        <v>4.3669676921228813E-2</v>
      </c>
      <c r="F9" s="327">
        <f>+-SUM('EEFF proyectados'!BO14:BS14)/SUM('EEFF proyectados'!BO$5:BS$5)</f>
        <v>4.4354826685870416E-2</v>
      </c>
      <c r="G9" s="259">
        <f>+-G65/G56</f>
        <v>3.9516486647468999E-2</v>
      </c>
      <c r="H9" s="259">
        <f t="shared" si="0"/>
        <v>3.9516486647468999E-2</v>
      </c>
      <c r="I9" s="259">
        <f t="shared" si="0"/>
        <v>3.9516486647468999E-2</v>
      </c>
      <c r="J9" s="259">
        <f t="shared" si="0"/>
        <v>3.9516486647468999E-2</v>
      </c>
      <c r="K9" s="259">
        <f t="shared" si="0"/>
        <v>3.9516486647468999E-2</v>
      </c>
      <c r="L9" s="259">
        <f t="shared" si="0"/>
        <v>3.9516486647468999E-2</v>
      </c>
    </row>
    <row r="10" spans="1:13" x14ac:dyDescent="0.25">
      <c r="A10" s="261" t="s">
        <v>91</v>
      </c>
      <c r="B10" s="291">
        <f t="shared" ref="B10:L10" si="1">+SUM(B6:B9)</f>
        <v>0.92963656834379449</v>
      </c>
      <c r="C10" s="291">
        <f t="shared" si="1"/>
        <v>0.95748797590486701</v>
      </c>
      <c r="D10" s="291">
        <f t="shared" si="1"/>
        <v>0.96961380038562761</v>
      </c>
      <c r="E10" s="291">
        <f t="shared" si="1"/>
        <v>0.98124602723496235</v>
      </c>
      <c r="F10" s="329">
        <f t="shared" si="1"/>
        <v>0.80373716207134349</v>
      </c>
      <c r="G10" s="262">
        <f t="shared" si="1"/>
        <v>0.85136568125796375</v>
      </c>
      <c r="H10" s="262">
        <f t="shared" si="1"/>
        <v>0.85241033646808029</v>
      </c>
      <c r="I10" s="262">
        <f t="shared" si="1"/>
        <v>0.85241033646808029</v>
      </c>
      <c r="J10" s="262">
        <f t="shared" si="1"/>
        <v>0.85241033646808029</v>
      </c>
      <c r="K10" s="262">
        <f t="shared" si="1"/>
        <v>0.85241033646808029</v>
      </c>
      <c r="L10" s="262">
        <f t="shared" si="1"/>
        <v>0.85241033646808029</v>
      </c>
    </row>
    <row r="11" spans="1:13" x14ac:dyDescent="0.25">
      <c r="B11" s="292"/>
      <c r="C11" s="292"/>
      <c r="D11" s="292"/>
      <c r="E11" s="292"/>
      <c r="F11" s="330"/>
    </row>
    <row r="12" spans="1:13" x14ac:dyDescent="0.25">
      <c r="A12" s="260" t="s">
        <v>97</v>
      </c>
      <c r="B12" s="290"/>
      <c r="C12" s="290"/>
      <c r="D12" s="290"/>
      <c r="E12" s="290"/>
      <c r="F12" s="327"/>
    </row>
    <row r="13" spans="1:13" x14ac:dyDescent="0.25">
      <c r="A13" s="257" t="s">
        <v>291</v>
      </c>
      <c r="B13" s="290">
        <f>+-B61/B56</f>
        <v>9.9213041721449447E-3</v>
      </c>
      <c r="C13" s="290">
        <f>+-C61/C56</f>
        <v>9.1062306395982735E-3</v>
      </c>
      <c r="D13" s="290">
        <f>+-D61/D56</f>
        <v>-1.3191727725580853E-2</v>
      </c>
      <c r="E13" s="290">
        <f>+-E61/E56</f>
        <v>6.0408416686718409E-3</v>
      </c>
      <c r="F13" s="327">
        <f>+-SUM('EEFF proyectados'!BO10:BS10)/SUM('EEFF proyectados'!BO$5:BS$5)</f>
        <v>1.6532704588849801E-2</v>
      </c>
      <c r="G13" s="258">
        <f>+-G61/G56</f>
        <v>2.515660298300805E-2</v>
      </c>
      <c r="H13" s="258">
        <v>0.02</v>
      </c>
      <c r="I13" s="258">
        <f>+H13</f>
        <v>0.02</v>
      </c>
      <c r="J13" s="258">
        <f>+I13</f>
        <v>0.02</v>
      </c>
      <c r="K13" s="258">
        <f>+J13</f>
        <v>0.02</v>
      </c>
      <c r="L13" s="258">
        <f>+K13</f>
        <v>0.02</v>
      </c>
    </row>
    <row r="14" spans="1:13" x14ac:dyDescent="0.25">
      <c r="A14" s="257"/>
      <c r="B14" s="290"/>
      <c r="C14" s="290"/>
      <c r="D14" s="290"/>
      <c r="E14" s="290"/>
      <c r="F14" s="327"/>
      <c r="G14" s="258"/>
      <c r="H14" s="258"/>
      <c r="I14" s="258"/>
      <c r="J14" s="258"/>
      <c r="K14" s="258"/>
      <c r="L14" s="258"/>
    </row>
    <row r="15" spans="1:13" x14ac:dyDescent="0.25">
      <c r="B15" s="290"/>
      <c r="C15" s="290"/>
      <c r="D15" s="290"/>
      <c r="E15" s="290"/>
      <c r="F15" s="327"/>
      <c r="G15" s="269"/>
      <c r="H15" s="269"/>
      <c r="I15" s="269"/>
      <c r="J15" s="269"/>
      <c r="K15" s="269"/>
      <c r="L15" s="269"/>
    </row>
    <row r="16" spans="1:13" x14ac:dyDescent="0.25">
      <c r="B16" s="289"/>
      <c r="C16" s="289"/>
      <c r="D16" s="289"/>
      <c r="E16" s="289"/>
      <c r="F16" s="328"/>
    </row>
    <row r="17" spans="1:12" x14ac:dyDescent="0.25">
      <c r="B17" s="286">
        <f t="shared" ref="B17:L17" si="2">+B1</f>
        <v>2021</v>
      </c>
      <c r="C17" s="286">
        <f t="shared" si="2"/>
        <v>2022</v>
      </c>
      <c r="D17" s="286">
        <f t="shared" si="2"/>
        <v>2023</v>
      </c>
      <c r="E17" s="286">
        <f t="shared" si="2"/>
        <v>2024</v>
      </c>
      <c r="F17" s="324">
        <f t="shared" si="2"/>
        <v>45901</v>
      </c>
      <c r="G17" s="195">
        <f t="shared" si="2"/>
        <v>2025</v>
      </c>
      <c r="H17" s="195">
        <f t="shared" si="2"/>
        <v>2026</v>
      </c>
      <c r="I17" s="195">
        <f t="shared" si="2"/>
        <v>2027</v>
      </c>
      <c r="J17" s="195">
        <f t="shared" si="2"/>
        <v>2028</v>
      </c>
      <c r="K17" s="195">
        <f t="shared" si="2"/>
        <v>2029</v>
      </c>
      <c r="L17" s="195">
        <f t="shared" si="2"/>
        <v>2030</v>
      </c>
    </row>
    <row r="18" spans="1:12" x14ac:dyDescent="0.25">
      <c r="A18" s="199" t="s">
        <v>293</v>
      </c>
      <c r="B18" s="286"/>
      <c r="C18" s="286"/>
      <c r="D18" s="286"/>
      <c r="E18" s="286"/>
      <c r="F18" s="324"/>
      <c r="G18" s="195"/>
      <c r="H18" s="195"/>
      <c r="I18" s="195"/>
      <c r="J18" s="195"/>
      <c r="K18" s="195"/>
      <c r="L18" s="195"/>
    </row>
    <row r="19" spans="1:12" x14ac:dyDescent="0.25">
      <c r="B19" s="289"/>
      <c r="C19" s="289"/>
      <c r="D19" s="289"/>
      <c r="E19" s="289"/>
      <c r="F19" s="328"/>
    </row>
    <row r="20" spans="1:12" x14ac:dyDescent="0.25">
      <c r="A20" s="260" t="s">
        <v>92</v>
      </c>
      <c r="B20" s="293"/>
      <c r="C20" s="293"/>
      <c r="D20" s="293"/>
      <c r="E20" s="293"/>
      <c r="F20" s="331"/>
    </row>
    <row r="21" spans="1:12" x14ac:dyDescent="0.25">
      <c r="A21" s="194" t="s">
        <v>256</v>
      </c>
      <c r="B21" s="294">
        <f>B76*365/B56</f>
        <v>37.712287378425245</v>
      </c>
      <c r="C21" s="294">
        <f>C76*365/C56</f>
        <v>70.206160171288062</v>
      </c>
      <c r="D21" s="294">
        <f>D76*365/D56</f>
        <v>174.52361135534349</v>
      </c>
      <c r="E21" s="294">
        <f>E76*365/E56</f>
        <v>128.17004637558378</v>
      </c>
      <c r="F21" s="332">
        <f>F76*(MONTH(F17)*30-90)/F56</f>
        <v>108.22230608623758</v>
      </c>
      <c r="G21" s="263">
        <v>106</v>
      </c>
      <c r="H21" s="263">
        <f t="shared" ref="H21:L22" si="3">+G21</f>
        <v>106</v>
      </c>
      <c r="I21" s="263">
        <f t="shared" si="3"/>
        <v>106</v>
      </c>
      <c r="J21" s="263">
        <f t="shared" si="3"/>
        <v>106</v>
      </c>
      <c r="K21" s="263">
        <f t="shared" si="3"/>
        <v>106</v>
      </c>
      <c r="L21" s="263">
        <f t="shared" si="3"/>
        <v>106</v>
      </c>
    </row>
    <row r="22" spans="1:12" x14ac:dyDescent="0.25">
      <c r="A22" s="194" t="s">
        <v>257</v>
      </c>
      <c r="B22" s="294">
        <f>+-B77*360/B57</f>
        <v>121.79868407670222</v>
      </c>
      <c r="C22" s="294">
        <f>+-C77*360/C57</f>
        <v>90.988405605602395</v>
      </c>
      <c r="D22" s="294">
        <f>+-D77*360/D57</f>
        <v>0</v>
      </c>
      <c r="E22" s="294">
        <f>+-E77*360/E57</f>
        <v>0</v>
      </c>
      <c r="F22" s="332">
        <f>+-F77*(MONTH(F17)*30-90)/F57</f>
        <v>0</v>
      </c>
      <c r="G22" s="263">
        <f>+E22</f>
        <v>0</v>
      </c>
      <c r="H22" s="263">
        <f t="shared" si="3"/>
        <v>0</v>
      </c>
      <c r="I22" s="263">
        <f t="shared" si="3"/>
        <v>0</v>
      </c>
      <c r="J22" s="263">
        <f t="shared" si="3"/>
        <v>0</v>
      </c>
      <c r="K22" s="263">
        <f t="shared" si="3"/>
        <v>0</v>
      </c>
      <c r="L22" s="263">
        <f t="shared" si="3"/>
        <v>0</v>
      </c>
    </row>
    <row r="23" spans="1:12" x14ac:dyDescent="0.25">
      <c r="A23" s="194" t="s">
        <v>258</v>
      </c>
      <c r="B23" s="294">
        <f>+-B78*365/B57</f>
        <v>294.07237345797523</v>
      </c>
      <c r="C23" s="294">
        <f>+-C78*365/C57</f>
        <v>197.00052019263978</v>
      </c>
      <c r="D23" s="294">
        <f>+-D78*365/D57</f>
        <v>200.84048115541935</v>
      </c>
      <c r="E23" s="294">
        <f>+-E78*365/E57</f>
        <v>135.59969893268124</v>
      </c>
      <c r="F23" s="332">
        <f>+-F78*(MONTH(F17)*30-90)/F57</f>
        <v>158.37773058836657</v>
      </c>
      <c r="G23" s="263">
        <v>122</v>
      </c>
      <c r="H23" s="263">
        <v>122</v>
      </c>
      <c r="I23" s="263">
        <f t="shared" ref="I23:L28" si="4">+H23</f>
        <v>122</v>
      </c>
      <c r="J23" s="263">
        <f t="shared" si="4"/>
        <v>122</v>
      </c>
      <c r="K23" s="263">
        <f t="shared" si="4"/>
        <v>122</v>
      </c>
      <c r="L23" s="263">
        <f t="shared" si="4"/>
        <v>122</v>
      </c>
    </row>
    <row r="24" spans="1:12" x14ac:dyDescent="0.25">
      <c r="A24" s="194" t="s">
        <v>99</v>
      </c>
      <c r="B24" s="294">
        <f>+-B91*365/B57</f>
        <v>94.334219212236349</v>
      </c>
      <c r="C24" s="294">
        <f>+-C91*365/C57</f>
        <v>68.289733530835605</v>
      </c>
      <c r="D24" s="294">
        <f>+-D91*365/D57</f>
        <v>104.77079065131217</v>
      </c>
      <c r="E24" s="294">
        <f>+-E91*365/E57</f>
        <v>84.78498520276753</v>
      </c>
      <c r="F24" s="332">
        <f>+-F91*(MONTH(F17)*30-90)/F57</f>
        <v>66.051195546537201</v>
      </c>
      <c r="G24" s="263">
        <v>60</v>
      </c>
      <c r="H24" s="263">
        <v>65</v>
      </c>
      <c r="I24" s="263">
        <f t="shared" si="4"/>
        <v>65</v>
      </c>
      <c r="J24" s="263">
        <f t="shared" si="4"/>
        <v>65</v>
      </c>
      <c r="K24" s="263">
        <f t="shared" si="4"/>
        <v>65</v>
      </c>
      <c r="L24" s="263">
        <f t="shared" si="4"/>
        <v>65</v>
      </c>
    </row>
    <row r="25" spans="1:12" x14ac:dyDescent="0.25">
      <c r="A25" s="194" t="s">
        <v>289</v>
      </c>
      <c r="B25" s="294">
        <f>+B92*365/B56</f>
        <v>0</v>
      </c>
      <c r="C25" s="294">
        <f>+C92*365/C56</f>
        <v>0</v>
      </c>
      <c r="D25" s="294">
        <f>+D92*365/D56</f>
        <v>0</v>
      </c>
      <c r="E25" s="294">
        <f>+E92*365/E56</f>
        <v>12.519987470601849</v>
      </c>
      <c r="F25" s="332">
        <f>+F92*(MONTH(F17)*30-90)/F56</f>
        <v>9.7582116589043437</v>
      </c>
      <c r="G25" s="263">
        <f>+F25</f>
        <v>9.7582116589043437</v>
      </c>
      <c r="H25" s="263">
        <f>+G25</f>
        <v>9.7582116589043437</v>
      </c>
      <c r="I25" s="263">
        <f t="shared" si="4"/>
        <v>9.7582116589043437</v>
      </c>
      <c r="J25" s="263">
        <f t="shared" si="4"/>
        <v>9.7582116589043437</v>
      </c>
      <c r="K25" s="263">
        <f t="shared" si="4"/>
        <v>9.7582116589043437</v>
      </c>
      <c r="L25" s="263">
        <f t="shared" si="4"/>
        <v>9.7582116589043437</v>
      </c>
    </row>
    <row r="26" spans="1:12" x14ac:dyDescent="0.25">
      <c r="A26" s="194" t="s">
        <v>269</v>
      </c>
      <c r="B26" s="294">
        <f>+-B93*365/B57</f>
        <v>55.555308166656239</v>
      </c>
      <c r="C26" s="294">
        <f>+-C93*365/C57</f>
        <v>36.605753531067649</v>
      </c>
      <c r="D26" s="294">
        <f>+-D93*365/D57</f>
        <v>32.710989711704471</v>
      </c>
      <c r="E26" s="294">
        <f>+-E93*365/E57</f>
        <v>12.687129870157424</v>
      </c>
      <c r="F26" s="332">
        <f>+-F93*(MONTH(F17)*30-90)/F57</f>
        <v>14.031805068117039</v>
      </c>
      <c r="G26" s="263">
        <f>+E26</f>
        <v>12.687129870157424</v>
      </c>
      <c r="H26" s="263">
        <f>+G26</f>
        <v>12.687129870157424</v>
      </c>
      <c r="I26" s="263">
        <f t="shared" si="4"/>
        <v>12.687129870157424</v>
      </c>
      <c r="J26" s="263">
        <f t="shared" si="4"/>
        <v>12.687129870157424</v>
      </c>
      <c r="K26" s="263">
        <f t="shared" si="4"/>
        <v>12.687129870157424</v>
      </c>
      <c r="L26" s="263">
        <f t="shared" si="4"/>
        <v>12.687129870157424</v>
      </c>
    </row>
    <row r="27" spans="1:12" x14ac:dyDescent="0.25">
      <c r="A27" s="194" t="s">
        <v>270</v>
      </c>
      <c r="B27" s="294">
        <f>+B94*365/B56</f>
        <v>11.421231911776562</v>
      </c>
      <c r="C27" s="294">
        <f>+C94*365/C56</f>
        <v>9.6760353001424182</v>
      </c>
      <c r="D27" s="294">
        <f>+D94*365/D56</f>
        <v>3.4447054881047444E-14</v>
      </c>
      <c r="E27" s="294">
        <f>+E94*365/E56</f>
        <v>0</v>
      </c>
      <c r="F27" s="332">
        <f>+D27</f>
        <v>3.4447054881047444E-14</v>
      </c>
      <c r="G27" s="263">
        <f>+E27</f>
        <v>0</v>
      </c>
      <c r="H27" s="263">
        <f>+G27</f>
        <v>0</v>
      </c>
      <c r="I27" s="263">
        <f t="shared" si="4"/>
        <v>0</v>
      </c>
      <c r="J27" s="263">
        <f t="shared" si="4"/>
        <v>0</v>
      </c>
      <c r="K27" s="263">
        <f t="shared" si="4"/>
        <v>0</v>
      </c>
      <c r="L27" s="263">
        <f t="shared" si="4"/>
        <v>0</v>
      </c>
    </row>
    <row r="28" spans="1:12" x14ac:dyDescent="0.25">
      <c r="A28" s="194" t="s">
        <v>271</v>
      </c>
      <c r="B28" s="294">
        <f>+B95*365/B56</f>
        <v>9.2922763122424623</v>
      </c>
      <c r="C28" s="294">
        <f>+C95*365/C56</f>
        <v>17.085132850967927</v>
      </c>
      <c r="D28" s="294">
        <f>+D95*365/D56</f>
        <v>9.4566574809610788</v>
      </c>
      <c r="E28" s="294">
        <f>+E95*365/E56</f>
        <v>19.022010560222011</v>
      </c>
      <c r="F28" s="332">
        <f>+F95*(MONTH(F17)*30-90)/F56</f>
        <v>9.1103450926431311</v>
      </c>
      <c r="G28" s="263">
        <f>+E28</f>
        <v>19.022010560222011</v>
      </c>
      <c r="H28" s="263">
        <f>+G28</f>
        <v>19.022010560222011</v>
      </c>
      <c r="I28" s="263">
        <f t="shared" si="4"/>
        <v>19.022010560222011</v>
      </c>
      <c r="J28" s="263">
        <f t="shared" si="4"/>
        <v>19.022010560222011</v>
      </c>
      <c r="K28" s="263">
        <f t="shared" si="4"/>
        <v>19.022010560222011</v>
      </c>
      <c r="L28" s="263">
        <f t="shared" si="4"/>
        <v>19.022010560222011</v>
      </c>
    </row>
    <row r="29" spans="1:12" x14ac:dyDescent="0.25">
      <c r="B29" s="294"/>
      <c r="C29" s="294"/>
      <c r="D29" s="294"/>
      <c r="E29" s="294"/>
      <c r="F29" s="332"/>
      <c r="G29" s="263"/>
      <c r="H29" s="263"/>
      <c r="I29" s="263"/>
      <c r="J29" s="263"/>
      <c r="K29" s="263"/>
      <c r="L29" s="263"/>
    </row>
    <row r="30" spans="1:12" x14ac:dyDescent="0.25">
      <c r="A30" s="199" t="s">
        <v>294</v>
      </c>
      <c r="B30" s="294"/>
      <c r="C30" s="294"/>
      <c r="D30" s="294"/>
      <c r="E30" s="294"/>
      <c r="F30" s="332"/>
      <c r="G30" s="263"/>
      <c r="H30" s="263"/>
      <c r="I30" s="263"/>
      <c r="J30" s="263"/>
      <c r="K30" s="263"/>
      <c r="L30" s="263"/>
    </row>
    <row r="31" spans="1:12" x14ac:dyDescent="0.25">
      <c r="A31" s="194" t="s">
        <v>260</v>
      </c>
      <c r="B31" s="290">
        <f>+B81/B$56</f>
        <v>1.7697610009482723</v>
      </c>
      <c r="C31" s="290">
        <f>+C81/C$56</f>
        <v>1.4291006402689703</v>
      </c>
      <c r="D31" s="290">
        <f>+D81/D$56</f>
        <v>1.3214044940119976</v>
      </c>
      <c r="E31" s="290">
        <f>+E81/E$56</f>
        <v>1.4043453258498209</v>
      </c>
      <c r="F31" s="327">
        <f>+F81/F$56</f>
        <v>2.6232863794879031</v>
      </c>
      <c r="G31" s="258">
        <v>1.2</v>
      </c>
      <c r="H31" s="258">
        <v>0.9</v>
      </c>
      <c r="I31" s="258">
        <v>0.9</v>
      </c>
      <c r="J31" s="258">
        <v>0.9</v>
      </c>
      <c r="K31" s="258">
        <v>0.9</v>
      </c>
      <c r="L31" s="258">
        <v>0.9</v>
      </c>
    </row>
    <row r="32" spans="1:12" x14ac:dyDescent="0.25">
      <c r="A32" s="194" t="s">
        <v>263</v>
      </c>
      <c r="B32" s="290">
        <f>+B82/B$56</f>
        <v>2.9217711064611299E-2</v>
      </c>
      <c r="C32" s="290">
        <f t="shared" ref="C32:E34" si="5">+C82/C$56</f>
        <v>4.4181693227909241E-2</v>
      </c>
      <c r="D32" s="290">
        <f t="shared" si="5"/>
        <v>2.9927998056498754E-2</v>
      </c>
      <c r="E32" s="290">
        <f t="shared" si="5"/>
        <v>3.5983259166428527E-2</v>
      </c>
      <c r="F32" s="327">
        <f>+F82/F$56</f>
        <v>3.3996317067428318E-2</v>
      </c>
      <c r="G32" s="258">
        <f>+E32</f>
        <v>3.5983259166428527E-2</v>
      </c>
      <c r="H32" s="258">
        <f t="shared" ref="H32:L36" si="6">+G32</f>
        <v>3.5983259166428527E-2</v>
      </c>
      <c r="I32" s="258">
        <f t="shared" si="6"/>
        <v>3.5983259166428527E-2</v>
      </c>
      <c r="J32" s="258">
        <f t="shared" si="6"/>
        <v>3.5983259166428527E-2</v>
      </c>
      <c r="K32" s="258">
        <f t="shared" si="6"/>
        <v>3.5983259166428527E-2</v>
      </c>
      <c r="L32" s="258">
        <f t="shared" si="6"/>
        <v>3.5983259166428527E-2</v>
      </c>
    </row>
    <row r="33" spans="1:13" x14ac:dyDescent="0.25">
      <c r="A33" s="194" t="s">
        <v>264</v>
      </c>
      <c r="B33" s="290">
        <f>+B83/B$56</f>
        <v>4.2034441118129637E-2</v>
      </c>
      <c r="C33" s="290">
        <f t="shared" si="5"/>
        <v>2.5247152680465321E-2</v>
      </c>
      <c r="D33" s="290">
        <f t="shared" si="5"/>
        <v>8.6543843455343383E-2</v>
      </c>
      <c r="E33" s="290">
        <f t="shared" si="5"/>
        <v>6.7056787578032878E-2</v>
      </c>
      <c r="F33" s="327">
        <f>+F83/F$56</f>
        <v>2.4095994365223943E-3</v>
      </c>
      <c r="G33" s="258">
        <f>+E33</f>
        <v>6.7056787578032878E-2</v>
      </c>
      <c r="H33" s="258">
        <f t="shared" si="6"/>
        <v>6.7056787578032878E-2</v>
      </c>
      <c r="I33" s="258">
        <f t="shared" si="6"/>
        <v>6.7056787578032878E-2</v>
      </c>
      <c r="J33" s="258">
        <f t="shared" si="6"/>
        <v>6.7056787578032878E-2</v>
      </c>
      <c r="K33" s="258">
        <f t="shared" si="6"/>
        <v>6.7056787578032878E-2</v>
      </c>
      <c r="L33" s="258">
        <f t="shared" si="6"/>
        <v>6.7056787578032878E-2</v>
      </c>
    </row>
    <row r="34" spans="1:13" x14ac:dyDescent="0.25">
      <c r="A34" s="194" t="s">
        <v>265</v>
      </c>
      <c r="B34" s="290">
        <f>+B84/B$56</f>
        <v>9.795344368763409E-2</v>
      </c>
      <c r="C34" s="290">
        <f t="shared" si="5"/>
        <v>9.3415462975956778E-2</v>
      </c>
      <c r="D34" s="290">
        <f t="shared" si="5"/>
        <v>0.10382703822943275</v>
      </c>
      <c r="E34" s="290">
        <f t="shared" si="5"/>
        <v>0.56867776835159234</v>
      </c>
      <c r="F34" s="327">
        <f>+F84/F$56</f>
        <v>1.0025513509545882</v>
      </c>
      <c r="G34" s="258">
        <f>+E34</f>
        <v>0.56867776835159234</v>
      </c>
      <c r="H34" s="258">
        <f t="shared" si="6"/>
        <v>0.56867776835159234</v>
      </c>
      <c r="I34" s="258">
        <f t="shared" si="6"/>
        <v>0.56867776835159234</v>
      </c>
      <c r="J34" s="258">
        <f t="shared" si="6"/>
        <v>0.56867776835159234</v>
      </c>
      <c r="K34" s="258">
        <f t="shared" si="6"/>
        <v>0.56867776835159234</v>
      </c>
      <c r="L34" s="258">
        <f t="shared" si="6"/>
        <v>0.56867776835159234</v>
      </c>
    </row>
    <row r="35" spans="1:13" x14ac:dyDescent="0.25">
      <c r="A35" s="194" t="s">
        <v>275</v>
      </c>
      <c r="B35" s="290">
        <f t="shared" ref="B35:E36" si="7">+B100/B$56</f>
        <v>1.6181320572813479E-4</v>
      </c>
      <c r="C35" s="290">
        <f t="shared" si="7"/>
        <v>1.3627135656852404E-4</v>
      </c>
      <c r="D35" s="290">
        <f t="shared" si="7"/>
        <v>1.3016739508555164E-4</v>
      </c>
      <c r="E35" s="290">
        <f t="shared" si="7"/>
        <v>1.6963206699301331E-3</v>
      </c>
      <c r="F35" s="327">
        <f>+F100/F$56</f>
        <v>2.9930862149155314E-3</v>
      </c>
      <c r="G35" s="258">
        <f>+E35</f>
        <v>1.6963206699301331E-3</v>
      </c>
      <c r="H35" s="258">
        <f t="shared" si="6"/>
        <v>1.6963206699301331E-3</v>
      </c>
      <c r="I35" s="258">
        <f t="shared" si="6"/>
        <v>1.6963206699301331E-3</v>
      </c>
      <c r="J35" s="258">
        <f t="shared" si="6"/>
        <v>1.6963206699301331E-3</v>
      </c>
      <c r="K35" s="258">
        <f t="shared" si="6"/>
        <v>1.6963206699301331E-3</v>
      </c>
      <c r="L35" s="258">
        <f t="shared" si="6"/>
        <v>1.6963206699301331E-3</v>
      </c>
    </row>
    <row r="36" spans="1:13" x14ac:dyDescent="0.25">
      <c r="A36" s="194" t="s">
        <v>276</v>
      </c>
      <c r="B36" s="290">
        <f t="shared" si="7"/>
        <v>0.14479948768556955</v>
      </c>
      <c r="C36" s="290">
        <f t="shared" si="7"/>
        <v>0.11824545941219505</v>
      </c>
      <c r="D36" s="290">
        <f t="shared" si="7"/>
        <v>0.1259255446637037</v>
      </c>
      <c r="E36" s="290">
        <f t="shared" si="7"/>
        <v>0.12214066885575446</v>
      </c>
      <c r="F36" s="327">
        <f>+F101/F$56</f>
        <v>0.22789507839044074</v>
      </c>
      <c r="G36" s="258">
        <f>+E36</f>
        <v>0.12214066885575446</v>
      </c>
      <c r="H36" s="258">
        <f t="shared" si="6"/>
        <v>0.12214066885575446</v>
      </c>
      <c r="I36" s="258">
        <f t="shared" si="6"/>
        <v>0.12214066885575446</v>
      </c>
      <c r="J36" s="258">
        <f t="shared" si="6"/>
        <v>0.12214066885575446</v>
      </c>
      <c r="K36" s="258">
        <f t="shared" si="6"/>
        <v>0.12214066885575446</v>
      </c>
      <c r="L36" s="258">
        <f t="shared" si="6"/>
        <v>0.12214066885575446</v>
      </c>
    </row>
    <row r="37" spans="1:13" x14ac:dyDescent="0.25">
      <c r="A37" s="260"/>
      <c r="B37" s="295"/>
      <c r="C37" s="295"/>
      <c r="D37" s="295"/>
      <c r="E37" s="295"/>
      <c r="F37" s="333"/>
    </row>
    <row r="38" spans="1:13" x14ac:dyDescent="0.25">
      <c r="A38" s="260" t="s">
        <v>103</v>
      </c>
      <c r="B38" s="295"/>
      <c r="C38" s="295"/>
      <c r="D38" s="295"/>
      <c r="E38" s="295"/>
      <c r="F38" s="333"/>
      <c r="G38" s="266"/>
      <c r="H38" s="266"/>
      <c r="I38" s="266"/>
      <c r="J38" s="266"/>
      <c r="K38" s="266"/>
      <c r="L38" s="266"/>
    </row>
    <row r="39" spans="1:13" x14ac:dyDescent="0.25">
      <c r="A39" s="257" t="s">
        <v>100</v>
      </c>
      <c r="B39" s="295"/>
      <c r="C39" s="295"/>
      <c r="D39" s="295"/>
      <c r="E39" s="295"/>
      <c r="F39" s="333"/>
    </row>
    <row r="40" spans="1:13" x14ac:dyDescent="0.25">
      <c r="A40" s="257" t="s">
        <v>101</v>
      </c>
      <c r="B40" s="296"/>
      <c r="C40" s="296"/>
      <c r="D40" s="296"/>
      <c r="E40" s="296"/>
      <c r="F40" s="334"/>
    </row>
    <row r="41" spans="1:13" x14ac:dyDescent="0.25">
      <c r="A41" s="257"/>
      <c r="B41" s="297"/>
      <c r="C41" s="297"/>
      <c r="D41" s="297"/>
      <c r="E41" s="515"/>
      <c r="F41" s="515"/>
      <c r="G41" s="266">
        <f>G128</f>
        <v>91811327.320336044</v>
      </c>
      <c r="H41" s="266">
        <f t="shared" ref="H41:L41" si="8">H128</f>
        <v>43131721.787846833</v>
      </c>
      <c r="I41" s="266">
        <f t="shared" si="8"/>
        <v>84950718.945649564</v>
      </c>
      <c r="J41" s="266">
        <f t="shared" si="8"/>
        <v>336244141.84565008</v>
      </c>
      <c r="K41" s="266">
        <f t="shared" si="8"/>
        <v>84950718.945649564</v>
      </c>
      <c r="L41" s="266">
        <f t="shared" si="8"/>
        <v>84950718.945649564</v>
      </c>
    </row>
    <row r="42" spans="1:13" x14ac:dyDescent="0.25">
      <c r="A42" s="260"/>
      <c r="B42" s="293"/>
      <c r="C42" s="293"/>
      <c r="D42" s="293"/>
      <c r="E42" s="293"/>
      <c r="F42" s="331"/>
    </row>
    <row r="43" spans="1:13" s="425" customFormat="1" x14ac:dyDescent="0.25">
      <c r="A43" s="260"/>
      <c r="B43" s="293"/>
      <c r="C43" s="293"/>
      <c r="D43" s="293"/>
      <c r="E43" s="293"/>
      <c r="F43" s="331"/>
      <c r="G43" s="194"/>
      <c r="H43" s="194"/>
      <c r="I43" s="424"/>
      <c r="J43" s="424"/>
      <c r="K43" s="424"/>
      <c r="L43" s="424"/>
      <c r="M43" s="194"/>
    </row>
    <row r="44" spans="1:13" s="425" customFormat="1" x14ac:dyDescent="0.25">
      <c r="A44" s="260"/>
      <c r="B44" s="293"/>
      <c r="C44" s="293"/>
      <c r="D44" s="293"/>
      <c r="E44" s="293"/>
      <c r="F44" s="331"/>
      <c r="G44" s="194"/>
      <c r="H44" s="194"/>
      <c r="I44" s="424"/>
      <c r="J44" s="424"/>
      <c r="K44" s="424"/>
      <c r="L44" s="424"/>
      <c r="M44" s="194"/>
    </row>
    <row r="45" spans="1:13" s="425" customFormat="1" x14ac:dyDescent="0.25">
      <c r="A45" s="260"/>
      <c r="B45" s="293"/>
      <c r="C45" s="293"/>
      <c r="D45" s="293"/>
      <c r="E45" s="293"/>
      <c r="F45" s="331"/>
      <c r="G45" s="194"/>
      <c r="H45" s="194"/>
      <c r="I45" s="424"/>
      <c r="J45" s="424"/>
      <c r="K45" s="424"/>
      <c r="L45" s="424"/>
      <c r="M45" s="194"/>
    </row>
    <row r="46" spans="1:13" s="425" customFormat="1" x14ac:dyDescent="0.25">
      <c r="A46" s="260"/>
      <c r="B46" s="293"/>
      <c r="C46" s="293"/>
      <c r="D46" s="293"/>
      <c r="E46" s="293"/>
      <c r="F46" s="331"/>
      <c r="G46" s="194"/>
      <c r="H46" s="194"/>
      <c r="I46" s="424"/>
      <c r="J46" s="424"/>
      <c r="K46" s="424"/>
      <c r="L46" s="424"/>
      <c r="M46" s="194"/>
    </row>
    <row r="47" spans="1:13" s="425" customFormat="1" x14ac:dyDescent="0.25">
      <c r="A47" s="260"/>
      <c r="B47" s="293"/>
      <c r="C47" s="293"/>
      <c r="D47" s="293"/>
      <c r="E47" s="293"/>
      <c r="F47" s="331"/>
      <c r="G47" s="194"/>
      <c r="H47" s="194"/>
      <c r="I47" s="424"/>
      <c r="J47" s="424"/>
      <c r="K47" s="424"/>
      <c r="L47" s="424"/>
      <c r="M47" s="194"/>
    </row>
    <row r="48" spans="1:13" s="425" customFormat="1" x14ac:dyDescent="0.25">
      <c r="A48" s="260"/>
      <c r="B48" s="293"/>
      <c r="C48" s="293"/>
      <c r="D48" s="293"/>
      <c r="E48" s="293"/>
      <c r="F48" s="331"/>
      <c r="G48" s="194"/>
      <c r="H48" s="194"/>
      <c r="I48" s="424"/>
      <c r="J48" s="424"/>
      <c r="K48" s="424"/>
      <c r="L48" s="424"/>
      <c r="M48" s="194"/>
    </row>
    <row r="49" spans="1:17" s="425" customFormat="1" x14ac:dyDescent="0.25">
      <c r="A49" s="260"/>
      <c r="B49" s="293"/>
      <c r="C49" s="293"/>
      <c r="D49" s="293"/>
      <c r="E49" s="293"/>
      <c r="F49" s="331"/>
      <c r="G49" s="194"/>
      <c r="H49" s="194"/>
      <c r="I49" s="424"/>
      <c r="J49" s="424"/>
      <c r="K49" s="424"/>
      <c r="L49" s="424"/>
      <c r="M49" s="194"/>
    </row>
    <row r="50" spans="1:17" x14ac:dyDescent="0.25">
      <c r="B50" s="297"/>
      <c r="C50" s="297"/>
      <c r="D50" s="297"/>
      <c r="E50" s="297"/>
      <c r="F50" s="335"/>
    </row>
    <row r="51" spans="1:17" x14ac:dyDescent="0.25">
      <c r="B51" s="297"/>
      <c r="C51" s="297"/>
      <c r="D51" s="297"/>
      <c r="E51" s="297"/>
      <c r="F51" s="335"/>
    </row>
    <row r="52" spans="1:17" x14ac:dyDescent="0.25">
      <c r="B52" s="298">
        <f t="shared" ref="B52:L52" si="9">+B1</f>
        <v>2021</v>
      </c>
      <c r="C52" s="298">
        <f t="shared" si="9"/>
        <v>2022</v>
      </c>
      <c r="D52" s="298">
        <f t="shared" si="9"/>
        <v>2023</v>
      </c>
      <c r="E52" s="298">
        <f t="shared" si="9"/>
        <v>2024</v>
      </c>
      <c r="F52" s="324">
        <f t="shared" si="9"/>
        <v>45901</v>
      </c>
      <c r="G52" s="264">
        <f t="shared" si="9"/>
        <v>2025</v>
      </c>
      <c r="H52" s="264">
        <f t="shared" si="9"/>
        <v>2026</v>
      </c>
      <c r="I52" s="264">
        <f t="shared" si="9"/>
        <v>2027</v>
      </c>
      <c r="J52" s="264">
        <f t="shared" si="9"/>
        <v>2028</v>
      </c>
      <c r="K52" s="264">
        <f t="shared" si="9"/>
        <v>2029</v>
      </c>
      <c r="L52" s="264">
        <f t="shared" si="9"/>
        <v>2030</v>
      </c>
    </row>
    <row r="53" spans="1:17" ht="22.8" x14ac:dyDescent="0.4">
      <c r="A53" s="352" t="s">
        <v>34</v>
      </c>
      <c r="B53" s="299"/>
      <c r="C53" s="299"/>
      <c r="D53" s="299"/>
      <c r="E53" s="299"/>
      <c r="F53" s="336"/>
      <c r="G53" s="254"/>
      <c r="H53" s="254"/>
      <c r="I53" s="254"/>
      <c r="J53" s="254"/>
      <c r="K53" s="254"/>
      <c r="L53" s="254"/>
    </row>
    <row r="54" spans="1:17" x14ac:dyDescent="0.25">
      <c r="A54" s="265" t="s">
        <v>501</v>
      </c>
      <c r="B54" s="300"/>
      <c r="C54" s="300"/>
      <c r="D54" s="300"/>
      <c r="E54" s="300"/>
      <c r="F54" s="337"/>
      <c r="G54" s="256"/>
      <c r="H54" s="256"/>
      <c r="I54" s="256"/>
      <c r="J54" s="256"/>
      <c r="K54" s="256"/>
      <c r="L54" s="256"/>
    </row>
    <row r="55" spans="1:17" x14ac:dyDescent="0.25">
      <c r="A55" s="192"/>
      <c r="B55" s="297"/>
      <c r="C55" s="297"/>
      <c r="D55" s="297"/>
      <c r="E55" s="297"/>
      <c r="F55" s="335"/>
    </row>
    <row r="56" spans="1:17" x14ac:dyDescent="0.25">
      <c r="A56" s="194" t="s">
        <v>3</v>
      </c>
      <c r="B56" s="301">
        <f>+HLOOKUP(B$52,'EEFF proyectados'!$A$1:$ZN$15,ROWS('Control y Supuestos'!B$52:B56),FALSE)</f>
        <v>352150986.33999997</v>
      </c>
      <c r="C56" s="301">
        <f>+HLOOKUP(C$52,'EEFF proyectados'!$A$1:$ZN$15,ROWS('Control y Supuestos'!C$52:C56),FALSE)</f>
        <v>418155960.5399999</v>
      </c>
      <c r="D56" s="301">
        <f>+HLOOKUP(D$52,'EEFF proyectados'!$A$1:$ZN$15,ROWS('Control y Supuestos'!D$52:D56),FALSE)</f>
        <v>437764618.10999995</v>
      </c>
      <c r="E56" s="301">
        <f>+HLOOKUP(E$52,'EEFF proyectados'!$A$1:$ZN$15,ROWS('Control y Supuestos'!E$52:E56),FALSE)</f>
        <v>432122176.53999996</v>
      </c>
      <c r="F56" s="338">
        <f>+SUM('EEFF proyectados'!BO5:BT5)</f>
        <v>250381868.81</v>
      </c>
      <c r="G56" s="266">
        <f>+HLOOKUP(G$52,'EEFF proyectados'!$A$1:$ZN$15,ROWS('Control y Supuestos'!G$52:G56),FALSE)</f>
        <v>506368825.25848955</v>
      </c>
      <c r="H56" s="266">
        <f>+HLOOKUP(H$52,'EEFF proyectados'!$A$1:$ZN$15,ROWS('Control y Supuestos'!H$52:H56),FALSE)</f>
        <v>665811920.76266658</v>
      </c>
      <c r="I56" s="266">
        <f>+HLOOKUP(I$52,'EEFF proyectados'!$A$1:$ZN$15,ROWS('Control y Supuestos'!I$52:I56),FALSE)</f>
        <v>665811920.76266658</v>
      </c>
      <c r="J56" s="266">
        <f>+HLOOKUP(J$52,'EEFF proyectados'!$A$1:$ZN$15,ROWS('Control y Supuestos'!J$52:J56),FALSE)</f>
        <v>665811920.76266658</v>
      </c>
      <c r="K56" s="266">
        <f>+HLOOKUP(K$52,'EEFF proyectados'!$A$1:$ZN$15,ROWS('Control y Supuestos'!K$52:K56),FALSE)</f>
        <v>665811920.76266658</v>
      </c>
      <c r="L56" s="266">
        <f>+HLOOKUP(L$52,'EEFF proyectados'!$A$1:$ZN$15,ROWS('Control y Supuestos'!L$52:L56),FALSE)</f>
        <v>665811920.76266658</v>
      </c>
    </row>
    <row r="57" spans="1:17" x14ac:dyDescent="0.25">
      <c r="A57" s="194" t="s">
        <v>7</v>
      </c>
      <c r="B57" s="301">
        <f>+HLOOKUP(B$52,'EEFF proyectados'!$A$1:$ZN$15,ROWS('Control y Supuestos'!B$52:B57),FALSE)</f>
        <v>-250254110.23000002</v>
      </c>
      <c r="C57" s="301">
        <f>+HLOOKUP(C$52,'EEFF proyectados'!$A$1:$ZN$15,ROWS('Control y Supuestos'!C$52:C57),FALSE)</f>
        <v>-313651785.09999996</v>
      </c>
      <c r="D57" s="301">
        <f>+HLOOKUP(D$52,'EEFF proyectados'!$A$1:$ZN$15,ROWS('Control y Supuestos'!D$52:D57),FALSE)</f>
        <v>-327021799.63</v>
      </c>
      <c r="E57" s="301">
        <f>+HLOOKUP(E$52,'EEFF proyectados'!$A$1:$ZN$15,ROWS('Control y Supuestos'!E$52:E57),FALSE)</f>
        <v>-345342219.25999999</v>
      </c>
      <c r="F57" s="338">
        <f>+SUM('EEFF proyectados'!BO6:BT6)</f>
        <v>-158259835.24000001</v>
      </c>
      <c r="G57" s="266">
        <f>+HLOOKUP(G$52,'EEFF proyectados'!$A$1:$ZN$15,ROWS('Control y Supuestos'!G$52:G57),FALSE)</f>
        <v>-364177888.58116472</v>
      </c>
      <c r="H57" s="266">
        <f>+HLOOKUP(H$52,'EEFF proyectados'!$A$1:$ZN$15,ROWS('Control y Supuestos'!H$52:H57),FALSE)</f>
        <v>-478848553.46641898</v>
      </c>
      <c r="I57" s="266">
        <f>+HLOOKUP(I$52,'EEFF proyectados'!$A$1:$ZN$15,ROWS('Control y Supuestos'!I$52:I57),FALSE)</f>
        <v>-478848553.46641898</v>
      </c>
      <c r="J57" s="266">
        <f>+HLOOKUP(J$52,'EEFF proyectados'!$A$1:$ZN$15,ROWS('Control y Supuestos'!J$52:J57),FALSE)</f>
        <v>-478848553.46641898</v>
      </c>
      <c r="K57" s="266">
        <f>+HLOOKUP(K$52,'EEFF proyectados'!$A$1:$ZN$15,ROWS('Control y Supuestos'!K$52:K57),FALSE)</f>
        <v>-478848553.46641898</v>
      </c>
      <c r="L57" s="266">
        <f>+HLOOKUP(L$52,'EEFF proyectados'!$A$1:$ZN$15,ROWS('Control y Supuestos'!L$52:L57),FALSE)</f>
        <v>-478848553.46641898</v>
      </c>
    </row>
    <row r="58" spans="1:17" x14ac:dyDescent="0.25">
      <c r="A58" s="197" t="s">
        <v>22</v>
      </c>
      <c r="B58" s="302">
        <f>+HLOOKUP(B$52,'EEFF proyectados'!$A$1:$ZN$15,ROWS('Control y Supuestos'!B$52:B58),FALSE)</f>
        <v>101896876.10999997</v>
      </c>
      <c r="C58" s="302">
        <f>+HLOOKUP(C$52,'EEFF proyectados'!$A$1:$ZN$15,ROWS('Control y Supuestos'!C$52:C58),FALSE)</f>
        <v>104504175.43999985</v>
      </c>
      <c r="D58" s="302">
        <f>+HLOOKUP(D$52,'EEFF proyectados'!$A$1:$ZN$15,ROWS('Control y Supuestos'!D$52:D58),FALSE)</f>
        <v>110742818.48000002</v>
      </c>
      <c r="E58" s="302">
        <f>+HLOOKUP(E$52,'EEFF proyectados'!$A$1:$ZN$15,ROWS('Control y Supuestos'!E$52:E58),FALSE)</f>
        <v>86779957.279999986</v>
      </c>
      <c r="F58" s="339">
        <f>+SUM('EEFF proyectados'!BO7:BT7)</f>
        <v>92122033.569999993</v>
      </c>
      <c r="G58" s="267">
        <f>+HLOOKUP(G$52,'EEFF proyectados'!$A$1:$ZN$15,ROWS('Control y Supuestos'!G$52:G58),FALSE)</f>
        <v>142190936.67732489</v>
      </c>
      <c r="H58" s="267">
        <f>+HLOOKUP(H$52,'EEFF proyectados'!$A$1:$ZN$15,ROWS('Control y Supuestos'!H$52:H58),FALSE)</f>
        <v>186963367.29624757</v>
      </c>
      <c r="I58" s="267">
        <f>+HLOOKUP(I$52,'EEFF proyectados'!$A$1:$ZN$15,ROWS('Control y Supuestos'!I$52:I58),FALSE)</f>
        <v>186963367.29624757</v>
      </c>
      <c r="J58" s="267">
        <f>+HLOOKUP(J$52,'EEFF proyectados'!$A$1:$ZN$15,ROWS('Control y Supuestos'!J$52:J58),FALSE)</f>
        <v>186963367.29624757</v>
      </c>
      <c r="K58" s="267">
        <f>+HLOOKUP(K$52,'EEFF proyectados'!$A$1:$ZN$15,ROWS('Control y Supuestos'!K$52:K58),FALSE)</f>
        <v>186963367.29624757</v>
      </c>
      <c r="L58" s="267">
        <f>+HLOOKUP(L$52,'EEFF proyectados'!$A$1:$ZN$15,ROWS('Control y Supuestos'!L$52:L58),FALSE)</f>
        <v>186963367.29624757</v>
      </c>
      <c r="N58" s="211"/>
      <c r="O58" s="211"/>
    </row>
    <row r="59" spans="1:17" x14ac:dyDescent="0.25">
      <c r="A59" s="194" t="s">
        <v>9</v>
      </c>
      <c r="B59" s="301">
        <f>+HLOOKUP(B$52,'EEFF proyectados'!$A$1:$ZN$15,ROWS('Control y Supuestos'!B$52:B59),FALSE)</f>
        <v>-12590312.020000001</v>
      </c>
      <c r="C59" s="301">
        <f>+HLOOKUP(C$52,'EEFF proyectados'!$A$1:$ZN$15,ROWS('Control y Supuestos'!C$52:C59),FALSE)</f>
        <v>-11344212.600000001</v>
      </c>
      <c r="D59" s="301">
        <f>+HLOOKUP(D$52,'EEFF proyectados'!$A$1:$ZN$15,ROWS('Control y Supuestos'!D$52:D59),FALSE)</f>
        <v>-11611717.859999999</v>
      </c>
      <c r="E59" s="301">
        <f>+HLOOKUP(E$52,'EEFF proyectados'!$A$1:$ZN$15,ROWS('Control y Supuestos'!E$52:E59),FALSE)</f>
        <v>-10662014.379999997</v>
      </c>
      <c r="F59" s="338">
        <f>+SUM('EEFF proyectados'!BO8:BT8)</f>
        <v>-6260282.6800000006</v>
      </c>
      <c r="G59" s="266">
        <f>+HLOOKUP(G$52,'EEFF proyectados'!$A$1:$ZN$15,ROWS('Control y Supuestos'!G$52:G59),FALSE)</f>
        <v>-12130239.799915362</v>
      </c>
      <c r="H59" s="266">
        <f>+HLOOKUP(H$52,'EEFF proyectados'!$A$1:$ZN$15,ROWS('Control y Supuestos'!H$52:H59),FALSE)</f>
        <v>-16645298.019066669</v>
      </c>
      <c r="I59" s="266">
        <f>+HLOOKUP(I$52,'EEFF proyectados'!$A$1:$ZN$15,ROWS('Control y Supuestos'!I$52:I59),FALSE)</f>
        <v>-16645298.019066669</v>
      </c>
      <c r="J59" s="266">
        <f>+HLOOKUP(J$52,'EEFF proyectados'!$A$1:$ZN$15,ROWS('Control y Supuestos'!J$52:J59),FALSE)</f>
        <v>-16645298.019066669</v>
      </c>
      <c r="K59" s="266">
        <f>+HLOOKUP(K$52,'EEFF proyectados'!$A$1:$ZN$15,ROWS('Control y Supuestos'!K$52:K59),FALSE)</f>
        <v>-16645298.019066669</v>
      </c>
      <c r="L59" s="266">
        <f>+HLOOKUP(L$52,'EEFF proyectados'!$A$1:$ZN$15,ROWS('Control y Supuestos'!L$52:L59),FALSE)</f>
        <v>-16645298.019066669</v>
      </c>
      <c r="N59" s="211"/>
      <c r="O59" s="211"/>
      <c r="P59" s="199"/>
      <c r="Q59" s="211"/>
    </row>
    <row r="60" spans="1:17" x14ac:dyDescent="0.25">
      <c r="A60" s="194" t="s">
        <v>11</v>
      </c>
      <c r="B60" s="301">
        <f>+HLOOKUP(B$52,'EEFF proyectados'!$A$1:$ZN$15,ROWS('Control y Supuestos'!B$52:B60),FALSE)</f>
        <v>-48700369.569999985</v>
      </c>
      <c r="C60" s="301">
        <f>+HLOOKUP(C$52,'EEFF proyectados'!$A$1:$ZN$15,ROWS('Control y Supuestos'!C$52:C60),FALSE)</f>
        <v>-56422179.01000002</v>
      </c>
      <c r="D60" s="301">
        <f>+HLOOKUP(D$52,'EEFF proyectados'!$A$1:$ZN$15,ROWS('Control y Supuestos'!D$52:D60),FALSE)</f>
        <v>-66257970</v>
      </c>
      <c r="E60" s="301">
        <f>+HLOOKUP(E$52,'EEFF proyectados'!$A$1:$ZN$15,ROWS('Control y Supuestos'!E$52:E60),FALSE)</f>
        <v>-49143299.530000001</v>
      </c>
      <c r="F60" s="338">
        <f>+SUM('EEFF proyectados'!BO9:BT9)</f>
        <v>-12545808.59</v>
      </c>
      <c r="G60" s="266">
        <f>+HLOOKUP(G$52,'EEFF proyectados'!$A$1:$ZN$15,ROWS('Control y Supuestos'!G$52:G60),FALSE)</f>
        <v>-34786994.580887035</v>
      </c>
      <c r="H60" s="266">
        <f>+HLOOKUP(H$52,'EEFF proyectados'!$A$1:$ZN$15,ROWS('Control y Supuestos'!H$52:H60),FALSE)</f>
        <v>-45740564.039734118</v>
      </c>
      <c r="I60" s="266">
        <f>+HLOOKUP(I$52,'EEFF proyectados'!$A$1:$ZN$15,ROWS('Control y Supuestos'!I$52:I60),FALSE)</f>
        <v>-45740564.039734118</v>
      </c>
      <c r="J60" s="266">
        <f>+HLOOKUP(J$52,'EEFF proyectados'!$A$1:$ZN$15,ROWS('Control y Supuestos'!J$52:J60),FALSE)</f>
        <v>-45740564.039734118</v>
      </c>
      <c r="K60" s="266">
        <f>+HLOOKUP(K$52,'EEFF proyectados'!$A$1:$ZN$15,ROWS('Control y Supuestos'!K$52:K60),FALSE)</f>
        <v>-45740564.039734118</v>
      </c>
      <c r="L60" s="266">
        <f>+HLOOKUP(L$52,'EEFF proyectados'!$A$1:$ZN$15,ROWS('Control y Supuestos'!L$52:L60),FALSE)</f>
        <v>-45740564.039734118</v>
      </c>
      <c r="P60" s="199"/>
    </row>
    <row r="61" spans="1:17" x14ac:dyDescent="0.25">
      <c r="A61" s="194" t="s">
        <v>252</v>
      </c>
      <c r="B61" s="301">
        <f>+HLOOKUP(B$52,'EEFF proyectados'!$A$1:$ZN$15,ROWS('Control y Supuestos'!B$52:B61),FALSE)</f>
        <v>-3493797.0499999993</v>
      </c>
      <c r="C61" s="301">
        <f>+HLOOKUP(C$52,'EEFF proyectados'!$A$1:$ZN$15,ROWS('Control y Supuestos'!C$52:C61),FALSE)</f>
        <v>-3807824.6199999936</v>
      </c>
      <c r="D61" s="301">
        <f>+HLOOKUP(D$52,'EEFF proyectados'!$A$1:$ZN$15,ROWS('Control y Supuestos'!D$52:D61),FALSE)</f>
        <v>5774871.6500000004</v>
      </c>
      <c r="E61" s="301">
        <f>+HLOOKUP(E$52,'EEFF proyectados'!$A$1:$ZN$15,ROWS('Control y Supuestos'!E$52:E61),FALSE)</f>
        <v>-2610381.6500000013</v>
      </c>
      <c r="F61" s="338">
        <f>+SUM('EEFF proyectados'!BO10:BT10)</f>
        <v>-12738519.5</v>
      </c>
      <c r="G61" s="266">
        <f>+HLOOKUP(G$52,'EEFF proyectados'!$A$1:$ZN$15,ROWS('Control y Supuestos'!G$52:G61),FALSE)</f>
        <v>-12738519.5</v>
      </c>
      <c r="H61" s="266">
        <f>+HLOOKUP(H$52,'EEFF proyectados'!$A$1:$ZN$15,ROWS('Control y Supuestos'!H$52:H61),FALSE)</f>
        <v>-13316238.415253336</v>
      </c>
      <c r="I61" s="266">
        <f>+HLOOKUP(I$52,'EEFF proyectados'!$A$1:$ZN$15,ROWS('Control y Supuestos'!I$52:I61),FALSE)</f>
        <v>-13316238.415253336</v>
      </c>
      <c r="J61" s="266">
        <f>+HLOOKUP(J$52,'EEFF proyectados'!$A$1:$ZN$15,ROWS('Control y Supuestos'!J$52:J61),FALSE)</f>
        <v>-13316238.415253336</v>
      </c>
      <c r="K61" s="266">
        <f>+HLOOKUP(K$52,'EEFF proyectados'!$A$1:$ZN$15,ROWS('Control y Supuestos'!K$52:K61),FALSE)</f>
        <v>-13316238.415253336</v>
      </c>
      <c r="L61" s="266">
        <f>+HLOOKUP(L$52,'EEFF proyectados'!$A$1:$ZN$15,ROWS('Control y Supuestos'!L$52:L61),FALSE)</f>
        <v>-13316238.415253336</v>
      </c>
    </row>
    <row r="62" spans="1:17" x14ac:dyDescent="0.25">
      <c r="A62" s="197" t="s">
        <v>29</v>
      </c>
      <c r="B62" s="302">
        <f>+HLOOKUP(B$52,'EEFF proyectados'!$A$1:$ZN$15,ROWS('Control y Supuestos'!B$52:B62),FALSE)</f>
        <v>37112397.469999976</v>
      </c>
      <c r="C62" s="302">
        <f>+HLOOKUP(C$52,'EEFF proyectados'!$A$1:$ZN$15,ROWS('Control y Supuestos'!C$52:C62),FALSE)</f>
        <v>32929959.209999837</v>
      </c>
      <c r="D62" s="302">
        <f>+HLOOKUP(D$52,'EEFF proyectados'!$A$1:$ZN$15,ROWS('Control y Supuestos'!D$52:D62),FALSE)</f>
        <v>38648002.269999996</v>
      </c>
      <c r="E62" s="302">
        <f>+HLOOKUP(E$52,'EEFF proyectados'!$A$1:$ZN$15,ROWS('Control y Supuestos'!E$52:E62),FALSE)</f>
        <v>24364261.719999995</v>
      </c>
      <c r="F62" s="339">
        <f>+SUM('EEFF proyectados'!BO11:BT11)</f>
        <v>60577422.800000004</v>
      </c>
      <c r="G62" s="267">
        <f>+HLOOKUP(G$52,'EEFF proyectados'!$A$1:$ZN$15,ROWS('Control y Supuestos'!G$52:G62),FALSE)</f>
        <v>82535182.796522483</v>
      </c>
      <c r="H62" s="267">
        <f>+HLOOKUP(H$52,'EEFF proyectados'!$A$1:$ZN$15,ROWS('Control y Supuestos'!H$52:H62),FALSE)</f>
        <v>111261266.82219337</v>
      </c>
      <c r="I62" s="267">
        <f>+HLOOKUP(I$52,'EEFF proyectados'!$A$1:$ZN$15,ROWS('Control y Supuestos'!I$52:I62),FALSE)</f>
        <v>111261266.82219337</v>
      </c>
      <c r="J62" s="267">
        <f>+HLOOKUP(J$52,'EEFF proyectados'!$A$1:$ZN$15,ROWS('Control y Supuestos'!J$52:J62),FALSE)</f>
        <v>111261266.82219337</v>
      </c>
      <c r="K62" s="267">
        <f>+HLOOKUP(K$52,'EEFF proyectados'!$A$1:$ZN$15,ROWS('Control y Supuestos'!K$52:K62),FALSE)</f>
        <v>111261266.82219337</v>
      </c>
      <c r="L62" s="267">
        <f>+HLOOKUP(L$52,'EEFF proyectados'!$A$1:$ZN$15,ROWS('Control y Supuestos'!L$52:L62),FALSE)</f>
        <v>111261266.82219337</v>
      </c>
    </row>
    <row r="63" spans="1:17" x14ac:dyDescent="0.25">
      <c r="A63" s="194" t="s">
        <v>13</v>
      </c>
      <c r="B63" s="301">
        <f>+HLOOKUP(B$52,'EEFF proyectados'!$A$1:$ZN$15,ROWS('Control y Supuestos'!B$52:B63),FALSE)</f>
        <v>-17950957.029999997</v>
      </c>
      <c r="C63" s="301">
        <f>+HLOOKUP(C$52,'EEFF proyectados'!$A$1:$ZN$15,ROWS('Control y Supuestos'!C$52:C63),FALSE)</f>
        <v>-17071404.710000001</v>
      </c>
      <c r="D63" s="301">
        <f>+HLOOKUP(D$52,'EEFF proyectados'!$A$1:$ZN$15,ROWS('Control y Supuestos'!D$52:D63),FALSE)</f>
        <v>-18126967.969999999</v>
      </c>
      <c r="E63" s="301">
        <f>+HLOOKUP(E$52,'EEFF proyectados'!$A$1:$ZN$15,ROWS('Control y Supuestos'!E$52:E63),FALSE)</f>
        <v>-18495852.939999998</v>
      </c>
      <c r="F63" s="338">
        <f>+SUM('EEFF proyectados'!BO12:BT12)</f>
        <v>-6908392.1200000001</v>
      </c>
      <c r="G63" s="266">
        <f>+HLOOKUP(G$52,'EEFF proyectados'!$A$1:$ZN$15,ROWS('Control y Supuestos'!G$52:G63),FALSE)</f>
        <v>-14730767.332785394</v>
      </c>
      <c r="H63" s="266">
        <f>+HLOOKUP(H$52,'EEFF proyectados'!$A$1:$ZN$15,ROWS('Control y Supuestos'!H$52:H63),FALSE)</f>
        <v>-13361947.388950888</v>
      </c>
      <c r="I63" s="266">
        <f>+HLOOKUP(I$52,'EEFF proyectados'!$A$1:$ZN$15,ROWS('Control y Supuestos'!I$52:I63),FALSE)</f>
        <v>-10015477.2617011</v>
      </c>
      <c r="J63" s="266">
        <f>+HLOOKUP(J$52,'EEFF proyectados'!$A$1:$ZN$15,ROWS('Control y Supuestos'!J$52:J63),FALSE)</f>
        <v>-7201817.4220498949</v>
      </c>
      <c r="K63" s="266">
        <f>+HLOOKUP(K$52,'EEFF proyectados'!$A$1:$ZN$15,ROWS('Control y Supuestos'!K$52:K63),FALSE)</f>
        <v>-4625284.1236465694</v>
      </c>
      <c r="L63" s="266">
        <f>+HLOOKUP(L$52,'EEFF proyectados'!$A$1:$ZN$15,ROWS('Control y Supuestos'!L$52:L63),FALSE)</f>
        <v>-2353267.3104510382</v>
      </c>
    </row>
    <row r="64" spans="1:17" x14ac:dyDescent="0.25">
      <c r="A64" s="197" t="s">
        <v>30</v>
      </c>
      <c r="B64" s="302">
        <f>+HLOOKUP(B$52,'EEFF proyectados'!$A$1:$ZN$15,ROWS('Control y Supuestos'!B$52:B64),FALSE)</f>
        <v>19161440.439999979</v>
      </c>
      <c r="C64" s="302">
        <f>+HLOOKUP(C$52,'EEFF proyectados'!$A$1:$ZN$15,ROWS('Control y Supuestos'!C$52:C64),FALSE)</f>
        <v>15858554.499999832</v>
      </c>
      <c r="D64" s="302">
        <f>+HLOOKUP(D$52,'EEFF proyectados'!$A$1:$ZN$15,ROWS('Control y Supuestos'!D$52:D64),FALSE)</f>
        <v>20521034.299999997</v>
      </c>
      <c r="E64" s="302">
        <f>+HLOOKUP(E$52,'EEFF proyectados'!$A$1:$ZN$15,ROWS('Control y Supuestos'!E$52:E64),FALSE)</f>
        <v>5868408.7799999928</v>
      </c>
      <c r="F64" s="339">
        <f>+SUM('EEFF proyectados'!BO13:BT13)</f>
        <v>53669030.679999992</v>
      </c>
      <c r="G64" s="267">
        <f>+HLOOKUP(G$52,'EEFF proyectados'!$A$1:$ZN$15,ROWS('Control y Supuestos'!G$52:G64),FALSE)</f>
        <v>67804415.463737071</v>
      </c>
      <c r="H64" s="267">
        <f>+HLOOKUP(H$52,'EEFF proyectados'!$A$1:$ZN$15,ROWS('Control y Supuestos'!H$52:H64),FALSE)</f>
        <v>97899319.4332425</v>
      </c>
      <c r="I64" s="267">
        <f>+HLOOKUP(I$52,'EEFF proyectados'!$A$1:$ZN$15,ROWS('Control y Supuestos'!I$52:I64),FALSE)</f>
        <v>101245789.56049228</v>
      </c>
      <c r="J64" s="267">
        <f>+HLOOKUP(J$52,'EEFF proyectados'!$A$1:$ZN$15,ROWS('Control y Supuestos'!J$52:J64),FALSE)</f>
        <v>104059449.40014352</v>
      </c>
      <c r="K64" s="267">
        <f>+HLOOKUP(K$52,'EEFF proyectados'!$A$1:$ZN$15,ROWS('Control y Supuestos'!K$52:K64),FALSE)</f>
        <v>106635982.69854683</v>
      </c>
      <c r="L64" s="267">
        <f>+HLOOKUP(L$52,'EEFF proyectados'!$A$1:$ZN$15,ROWS('Control y Supuestos'!L$52:L64),FALSE)</f>
        <v>108907999.51174235</v>
      </c>
    </row>
    <row r="65" spans="1:13" x14ac:dyDescent="0.25">
      <c r="A65" s="194" t="s">
        <v>15</v>
      </c>
      <c r="B65" s="301">
        <f>+HLOOKUP(B$52,'EEFF proyectados'!$A$1:$ZN$15,ROWS('Control y Supuestos'!B$52:B65),FALSE)</f>
        <v>-15827642.660000002</v>
      </c>
      <c r="C65" s="301">
        <f>+HLOOKUP(C$52,'EEFF proyectados'!$A$1:$ZN$15,ROWS('Control y Supuestos'!C$52:C65),FALSE)</f>
        <v>-18961127.559999999</v>
      </c>
      <c r="D65" s="301">
        <f>+HLOOKUP(D$52,'EEFF proyectados'!$A$1:$ZN$15,ROWS('Control y Supuestos'!D$52:D65),FALSE)</f>
        <v>-19571127.550000001</v>
      </c>
      <c r="E65" s="301">
        <f>+HLOOKUP(E$52,'EEFF proyectados'!$A$1:$ZN$15,ROWS('Control y Supuestos'!E$52:E65),FALSE)</f>
        <v>-18870635.84</v>
      </c>
      <c r="F65" s="338">
        <f>+SUM('EEFF proyectados'!BO14:BT14)</f>
        <v>-10934387.539999999</v>
      </c>
      <c r="G65" s="266">
        <f>+HLOOKUP(G$52,'EEFF proyectados'!$A$1:$ZN$15,ROWS('Control y Supuestos'!G$52:G65),FALSE)</f>
        <v>-20009916.922021665</v>
      </c>
      <c r="H65" s="266">
        <f>+HLOOKUP(H$52,'EEFF proyectados'!$A$1:$ZN$15,ROWS('Control y Supuestos'!H$52:H65),FALSE)</f>
        <v>-26310547.876543608</v>
      </c>
      <c r="I65" s="266">
        <f>+HLOOKUP(I$52,'EEFF proyectados'!$A$1:$ZN$15,ROWS('Control y Supuestos'!I$52:I65),FALSE)</f>
        <v>-26310547.876543608</v>
      </c>
      <c r="J65" s="266">
        <f>+HLOOKUP(J$52,'EEFF proyectados'!$A$1:$ZN$15,ROWS('Control y Supuestos'!J$52:J65),FALSE)</f>
        <v>-26310547.876543608</v>
      </c>
      <c r="K65" s="266">
        <f>+HLOOKUP(K$52,'EEFF proyectados'!$A$1:$ZN$15,ROWS('Control y Supuestos'!K$52:K65),FALSE)</f>
        <v>-26310547.876543608</v>
      </c>
      <c r="L65" s="266">
        <f>+HLOOKUP(L$52,'EEFF proyectados'!$A$1:$ZN$15,ROWS('Control y Supuestos'!L$52:L65),FALSE)</f>
        <v>-26310547.876543608</v>
      </c>
    </row>
    <row r="66" spans="1:13" x14ac:dyDescent="0.25">
      <c r="A66" s="197" t="s">
        <v>31</v>
      </c>
      <c r="B66" s="302">
        <f>+HLOOKUP(B$52,'EEFF proyectados'!$A$1:$ZN$15,ROWS('Control y Supuestos'!B$52:B66),FALSE)</f>
        <v>3333797.7799999844</v>
      </c>
      <c r="C66" s="302">
        <f>+HLOOKUP(C$52,'EEFF proyectados'!$A$1:$ZN$15,ROWS('Control y Supuestos'!C$52:C66),FALSE)</f>
        <v>-3102573.0600001663</v>
      </c>
      <c r="D66" s="302">
        <f>+HLOOKUP(D$52,'EEFF proyectados'!$A$1:$ZN$15,ROWS('Control y Supuestos'!D$52:D66),FALSE)</f>
        <v>949906.74999999977</v>
      </c>
      <c r="E66" s="302">
        <f>+HLOOKUP(E$52,'EEFF proyectados'!$A$1:$ZN$15,ROWS('Control y Supuestos'!E$52:E66),FALSE)</f>
        <v>-13002227.060000004</v>
      </c>
      <c r="F66" s="339">
        <f>+SUM('EEFF proyectados'!BO15:BT15)</f>
        <v>42734643.139999993</v>
      </c>
      <c r="G66" s="267">
        <f>+HLOOKUP(G$52,'EEFF proyectados'!$A$1:$ZN$15,ROWS('Control y Supuestos'!G$52:G66),FALSE)</f>
        <v>47794498.541715413</v>
      </c>
      <c r="H66" s="267">
        <f>+HLOOKUP(H$52,'EEFF proyectados'!$A$1:$ZN$15,ROWS('Control y Supuestos'!H$52:H66),FALSE)</f>
        <v>71588771.556698903</v>
      </c>
      <c r="I66" s="267">
        <f>+HLOOKUP(I$52,'EEFF proyectados'!$A$1:$ZN$15,ROWS('Control y Supuestos'!I$52:I66),FALSE)</f>
        <v>74935241.683948696</v>
      </c>
      <c r="J66" s="267">
        <f>+HLOOKUP(J$52,'EEFF proyectados'!$A$1:$ZN$15,ROWS('Control y Supuestos'!J$52:J66),FALSE)</f>
        <v>77748901.523599908</v>
      </c>
      <c r="K66" s="267">
        <f>+HLOOKUP(K$52,'EEFF proyectados'!$A$1:$ZN$15,ROWS('Control y Supuestos'!K$52:K66),FALSE)</f>
        <v>80325434.822003216</v>
      </c>
      <c r="L66" s="267">
        <f>+HLOOKUP(L$52,'EEFF proyectados'!$A$1:$ZN$15,ROWS('Control y Supuestos'!L$52:L66),FALSE)</f>
        <v>82597451.635198742</v>
      </c>
    </row>
    <row r="68" spans="1:13" x14ac:dyDescent="0.25">
      <c r="G68" s="399"/>
      <c r="H68" s="399"/>
    </row>
    <row r="69" spans="1:13" s="215" customFormat="1" x14ac:dyDescent="0.25">
      <c r="B69" s="304">
        <f t="shared" ref="B69:L69" si="10">+B1</f>
        <v>2021</v>
      </c>
      <c r="C69" s="304">
        <f t="shared" si="10"/>
        <v>2022</v>
      </c>
      <c r="D69" s="304">
        <f t="shared" si="10"/>
        <v>2023</v>
      </c>
      <c r="E69" s="304">
        <f t="shared" si="10"/>
        <v>2024</v>
      </c>
      <c r="F69" s="324">
        <f t="shared" si="10"/>
        <v>45901</v>
      </c>
      <c r="G69" s="268">
        <f t="shared" si="10"/>
        <v>2025</v>
      </c>
      <c r="H69" s="268">
        <f t="shared" si="10"/>
        <v>2026</v>
      </c>
      <c r="I69" s="268">
        <f t="shared" si="10"/>
        <v>2027</v>
      </c>
      <c r="J69" s="268">
        <f t="shared" si="10"/>
        <v>2028</v>
      </c>
      <c r="K69" s="268">
        <f t="shared" si="10"/>
        <v>2029</v>
      </c>
      <c r="L69" s="268">
        <f t="shared" si="10"/>
        <v>2030</v>
      </c>
      <c r="M69" s="194"/>
    </row>
    <row r="70" spans="1:13" s="215" customFormat="1" ht="22.8" x14ac:dyDescent="0.4">
      <c r="A70" s="351" t="s">
        <v>86</v>
      </c>
      <c r="B70" s="303"/>
      <c r="C70" s="303"/>
      <c r="D70" s="303"/>
      <c r="E70" s="303"/>
      <c r="F70" s="348"/>
      <c r="M70" s="194"/>
    </row>
    <row r="71" spans="1:13" s="215" customFormat="1" x14ac:dyDescent="0.25">
      <c r="A71" s="233" t="s">
        <v>500</v>
      </c>
      <c r="B71" s="303"/>
      <c r="C71" s="303"/>
      <c r="D71" s="303"/>
      <c r="E71" s="303"/>
      <c r="F71" s="348"/>
      <c r="M71" s="194"/>
    </row>
    <row r="72" spans="1:13" s="215" customFormat="1" x14ac:dyDescent="0.25">
      <c r="B72" s="303"/>
      <c r="C72" s="303"/>
      <c r="D72" s="303"/>
      <c r="E72" s="303"/>
      <c r="F72" s="348"/>
      <c r="M72" s="194"/>
    </row>
    <row r="73" spans="1:13" x14ac:dyDescent="0.25">
      <c r="A73" s="199" t="s">
        <v>37</v>
      </c>
      <c r="F73" s="348"/>
    </row>
    <row r="74" spans="1:13" x14ac:dyDescent="0.25">
      <c r="A74" s="199" t="s">
        <v>254</v>
      </c>
      <c r="F74" s="348"/>
    </row>
    <row r="75" spans="1:13" x14ac:dyDescent="0.25">
      <c r="A75" s="194" t="s">
        <v>255</v>
      </c>
      <c r="B75" s="305">
        <f>+HLOOKUP(B$69,'EEFF proyectados'!$AA$23:$ZN$63,ROWS('Control y Supuestos'!B$69:B75),FALSE)</f>
        <v>12427860.049999764</v>
      </c>
      <c r="C75" s="305">
        <f>+HLOOKUP(C$69,'EEFF proyectados'!$AA$23:$ZN$63,ROWS('Control y Supuestos'!C$69:C75),FALSE)</f>
        <v>12166376.869999437</v>
      </c>
      <c r="D75" s="305">
        <f>+HLOOKUP(D$69,'EEFF proyectados'!$AA$23:$ZN$63,ROWS('Control y Supuestos'!D$69:D75),FALSE)</f>
        <v>5632242.2300000209</v>
      </c>
      <c r="E75" s="305">
        <f>+HLOOKUP(E$69,'EEFF proyectados'!$AA$23:$ZN$63,ROWS('Control y Supuestos'!E$69:E75),FALSE)</f>
        <v>11931058.91</v>
      </c>
      <c r="F75" s="338">
        <f>+'EEFF proyectados'!BT29</f>
        <v>40497311.859999999</v>
      </c>
      <c r="G75" s="269">
        <f>+HLOOKUP(G$69,'EEFF proyectados'!$AA$23:$ZN$63,ROWS('Control y Supuestos'!G$69:G75),FALSE)</f>
        <v>126423589.66445006</v>
      </c>
      <c r="H75" s="269">
        <f>+HLOOKUP(H$69,'EEFF proyectados'!$AA$23:$ZN$63,ROWS('Control y Supuestos'!H$69:H75),FALSE)</f>
        <v>60284446.341160648</v>
      </c>
      <c r="I75" s="269">
        <f>+HLOOKUP(I$69,'EEFF proyectados'!$AA$23:$ZN$63,ROWS('Control y Supuestos'!I$69:I75),FALSE)</f>
        <v>84834626.895224348</v>
      </c>
      <c r="J75" s="269">
        <f>+HLOOKUP(J$69,'EEFF proyectados'!$AA$23:$ZN$63,ROWS('Control y Supuestos'!J$69:J75),FALSE)</f>
        <v>377120181.7419396</v>
      </c>
      <c r="K75" s="269">
        <f>+HLOOKUP(K$69,'EEFF proyectados'!$AA$23:$ZN$63,ROWS('Control y Supuestos'!K$69:K75),FALSE)</f>
        <v>436932002.77790225</v>
      </c>
      <c r="L75" s="269">
        <f>+HLOOKUP(L$69,'EEFF proyectados'!$AA$23:$ZN$63,ROWS('Control y Supuestos'!L$69:L75),FALSE)</f>
        <v>499475172.18934548</v>
      </c>
    </row>
    <row r="76" spans="1:13" x14ac:dyDescent="0.25">
      <c r="A76" s="194" t="s">
        <v>256</v>
      </c>
      <c r="B76" s="305">
        <f>+HLOOKUP(B$69,'EEFF proyectados'!$AA$23:$ZN$63,ROWS('Control y Supuestos'!B$69:B76),FALSE)</f>
        <v>36384710.129999951</v>
      </c>
      <c r="C76" s="305">
        <f>+HLOOKUP(C$69,'EEFF proyectados'!$AA$23:$ZN$63,ROWS('Control y Supuestos'!C$69:C76),FALSE)</f>
        <v>80430477.650000125</v>
      </c>
      <c r="D76" s="305">
        <f>+HLOOKUP(D$69,'EEFF proyectados'!$AA$23:$ZN$63,ROWS('Control y Supuestos'!D$69:D76),FALSE)</f>
        <v>209315786.50999999</v>
      </c>
      <c r="E76" s="305">
        <f>+HLOOKUP(E$69,'EEFF proyectados'!$AA$23:$ZN$63,ROWS('Control y Supuestos'!E$69:E76),FALSE)</f>
        <v>151740053.16999999</v>
      </c>
      <c r="F76" s="338">
        <f>+'EEFF proyectados'!BT30</f>
        <v>150538351.36000001</v>
      </c>
      <c r="G76" s="269">
        <f>+HLOOKUP(G$69,'EEFF proyectados'!$AA$23:$ZN$63,ROWS('Control y Supuestos'!G$69:G76),FALSE)</f>
        <v>138410742.56852734</v>
      </c>
      <c r="H76" s="269">
        <f>+HLOOKUP(H$69,'EEFF proyectados'!$AA$23:$ZN$63,ROWS('Control y Supuestos'!H$69:H76),FALSE)</f>
        <v>196044621.11345184</v>
      </c>
      <c r="I76" s="269">
        <f>+HLOOKUP(I$69,'EEFF proyectados'!$AA$23:$ZN$63,ROWS('Control y Supuestos'!I$69:I76),FALSE)</f>
        <v>196044621.11345184</v>
      </c>
      <c r="J76" s="269">
        <f>+HLOOKUP(J$69,'EEFF proyectados'!$AA$23:$ZN$63,ROWS('Control y Supuestos'!J$69:J76),FALSE)</f>
        <v>196044621.11345184</v>
      </c>
      <c r="K76" s="269">
        <f>+HLOOKUP(K$69,'EEFF proyectados'!$AA$23:$ZN$63,ROWS('Control y Supuestos'!K$69:K76),FALSE)</f>
        <v>196044621.11345184</v>
      </c>
      <c r="L76" s="269">
        <f>+HLOOKUP(L$69,'EEFF proyectados'!$AA$23:$ZN$63,ROWS('Control y Supuestos'!L$69:L76),FALSE)</f>
        <v>196044621.11345184</v>
      </c>
    </row>
    <row r="77" spans="1:13" x14ac:dyDescent="0.25">
      <c r="A77" s="194" t="s">
        <v>257</v>
      </c>
      <c r="B77" s="305">
        <f>+HLOOKUP(B$69,'EEFF proyectados'!$AA$23:$ZN$63,ROWS('Control y Supuestos'!B$69:B77),FALSE)</f>
        <v>84668392.529999956</v>
      </c>
      <c r="C77" s="305">
        <f>+HLOOKUP(C$69,'EEFF proyectados'!$AA$23:$ZN$63,ROWS('Control y Supuestos'!C$69:C77),FALSE)</f>
        <v>79274099.560000092</v>
      </c>
      <c r="D77" s="305">
        <f>+HLOOKUP(D$69,'EEFF proyectados'!$AA$23:$ZN$63,ROWS('Control y Supuestos'!D$69:D77),FALSE)</f>
        <v>0</v>
      </c>
      <c r="E77" s="305">
        <f>+HLOOKUP(E$69,'EEFF proyectados'!$AA$23:$ZN$63,ROWS('Control y Supuestos'!E$69:E77),FALSE)</f>
        <v>0</v>
      </c>
      <c r="F77" s="338">
        <f>+'EEFF proyectados'!BT31</f>
        <v>0</v>
      </c>
      <c r="G77" s="269">
        <f>+HLOOKUP(G$69,'EEFF proyectados'!$AA$23:$ZN$63,ROWS('Control y Supuestos'!G$69:G77),FALSE)</f>
        <v>0</v>
      </c>
      <c r="H77" s="269">
        <f>+HLOOKUP(H$69,'EEFF proyectados'!$AA$23:$ZN$63,ROWS('Control y Supuestos'!H$69:H77),FALSE)</f>
        <v>0</v>
      </c>
      <c r="I77" s="269">
        <f>+HLOOKUP(I$69,'EEFF proyectados'!$AA$23:$ZN$63,ROWS('Control y Supuestos'!I$69:I77),FALSE)</f>
        <v>0</v>
      </c>
      <c r="J77" s="269">
        <f>+HLOOKUP(J$69,'EEFF proyectados'!$AA$23:$ZN$63,ROWS('Control y Supuestos'!J$69:J77),FALSE)</f>
        <v>0</v>
      </c>
      <c r="K77" s="269">
        <f>+HLOOKUP(K$69,'EEFF proyectados'!$AA$23:$ZN$63,ROWS('Control y Supuestos'!K$69:K77),FALSE)</f>
        <v>0</v>
      </c>
      <c r="L77" s="269">
        <f>+HLOOKUP(L$69,'EEFF proyectados'!$AA$23:$ZN$63,ROWS('Control y Supuestos'!L$69:L77),FALSE)</f>
        <v>0</v>
      </c>
    </row>
    <row r="78" spans="1:13" x14ac:dyDescent="0.25">
      <c r="A78" s="194" t="s">
        <v>258</v>
      </c>
      <c r="B78" s="305">
        <f>+HLOOKUP(B$69,'EEFF proyectados'!$AA$23:$ZN$63,ROWS('Control y Supuestos'!B$69:B78),FALSE)</f>
        <v>201624164.8299996</v>
      </c>
      <c r="C78" s="305">
        <f>+HLOOKUP(C$69,'EEFF proyectados'!$AA$23:$ZN$63,ROWS('Control y Supuestos'!C$69:C78),FALSE)</f>
        <v>169286478.97000015</v>
      </c>
      <c r="D78" s="305">
        <f>+HLOOKUP(D$69,'EEFF proyectados'!$AA$23:$ZN$63,ROWS('Control y Supuestos'!D$69:D78),FALSE)</f>
        <v>179943056.40000093</v>
      </c>
      <c r="E78" s="305">
        <f>+HLOOKUP(E$69,'EEFF proyectados'!$AA$23:$ZN$63,ROWS('Control y Supuestos'!E$69:E78),FALSE)</f>
        <v>128296714.95999999</v>
      </c>
      <c r="F78" s="338">
        <f>+'EEFF proyectados'!BT32</f>
        <v>139249075.27000001</v>
      </c>
      <c r="G78" s="269">
        <f>+HLOOKUP(G$69,'EEFF proyectados'!$AA$23:$ZN$63,ROWS('Control y Supuestos'!G$69:G78),FALSE)</f>
        <v>129769392.64548714</v>
      </c>
      <c r="H78" s="269">
        <f>+HLOOKUP(H$69,'EEFF proyectados'!$AA$23:$ZN$63,ROWS('Control y Supuestos'!H$69:H78),FALSE)</f>
        <v>162276454.23028648</v>
      </c>
      <c r="I78" s="269">
        <f>+HLOOKUP(I$69,'EEFF proyectados'!$AA$23:$ZN$63,ROWS('Control y Supuestos'!I$69:I78),FALSE)</f>
        <v>162276454.23028648</v>
      </c>
      <c r="J78" s="269">
        <f>+HLOOKUP(J$69,'EEFF proyectados'!$AA$23:$ZN$63,ROWS('Control y Supuestos'!J$69:J78),FALSE)</f>
        <v>162276454.23028648</v>
      </c>
      <c r="K78" s="269">
        <f>+HLOOKUP(K$69,'EEFF proyectados'!$AA$23:$ZN$63,ROWS('Control y Supuestos'!K$69:K78),FALSE)</f>
        <v>162276454.23028648</v>
      </c>
      <c r="L78" s="269">
        <f>+HLOOKUP(L$69,'EEFF proyectados'!$AA$23:$ZN$63,ROWS('Control y Supuestos'!L$69:L78),FALSE)</f>
        <v>162276454.23028648</v>
      </c>
    </row>
    <row r="79" spans="1:13" x14ac:dyDescent="0.25">
      <c r="A79" s="197" t="s">
        <v>286</v>
      </c>
      <c r="B79" s="306">
        <f>+HLOOKUP(B$69,'EEFF proyectados'!$AA$23:$ZN$63,ROWS('Control y Supuestos'!B$69:B79),FALSE)</f>
        <v>335105127.53999925</v>
      </c>
      <c r="C79" s="306">
        <f>+HLOOKUP(C$69,'EEFF proyectados'!$AA$23:$ZN$63,ROWS('Control y Supuestos'!C$69:C79),FALSE)</f>
        <v>341157433.04999983</v>
      </c>
      <c r="D79" s="306">
        <f>+HLOOKUP(D$69,'EEFF proyectados'!$AA$23:$ZN$63,ROWS('Control y Supuestos'!D$69:D79),FALSE)</f>
        <v>394891085.14000094</v>
      </c>
      <c r="E79" s="306">
        <f>+HLOOKUP(E$69,'EEFF proyectados'!$AA$23:$ZN$63,ROWS('Control y Supuestos'!E$69:E79),FALSE)</f>
        <v>291967827.03999996</v>
      </c>
      <c r="F79" s="339">
        <f>+'EEFF proyectados'!BT33</f>
        <v>330284738.49000001</v>
      </c>
      <c r="G79" s="270">
        <f>+HLOOKUP(G$69,'EEFF proyectados'!$AA$23:$ZN$63,ROWS('Control y Supuestos'!G$69:G79),FALSE)</f>
        <v>394603724.87846452</v>
      </c>
      <c r="H79" s="270">
        <f>+HLOOKUP(H$69,'EEFF proyectados'!$AA$23:$ZN$63,ROWS('Control y Supuestos'!H$69:H79),FALSE)</f>
        <v>418605521.68489897</v>
      </c>
      <c r="I79" s="270">
        <f>+HLOOKUP(I$69,'EEFF proyectados'!$AA$23:$ZN$63,ROWS('Control y Supuestos'!I$69:I79),FALSE)</f>
        <v>443155702.23896265</v>
      </c>
      <c r="J79" s="270">
        <f>+HLOOKUP(J$69,'EEFF proyectados'!$AA$23:$ZN$63,ROWS('Control y Supuestos'!J$69:J79),FALSE)</f>
        <v>735441257.08567798</v>
      </c>
      <c r="K79" s="270">
        <f>+HLOOKUP(K$69,'EEFF proyectados'!$AA$23:$ZN$63,ROWS('Control y Supuestos'!K$69:K79),FALSE)</f>
        <v>795253078.12164056</v>
      </c>
      <c r="L79" s="270">
        <f>+HLOOKUP(L$69,'EEFF proyectados'!$AA$23:$ZN$63,ROWS('Control y Supuestos'!L$69:L79),FALSE)</f>
        <v>857796247.5330838</v>
      </c>
    </row>
    <row r="80" spans="1:13" x14ac:dyDescent="0.25">
      <c r="A80" s="199" t="s">
        <v>259</v>
      </c>
      <c r="B80" s="307"/>
      <c r="C80" s="307"/>
      <c r="D80" s="307"/>
      <c r="E80" s="307"/>
      <c r="F80" s="344"/>
      <c r="G80" s="271"/>
      <c r="H80" s="271"/>
      <c r="I80" s="271"/>
      <c r="J80" s="271"/>
      <c r="K80" s="271"/>
      <c r="L80" s="271"/>
    </row>
    <row r="81" spans="1:12" x14ac:dyDescent="0.25">
      <c r="A81" s="194" t="s">
        <v>260</v>
      </c>
      <c r="B81" s="305">
        <f>+HLOOKUP(B$69,'EEFF proyectados'!$AA$23:$ZN$63,ROWS('Control y Supuestos'!B$69:B81),FALSE)</f>
        <v>623223082.06999969</v>
      </c>
      <c r="C81" s="305">
        <f>+HLOOKUP(C$69,'EEFF proyectados'!$AA$23:$ZN$63,ROWS('Control y Supuestos'!C$69:C81),FALSE)</f>
        <v>597586950.94000018</v>
      </c>
      <c r="D81" s="305">
        <f>+HLOOKUP(D$69,'EEFF proyectados'!$AA$23:$ZN$63,ROWS('Control y Supuestos'!D$69:D81),FALSE)</f>
        <v>578464133.68999982</v>
      </c>
      <c r="E81" s="305">
        <f>+HLOOKUP(E$69,'EEFF proyectados'!$AA$23:$ZN$63,ROWS('Control y Supuestos'!E$69:E81),FALSE)</f>
        <v>606848758.82000005</v>
      </c>
      <c r="F81" s="338">
        <f>+'EEFF proyectados'!BT35</f>
        <v>656823346.12</v>
      </c>
      <c r="G81" s="269">
        <f>+HLOOKUP(G$69,'EEFF proyectados'!$AA$23:$ZN$63,ROWS('Control y Supuestos'!G$69:G81),FALSE)</f>
        <v>607642590.31018746</v>
      </c>
      <c r="H81" s="269">
        <f>+HLOOKUP(H$69,'EEFF proyectados'!$AA$23:$ZN$63,ROWS('Control y Supuestos'!H$69:H81),FALSE)</f>
        <v>599230728.68639994</v>
      </c>
      <c r="I81" s="269">
        <f>+HLOOKUP(I$69,'EEFF proyectados'!$AA$23:$ZN$63,ROWS('Control y Supuestos'!I$69:I81),FALSE)</f>
        <v>599230728.68639994</v>
      </c>
      <c r="J81" s="269">
        <f>+HLOOKUP(J$69,'EEFF proyectados'!$AA$23:$ZN$63,ROWS('Control y Supuestos'!J$69:J81),FALSE)</f>
        <v>347937305.78639984</v>
      </c>
      <c r="K81" s="269">
        <f>+HLOOKUP(K$69,'EEFF proyectados'!$AA$23:$ZN$63,ROWS('Control y Supuestos'!K$69:K81),FALSE)</f>
        <v>347937305.78639984</v>
      </c>
      <c r="L81" s="269">
        <f>+HLOOKUP(L$69,'EEFF proyectados'!$AA$23:$ZN$63,ROWS('Control y Supuestos'!L$69:L81),FALSE)</f>
        <v>347937305.78639984</v>
      </c>
    </row>
    <row r="82" spans="1:12" x14ac:dyDescent="0.25">
      <c r="A82" s="194" t="s">
        <v>263</v>
      </c>
      <c r="B82" s="305">
        <f>+HLOOKUP(B$69,'EEFF proyectados'!$AA$23:$ZN$63,ROWS('Control y Supuestos'!B$69:B82),FALSE)</f>
        <v>10289045.77</v>
      </c>
      <c r="C82" s="305">
        <f>+HLOOKUP(C$69,'EEFF proyectados'!$AA$23:$ZN$63,ROWS('Control y Supuestos'!C$69:C82),FALSE)</f>
        <v>18474838.369999997</v>
      </c>
      <c r="D82" s="305">
        <f>+HLOOKUP(D$69,'EEFF proyectados'!$AA$23:$ZN$63,ROWS('Control y Supuestos'!D$69:D82),FALSE)</f>
        <v>13101418.639999999</v>
      </c>
      <c r="E82" s="305">
        <f>+HLOOKUP(E$69,'EEFF proyectados'!$AA$23:$ZN$63,ROWS('Control y Supuestos'!E$69:E82),FALSE)</f>
        <v>15549164.27</v>
      </c>
      <c r="F82" s="338">
        <f>+'EEFF proyectados'!BT36</f>
        <v>8512061.4000000004</v>
      </c>
      <c r="G82" s="269">
        <f>+HLOOKUP(G$69,'EEFF proyectados'!$AA$23:$ZN$63,ROWS('Control y Supuestos'!G$69:G82),FALSE)</f>
        <v>8512061.4000000004</v>
      </c>
      <c r="H82" s="269">
        <f>+HLOOKUP(H$69,'EEFF proyectados'!$AA$23:$ZN$63,ROWS('Control y Supuestos'!H$69:H82),FALSE)</f>
        <v>8512061.4000000004</v>
      </c>
      <c r="I82" s="269">
        <f>+HLOOKUP(I$69,'EEFF proyectados'!$AA$23:$ZN$63,ROWS('Control y Supuestos'!I$69:I82),FALSE)</f>
        <v>8512061.4000000004</v>
      </c>
      <c r="J82" s="269">
        <f>+HLOOKUP(J$69,'EEFF proyectados'!$AA$23:$ZN$63,ROWS('Control y Supuestos'!J$69:J82),FALSE)</f>
        <v>8512061.4000000004</v>
      </c>
      <c r="K82" s="269">
        <f>+HLOOKUP(K$69,'EEFF proyectados'!$AA$23:$ZN$63,ROWS('Control y Supuestos'!K$69:K82),FALSE)</f>
        <v>8512061.4000000004</v>
      </c>
      <c r="L82" s="269">
        <f>+HLOOKUP(L$69,'EEFF proyectados'!$AA$23:$ZN$63,ROWS('Control y Supuestos'!L$69:L82),FALSE)</f>
        <v>8512061.4000000004</v>
      </c>
    </row>
    <row r="83" spans="1:12" x14ac:dyDescent="0.25">
      <c r="A83" s="194" t="s">
        <v>264</v>
      </c>
      <c r="B83" s="305">
        <f>+HLOOKUP(B$69,'EEFF proyectados'!$AA$23:$ZN$63,ROWS('Control y Supuestos'!B$69:B83),FALSE)</f>
        <v>14802469.900000004</v>
      </c>
      <c r="C83" s="305">
        <f>+HLOOKUP(C$69,'EEFF proyectados'!$AA$23:$ZN$63,ROWS('Control y Supuestos'!C$69:C83),FALSE)</f>
        <v>10557247.38000001</v>
      </c>
      <c r="D83" s="305">
        <f>+HLOOKUP(D$69,'EEFF proyectados'!$AA$23:$ZN$63,ROWS('Control y Supuestos'!D$69:D83),FALSE)</f>
        <v>37885832.580000013</v>
      </c>
      <c r="E83" s="305">
        <f>+HLOOKUP(E$69,'EEFF proyectados'!$AA$23:$ZN$63,ROWS('Control y Supuestos'!E$69:E83),FALSE)</f>
        <v>28976725</v>
      </c>
      <c r="F83" s="338">
        <f>+'EEFF proyectados'!BT37</f>
        <v>603320.01</v>
      </c>
      <c r="G83" s="269">
        <f>+HLOOKUP(G$69,'EEFF proyectados'!$AA$23:$ZN$63,ROWS('Control y Supuestos'!G$69:G83),FALSE)</f>
        <v>603320.01</v>
      </c>
      <c r="H83" s="269">
        <f>+HLOOKUP(H$69,'EEFF proyectados'!$AA$23:$ZN$63,ROWS('Control y Supuestos'!H$69:H83),FALSE)</f>
        <v>603320.01</v>
      </c>
      <c r="I83" s="269">
        <f>+HLOOKUP(I$69,'EEFF proyectados'!$AA$23:$ZN$63,ROWS('Control y Supuestos'!I$69:I83),FALSE)</f>
        <v>603320.01</v>
      </c>
      <c r="J83" s="269">
        <f>+HLOOKUP(J$69,'EEFF proyectados'!$AA$23:$ZN$63,ROWS('Control y Supuestos'!J$69:J83),FALSE)</f>
        <v>603320.01</v>
      </c>
      <c r="K83" s="269">
        <f>+HLOOKUP(K$69,'EEFF proyectados'!$AA$23:$ZN$63,ROWS('Control y Supuestos'!K$69:K83),FALSE)</f>
        <v>603320.01</v>
      </c>
      <c r="L83" s="269">
        <f>+HLOOKUP(L$69,'EEFF proyectados'!$AA$23:$ZN$63,ROWS('Control y Supuestos'!L$69:L83),FALSE)</f>
        <v>603320.01</v>
      </c>
    </row>
    <row r="84" spans="1:12" x14ac:dyDescent="0.25">
      <c r="A84" s="194" t="s">
        <v>265</v>
      </c>
      <c r="B84" s="305">
        <f>+HLOOKUP(B$69,'EEFF proyectados'!$AA$23:$ZN$63,ROWS('Control y Supuestos'!B$69:B84),FALSE)</f>
        <v>34494401.809999987</v>
      </c>
      <c r="C84" s="305">
        <f>+HLOOKUP(C$69,'EEFF proyectados'!$AA$23:$ZN$63,ROWS('Control y Supuestos'!C$69:C84),FALSE)</f>
        <v>39062232.650000006</v>
      </c>
      <c r="D84" s="305">
        <f>+HLOOKUP(D$69,'EEFF proyectados'!$AA$23:$ZN$63,ROWS('Control y Supuestos'!D$69:D84),FALSE)</f>
        <v>45451803.739999995</v>
      </c>
      <c r="E84" s="305">
        <f>+HLOOKUP(E$69,'EEFF proyectados'!$AA$23:$ZN$63,ROWS('Control y Supuestos'!E$69:E84),FALSE)</f>
        <v>245738275.00999999</v>
      </c>
      <c r="F84" s="338">
        <f>+'EEFF proyectados'!BT38</f>
        <v>251020680.83000001</v>
      </c>
      <c r="G84" s="269">
        <f>+HLOOKUP(G$69,'EEFF proyectados'!$AA$23:$ZN$63,ROWS('Control y Supuestos'!G$69:G84),FALSE)</f>
        <v>251020680.83000001</v>
      </c>
      <c r="H84" s="269">
        <f>+HLOOKUP(H$69,'EEFF proyectados'!$AA$23:$ZN$63,ROWS('Control y Supuestos'!H$69:H84),FALSE)</f>
        <v>251020680.83000001</v>
      </c>
      <c r="I84" s="269">
        <f>+HLOOKUP(I$69,'EEFF proyectados'!$AA$23:$ZN$63,ROWS('Control y Supuestos'!I$69:I84),FALSE)</f>
        <v>251020680.83000001</v>
      </c>
      <c r="J84" s="269">
        <f>+HLOOKUP(J$69,'EEFF proyectados'!$AA$23:$ZN$63,ROWS('Control y Supuestos'!J$69:J84),FALSE)</f>
        <v>251020680.83000001</v>
      </c>
      <c r="K84" s="269">
        <f>+HLOOKUP(K$69,'EEFF proyectados'!$AA$23:$ZN$63,ROWS('Control y Supuestos'!K$69:K84),FALSE)</f>
        <v>251020680.83000001</v>
      </c>
      <c r="L84" s="269">
        <f>+HLOOKUP(L$69,'EEFF proyectados'!$AA$23:$ZN$63,ROWS('Control y Supuestos'!L$69:L84),FALSE)</f>
        <v>251020680.83000001</v>
      </c>
    </row>
    <row r="85" spans="1:12" x14ac:dyDescent="0.25">
      <c r="A85" s="272" t="s">
        <v>287</v>
      </c>
      <c r="B85" s="306">
        <f>+HLOOKUP(B$69,'EEFF proyectados'!$AA$23:$ZN$63,ROWS('Control y Supuestos'!B$69:B85),FALSE)</f>
        <v>682808999.54999959</v>
      </c>
      <c r="C85" s="306">
        <f>+HLOOKUP(C$69,'EEFF proyectados'!$AA$23:$ZN$63,ROWS('Control y Supuestos'!C$69:C85),FALSE)</f>
        <v>665681269.34000015</v>
      </c>
      <c r="D85" s="306">
        <f>+HLOOKUP(D$69,'EEFF proyectados'!$AA$23:$ZN$63,ROWS('Control y Supuestos'!D$69:D85),FALSE)</f>
        <v>674903188.64999986</v>
      </c>
      <c r="E85" s="306">
        <f>+HLOOKUP(E$69,'EEFF proyectados'!$AA$23:$ZN$63,ROWS('Control y Supuestos'!E$69:E85),FALSE)</f>
        <v>897112923.10000002</v>
      </c>
      <c r="F85" s="339">
        <f>+'EEFF proyectados'!BT39</f>
        <v>916959408.36000001</v>
      </c>
      <c r="G85" s="270">
        <f>+HLOOKUP(G$69,'EEFF proyectados'!$AA$23:$ZN$63,ROWS('Control y Supuestos'!G$69:G85),FALSE)</f>
        <v>867778652.55018747</v>
      </c>
      <c r="H85" s="270">
        <f>+HLOOKUP(H$69,'EEFF proyectados'!$AA$23:$ZN$63,ROWS('Control y Supuestos'!H$69:H85),FALSE)</f>
        <v>859366790.92639935</v>
      </c>
      <c r="I85" s="270">
        <f>+HLOOKUP(I$69,'EEFF proyectados'!$AA$23:$ZN$63,ROWS('Control y Supuestos'!I$69:I85),FALSE)</f>
        <v>859366790.92639995</v>
      </c>
      <c r="J85" s="270">
        <f>+HLOOKUP(J$69,'EEFF proyectados'!$AA$23:$ZN$63,ROWS('Control y Supuestos'!J$69:J85),FALSE)</f>
        <v>608073368.02639961</v>
      </c>
      <c r="K85" s="270">
        <f>+HLOOKUP(K$69,'EEFF proyectados'!$AA$23:$ZN$63,ROWS('Control y Supuestos'!K$69:K85),FALSE)</f>
        <v>608073368.02640009</v>
      </c>
      <c r="L85" s="270">
        <f>+HLOOKUP(L$69,'EEFF proyectados'!$AA$23:$ZN$63,ROWS('Control y Supuestos'!L$69:L85),FALSE)</f>
        <v>608073368.02640009</v>
      </c>
    </row>
    <row r="86" spans="1:12" ht="14.4" thickBot="1" x14ac:dyDescent="0.3">
      <c r="A86" s="273" t="s">
        <v>279</v>
      </c>
      <c r="B86" s="308">
        <f>+HLOOKUP(B$69,'EEFF proyectados'!$AA$23:$ZN$63,ROWS('Control y Supuestos'!B$69:B86),FALSE)</f>
        <v>1017914127.0899988</v>
      </c>
      <c r="C86" s="308">
        <f>+HLOOKUP(C$69,'EEFF proyectados'!$AA$23:$ZN$63,ROWS('Control y Supuestos'!C$69:C86),FALSE)</f>
        <v>1006838702.39</v>
      </c>
      <c r="D86" s="308">
        <f>+HLOOKUP(D$69,'EEFF proyectados'!$AA$23:$ZN$63,ROWS('Control y Supuestos'!D$69:D86),FALSE)</f>
        <v>1069794273.7900008</v>
      </c>
      <c r="E86" s="308">
        <f>+HLOOKUP(E$69,'EEFF proyectados'!$AA$23:$ZN$63,ROWS('Control y Supuestos'!E$69:E86),FALSE)</f>
        <v>1189080750.1399999</v>
      </c>
      <c r="F86" s="345">
        <f>+'EEFF proyectados'!BT40</f>
        <v>1247244146.8499999</v>
      </c>
      <c r="G86" s="274">
        <f>+HLOOKUP(G$69,'EEFF proyectados'!$AA$23:$ZN$63,ROWS('Control y Supuestos'!G$69:G86),FALSE)</f>
        <v>1262382377.428652</v>
      </c>
      <c r="H86" s="274">
        <f>+HLOOKUP(H$69,'EEFF proyectados'!$AA$23:$ZN$63,ROWS('Control y Supuestos'!H$69:H86),FALSE)</f>
        <v>1277972312.6112983</v>
      </c>
      <c r="I86" s="274">
        <f>+HLOOKUP(I$69,'EEFF proyectados'!$AA$23:$ZN$63,ROWS('Control y Supuestos'!I$69:I86),FALSE)</f>
        <v>1302522493.1653626</v>
      </c>
      <c r="J86" s="274">
        <f>+HLOOKUP(J$69,'EEFF proyectados'!$AA$23:$ZN$63,ROWS('Control y Supuestos'!J$69:J86),FALSE)</f>
        <v>1343514625.1120777</v>
      </c>
      <c r="K86" s="274">
        <f>+HLOOKUP(K$69,'EEFF proyectados'!$AA$23:$ZN$63,ROWS('Control y Supuestos'!K$69:K86),FALSE)</f>
        <v>1403326446.1480408</v>
      </c>
      <c r="L86" s="274">
        <f>+HLOOKUP(L$69,'EEFF proyectados'!$AA$23:$ZN$63,ROWS('Control y Supuestos'!L$69:L86),FALSE)</f>
        <v>1465869615.559484</v>
      </c>
    </row>
    <row r="87" spans="1:12" ht="14.4" thickTop="1" x14ac:dyDescent="0.25">
      <c r="B87" s="305"/>
      <c r="C87" s="305"/>
      <c r="D87" s="305"/>
      <c r="E87" s="305"/>
      <c r="F87" s="338"/>
      <c r="G87" s="269"/>
      <c r="H87" s="269"/>
      <c r="I87" s="269"/>
      <c r="J87" s="269"/>
      <c r="K87" s="269"/>
      <c r="L87" s="269"/>
    </row>
    <row r="88" spans="1:12" x14ac:dyDescent="0.25">
      <c r="A88" s="199" t="s">
        <v>53</v>
      </c>
      <c r="B88" s="305"/>
      <c r="C88" s="305"/>
      <c r="D88" s="305"/>
      <c r="E88" s="305"/>
      <c r="F88" s="338"/>
      <c r="G88" s="269"/>
      <c r="H88" s="269"/>
      <c r="I88" s="269"/>
      <c r="J88" s="269"/>
      <c r="K88" s="269"/>
      <c r="L88" s="269"/>
    </row>
    <row r="89" spans="1:12" x14ac:dyDescent="0.25">
      <c r="A89" s="199" t="s">
        <v>267</v>
      </c>
      <c r="B89" s="307"/>
      <c r="C89" s="307"/>
      <c r="D89" s="307"/>
      <c r="E89" s="307"/>
      <c r="F89" s="344"/>
      <c r="G89" s="271"/>
      <c r="H89" s="271"/>
      <c r="I89" s="271"/>
      <c r="J89" s="271"/>
      <c r="K89" s="271"/>
      <c r="L89" s="271"/>
    </row>
    <row r="90" spans="1:12" x14ac:dyDescent="0.25">
      <c r="A90" s="194" t="s">
        <v>268</v>
      </c>
      <c r="B90" s="305">
        <f>+HLOOKUP(B$69,'EEFF proyectados'!$AA$23:$ZN$63,ROWS('Control y Supuestos'!B$69:B90),FALSE)</f>
        <v>65778553.949999996</v>
      </c>
      <c r="C90" s="305">
        <f>+HLOOKUP(C$69,'EEFF proyectados'!$AA$23:$ZN$63,ROWS('Control y Supuestos'!C$69:C90),FALSE)</f>
        <v>125937305.91999999</v>
      </c>
      <c r="D90" s="305">
        <f>+HLOOKUP(D$69,'EEFF proyectados'!$AA$23:$ZN$63,ROWS('Control y Supuestos'!D$69:D90),FALSE)</f>
        <v>157985559.02999997</v>
      </c>
      <c r="E90" s="305">
        <f>+HLOOKUP(E$69,'EEFF proyectados'!$AA$23:$ZN$63,ROWS('Control y Supuestos'!E$69:E90),FALSE)</f>
        <v>55901487.469999999</v>
      </c>
      <c r="F90" s="338">
        <f>+'EEFF proyectados'!BT44</f>
        <v>43804585.740000002</v>
      </c>
      <c r="G90" s="269">
        <f>+HLOOKUP(G$69,'EEFF proyectados'!$AA$23:$ZN$63,ROWS('Control y Supuestos'!G$69:G90),FALSE)</f>
        <v>43804585.740000002</v>
      </c>
      <c r="H90" s="269">
        <f>+HLOOKUP(H$69,'EEFF proyectados'!$AA$23:$ZN$63,ROWS('Control y Supuestos'!H$69:H90),FALSE)</f>
        <v>0</v>
      </c>
      <c r="I90" s="269">
        <f>+HLOOKUP(I$69,'EEFF proyectados'!$AA$23:$ZN$63,ROWS('Control y Supuestos'!I$69:I90),FALSE)</f>
        <v>0</v>
      </c>
      <c r="J90" s="269">
        <f>+HLOOKUP(J$69,'EEFF proyectados'!$AA$23:$ZN$63,ROWS('Control y Supuestos'!J$69:J90),FALSE)</f>
        <v>0</v>
      </c>
      <c r="K90" s="269">
        <f>+HLOOKUP(K$69,'EEFF proyectados'!$AA$23:$ZN$63,ROWS('Control y Supuestos'!K$69:K90),FALSE)</f>
        <v>0</v>
      </c>
      <c r="L90" s="269">
        <f>+HLOOKUP(L$69,'EEFF proyectados'!$AA$23:$ZN$63,ROWS('Control y Supuestos'!L$69:L90),FALSE)</f>
        <v>0</v>
      </c>
    </row>
    <row r="91" spans="1:12" x14ac:dyDescent="0.25">
      <c r="A91" s="194" t="s">
        <v>99</v>
      </c>
      <c r="B91" s="305">
        <f>+HLOOKUP(B$69,'EEFF proyectados'!$AA$23:$ZN$63,ROWS('Control y Supuestos'!B$69:B91),FALSE)</f>
        <v>64678153.679999948</v>
      </c>
      <c r="C91" s="305">
        <f>+HLOOKUP(C$69,'EEFF proyectados'!$AA$23:$ZN$63,ROWS('Control y Supuestos'!C$69:C91),FALSE)</f>
        <v>58682731.029999763</v>
      </c>
      <c r="D91" s="305">
        <f>+HLOOKUP(D$69,'EEFF proyectados'!$AA$23:$ZN$63,ROWS('Control y Supuestos'!D$69:D91),FALSE)</f>
        <v>93869404.130000234</v>
      </c>
      <c r="E91" s="305">
        <f>+HLOOKUP(E$69,'EEFF proyectados'!$AA$23:$ZN$63,ROWS('Control y Supuestos'!E$69:E91),FALSE)</f>
        <v>80218725.890000001</v>
      </c>
      <c r="F91" s="338">
        <f>+'EEFF proyectados'!BT45</f>
        <v>58073618.469999999</v>
      </c>
      <c r="G91" s="269">
        <f>+HLOOKUP(G$69,'EEFF proyectados'!$AA$23:$ZN$63,ROWS('Control y Supuestos'!G$69:G91),FALSE)</f>
        <v>63821012.776469089</v>
      </c>
      <c r="H91" s="269">
        <f>+HLOOKUP(H$69,'EEFF proyectados'!$AA$23:$ZN$63,ROWS('Control y Supuestos'!H$69:H91),FALSE)</f>
        <v>86458766.598103449</v>
      </c>
      <c r="I91" s="269">
        <f>+HLOOKUP(I$69,'EEFF proyectados'!$AA$23:$ZN$63,ROWS('Control y Supuestos'!I$69:I91),FALSE)</f>
        <v>86458766.598103449</v>
      </c>
      <c r="J91" s="269">
        <f>+HLOOKUP(J$69,'EEFF proyectados'!$AA$23:$ZN$63,ROWS('Control y Supuestos'!J$69:J91),FALSE)</f>
        <v>86458766.598103449</v>
      </c>
      <c r="K91" s="269">
        <f>+HLOOKUP(K$69,'EEFF proyectados'!$AA$23:$ZN$63,ROWS('Control y Supuestos'!K$69:K91),FALSE)</f>
        <v>86458766.598103449</v>
      </c>
      <c r="L91" s="269">
        <f>+HLOOKUP(L$69,'EEFF proyectados'!$AA$23:$ZN$63,ROWS('Control y Supuestos'!L$69:L91),FALSE)</f>
        <v>86458766.598103449</v>
      </c>
    </row>
    <row r="92" spans="1:12" x14ac:dyDescent="0.25">
      <c r="A92" s="194" t="s">
        <v>289</v>
      </c>
      <c r="B92" s="305">
        <f>+HLOOKUP(B$69,'EEFF proyectados'!$AA$23:$ZN$63,ROWS('Control y Supuestos'!B$69:B92),FALSE)</f>
        <v>0</v>
      </c>
      <c r="C92" s="305">
        <f>+HLOOKUP(C$69,'EEFF proyectados'!$AA$23:$ZN$63,ROWS('Control y Supuestos'!C$69:C92),FALSE)</f>
        <v>0</v>
      </c>
      <c r="D92" s="305">
        <f>+HLOOKUP(D$69,'EEFF proyectados'!$AA$23:$ZN$63,ROWS('Control y Supuestos'!D$69:D92),FALSE)</f>
        <v>0</v>
      </c>
      <c r="E92" s="305">
        <f>+HLOOKUP(E$69,'EEFF proyectados'!$AA$23:$ZN$63,ROWS('Control y Supuestos'!E$69:E92),FALSE)</f>
        <v>14822367.77</v>
      </c>
      <c r="F92" s="338">
        <f>+'EEFF proyectados'!BT46</f>
        <v>13573773.73</v>
      </c>
      <c r="G92" s="269">
        <f>+HLOOKUP(G$69,'EEFF proyectados'!$AA$23:$ZN$63,ROWS('Control y Supuestos'!G$69:G92),FALSE)</f>
        <v>12741899.262734069</v>
      </c>
      <c r="H92" s="269">
        <f>+HLOOKUP(H$69,'EEFF proyectados'!$AA$23:$ZN$63,ROWS('Control y Supuestos'!H$69:H92),FALSE)</f>
        <v>18047593.46617708</v>
      </c>
      <c r="I92" s="269">
        <f>+HLOOKUP(I$69,'EEFF proyectados'!$AA$23:$ZN$63,ROWS('Control y Supuestos'!I$69:I92),FALSE)</f>
        <v>18047593.46617708</v>
      </c>
      <c r="J92" s="269">
        <f>+HLOOKUP(J$69,'EEFF proyectados'!$AA$23:$ZN$63,ROWS('Control y Supuestos'!J$69:J92),FALSE)</f>
        <v>18047593.46617708</v>
      </c>
      <c r="K92" s="269">
        <f>+HLOOKUP(K$69,'EEFF proyectados'!$AA$23:$ZN$63,ROWS('Control y Supuestos'!K$69:K92),FALSE)</f>
        <v>18047593.46617708</v>
      </c>
      <c r="L92" s="269">
        <f>+HLOOKUP(L$69,'EEFF proyectados'!$AA$23:$ZN$63,ROWS('Control y Supuestos'!L$69:L92),FALSE)</f>
        <v>18047593.46617708</v>
      </c>
    </row>
    <row r="93" spans="1:12" x14ac:dyDescent="0.25">
      <c r="A93" s="194" t="s">
        <v>269</v>
      </c>
      <c r="B93" s="305">
        <f>+HLOOKUP(B$69,'EEFF proyectados'!$AA$23:$ZN$63,ROWS('Control y Supuestos'!B$69:B93),FALSE)</f>
        <v>38090258.120000027</v>
      </c>
      <c r="C93" s="305">
        <f>+HLOOKUP(C$69,'EEFF proyectados'!$AA$23:$ZN$63,ROWS('Control y Supuestos'!C$69:C93),FALSE)</f>
        <v>31456054.629999988</v>
      </c>
      <c r="D93" s="305">
        <f>+HLOOKUP(D$69,'EEFF proyectados'!$AA$23:$ZN$63,ROWS('Control y Supuestos'!D$69:D93),FALSE)</f>
        <v>29307415.68000003</v>
      </c>
      <c r="E93" s="305">
        <f>+HLOOKUP(E$69,'EEFF proyectados'!$AA$23:$ZN$63,ROWS('Control y Supuestos'!E$69:E93),FALSE)</f>
        <v>12003839.960000001</v>
      </c>
      <c r="F93" s="338">
        <f>+'EEFF proyectados'!BT47</f>
        <v>12337061.99</v>
      </c>
      <c r="G93" s="269">
        <f>+HLOOKUP(G$69,'EEFF proyectados'!$AA$23:$ZN$63,ROWS('Control y Supuestos'!G$69:G93),FALSE)</f>
        <v>16566368.550866349</v>
      </c>
      <c r="H93" s="269">
        <f>+HLOOKUP(H$69,'EEFF proyectados'!$AA$23:$ZN$63,ROWS('Control y Supuestos'!H$69:H93),FALSE)</f>
        <v>23464561.966152545</v>
      </c>
      <c r="I93" s="269">
        <f>+HLOOKUP(I$69,'EEFF proyectados'!$AA$23:$ZN$63,ROWS('Control y Supuestos'!I$69:I93),FALSE)</f>
        <v>23464561.966152545</v>
      </c>
      <c r="J93" s="269">
        <f>+HLOOKUP(J$69,'EEFF proyectados'!$AA$23:$ZN$63,ROWS('Control y Supuestos'!J$69:J93),FALSE)</f>
        <v>23464561.966152545</v>
      </c>
      <c r="K93" s="269">
        <f>+HLOOKUP(K$69,'EEFF proyectados'!$AA$23:$ZN$63,ROWS('Control y Supuestos'!K$69:K93),FALSE)</f>
        <v>23464561.966152545</v>
      </c>
      <c r="L93" s="269">
        <f>+HLOOKUP(L$69,'EEFF proyectados'!$AA$23:$ZN$63,ROWS('Control y Supuestos'!L$69:L93),FALSE)</f>
        <v>23464561.966152545</v>
      </c>
    </row>
    <row r="94" spans="1:12" x14ac:dyDescent="0.25">
      <c r="A94" s="194" t="s">
        <v>270</v>
      </c>
      <c r="B94" s="305">
        <f>+HLOOKUP(B$69,'EEFF proyectados'!$AA$23:$ZN$63,ROWS('Control y Supuestos'!B$69:B94),FALSE)</f>
        <v>11019172.83</v>
      </c>
      <c r="C94" s="305">
        <f>+HLOOKUP(C$69,'EEFF proyectados'!$AA$23:$ZN$63,ROWS('Control y Supuestos'!C$69:C94),FALSE)</f>
        <v>11085183.109999998</v>
      </c>
      <c r="D94" s="305">
        <f>+HLOOKUP(D$69,'EEFF proyectados'!$AA$23:$ZN$63,ROWS('Control y Supuestos'!D$69:D94),FALSE)</f>
        <v>4.1314251575386152E-8</v>
      </c>
      <c r="E94" s="305">
        <f>+HLOOKUP(E$69,'EEFF proyectados'!$AA$23:$ZN$63,ROWS('Control y Supuestos'!E$69:E94),FALSE)</f>
        <v>0</v>
      </c>
      <c r="F94" s="338">
        <f>+'EEFF proyectados'!BT48</f>
        <v>0</v>
      </c>
      <c r="G94" s="269">
        <f>+HLOOKUP(G$69,'EEFF proyectados'!$AA$23:$ZN$63,ROWS('Control y Supuestos'!G$69:G94),FALSE)</f>
        <v>0</v>
      </c>
      <c r="H94" s="269">
        <f>+HLOOKUP(H$69,'EEFF proyectados'!$AA$23:$ZN$63,ROWS('Control y Supuestos'!H$69:H94),FALSE)</f>
        <v>0</v>
      </c>
      <c r="I94" s="269">
        <f>+HLOOKUP(I$69,'EEFF proyectados'!$AA$23:$ZN$63,ROWS('Control y Supuestos'!I$69:I94),FALSE)</f>
        <v>0</v>
      </c>
      <c r="J94" s="269">
        <f>+HLOOKUP(J$69,'EEFF proyectados'!$AA$23:$ZN$63,ROWS('Control y Supuestos'!J$69:J94),FALSE)</f>
        <v>0</v>
      </c>
      <c r="K94" s="269">
        <f>+HLOOKUP(K$69,'EEFF proyectados'!$AA$23:$ZN$63,ROWS('Control y Supuestos'!K$69:K94),FALSE)</f>
        <v>0</v>
      </c>
      <c r="L94" s="269">
        <f>+HLOOKUP(L$69,'EEFF proyectados'!$AA$23:$ZN$63,ROWS('Control y Supuestos'!L$69:L94),FALSE)</f>
        <v>0</v>
      </c>
    </row>
    <row r="95" spans="1:12" x14ac:dyDescent="0.25">
      <c r="A95" s="194" t="s">
        <v>271</v>
      </c>
      <c r="B95" s="305">
        <f>+HLOOKUP(B$69,'EEFF proyectados'!$AA$23:$ZN$63,ROWS('Control y Supuestos'!B$69:B95),FALSE)</f>
        <v>8965162.3800000027</v>
      </c>
      <c r="C95" s="305">
        <f>+HLOOKUP(C$69,'EEFF proyectados'!$AA$23:$ZN$63,ROWS('Control y Supuestos'!C$69:C95),FALSE)</f>
        <v>19573288.050000001</v>
      </c>
      <c r="D95" s="305">
        <f>+HLOOKUP(D$69,'EEFF proyectados'!$AA$23:$ZN$63,ROWS('Control y Supuestos'!D$69:D95),FALSE)</f>
        <v>11341890.550000001</v>
      </c>
      <c r="E95" s="305">
        <f>+HLOOKUP(E$69,'EEFF proyectados'!$AA$23:$ZN$63,ROWS('Control y Supuestos'!E$69:E95),FALSE)</f>
        <v>22520089.329999998</v>
      </c>
      <c r="F95" s="338">
        <f>+'EEFF proyectados'!BT49</f>
        <v>12672584.609999999</v>
      </c>
      <c r="G95" s="269">
        <f>+HLOOKUP(G$69,'EEFF proyectados'!$AA$23:$ZN$63,ROWS('Control y Supuestos'!G$69:G95),FALSE)</f>
        <v>20233399.649967648</v>
      </c>
      <c r="H95" s="269">
        <f>+HLOOKUP(H$69,'EEFF proyectados'!$AA$23:$ZN$63,ROWS('Control y Supuestos'!H$69:H95),FALSE)</f>
        <v>25301839.557736829</v>
      </c>
      <c r="I95" s="269">
        <f>+HLOOKUP(I$69,'EEFF proyectados'!$AA$23:$ZN$63,ROWS('Control y Supuestos'!I$69:I95),FALSE)</f>
        <v>25301839.557736829</v>
      </c>
      <c r="J95" s="269">
        <f>+HLOOKUP(J$69,'EEFF proyectados'!$AA$23:$ZN$63,ROWS('Control y Supuestos'!J$69:J95),FALSE)</f>
        <v>25301839.557736829</v>
      </c>
      <c r="K95" s="269">
        <f>+HLOOKUP(K$69,'EEFF proyectados'!$AA$23:$ZN$63,ROWS('Control y Supuestos'!K$69:K95),FALSE)</f>
        <v>25301839.557736829</v>
      </c>
      <c r="L95" s="269">
        <f>+HLOOKUP(L$69,'EEFF proyectados'!$AA$23:$ZN$63,ROWS('Control y Supuestos'!L$69:L95),FALSE)</f>
        <v>25301839.557736829</v>
      </c>
    </row>
    <row r="96" spans="1:12" x14ac:dyDescent="0.25">
      <c r="A96" s="197" t="s">
        <v>282</v>
      </c>
      <c r="B96" s="306">
        <f>+HLOOKUP(B$69,'EEFF proyectados'!$AA$23:$ZN$63,ROWS('Control y Supuestos'!B$69:B96),FALSE)</f>
        <v>188531300.95999998</v>
      </c>
      <c r="C96" s="306">
        <f>+HLOOKUP(C$69,'EEFF proyectados'!$AA$23:$ZN$63,ROWS('Control y Supuestos'!C$69:C96),FALSE)</f>
        <v>246734562.73999974</v>
      </c>
      <c r="D96" s="306">
        <f>+HLOOKUP(D$69,'EEFF proyectados'!$AA$23:$ZN$63,ROWS('Control y Supuestos'!D$69:D96),FALSE)</f>
        <v>292504269.39000028</v>
      </c>
      <c r="E96" s="306">
        <f>+HLOOKUP(E$69,'EEFF proyectados'!$AA$23:$ZN$63,ROWS('Control y Supuestos'!E$69:E96),FALSE)</f>
        <v>185466510.42000002</v>
      </c>
      <c r="F96" s="339">
        <f>+'EEFF proyectados'!BT50</f>
        <v>140461624.54000002</v>
      </c>
      <c r="G96" s="270">
        <f>+HLOOKUP(G$69,'EEFF proyectados'!$AA$23:$ZN$63,ROWS('Control y Supuestos'!G$69:G96),FALSE)</f>
        <v>157167265.98003715</v>
      </c>
      <c r="H96" s="270">
        <f>+HLOOKUP(H$69,'EEFF proyectados'!$AA$23:$ZN$63,ROWS('Control y Supuestos'!H$69:H96),FALSE)</f>
        <v>153272761.5881699</v>
      </c>
      <c r="I96" s="270">
        <f>+HLOOKUP(I$69,'EEFF proyectados'!$AA$23:$ZN$63,ROWS('Control y Supuestos'!I$69:I96),FALSE)</f>
        <v>153272761.5881699</v>
      </c>
      <c r="J96" s="270">
        <f>+HLOOKUP(J$69,'EEFF proyectados'!$AA$23:$ZN$63,ROWS('Control y Supuestos'!J$69:J96),FALSE)</f>
        <v>153272761.5881699</v>
      </c>
      <c r="K96" s="270">
        <f>+HLOOKUP(K$69,'EEFF proyectados'!$AA$23:$ZN$63,ROWS('Control y Supuestos'!K$69:K96),FALSE)</f>
        <v>153272761.5881699</v>
      </c>
      <c r="L96" s="270">
        <f>+HLOOKUP(L$69,'EEFF proyectados'!$AA$23:$ZN$63,ROWS('Control y Supuestos'!L$69:L96),FALSE)</f>
        <v>153272761.5881699</v>
      </c>
    </row>
    <row r="97" spans="1:13" x14ac:dyDescent="0.25">
      <c r="A97" s="199" t="s">
        <v>272</v>
      </c>
      <c r="B97" s="307"/>
      <c r="C97" s="307"/>
      <c r="D97" s="307"/>
      <c r="E97" s="307"/>
      <c r="F97" s="344"/>
      <c r="G97" s="271"/>
      <c r="H97" s="271"/>
      <c r="I97" s="271"/>
      <c r="J97" s="271"/>
      <c r="K97" s="271"/>
      <c r="L97" s="271"/>
    </row>
    <row r="98" spans="1:13" x14ac:dyDescent="0.25">
      <c r="A98" s="194" t="s">
        <v>273</v>
      </c>
      <c r="B98" s="305">
        <f>+HLOOKUP(B$69,'EEFF proyectados'!$AA$23:$ZN$63,ROWS('Control y Supuestos'!B$69:B98),FALSE)</f>
        <v>736045.29000000726</v>
      </c>
      <c r="C98" s="305">
        <f>+HLOOKUP(C$69,'EEFF proyectados'!$AA$23:$ZN$63,ROWS('Control y Supuestos'!C$69:C98),FALSE)</f>
        <v>736186.3600000022</v>
      </c>
      <c r="D98" s="305">
        <f>+HLOOKUP(D$69,'EEFF proyectados'!$AA$23:$ZN$63,ROWS('Control y Supuestos'!D$69:D98),FALSE)</f>
        <v>726787.69999999914</v>
      </c>
      <c r="E98" s="305">
        <f>+HLOOKUP(E$69,'EEFF proyectados'!$AA$23:$ZN$63,ROWS('Control y Supuestos'!E$69:E98),FALSE)</f>
        <v>267617053.50999999</v>
      </c>
      <c r="F98" s="338">
        <f>+'EEFF proyectados'!BT52</f>
        <v>269097807.32999998</v>
      </c>
      <c r="G98" s="269">
        <f>+HLOOKUP(G$69,'EEFF proyectados'!$AA$23:$ZN$63,ROWS('Control y Supuestos'!G$69:G98),FALSE)</f>
        <v>269097807.32999998</v>
      </c>
      <c r="H98" s="269">
        <f>+HLOOKUP(H$69,'EEFF proyectados'!$AA$23:$ZN$63,ROWS('Control y Supuestos'!H$69:H98),FALSE)</f>
        <v>269097807.32999998</v>
      </c>
      <c r="I98" s="269">
        <f>+HLOOKUP(I$69,'EEFF proyectados'!$AA$23:$ZN$63,ROWS('Control y Supuestos'!I$69:I98),FALSE)</f>
        <v>269097807.32999998</v>
      </c>
      <c r="J98" s="269">
        <f>+HLOOKUP(J$69,'EEFF proyectados'!$AA$23:$ZN$63,ROWS('Control y Supuestos'!J$69:J98),FALSE)</f>
        <v>269097807.32999998</v>
      </c>
      <c r="K98" s="269">
        <f>+HLOOKUP(K$69,'EEFF proyectados'!$AA$23:$ZN$63,ROWS('Control y Supuestos'!K$69:K98),FALSE)</f>
        <v>269097807.32999998</v>
      </c>
      <c r="L98" s="269">
        <f>+HLOOKUP(L$69,'EEFF proyectados'!$AA$23:$ZN$63,ROWS('Control y Supuestos'!L$69:L98),FALSE)</f>
        <v>269097807.32999998</v>
      </c>
    </row>
    <row r="99" spans="1:13" x14ac:dyDescent="0.25">
      <c r="A99" s="194" t="s">
        <v>274</v>
      </c>
      <c r="B99" s="305">
        <f>+HLOOKUP(B$69,'EEFF proyectados'!$AA$23:$ZN$63,ROWS('Control y Supuestos'!B$69:B99),FALSE)</f>
        <v>278690297.95000005</v>
      </c>
      <c r="C99" s="305">
        <f>+HLOOKUP(C$69,'EEFF proyectados'!$AA$23:$ZN$63,ROWS('Control y Supuestos'!C$69:C99),FALSE)</f>
        <v>203139913.17000002</v>
      </c>
      <c r="D99" s="305">
        <f>+HLOOKUP(D$69,'EEFF proyectados'!$AA$23:$ZN$63,ROWS('Control y Supuestos'!D$69:D99),FALSE)</f>
        <v>164637171.31</v>
      </c>
      <c r="E99" s="305">
        <f>+HLOOKUP(E$69,'EEFF proyectados'!$AA$23:$ZN$63,ROWS('Control y Supuestos'!E$69:E99),FALSE)</f>
        <v>204507293.19</v>
      </c>
      <c r="F99" s="338">
        <f>+'EEFF proyectados'!BT53</f>
        <v>214962498.06999999</v>
      </c>
      <c r="G99" s="269">
        <f>+HLOOKUP(G$69,'EEFF proyectados'!$AA$23:$ZN$63,ROWS('Control y Supuestos'!G$69:G99),FALSE)</f>
        <v>208335231.80689955</v>
      </c>
      <c r="H99" s="269">
        <f>+HLOOKUP(H$69,'EEFF proyectados'!$AA$23:$ZN$63,ROWS('Control y Supuestos'!H$69:H99),FALSE)</f>
        <v>156230899.82471406</v>
      </c>
      <c r="I99" s="269">
        <f>+HLOOKUP(I$69,'EEFF proyectados'!$AA$23:$ZN$63,ROWS('Control y Supuestos'!I$69:I99),FALSE)</f>
        <v>105845838.69482906</v>
      </c>
      <c r="J99" s="269">
        <f>+HLOOKUP(J$69,'EEFF proyectados'!$AA$23:$ZN$63,ROWS('Control y Supuestos'!J$69:J99),FALSE)</f>
        <v>69089069.117944032</v>
      </c>
      <c r="K99" s="269">
        <f>+HLOOKUP(K$69,'EEFF proyectados'!$AA$23:$ZN$63,ROWS('Control y Supuestos'!K$69:K99),FALSE)</f>
        <v>48575455.331903577</v>
      </c>
      <c r="L99" s="269">
        <f>+HLOOKUP(L$69,'EEFF proyectados'!$AA$23:$ZN$63,ROWS('Control y Supuestos'!L$69:L99),FALSE)</f>
        <v>28521173.108148225</v>
      </c>
    </row>
    <row r="100" spans="1:13" x14ac:dyDescent="0.25">
      <c r="A100" s="194" t="s">
        <v>275</v>
      </c>
      <c r="B100" s="305">
        <f>+HLOOKUP(B$69,'EEFF proyectados'!$AA$23:$ZN$63,ROWS('Control y Supuestos'!B$69:B100),FALSE)</f>
        <v>56982.68</v>
      </c>
      <c r="C100" s="305">
        <f>+HLOOKUP(C$69,'EEFF proyectados'!$AA$23:$ZN$63,ROWS('Control y Supuestos'!C$69:C100),FALSE)</f>
        <v>56982.68</v>
      </c>
      <c r="D100" s="305">
        <f>+HLOOKUP(D$69,'EEFF proyectados'!$AA$23:$ZN$63,ROWS('Control y Supuestos'!D$69:D100),FALSE)</f>
        <v>56982.68</v>
      </c>
      <c r="E100" s="305">
        <f>+HLOOKUP(E$69,'EEFF proyectados'!$AA$23:$ZN$63,ROWS('Control y Supuestos'!E$69:E100),FALSE)</f>
        <v>733017.78</v>
      </c>
      <c r="F100" s="338">
        <f>+'EEFF proyectados'!BT54</f>
        <v>749414.52</v>
      </c>
      <c r="G100" s="269">
        <f>+HLOOKUP(G$69,'EEFF proyectados'!$AA$23:$ZN$63,ROWS('Control y Supuestos'!G$69:G100),FALSE)</f>
        <v>749414.52</v>
      </c>
      <c r="H100" s="269">
        <f>+HLOOKUP(H$69,'EEFF proyectados'!$AA$23:$ZN$63,ROWS('Control y Supuestos'!H$69:H100),FALSE)</f>
        <v>749414.52</v>
      </c>
      <c r="I100" s="269">
        <f>+HLOOKUP(I$69,'EEFF proyectados'!$AA$23:$ZN$63,ROWS('Control y Supuestos'!I$69:I100),FALSE)</f>
        <v>749414.52</v>
      </c>
      <c r="J100" s="269">
        <f>+HLOOKUP(J$69,'EEFF proyectados'!$AA$23:$ZN$63,ROWS('Control y Supuestos'!J$69:J100),FALSE)</f>
        <v>749414.52</v>
      </c>
      <c r="K100" s="269">
        <f>+HLOOKUP(K$69,'EEFF proyectados'!$AA$23:$ZN$63,ROWS('Control y Supuestos'!K$69:K100),FALSE)</f>
        <v>749414.52</v>
      </c>
      <c r="L100" s="269">
        <f>+HLOOKUP(L$69,'EEFF proyectados'!$AA$23:$ZN$63,ROWS('Control y Supuestos'!L$69:L100),FALSE)</f>
        <v>749414.52</v>
      </c>
    </row>
    <row r="101" spans="1:13" x14ac:dyDescent="0.25">
      <c r="A101" s="194" t="s">
        <v>276</v>
      </c>
      <c r="B101" s="305">
        <f>+HLOOKUP(B$69,'EEFF proyectados'!$AA$23:$ZN$63,ROWS('Control y Supuestos'!B$69:B101),FALSE)</f>
        <v>50991282.409999996</v>
      </c>
      <c r="C101" s="305">
        <f>+HLOOKUP(C$69,'EEFF proyectados'!$AA$23:$ZN$63,ROWS('Control y Supuestos'!C$69:C101),FALSE)</f>
        <v>49445043.659999996</v>
      </c>
      <c r="D101" s="305">
        <f>+HLOOKUP(D$69,'EEFF proyectados'!$AA$23:$ZN$63,ROWS('Control y Supuestos'!D$69:D101),FALSE)</f>
        <v>55125747.969999991</v>
      </c>
      <c r="E101" s="305">
        <f>+HLOOKUP(E$69,'EEFF proyectados'!$AA$23:$ZN$63,ROWS('Control y Supuestos'!E$69:E101),FALSE)</f>
        <v>52779691.670000002</v>
      </c>
      <c r="F101" s="338">
        <f>+'EEFF proyectados'!BT55</f>
        <v>57060795.619999997</v>
      </c>
      <c r="G101" s="269">
        <f>+HLOOKUP(G$69,'EEFF proyectados'!$AA$23:$ZN$63,ROWS('Control y Supuestos'!G$69:G101),FALSE)</f>
        <v>57060795.619999997</v>
      </c>
      <c r="H101" s="269">
        <f>+HLOOKUP(H$69,'EEFF proyectados'!$AA$23:$ZN$63,ROWS('Control y Supuestos'!H$69:H101),FALSE)</f>
        <v>57060795.619999997</v>
      </c>
      <c r="I101" s="269">
        <f>+HLOOKUP(I$69,'EEFF proyectados'!$AA$23:$ZN$63,ROWS('Control y Supuestos'!I$69:I101),FALSE)</f>
        <v>57060795.619999997</v>
      </c>
      <c r="J101" s="269">
        <f>+HLOOKUP(J$69,'EEFF proyectados'!$AA$23:$ZN$63,ROWS('Control y Supuestos'!J$69:J101),FALSE)</f>
        <v>57060795.619999997</v>
      </c>
      <c r="K101" s="269">
        <f>+HLOOKUP(K$69,'EEFF proyectados'!$AA$23:$ZN$63,ROWS('Control y Supuestos'!K$69:K101),FALSE)</f>
        <v>57060795.619999997</v>
      </c>
      <c r="L101" s="269">
        <f>+HLOOKUP(L$69,'EEFF proyectados'!$AA$23:$ZN$63,ROWS('Control y Supuestos'!L$69:L101),FALSE)</f>
        <v>57060795.619999997</v>
      </c>
    </row>
    <row r="102" spans="1:13" x14ac:dyDescent="0.25">
      <c r="A102" s="272" t="s">
        <v>281</v>
      </c>
      <c r="B102" s="309">
        <f>+HLOOKUP(B$69,'EEFF proyectados'!$AA$23:$ZN$63,ROWS('Control y Supuestos'!B$69:B102),FALSE)</f>
        <v>330474608.33000004</v>
      </c>
      <c r="C102" s="309">
        <f>+HLOOKUP(C$69,'EEFF proyectados'!$AA$23:$ZN$63,ROWS('Control y Supuestos'!C$69:C102),FALSE)</f>
        <v>253378125.87000003</v>
      </c>
      <c r="D102" s="309">
        <f>+HLOOKUP(D$69,'EEFF proyectados'!$AA$23:$ZN$63,ROWS('Control y Supuestos'!D$69:D102),FALSE)</f>
        <v>220546689.66</v>
      </c>
      <c r="E102" s="309">
        <f>+HLOOKUP(E$69,'EEFF proyectados'!$AA$23:$ZN$63,ROWS('Control y Supuestos'!E$69:E102),FALSE)</f>
        <v>525637056.14999998</v>
      </c>
      <c r="F102" s="349">
        <f>+'EEFF proyectados'!BT56</f>
        <v>541870515.53999996</v>
      </c>
      <c r="G102" s="275">
        <f>+HLOOKUP(G$69,'EEFF proyectados'!$AA$23:$ZN$63,ROWS('Control y Supuestos'!G$69:G102),FALSE)</f>
        <v>535243249.27689952</v>
      </c>
      <c r="H102" s="275">
        <f>+HLOOKUP(H$69,'EEFF proyectados'!$AA$23:$ZN$63,ROWS('Control y Supuestos'!H$69:H102),FALSE)</f>
        <v>483138917.29471403</v>
      </c>
      <c r="I102" s="275">
        <f>+HLOOKUP(I$69,'EEFF proyectados'!$AA$23:$ZN$63,ROWS('Control y Supuestos'!I$69:I102),FALSE)</f>
        <v>432753856.16482902</v>
      </c>
      <c r="J102" s="275">
        <f>+HLOOKUP(J$69,'EEFF proyectados'!$AA$23:$ZN$63,ROWS('Control y Supuestos'!J$69:J102),FALSE)</f>
        <v>395997086.58794403</v>
      </c>
      <c r="K102" s="275">
        <f>+HLOOKUP(K$69,'EEFF proyectados'!$AA$23:$ZN$63,ROWS('Control y Supuestos'!K$69:K102),FALSE)</f>
        <v>375483472.80190355</v>
      </c>
      <c r="L102" s="275">
        <f>+HLOOKUP(L$69,'EEFF proyectados'!$AA$23:$ZN$63,ROWS('Control y Supuestos'!L$69:L102),FALSE)</f>
        <v>355429190.57814819</v>
      </c>
    </row>
    <row r="103" spans="1:13" ht="14.4" thickBot="1" x14ac:dyDescent="0.3">
      <c r="A103" s="273" t="s">
        <v>280</v>
      </c>
      <c r="B103" s="308">
        <f>+HLOOKUP(B$69,'EEFF proyectados'!$AA$23:$ZN$63,ROWS('Control y Supuestos'!B$69:B103),FALSE)</f>
        <v>519005909.29000002</v>
      </c>
      <c r="C103" s="308">
        <f>+HLOOKUP(C$69,'EEFF proyectados'!$AA$23:$ZN$63,ROWS('Control y Supuestos'!C$69:C103),FALSE)</f>
        <v>500112688.60999978</v>
      </c>
      <c r="D103" s="308">
        <f>+HLOOKUP(D$69,'EEFF proyectados'!$AA$23:$ZN$63,ROWS('Control y Supuestos'!D$69:D103),FALSE)</f>
        <v>513050959.05000031</v>
      </c>
      <c r="E103" s="308">
        <f>+HLOOKUP(E$69,'EEFF proyectados'!$AA$23:$ZN$63,ROWS('Control y Supuestos'!E$69:E103),FALSE)</f>
        <v>711103566.56999993</v>
      </c>
      <c r="F103" s="345">
        <f>+'EEFF proyectados'!BT57</f>
        <v>682332140.07999992</v>
      </c>
      <c r="G103" s="274">
        <f>+HLOOKUP(G$69,'EEFF proyectados'!$AA$23:$ZN$63,ROWS('Control y Supuestos'!G$69:G103),FALSE)</f>
        <v>692410515.25693667</v>
      </c>
      <c r="H103" s="274">
        <f>+HLOOKUP(H$69,'EEFF proyectados'!$AA$23:$ZN$63,ROWS('Control y Supuestos'!H$69:H103),FALSE)</f>
        <v>636411678.88288391</v>
      </c>
      <c r="I103" s="274">
        <f>+HLOOKUP(I$69,'EEFF proyectados'!$AA$23:$ZN$63,ROWS('Control y Supuestos'!I$69:I103),FALSE)</f>
        <v>586026617.75299895</v>
      </c>
      <c r="J103" s="274">
        <f>+HLOOKUP(J$69,'EEFF proyectados'!$AA$23:$ZN$63,ROWS('Control y Supuestos'!J$69:J103),FALSE)</f>
        <v>549269848.17611396</v>
      </c>
      <c r="K103" s="274">
        <f>+HLOOKUP(K$69,'EEFF proyectados'!$AA$23:$ZN$63,ROWS('Control y Supuestos'!K$69:K103),FALSE)</f>
        <v>528756234.39007342</v>
      </c>
      <c r="L103" s="274">
        <f>+HLOOKUP(L$69,'EEFF proyectados'!$AA$23:$ZN$63,ROWS('Control y Supuestos'!L$69:L103),FALSE)</f>
        <v>508701952.16631806</v>
      </c>
    </row>
    <row r="104" spans="1:13" ht="14.4" thickTop="1" x14ac:dyDescent="0.25">
      <c r="B104" s="305"/>
      <c r="C104" s="305"/>
      <c r="D104" s="305"/>
      <c r="E104" s="305"/>
      <c r="F104" s="341"/>
      <c r="G104" s="269"/>
      <c r="H104" s="269"/>
      <c r="I104" s="269"/>
      <c r="J104" s="269"/>
      <c r="K104" s="269"/>
      <c r="L104" s="269"/>
    </row>
    <row r="105" spans="1:13" x14ac:dyDescent="0.25">
      <c r="A105" s="199" t="s">
        <v>81</v>
      </c>
      <c r="B105" s="305"/>
      <c r="C105" s="305"/>
      <c r="D105" s="305"/>
      <c r="E105" s="305"/>
      <c r="F105" s="341"/>
      <c r="G105" s="269"/>
      <c r="H105" s="269"/>
      <c r="I105" s="269"/>
      <c r="J105" s="269"/>
      <c r="K105" s="269"/>
      <c r="L105" s="269"/>
    </row>
    <row r="106" spans="1:13" x14ac:dyDescent="0.25">
      <c r="A106" s="194" t="s">
        <v>284</v>
      </c>
      <c r="B106" s="305">
        <f>+HLOOKUP(B$69,'EEFF proyectados'!$AA$23:$ZN$63,ROWS('Control y Supuestos'!B$69:B106),FALSE)</f>
        <v>0</v>
      </c>
      <c r="C106" s="305">
        <f>+HLOOKUP(C$69,'EEFF proyectados'!$AA$23:$ZN$63,ROWS('Control y Supuestos'!C$69:C106),FALSE)</f>
        <v>506726013.77999997</v>
      </c>
      <c r="D106" s="305">
        <f>+HLOOKUP(D$69,'EEFF proyectados'!$AA$23:$ZN$63,ROWS('Control y Supuestos'!D$69:D106),FALSE)</f>
        <v>557170453.07000053</v>
      </c>
      <c r="E106" s="305">
        <f>+HLOOKUP(E$69,'EEFF proyectados'!$AA$23:$ZN$63,ROWS('Control y Supuestos'!E$69:E106),FALSE)</f>
        <v>490979410.63</v>
      </c>
      <c r="F106" s="341">
        <f>+'EEFF proyectados'!BT60</f>
        <v>522488950.89999998</v>
      </c>
      <c r="G106" s="269">
        <f>+HLOOKUP(G$69,'EEFF proyectados'!$AA$23:$ZN$63,ROWS('Control y Supuestos'!G$69:G106),FALSE)</f>
        <v>522488950.89999998</v>
      </c>
      <c r="H106" s="269">
        <f>+HLOOKUP(H$69,'EEFF proyectados'!$AA$23:$ZN$63,ROWS('Control y Supuestos'!H$69:H106),FALSE)</f>
        <v>522488950.89999998</v>
      </c>
      <c r="I106" s="269">
        <f>+HLOOKUP(I$69,'EEFF proyectados'!$AA$23:$ZN$63,ROWS('Control y Supuestos'!I$69:I106),FALSE)</f>
        <v>522488950.89999998</v>
      </c>
      <c r="J106" s="269">
        <f>+HLOOKUP(J$69,'EEFF proyectados'!$AA$23:$ZN$63,ROWS('Control y Supuestos'!J$69:J106),FALSE)</f>
        <v>522488950.89999998</v>
      </c>
      <c r="K106" s="269">
        <f>+HLOOKUP(K$69,'EEFF proyectados'!$AA$23:$ZN$63,ROWS('Control y Supuestos'!K$69:K106),FALSE)</f>
        <v>522488950.89999998</v>
      </c>
      <c r="L106" s="269">
        <f>+HLOOKUP(L$69,'EEFF proyectados'!$AA$23:$ZN$63,ROWS('Control y Supuestos'!L$69:L106),FALSE)</f>
        <v>522488950.89999998</v>
      </c>
    </row>
    <row r="107" spans="1:13" x14ac:dyDescent="0.25">
      <c r="A107" s="194" t="s">
        <v>285</v>
      </c>
      <c r="B107" s="305">
        <f>+HLOOKUP(B$69,'EEFF proyectados'!$AA$23:$ZN$63,ROWS('Control y Supuestos'!B$69:B107),FALSE)</f>
        <v>0</v>
      </c>
      <c r="C107" s="305">
        <f>+HLOOKUP(C$69,'EEFF proyectados'!$AA$23:$ZN$63,ROWS('Control y Supuestos'!C$69:C107),FALSE)</f>
        <v>0</v>
      </c>
      <c r="D107" s="305">
        <f>+HLOOKUP(D$69,'EEFF proyectados'!$AA$23:$ZN$63,ROWS('Control y Supuestos'!D$69:D107),FALSE)</f>
        <v>-427138.3300000045</v>
      </c>
      <c r="E107" s="305">
        <f>+HLOOKUP(E$69,'EEFF proyectados'!$AA$23:$ZN$63,ROWS('Control y Supuestos'!E$69:E107),FALSE)</f>
        <v>-13002227.060000015</v>
      </c>
      <c r="F107" s="341">
        <f>+'EEFF proyectados'!BT61</f>
        <v>42423055.869999997</v>
      </c>
      <c r="G107" s="269">
        <f>+HLOOKUP(G$69,'EEFF proyectados'!$AA$23:$ZN$63,ROWS('Control y Supuestos'!G$69:G107),FALSE)</f>
        <v>47482911.271715418</v>
      </c>
      <c r="H107" s="269">
        <f>+HLOOKUP(H$69,'EEFF proyectados'!$AA$23:$ZN$63,ROWS('Control y Supuestos'!H$69:H107),FALSE)</f>
        <v>119071682.82841434</v>
      </c>
      <c r="I107" s="269">
        <f>+HLOOKUP(I$69,'EEFF proyectados'!$AA$23:$ZN$63,ROWS('Control y Supuestos'!I$69:I107),FALSE)</f>
        <v>194006924.51236302</v>
      </c>
      <c r="J107" s="269">
        <f>+HLOOKUP(J$69,'EEFF proyectados'!$AA$23:$ZN$63,ROWS('Control y Supuestos'!J$69:J107),FALSE)</f>
        <v>271755826.03596294</v>
      </c>
      <c r="K107" s="269">
        <f>+HLOOKUP(K$69,'EEFF proyectados'!$AA$23:$ZN$63,ROWS('Control y Supuestos'!K$69:K107),FALSE)</f>
        <v>352081260.85796613</v>
      </c>
      <c r="L107" s="269">
        <f>+HLOOKUP(L$69,'EEFF proyectados'!$AA$23:$ZN$63,ROWS('Control y Supuestos'!L$69:L107),FALSE)</f>
        <v>434678712.4931649</v>
      </c>
    </row>
    <row r="108" spans="1:13" x14ac:dyDescent="0.25">
      <c r="A108" s="197" t="s">
        <v>283</v>
      </c>
      <c r="B108" s="309">
        <v>417410449.89999998</v>
      </c>
      <c r="C108" s="309">
        <v>447333737.14999998</v>
      </c>
      <c r="D108" s="309">
        <v>449941788.77999997</v>
      </c>
      <c r="E108" s="309">
        <f>+HLOOKUP(E$69,'EEFF proyectados'!$AA$23:$ZN$63,ROWS('Control y Supuestos'!E$69:E108),FALSE)</f>
        <v>477977183.56999999</v>
      </c>
      <c r="F108" s="343">
        <f>+'EEFF proyectados'!BT62</f>
        <v>564912006.76999998</v>
      </c>
      <c r="G108" s="275">
        <f>+HLOOKUP(G$69,'EEFF proyectados'!$AA$23:$ZN$63,ROWS('Control y Supuestos'!G$69:G108),FALSE)</f>
        <v>569971862.17171538</v>
      </c>
      <c r="H108" s="275">
        <f>+HLOOKUP(H$69,'EEFF proyectados'!$AA$23:$ZN$63,ROWS('Control y Supuestos'!H$69:H108),FALSE)</f>
        <v>641560633.7284143</v>
      </c>
      <c r="I108" s="275">
        <f>+HLOOKUP(I$69,'EEFF proyectados'!$AA$23:$ZN$63,ROWS('Control y Supuestos'!I$69:I108),FALSE)</f>
        <v>716495875.41236305</v>
      </c>
      <c r="J108" s="275">
        <f>+HLOOKUP(J$69,'EEFF proyectados'!$AA$23:$ZN$63,ROWS('Control y Supuestos'!J$69:J108),FALSE)</f>
        <v>794244776.93596292</v>
      </c>
      <c r="K108" s="275">
        <f>+HLOOKUP(K$69,'EEFF proyectados'!$AA$23:$ZN$63,ROWS('Control y Supuestos'!K$69:K108),FALSE)</f>
        <v>874570211.75796604</v>
      </c>
      <c r="L108" s="275">
        <f>+HLOOKUP(L$69,'EEFF proyectados'!$AA$23:$ZN$63,ROWS('Control y Supuestos'!L$69:L108),FALSE)</f>
        <v>957167663.39316487</v>
      </c>
    </row>
    <row r="109" spans="1:13" ht="14.4" thickBot="1" x14ac:dyDescent="0.3">
      <c r="A109" s="273" t="s">
        <v>88</v>
      </c>
      <c r="B109" s="308">
        <f>+HLOOKUP(B$69,'EEFF proyectados'!$AA$23:$ZN$63,ROWS('Control y Supuestos'!B$69:B109),FALSE)</f>
        <v>519005909.29000002</v>
      </c>
      <c r="C109" s="308">
        <f>+HLOOKUP(C$69,'EEFF proyectados'!$AA$23:$ZN$63,ROWS('Control y Supuestos'!C$69:C109),FALSE)</f>
        <v>1006838702.3899997</v>
      </c>
      <c r="D109" s="308">
        <f>+HLOOKUP(D$69,'EEFF proyectados'!$AA$23:$ZN$63,ROWS('Control y Supuestos'!D$69:D109),FALSE)</f>
        <v>1069794273.7900008</v>
      </c>
      <c r="E109" s="308">
        <f>+HLOOKUP(E$69,'EEFF proyectados'!$AA$23:$ZN$63,ROWS('Control y Supuestos'!E$69:E109),FALSE)</f>
        <v>1189080750.1399999</v>
      </c>
      <c r="F109" s="342">
        <f>+'EEFF proyectados'!BT63</f>
        <v>1247244146.8499999</v>
      </c>
      <c r="G109" s="274">
        <f>+HLOOKUP(G$69,'EEFF proyectados'!$AA$23:$ZN$63,ROWS('Control y Supuestos'!G$69:G109),FALSE)</f>
        <v>1262382377.428652</v>
      </c>
      <c r="H109" s="274">
        <f>+HLOOKUP(H$69,'EEFF proyectados'!$AA$23:$ZN$63,ROWS('Control y Supuestos'!H$69:H109),FALSE)</f>
        <v>1277972312.6112981</v>
      </c>
      <c r="I109" s="274">
        <f>+HLOOKUP(I$69,'EEFF proyectados'!$AA$23:$ZN$63,ROWS('Control y Supuestos'!I$69:I109),FALSE)</f>
        <v>1302522493.1653619</v>
      </c>
      <c r="J109" s="274">
        <f>+HLOOKUP(J$69,'EEFF proyectados'!$AA$23:$ZN$63,ROWS('Control y Supuestos'!J$69:J109),FALSE)</f>
        <v>1343514625.1120768</v>
      </c>
      <c r="K109" s="274">
        <f>+HLOOKUP(K$69,'EEFF proyectados'!$AA$23:$ZN$63,ROWS('Control y Supuestos'!K$69:K109),FALSE)</f>
        <v>1403326446.1480393</v>
      </c>
      <c r="L109" s="274">
        <f>+HLOOKUP(L$69,'EEFF proyectados'!$AA$23:$ZN$63,ROWS('Control y Supuestos'!L$69:L109),FALSE)</f>
        <v>1465869615.5594831</v>
      </c>
    </row>
    <row r="110" spans="1:13" ht="14.4" thickTop="1" x14ac:dyDescent="0.25">
      <c r="B110" s="305">
        <f t="shared" ref="B110:L110" si="11">+B109-B86</f>
        <v>-498908217.79999882</v>
      </c>
      <c r="C110" s="305">
        <f t="shared" si="11"/>
        <v>0</v>
      </c>
      <c r="D110" s="305">
        <f t="shared" si="11"/>
        <v>0</v>
      </c>
      <c r="E110" s="305">
        <f t="shared" si="11"/>
        <v>0</v>
      </c>
      <c r="F110" s="305">
        <f t="shared" si="11"/>
        <v>0</v>
      </c>
      <c r="G110" s="269">
        <f t="shared" si="11"/>
        <v>0</v>
      </c>
      <c r="H110" s="269">
        <f t="shared" si="11"/>
        <v>0</v>
      </c>
      <c r="I110" s="269">
        <f t="shared" si="11"/>
        <v>0</v>
      </c>
      <c r="J110" s="269">
        <f t="shared" si="11"/>
        <v>0</v>
      </c>
      <c r="K110" s="269">
        <f t="shared" si="11"/>
        <v>0</v>
      </c>
      <c r="L110" s="269">
        <f t="shared" si="11"/>
        <v>0</v>
      </c>
    </row>
    <row r="112" spans="1:13" x14ac:dyDescent="0.25">
      <c r="M112" s="194" t="s">
        <v>661</v>
      </c>
    </row>
    <row r="113" spans="1:16" x14ac:dyDescent="0.25">
      <c r="B113" s="194"/>
      <c r="C113" s="194"/>
      <c r="D113" s="194"/>
      <c r="E113" s="194"/>
      <c r="F113" s="194"/>
      <c r="N113" s="211"/>
      <c r="P113" s="211"/>
    </row>
    <row r="114" spans="1:16" x14ac:dyDescent="0.25">
      <c r="B114" s="194"/>
      <c r="C114" s="194"/>
      <c r="D114" s="194"/>
      <c r="E114" s="194"/>
      <c r="F114" s="266"/>
      <c r="N114" s="211"/>
      <c r="P114" s="211"/>
    </row>
    <row r="116" spans="1:16" s="215" customFormat="1" x14ac:dyDescent="0.25">
      <c r="B116" s="286">
        <f t="shared" ref="B116:L116" si="12">+B1</f>
        <v>2021</v>
      </c>
      <c r="C116" s="286">
        <f t="shared" si="12"/>
        <v>2022</v>
      </c>
      <c r="D116" s="286">
        <f t="shared" si="12"/>
        <v>2023</v>
      </c>
      <c r="E116" s="286">
        <f t="shared" si="12"/>
        <v>2024</v>
      </c>
      <c r="F116" s="324">
        <f t="shared" si="12"/>
        <v>45901</v>
      </c>
      <c r="G116" s="276">
        <f t="shared" si="12"/>
        <v>2025</v>
      </c>
      <c r="H116" s="276">
        <f t="shared" si="12"/>
        <v>2026</v>
      </c>
      <c r="I116" s="276">
        <f t="shared" si="12"/>
        <v>2027</v>
      </c>
      <c r="J116" s="276">
        <f t="shared" si="12"/>
        <v>2028</v>
      </c>
      <c r="K116" s="276">
        <f t="shared" si="12"/>
        <v>2029</v>
      </c>
      <c r="L116" s="276">
        <f t="shared" si="12"/>
        <v>2030</v>
      </c>
      <c r="M116" s="194"/>
      <c r="N116" s="277"/>
    </row>
    <row r="117" spans="1:16" s="215" customFormat="1" ht="22.8" x14ac:dyDescent="0.4">
      <c r="A117" s="351" t="s">
        <v>407</v>
      </c>
      <c r="B117" s="303"/>
      <c r="C117" s="303"/>
      <c r="D117" s="303"/>
      <c r="E117" s="303"/>
      <c r="F117" s="340"/>
      <c r="M117" s="194"/>
      <c r="N117" s="277"/>
    </row>
    <row r="118" spans="1:16" s="215" customFormat="1" x14ac:dyDescent="0.25">
      <c r="A118" s="233" t="s">
        <v>500</v>
      </c>
      <c r="B118" s="303"/>
      <c r="C118" s="303"/>
      <c r="D118" s="303"/>
      <c r="E118" s="303"/>
      <c r="F118" s="340"/>
      <c r="M118" s="194"/>
      <c r="N118" s="278"/>
    </row>
    <row r="119" spans="1:16" s="215" customFormat="1" x14ac:dyDescent="0.25">
      <c r="A119" s="216"/>
      <c r="B119" s="303"/>
      <c r="C119" s="303"/>
      <c r="D119" s="303"/>
      <c r="E119" s="303"/>
      <c r="F119" s="340"/>
      <c r="M119" s="194"/>
    </row>
    <row r="120" spans="1:16" s="215" customFormat="1" x14ac:dyDescent="0.25">
      <c r="A120" s="217" t="s">
        <v>29</v>
      </c>
      <c r="B120" s="310">
        <f>+HLOOKUP(B$116,'EEFF proyectados'!$A$70:$EN$92,ROWS('Control y Supuestos'!B$116:B120),FALSE)</f>
        <v>37112397.469999976</v>
      </c>
      <c r="C120" s="310">
        <f>+HLOOKUP(C$116,'EEFF proyectados'!$A$70:$EN$92,ROWS('Control y Supuestos'!C$116:C120),FALSE)</f>
        <v>32929959.209999837</v>
      </c>
      <c r="D120" s="310">
        <f>+HLOOKUP(D$116,'EEFF proyectados'!$A$70:$EN$92,ROWS('Control y Supuestos'!D$116:D120),FALSE)</f>
        <v>38648002.269999996</v>
      </c>
      <c r="E120" s="310">
        <f>+HLOOKUP(E$116,'EEFF proyectados'!$A$70:$EN$92,ROWS('Control y Supuestos'!E$116:E120),FALSE)</f>
        <v>24364261.719999995</v>
      </c>
      <c r="F120" s="344">
        <f>+F62</f>
        <v>60577422.800000004</v>
      </c>
      <c r="G120" s="279">
        <f>+HLOOKUP(G$116,'EEFF proyectados'!$A$70:$EN$92,ROWS('Control y Supuestos'!G$116:G120),FALSE)</f>
        <v>82535182.796522483</v>
      </c>
      <c r="H120" s="279">
        <f>+HLOOKUP(H$116,'EEFF proyectados'!$A$70:$EN$92,ROWS('Control y Supuestos'!H$116:H120),FALSE)</f>
        <v>111261266.82219337</v>
      </c>
      <c r="I120" s="279">
        <f>+HLOOKUP(I$116,'EEFF proyectados'!$A$70:$EN$92,ROWS('Control y Supuestos'!I$116:I120),FALSE)</f>
        <v>111261266.82219337</v>
      </c>
      <c r="J120" s="279">
        <f>+HLOOKUP(J$116,'EEFF proyectados'!$A$70:$EN$92,ROWS('Control y Supuestos'!J$116:J120),FALSE)</f>
        <v>111261266.82219337</v>
      </c>
      <c r="K120" s="279">
        <f>+HLOOKUP(K$116,'EEFF proyectados'!$A$70:$EN$92,ROWS('Control y Supuestos'!K$116:K120),FALSE)</f>
        <v>111261266.82219337</v>
      </c>
      <c r="L120" s="279">
        <f>+HLOOKUP(L$116,'EEFF proyectados'!$A$70:$EN$92,ROWS('Control y Supuestos'!L$116:L120),FALSE)</f>
        <v>111261266.82219337</v>
      </c>
      <c r="M120" s="194"/>
      <c r="N120" s="280"/>
    </row>
    <row r="121" spans="1:16" x14ac:dyDescent="0.25">
      <c r="A121" s="218" t="s">
        <v>409</v>
      </c>
      <c r="B121" s="301">
        <f>+HLOOKUP(B$116,'EEFF proyectados'!$A$70:$EN$92,ROWS('Control y Supuestos'!B$116:B121),FALSE)</f>
        <v>39723592.770000696</v>
      </c>
      <c r="C121" s="301">
        <f>+HLOOKUP(C$116,'EEFF proyectados'!$A$70:$EN$92,ROWS('Control y Supuestos'!C$116:C121),FALSE)</f>
        <v>39899545.750003099</v>
      </c>
      <c r="D121" s="301">
        <f>+HLOOKUP(D$116,'EEFF proyectados'!$A$70:$EN$92,ROWS('Control y Supuestos'!D$116:D121),FALSE)</f>
        <v>41631568.510000467</v>
      </c>
      <c r="E121" s="301">
        <f>+HLOOKUP(E$116,'EEFF proyectados'!$A$70:$EN$92,ROWS('Control y Supuestos'!E$116:E121),FALSE)</f>
        <v>50128871.349999905</v>
      </c>
      <c r="F121" s="338">
        <f>+SUM('EEFF proyectados'!BO75:BT75)</f>
        <v>56609014.890000105</v>
      </c>
      <c r="G121" s="266">
        <f>+HLOOKUP(G$116,'EEFF proyectados'!$A$70:$EN$92,ROWS('Control y Supuestos'!G$116:G121),FALSE)</f>
        <v>125646711.45000005</v>
      </c>
      <c r="H121" s="266">
        <f>+HLOOKUP(H$116,'EEFF proyectados'!$A$70:$EN$92,ROWS('Control y Supuestos'!H$116:H121),FALSE)</f>
        <v>125646711.45000005</v>
      </c>
      <c r="I121" s="266">
        <f>+HLOOKUP(I$116,'EEFF proyectados'!$A$70:$EN$92,ROWS('Control y Supuestos'!I$116:I121),FALSE)</f>
        <v>125646711.45000005</v>
      </c>
      <c r="J121" s="266">
        <f>+HLOOKUP(J$116,'EEFF proyectados'!$A$70:$EN$92,ROWS('Control y Supuestos'!J$116:J121),FALSE)</f>
        <v>125646711.45000005</v>
      </c>
      <c r="K121" s="266">
        <f>+HLOOKUP(K$116,'EEFF proyectados'!$A$70:$EN$92,ROWS('Control y Supuestos'!K$116:K121),FALSE)</f>
        <v>125646711.45000005</v>
      </c>
      <c r="L121" s="266">
        <f>+HLOOKUP(L$116,'EEFF proyectados'!$A$70:$EN$92,ROWS('Control y Supuestos'!L$116:L121),FALSE)</f>
        <v>125646711.45000005</v>
      </c>
      <c r="N121" s="420"/>
    </row>
    <row r="122" spans="1:16" x14ac:dyDescent="0.25">
      <c r="A122" s="218" t="s">
        <v>410</v>
      </c>
      <c r="B122" s="301">
        <f>+HLOOKUP(B$116,'EEFF proyectados'!$A$70:$EN$92,ROWS('Control y Supuestos'!B$116:B122),FALSE)</f>
        <v>0</v>
      </c>
      <c r="C122" s="301">
        <f>+HLOOKUP(C$116,'EEFF proyectados'!$A$70:$EN$92,ROWS('Control y Supuestos'!C$116:C122),FALSE)</f>
        <v>-208193799.36000061</v>
      </c>
      <c r="D122" s="301">
        <f>+HLOOKUP(D$116,'EEFF proyectados'!$A$70:$EN$92,ROWS('Control y Supuestos'!D$116:D122),FALSE)</f>
        <v>-46546333.189999998</v>
      </c>
      <c r="E122" s="301">
        <f>+HLOOKUP(E$116,'EEFF proyectados'!$A$70:$EN$92,ROWS('Control y Supuestos'!E$116:E122),FALSE)</f>
        <v>104268387.3700006</v>
      </c>
      <c r="F122" s="338">
        <f>+SUM('EEFF proyectados'!BO76:BT76)</f>
        <v>-42658642.649999976</v>
      </c>
      <c r="G122" s="266">
        <f>+HLOOKUP(G$116,'EEFF proyectados'!$A$70:$EN$92,ROWS('Control y Supuestos'!G$116:G122),FALSE)</f>
        <v>-4345709.7939773202</v>
      </c>
      <c r="H122" s="266">
        <f>+HLOOKUP(H$116,'EEFF proyectados'!$A$70:$EN$92,ROWS('Control y Supuestos'!H$116:H122),FALSE)</f>
        <v>-50230858.781591088</v>
      </c>
      <c r="I122" s="266">
        <f>+HLOOKUP(I$116,'EEFF proyectados'!$A$70:$EN$92,ROWS('Control y Supuestos'!I$116:I122),FALSE)</f>
        <v>0</v>
      </c>
      <c r="J122" s="266">
        <f>+HLOOKUP(J$116,'EEFF proyectados'!$A$70:$EN$92,ROWS('Control y Supuestos'!J$116:J122),FALSE)</f>
        <v>0</v>
      </c>
      <c r="K122" s="266">
        <f>+HLOOKUP(K$116,'EEFF proyectados'!$A$70:$EN$92,ROWS('Control y Supuestos'!K$116:K122),FALSE)</f>
        <v>0</v>
      </c>
      <c r="L122" s="266">
        <f>+HLOOKUP(L$116,'EEFF proyectados'!$A$70:$EN$92,ROWS('Control y Supuestos'!L$116:L122),FALSE)</f>
        <v>0</v>
      </c>
    </row>
    <row r="123" spans="1:16" x14ac:dyDescent="0.25">
      <c r="A123" s="218" t="s">
        <v>411</v>
      </c>
      <c r="B123" s="301">
        <f>+HLOOKUP(B$116,'EEFF proyectados'!$A$70:$EN$92,ROWS('Control y Supuestos'!B$116:B123),FALSE)</f>
        <v>-15827642.660000002</v>
      </c>
      <c r="C123" s="301">
        <f>+HLOOKUP(C$116,'EEFF proyectados'!$A$70:$EN$92,ROWS('Control y Supuestos'!C$116:C123),FALSE)</f>
        <v>-18961127.559999999</v>
      </c>
      <c r="D123" s="301">
        <f>+HLOOKUP(D$116,'EEFF proyectados'!$A$70:$EN$92,ROWS('Control y Supuestos'!D$116:D123),FALSE)</f>
        <v>-19571127.550000001</v>
      </c>
      <c r="E123" s="301">
        <f>+HLOOKUP(E$116,'EEFF proyectados'!$A$70:$EN$92,ROWS('Control y Supuestos'!E$116:E123),FALSE)</f>
        <v>-18870635.84</v>
      </c>
      <c r="F123" s="338">
        <f>+SUM('EEFF proyectados'!BO77:BT77)</f>
        <v>-10934387.539999999</v>
      </c>
      <c r="G123" s="266">
        <f>+HLOOKUP(G$116,'EEFF proyectados'!$A$70:$EN$92,ROWS('Control y Supuestos'!G$116:G123),FALSE)</f>
        <v>-20009916.922021665</v>
      </c>
      <c r="H123" s="266">
        <f>+HLOOKUP(H$116,'EEFF proyectados'!$A$70:$EN$92,ROWS('Control y Supuestos'!H$116:H123),FALSE)</f>
        <v>-26310547.876543608</v>
      </c>
      <c r="I123" s="266">
        <f>+HLOOKUP(I$116,'EEFF proyectados'!$A$70:$EN$92,ROWS('Control y Supuestos'!I$116:I123),FALSE)</f>
        <v>-26310547.876543608</v>
      </c>
      <c r="J123" s="266">
        <f>+HLOOKUP(J$116,'EEFF proyectados'!$A$70:$EN$92,ROWS('Control y Supuestos'!J$116:J123),FALSE)</f>
        <v>-26310547.876543608</v>
      </c>
      <c r="K123" s="266">
        <f>+HLOOKUP(K$116,'EEFF proyectados'!$A$70:$EN$92,ROWS('Control y Supuestos'!K$116:K123),FALSE)</f>
        <v>-26310547.876543608</v>
      </c>
      <c r="L123" s="266">
        <f>+HLOOKUP(L$116,'EEFF proyectados'!$A$70:$EN$92,ROWS('Control y Supuestos'!L$116:L123),FALSE)</f>
        <v>-26310547.876543608</v>
      </c>
    </row>
    <row r="124" spans="1:16" x14ac:dyDescent="0.25">
      <c r="A124" s="528" t="s">
        <v>412</v>
      </c>
      <c r="B124" s="302">
        <f>+HLOOKUP(B$116,'EEFF proyectados'!$A$70:$EN$92,ROWS('Control y Supuestos'!B$116:B124),FALSE)</f>
        <v>61008347.580000676</v>
      </c>
      <c r="C124" s="302">
        <f>+HLOOKUP(C$116,'EEFF proyectados'!$A$70:$EN$92,ROWS('Control y Supuestos'!C$116:C124),FALSE)</f>
        <v>-154325421.95999765</v>
      </c>
      <c r="D124" s="302">
        <f>+HLOOKUP(D$116,'EEFF proyectados'!$A$70:$EN$92,ROWS('Control y Supuestos'!D$116:D124),FALSE)</f>
        <v>14162110.040000463</v>
      </c>
      <c r="E124" s="302">
        <f>+HLOOKUP(E$116,'EEFF proyectados'!$A$70:$EN$92,ROWS('Control y Supuestos'!E$116:E124),FALSE)</f>
        <v>159890884.60000047</v>
      </c>
      <c r="F124" s="339">
        <f>+SUM('EEFF proyectados'!BO78:BT78)</f>
        <v>63593407.500000127</v>
      </c>
      <c r="G124" s="267">
        <f>+HLOOKUP(G$116,'EEFF proyectados'!$A$70:$EN$92,ROWS('Control y Supuestos'!G$116:G124),FALSE)</f>
        <v>183826267.53052354</v>
      </c>
      <c r="H124" s="267">
        <f>+HLOOKUP(H$116,'EEFF proyectados'!$A$70:$EN$92,ROWS('Control y Supuestos'!H$116:H124),FALSE)</f>
        <v>160366571.61405873</v>
      </c>
      <c r="I124" s="267">
        <f>+HLOOKUP(I$116,'EEFF proyectados'!$A$70:$EN$92,ROWS('Control y Supuestos'!I$116:I124),FALSE)</f>
        <v>210597430.39564979</v>
      </c>
      <c r="J124" s="267">
        <f>+HLOOKUP(J$116,'EEFF proyectados'!$A$70:$EN$92,ROWS('Control y Supuestos'!J$116:J124),FALSE)</f>
        <v>210597430.39564979</v>
      </c>
      <c r="K124" s="267">
        <f>+HLOOKUP(K$116,'EEFF proyectados'!$A$70:$EN$92,ROWS('Control y Supuestos'!K$116:K124),FALSE)</f>
        <v>210597430.39564979</v>
      </c>
      <c r="L124" s="267">
        <f>+HLOOKUP(L$116,'EEFF proyectados'!$A$70:$EN$92,ROWS('Control y Supuestos'!L$116:L124),FALSE)</f>
        <v>210597430.39564979</v>
      </c>
    </row>
    <row r="125" spans="1:16" x14ac:dyDescent="0.25">
      <c r="A125" s="218" t="s">
        <v>413</v>
      </c>
      <c r="B125" s="301">
        <f>+HLOOKUP(B$116,'EEFF proyectados'!$A$70:$EN$92,ROWS('Control y Supuestos'!B$116:B125),FALSE)</f>
        <v>-29545479.449999809</v>
      </c>
      <c r="C125" s="301">
        <f>+HLOOKUP(C$116,'EEFF proyectados'!$A$70:$EN$92,ROWS('Control y Supuestos'!C$116:C125),FALSE)</f>
        <v>14674134.740000054</v>
      </c>
      <c r="D125" s="301">
        <f>+HLOOKUP(D$116,'EEFF proyectados'!$A$70:$EN$92,ROWS('Control y Supuestos'!D$116:D125),FALSE)</f>
        <v>-28344736.560000002</v>
      </c>
      <c r="E125" s="301">
        <f>+HLOOKUP(E$116,'EEFF proyectados'!$A$70:$EN$92,ROWS('Control y Supuestos'!E$116:E125),FALSE)</f>
        <v>-193825109.31999996</v>
      </c>
      <c r="F125" s="338">
        <f>+SUM('EEFF proyectados'!BO79:BT79)</f>
        <v>30128102.039999962</v>
      </c>
      <c r="G125" s="266">
        <f>+HLOOKUP(G$116,'EEFF proyectados'!$A$70:$EN$92,ROWS('Control y Supuestos'!G$116:G125),FALSE)</f>
        <v>30128102.039999962</v>
      </c>
      <c r="H125" s="266">
        <f>+HLOOKUP(H$116,'EEFF proyectados'!$A$70:$EN$92,ROWS('Control y Supuestos'!H$116:H125),FALSE)</f>
        <v>0</v>
      </c>
      <c r="I125" s="266">
        <f>+HLOOKUP(I$116,'EEFF proyectados'!$A$70:$EN$92,ROWS('Control y Supuestos'!I$116:I125),FALSE)</f>
        <v>0</v>
      </c>
      <c r="J125" s="266">
        <f>+HLOOKUP(J$116,'EEFF proyectados'!$A$70:$EN$92,ROWS('Control y Supuestos'!J$116:J125),FALSE)</f>
        <v>0</v>
      </c>
      <c r="K125" s="266">
        <f>+HLOOKUP(K$116,'EEFF proyectados'!$A$70:$EN$92,ROWS('Control y Supuestos'!K$116:K125),FALSE)</f>
        <v>0</v>
      </c>
      <c r="L125" s="266">
        <f>+HLOOKUP(L$116,'EEFF proyectados'!$A$70:$EN$92,ROWS('Control y Supuestos'!L$116:L125),FALSE)</f>
        <v>0</v>
      </c>
    </row>
    <row r="126" spans="1:16" x14ac:dyDescent="0.25">
      <c r="A126" s="218" t="s">
        <v>414</v>
      </c>
      <c r="B126" s="301">
        <f>+HLOOKUP(B$116,'EEFF proyectados'!$A$70:$EN$92,ROWS('Control y Supuestos'!B$116:B126),FALSE)</f>
        <v>51048265.089999996</v>
      </c>
      <c r="C126" s="301">
        <f>+HLOOKUP(C$116,'EEFF proyectados'!$A$70:$EN$92,ROWS('Control y Supuestos'!C$116:C126),FALSE)</f>
        <v>-1546238.75</v>
      </c>
      <c r="D126" s="301">
        <f>+HLOOKUP(D$116,'EEFF proyectados'!$A$70:$EN$92,ROWS('Control y Supuestos'!D$116:D126),FALSE)</f>
        <v>6260540.1699999925</v>
      </c>
      <c r="E126" s="301">
        <f>+HLOOKUP(E$116,'EEFF proyectados'!$A$70:$EN$92,ROWS('Control y Supuestos'!E$116:E126),FALSE)</f>
        <v>249564741.16999999</v>
      </c>
      <c r="F126" s="338">
        <f>+SUM('EEFF proyectados'!BO80:BT80)</f>
        <v>4297500.6899999976</v>
      </c>
      <c r="G126" s="266">
        <f>+HLOOKUP(G$116,'EEFF proyectados'!$A$70:$EN$92,ROWS('Control y Supuestos'!G$116:G126),FALSE)</f>
        <v>4297500.6899999976</v>
      </c>
      <c r="H126" s="266">
        <f>+HLOOKUP(H$116,'EEFF proyectados'!$A$70:$EN$92,ROWS('Control y Supuestos'!H$116:H126),FALSE)</f>
        <v>0</v>
      </c>
      <c r="I126" s="266">
        <f>+HLOOKUP(I$116,'EEFF proyectados'!$A$70:$EN$92,ROWS('Control y Supuestos'!I$116:I126),FALSE)</f>
        <v>0</v>
      </c>
      <c r="J126" s="266">
        <f>+HLOOKUP(J$116,'EEFF proyectados'!$A$70:$EN$92,ROWS('Control y Supuestos'!J$116:J126),FALSE)</f>
        <v>0</v>
      </c>
      <c r="K126" s="266">
        <f>+HLOOKUP(K$116,'EEFF proyectados'!$A$70:$EN$92,ROWS('Control y Supuestos'!K$116:K126),FALSE)</f>
        <v>0</v>
      </c>
      <c r="L126" s="266">
        <f>+HLOOKUP(L$116,'EEFF proyectados'!$A$70:$EN$92,ROWS('Control y Supuestos'!L$116:L126),FALSE)</f>
        <v>0</v>
      </c>
    </row>
    <row r="127" spans="1:16" x14ac:dyDescent="0.25">
      <c r="A127" s="218" t="s">
        <v>415</v>
      </c>
      <c r="B127" s="301" t="e">
        <f>+HLOOKUP(B$116,'EEFF proyectados'!$A$70:$EN$92,ROWS('Control y Supuestos'!B$116:B127),FALSE)</f>
        <v>#VALUE!</v>
      </c>
      <c r="C127" s="301">
        <f>+HLOOKUP(C$116,'EEFF proyectados'!$A$70:$EN$92,ROWS('Control y Supuestos'!C$116:C127),FALSE)</f>
        <v>-14263414.620003581</v>
      </c>
      <c r="D127" s="301">
        <f>+HLOOKUP(D$116,'EEFF proyectados'!$A$70:$EN$92,ROWS('Control y Supuestos'!D$116:D127),FALSE)</f>
        <v>-22508751.26000011</v>
      </c>
      <c r="E127" s="301">
        <f>+HLOOKUP(E$116,'EEFF proyectados'!$A$70:$EN$92,ROWS('Control y Supuestos'!E$116:E127),FALSE)</f>
        <v>-78513496.480000138</v>
      </c>
      <c r="F127" s="338">
        <f>+SUM('EEFF proyectados'!BO81:BT81)</f>
        <v>-106583602.19000006</v>
      </c>
      <c r="G127" s="266">
        <f>+HLOOKUP(G$116,'EEFF proyectados'!$A$70:$EN$92,ROWS('Control y Supuestos'!G$116:G127),FALSE)</f>
        <v>-126440542.94018745</v>
      </c>
      <c r="H127" s="266">
        <f>+HLOOKUP(H$116,'EEFF proyectados'!$A$70:$EN$92,ROWS('Control y Supuestos'!H$116:H127),FALSE)</f>
        <v>-117234849.82621193</v>
      </c>
      <c r="I127" s="266">
        <f>+HLOOKUP(I$116,'EEFF proyectados'!$A$70:$EN$92,ROWS('Control y Supuestos'!I$116:I127),FALSE)</f>
        <v>-125646711.45000029</v>
      </c>
      <c r="J127" s="266">
        <f>+HLOOKUP(J$116,'EEFF proyectados'!$A$70:$EN$92,ROWS('Control y Supuestos'!J$116:J127),FALSE)</f>
        <v>125646711.45000029</v>
      </c>
      <c r="K127" s="266">
        <f>+HLOOKUP(K$116,'EEFF proyectados'!$A$70:$EN$92,ROWS('Control y Supuestos'!K$116:K127),FALSE)</f>
        <v>-125646711.45000029</v>
      </c>
      <c r="L127" s="266">
        <f>+HLOOKUP(L$116,'EEFF proyectados'!$A$70:$EN$92,ROWS('Control y Supuestos'!L$116:L127),FALSE)</f>
        <v>-125646711.45000029</v>
      </c>
    </row>
    <row r="128" spans="1:16" ht="14.4" thickBot="1" x14ac:dyDescent="0.3">
      <c r="A128" s="219" t="s">
        <v>416</v>
      </c>
      <c r="B128" s="311" t="e">
        <f>+HLOOKUP(B$116,'EEFF proyectados'!$A$70:$EN$92,ROWS('Control y Supuestos'!B$116:B128),FALSE)</f>
        <v>#VALUE!</v>
      </c>
      <c r="C128" s="311">
        <f>+HLOOKUP(C$116,'EEFF proyectados'!$A$70:$EN$92,ROWS('Control y Supuestos'!C$116:C128),FALSE)</f>
        <v>-155460940.5900012</v>
      </c>
      <c r="D128" s="311">
        <f>+HLOOKUP(D$116,'EEFF proyectados'!$A$70:$EN$92,ROWS('Control y Supuestos'!D$116:D128),FALSE)</f>
        <v>-30430837.609999664</v>
      </c>
      <c r="E128" s="311">
        <f>+HLOOKUP(E$116,'EEFF proyectados'!$A$70:$EN$92,ROWS('Control y Supuestos'!E$116:E128),FALSE)</f>
        <v>137117019.97000033</v>
      </c>
      <c r="F128" s="345">
        <f>+SUM('EEFF proyectados'!BO82:BT82)</f>
        <v>-8564591.9599999711</v>
      </c>
      <c r="G128" s="281">
        <f>+HLOOKUP(G$116,'EEFF proyectados'!$A$70:$EN$92,ROWS('Control y Supuestos'!G$116:G128),FALSE)</f>
        <v>91811327.320336044</v>
      </c>
      <c r="H128" s="281">
        <f>+HLOOKUP(H$116,'EEFF proyectados'!$A$70:$EN$92,ROWS('Control y Supuestos'!H$116:H128),FALSE)</f>
        <v>43131721.787846833</v>
      </c>
      <c r="I128" s="281">
        <f>+HLOOKUP(I$116,'EEFF proyectados'!$A$70:$EN$92,ROWS('Control y Supuestos'!I$116:I128),FALSE)</f>
        <v>84950718.945649564</v>
      </c>
      <c r="J128" s="281">
        <f>+HLOOKUP(J$116,'EEFF proyectados'!$A$70:$EN$92,ROWS('Control y Supuestos'!J$116:J128),FALSE)</f>
        <v>336244141.84565008</v>
      </c>
      <c r="K128" s="281">
        <f>+HLOOKUP(K$116,'EEFF proyectados'!$A$70:$EN$92,ROWS('Control y Supuestos'!K$116:K128),FALSE)</f>
        <v>84950718.945649564</v>
      </c>
      <c r="L128" s="281">
        <f>+HLOOKUP(L$116,'EEFF proyectados'!$A$70:$EN$92,ROWS('Control y Supuestos'!L$116:L128),FALSE)</f>
        <v>84950718.945649564</v>
      </c>
    </row>
    <row r="129" spans="1:12" ht="14.4" thickTop="1" x14ac:dyDescent="0.25">
      <c r="A129" s="218"/>
      <c r="B129" s="301">
        <f>+HLOOKUP(B$116,'EEFF proyectados'!$A$70:$EN$92,ROWS('Control y Supuestos'!B$116:B129),FALSE)</f>
        <v>0</v>
      </c>
      <c r="C129" s="301"/>
      <c r="D129" s="301"/>
      <c r="E129" s="301"/>
      <c r="F129" s="338">
        <f>+SUM('EEFF proyectados'!BO83:BT83)</f>
        <v>0</v>
      </c>
      <c r="G129" s="266"/>
      <c r="H129" s="266"/>
      <c r="I129" s="266"/>
      <c r="J129" s="266"/>
      <c r="K129" s="266"/>
      <c r="L129" s="266"/>
    </row>
    <row r="130" spans="1:12" x14ac:dyDescent="0.25">
      <c r="A130" s="220" t="s">
        <v>417</v>
      </c>
      <c r="B130" s="301" t="e">
        <f>+HLOOKUP(B$116,'EEFF proyectados'!$A$70:$EN$92,ROWS('Control y Supuestos'!B$116:B130),FALSE)</f>
        <v>#VALUE!</v>
      </c>
      <c r="C130" s="301">
        <f>+HLOOKUP(C$116,'EEFF proyectados'!$A$70:$EN$92,ROWS('Control y Supuestos'!C$116:C130),FALSE)</f>
        <v>-15391491.740000129</v>
      </c>
      <c r="D130" s="301">
        <f>+HLOOKUP(D$116,'EEFF proyectados'!$A$70:$EN$92,ROWS('Control y Supuestos'!D$116:D130),FALSE)</f>
        <v>-7043723.2700000405</v>
      </c>
      <c r="E130" s="301">
        <f>+HLOOKUP(E$116,'EEFF proyectados'!$A$70:$EN$92,ROWS('Control y Supuestos'!E$116:E130),FALSE)</f>
        <v>-46558446.23999995</v>
      </c>
      <c r="F130" s="338">
        <f>+SUM('EEFF proyectados'!BO84:BT84)</f>
        <v>-160943.03000003099</v>
      </c>
      <c r="G130" s="266">
        <f>+HLOOKUP(G$116,'EEFF proyectados'!$A$70:$EN$92,ROWS('Control y Supuestos'!G$116:G130),FALSE)</f>
        <v>-6788209.2931004763</v>
      </c>
      <c r="H130" s="266">
        <f>+HLOOKUP(H$116,'EEFF proyectados'!$A$70:$EN$92,ROWS('Control y Supuestos'!H$116:H130),FALSE)</f>
        <v>-95908917.722185493</v>
      </c>
      <c r="I130" s="266">
        <f>+HLOOKUP(I$116,'EEFF proyectados'!$A$70:$EN$92,ROWS('Control y Supuestos'!I$116:I130),FALSE)</f>
        <v>-50385061.129885003</v>
      </c>
      <c r="J130" s="266">
        <f>+HLOOKUP(J$116,'EEFF proyectados'!$A$70:$EN$92,ROWS('Control y Supuestos'!J$116:J130),FALSE)</f>
        <v>-36756769.57688503</v>
      </c>
      <c r="K130" s="266">
        <f>+HLOOKUP(K$116,'EEFF proyectados'!$A$70:$EN$92,ROWS('Control y Supuestos'!K$116:K130),FALSE)</f>
        <v>-20513613.786040455</v>
      </c>
      <c r="L130" s="266">
        <f>+HLOOKUP(L$116,'EEFF proyectados'!$A$70:$EN$92,ROWS('Control y Supuestos'!L$116:L130),FALSE)</f>
        <v>-20054282.223755352</v>
      </c>
    </row>
    <row r="131" spans="1:12" x14ac:dyDescent="0.25">
      <c r="A131" s="221" t="s">
        <v>418</v>
      </c>
      <c r="B131" s="301">
        <f>+HLOOKUP(B$116,'EEFF proyectados'!$A$70:$EN$92,ROWS('Control y Supuestos'!B$116:B131),FALSE)</f>
        <v>0</v>
      </c>
      <c r="C131" s="301">
        <f>+HLOOKUP(C$116,'EEFF proyectados'!$A$70:$EN$92,ROWS('Control y Supuestos'!C$116:C131),FALSE)</f>
        <v>0</v>
      </c>
      <c r="D131" s="301">
        <f>+HLOOKUP(D$116,'EEFF proyectados'!$A$70:$EN$92,ROWS('Control y Supuestos'!D$116:D131),FALSE)</f>
        <v>0</v>
      </c>
      <c r="E131" s="301">
        <f>+HLOOKUP(E$116,'EEFF proyectados'!$A$70:$EN$92,ROWS('Control y Supuestos'!E$116:E131),FALSE)</f>
        <v>0</v>
      </c>
      <c r="F131" s="338">
        <f>+SUM('EEFF proyectados'!BO85:BT85)</f>
        <v>0</v>
      </c>
      <c r="G131" s="266">
        <f>+HLOOKUP(G$116,'EEFF proyectados'!$A$70:$EN$92,ROWS('Control y Supuestos'!G$116:G131),FALSE)</f>
        <v>0</v>
      </c>
      <c r="H131" s="266">
        <f>+HLOOKUP(H$116,'EEFF proyectados'!$A$70:$EN$92,ROWS('Control y Supuestos'!H$116:H131),FALSE)</f>
        <v>0</v>
      </c>
      <c r="I131" s="266">
        <f>+HLOOKUP(I$116,'EEFF proyectados'!$A$70:$EN$92,ROWS('Control y Supuestos'!I$116:I131),FALSE)</f>
        <v>0</v>
      </c>
      <c r="J131" s="266">
        <f>+HLOOKUP(J$116,'EEFF proyectados'!$A$70:$EN$92,ROWS('Control y Supuestos'!J$116:J131),FALSE)</f>
        <v>0</v>
      </c>
      <c r="K131" s="266">
        <f>+HLOOKUP(K$116,'EEFF proyectados'!$A$70:$EN$92,ROWS('Control y Supuestos'!K$116:K131),FALSE)</f>
        <v>0</v>
      </c>
      <c r="L131" s="266">
        <f>+HLOOKUP(L$116,'EEFF proyectados'!$A$70:$EN$92,ROWS('Control y Supuestos'!L$116:L131),FALSE)</f>
        <v>0</v>
      </c>
    </row>
    <row r="132" spans="1:12" x14ac:dyDescent="0.25">
      <c r="A132" s="221" t="s">
        <v>419</v>
      </c>
      <c r="B132" s="301">
        <f>+HLOOKUP(B$116,'EEFF proyectados'!$A$70:$EN$92,ROWS('Control y Supuestos'!B$116:B132),FALSE)</f>
        <v>-17950957.029999997</v>
      </c>
      <c r="C132" s="301">
        <f>+HLOOKUP(C$116,'EEFF proyectados'!$A$70:$EN$92,ROWS('Control y Supuestos'!C$116:C132),FALSE)</f>
        <v>-17071404.710000001</v>
      </c>
      <c r="D132" s="301">
        <f>+HLOOKUP(D$116,'EEFF proyectados'!$A$70:$EN$92,ROWS('Control y Supuestos'!D$116:D132),FALSE)</f>
        <v>-18126967.969999999</v>
      </c>
      <c r="E132" s="301">
        <f>+HLOOKUP(E$116,'EEFF proyectados'!$A$70:$EN$92,ROWS('Control y Supuestos'!E$116:E132),FALSE)</f>
        <v>-18495852.939999998</v>
      </c>
      <c r="F132" s="338">
        <f>+SUM('EEFF proyectados'!BO86:BT86)</f>
        <v>-6908392.1200000001</v>
      </c>
      <c r="G132" s="266">
        <f>+HLOOKUP(G$116,'EEFF proyectados'!$A$70:$EN$92,ROWS('Control y Supuestos'!G$116:G132),FALSE)</f>
        <v>-14730767.332785394</v>
      </c>
      <c r="H132" s="266">
        <f>+HLOOKUP(H$116,'EEFF proyectados'!$A$70:$EN$92,ROWS('Control y Supuestos'!H$116:H132),FALSE)</f>
        <v>-13361947.388950888</v>
      </c>
      <c r="I132" s="266">
        <f>+HLOOKUP(I$116,'EEFF proyectados'!$A$70:$EN$92,ROWS('Control y Supuestos'!I$116:I132),FALSE)</f>
        <v>-10015477.2617011</v>
      </c>
      <c r="J132" s="266">
        <f>+HLOOKUP(J$116,'EEFF proyectados'!$A$70:$EN$92,ROWS('Control y Supuestos'!J$116:J132),FALSE)</f>
        <v>-7201817.4220498949</v>
      </c>
      <c r="K132" s="266">
        <f>+HLOOKUP(K$116,'EEFF proyectados'!$A$70:$EN$92,ROWS('Control y Supuestos'!K$116:K132),FALSE)</f>
        <v>-4625284.1236465694</v>
      </c>
      <c r="L132" s="266">
        <f>+HLOOKUP(L$116,'EEFF proyectados'!$A$70:$EN$92,ROWS('Control y Supuestos'!L$116:L132),FALSE)</f>
        <v>-2353267.3104510382</v>
      </c>
    </row>
    <row r="133" spans="1:12" x14ac:dyDescent="0.25">
      <c r="A133" s="218" t="s">
        <v>423</v>
      </c>
      <c r="B133" s="301">
        <f>+HLOOKUP(B$116,'EEFF proyectados'!$A$70:$EN$92,ROWS('Control y Supuestos'!B$116:B133),FALSE)</f>
        <v>0</v>
      </c>
      <c r="C133" s="301">
        <f>+HLOOKUP(C$116,'EEFF proyectados'!$A$70:$EN$92,ROWS('Control y Supuestos'!C$116:C133),FALSE)</f>
        <v>0</v>
      </c>
      <c r="D133" s="301">
        <f>+HLOOKUP(D$116,'EEFF proyectados'!$A$70:$EN$92,ROWS('Control y Supuestos'!D$116:D133),FALSE)</f>
        <v>0</v>
      </c>
      <c r="E133" s="301">
        <f>+HLOOKUP(E$116,'EEFF proyectados'!$A$70:$EN$92,ROWS('Control y Supuestos'!E$116:E133),FALSE)</f>
        <v>0</v>
      </c>
      <c r="F133" s="338">
        <f>+SUM('EEFF proyectados'!BO87:BT87)</f>
        <v>0</v>
      </c>
      <c r="G133" s="266">
        <f>+HLOOKUP(G$116,'EEFF proyectados'!$A$70:$EN$92,ROWS('Control y Supuestos'!G$116:G133),FALSE)</f>
        <v>0</v>
      </c>
      <c r="H133" s="266">
        <f>+HLOOKUP(H$116,'EEFF proyectados'!$A$70:$EN$92,ROWS('Control y Supuestos'!H$116:H133),FALSE)</f>
        <v>0</v>
      </c>
      <c r="I133" s="266">
        <f>+HLOOKUP(I$116,'EEFF proyectados'!$A$70:$EN$92,ROWS('Control y Supuestos'!I$116:I133),FALSE)</f>
        <v>0</v>
      </c>
      <c r="J133" s="266">
        <f>+HLOOKUP(J$116,'EEFF proyectados'!$A$70:$EN$92,ROWS('Control y Supuestos'!J$116:J133),FALSE)</f>
        <v>0</v>
      </c>
      <c r="K133" s="266">
        <f>+HLOOKUP(K$116,'EEFF proyectados'!$A$70:$EN$92,ROWS('Control y Supuestos'!K$116:K133),FALSE)</f>
        <v>0</v>
      </c>
      <c r="L133" s="266">
        <f>+HLOOKUP(L$116,'EEFF proyectados'!$A$70:$EN$92,ROWS('Control y Supuestos'!L$116:L133),FALSE)</f>
        <v>0</v>
      </c>
    </row>
    <row r="134" spans="1:12" x14ac:dyDescent="0.25">
      <c r="A134" s="218" t="s">
        <v>611</v>
      </c>
      <c r="B134" s="301">
        <f>+HLOOKUP(B$116,'EEFF proyectados'!$A$70:$EN$92,ROWS('Control y Supuestos'!B$116:B134),FALSE)</f>
        <v>0</v>
      </c>
      <c r="C134" s="301">
        <f>+HLOOKUP(C$116,'EEFF proyectados'!$A$70:$EN$92,ROWS('Control y Supuestos'!C$116:C134),FALSE)</f>
        <v>0</v>
      </c>
      <c r="D134" s="301">
        <f>+HLOOKUP(D$116,'EEFF proyectados'!$A$70:$EN$92,ROWS('Control y Supuestos'!D$116:D134),FALSE)</f>
        <v>49067394.210000575</v>
      </c>
      <c r="E134" s="301">
        <f>+HLOOKUP(E$116,'EEFF proyectados'!$A$70:$EN$92,ROWS('Control y Supuestos'!E$116:E134),FALSE)</f>
        <v>-65763904.110000551</v>
      </c>
      <c r="F134" s="338">
        <f>+SUM('EEFF proyectados'!BO88:BT88)</f>
        <v>44200180.059999943</v>
      </c>
      <c r="G134" s="266">
        <f>+HLOOKUP(G$116,'EEFF proyectados'!$A$70:$EN$92,ROWS('Control y Supuestos'!G$116:G134),FALSE)</f>
        <v>44200180.059999824</v>
      </c>
      <c r="H134" s="266">
        <f>+HLOOKUP(H$116,'EEFF proyectados'!$A$70:$EN$92,ROWS('Control y Supuestos'!H$116:H134),FALSE)</f>
        <v>1.1920928955078125E-7</v>
      </c>
      <c r="I134" s="266">
        <f>+HLOOKUP(I$116,'EEFF proyectados'!$A$70:$EN$92,ROWS('Control y Supuestos'!I$116:I134),FALSE)</f>
        <v>2.384185791015625E-7</v>
      </c>
      <c r="J134" s="266">
        <f>+HLOOKUP(J$116,'EEFF proyectados'!$A$70:$EN$92,ROWS('Control y Supuestos'!J$116:J134),FALSE)</f>
        <v>0</v>
      </c>
      <c r="K134" s="266">
        <f>+HLOOKUP(K$116,'EEFF proyectados'!$A$70:$EN$92,ROWS('Control y Supuestos'!K$116:K134),FALSE)</f>
        <v>0</v>
      </c>
      <c r="L134" s="266">
        <f>+HLOOKUP(L$116,'EEFF proyectados'!$A$70:$EN$92,ROWS('Control y Supuestos'!L$116:L134),FALSE)</f>
        <v>1.1920928955078125E-7</v>
      </c>
    </row>
    <row r="135" spans="1:12" x14ac:dyDescent="0.25">
      <c r="A135" s="218" t="s">
        <v>420</v>
      </c>
      <c r="B135" s="301">
        <f>+HLOOKUP(B$116,'EEFF proyectados'!$A$70:$EN$92,ROWS('Control y Supuestos'!B$116:B135),FALSE)</f>
        <v>0</v>
      </c>
      <c r="C135" s="301">
        <f>+HLOOKUP(C$116,'EEFF proyectados'!$A$70:$EN$92,ROWS('Control y Supuestos'!C$116:C135),FALSE)</f>
        <v>0</v>
      </c>
      <c r="D135" s="301">
        <f>+HLOOKUP(D$116,'EEFF proyectados'!$A$70:$EN$92,ROWS('Control y Supuestos'!D$116:D135),FALSE)</f>
        <v>0</v>
      </c>
      <c r="E135" s="301">
        <f>+HLOOKUP(E$116,'EEFF proyectados'!$A$70:$EN$92,ROWS('Control y Supuestos'!E$116:E135),FALSE)</f>
        <v>0</v>
      </c>
      <c r="F135" s="338">
        <f>+SUM('EEFF proyectados'!BO89:BT89)</f>
        <v>0</v>
      </c>
      <c r="G135" s="266">
        <f>+HLOOKUP(G$116,'EEFF proyectados'!$A$70:$EN$92,ROWS('Control y Supuestos'!G$116:G135),FALSE)</f>
        <v>0</v>
      </c>
      <c r="H135" s="266">
        <f>+HLOOKUP(H$116,'EEFF proyectados'!$A$70:$EN$92,ROWS('Control y Supuestos'!H$116:H135),FALSE)</f>
        <v>0</v>
      </c>
      <c r="I135" s="266">
        <f>+HLOOKUP(I$116,'EEFF proyectados'!$A$70:$EN$92,ROWS('Control y Supuestos'!I$116:I135),FALSE)</f>
        <v>0</v>
      </c>
      <c r="J135" s="266">
        <f>+HLOOKUP(J$116,'EEFF proyectados'!$A$70:$EN$92,ROWS('Control y Supuestos'!J$116:J135),FALSE)</f>
        <v>0</v>
      </c>
      <c r="K135" s="266">
        <f>+HLOOKUP(K$116,'EEFF proyectados'!$A$70:$EN$92,ROWS('Control y Supuestos'!K$116:K135),FALSE)</f>
        <v>0</v>
      </c>
      <c r="L135" s="266">
        <f>+HLOOKUP(L$116,'EEFF proyectados'!$A$70:$EN$92,ROWS('Control y Supuestos'!L$116:L135),FALSE)</f>
        <v>0</v>
      </c>
    </row>
    <row r="136" spans="1:12" x14ac:dyDescent="0.25">
      <c r="A136" s="222" t="s">
        <v>421</v>
      </c>
      <c r="B136" s="312" t="e">
        <f>+HLOOKUP(B$116,'EEFF proyectados'!$A$70:$EN$92,ROWS('Control y Supuestos'!B$116:B136),FALSE)</f>
        <v>#VALUE!</v>
      </c>
      <c r="C136" s="312">
        <f>+HLOOKUP(C$116,'EEFF proyectados'!$A$70:$EN$92,ROWS('Control y Supuestos'!C$116:C136),FALSE)</f>
        <v>-32462896.45000013</v>
      </c>
      <c r="D136" s="312">
        <f>+HLOOKUP(D$116,'EEFF proyectados'!$A$70:$EN$92,ROWS('Control y Supuestos'!D$116:D136),FALSE)</f>
        <v>23896702.970000535</v>
      </c>
      <c r="E136" s="312">
        <f>+HLOOKUP(E$116,'EEFF proyectados'!$A$70:$EN$92,ROWS('Control y Supuestos'!E$116:E136),FALSE)</f>
        <v>-130818203.2900005</v>
      </c>
      <c r="F136" s="400">
        <f>+SUM('EEFF proyectados'!BO90:BT90)</f>
        <v>37130844.909999907</v>
      </c>
      <c r="G136" s="282">
        <f>+HLOOKUP(G$116,'EEFF proyectados'!$A$70:$EN$92,ROWS('Control y Supuestos'!G$116:G136),FALSE)</f>
        <v>22681203.434113953</v>
      </c>
      <c r="H136" s="282">
        <f>+HLOOKUP(H$116,'EEFF proyectados'!$A$70:$EN$92,ROWS('Control y Supuestos'!H$116:H136),FALSE)</f>
        <v>-109270865.11113626</v>
      </c>
      <c r="I136" s="282">
        <f>+HLOOKUP(I$116,'EEFF proyectados'!$A$70:$EN$92,ROWS('Control y Supuestos'!I$116:I136),FALSE)</f>
        <v>-60400538.391585857</v>
      </c>
      <c r="J136" s="282">
        <f>+HLOOKUP(J$116,'EEFF proyectados'!$A$70:$EN$92,ROWS('Control y Supuestos'!J$116:J136),FALSE)</f>
        <v>-43958586.998934932</v>
      </c>
      <c r="K136" s="282">
        <f>+HLOOKUP(K$116,'EEFF proyectados'!$A$70:$EN$92,ROWS('Control y Supuestos'!K$116:K136),FALSE)</f>
        <v>-25138897.909687027</v>
      </c>
      <c r="L136" s="282">
        <f>+HLOOKUP(L$116,'EEFF proyectados'!$A$70:$EN$92,ROWS('Control y Supuestos'!L$116:L136),FALSE)</f>
        <v>-22407549.534206271</v>
      </c>
    </row>
    <row r="137" spans="1:12" x14ac:dyDescent="0.25">
      <c r="A137" s="218"/>
      <c r="B137" s="301">
        <f>+HLOOKUP(B$116,'EEFF proyectados'!$A$70:$EN$92,ROWS('Control y Supuestos'!B$116:B137),FALSE)</f>
        <v>0</v>
      </c>
      <c r="C137" s="301">
        <f>+HLOOKUP(C$116,'EEFF proyectados'!$A$70:$EN$92,ROWS('Control y Supuestos'!C$116:C137),FALSE)</f>
        <v>0</v>
      </c>
      <c r="D137" s="301"/>
      <c r="E137" s="301"/>
      <c r="F137" s="338">
        <f>+SUM('EEFF proyectados'!BO91:BT91)</f>
        <v>0</v>
      </c>
      <c r="G137" s="266"/>
      <c r="H137" s="266"/>
      <c r="I137" s="266"/>
      <c r="J137" s="266"/>
      <c r="K137" s="266"/>
      <c r="L137" s="266"/>
    </row>
    <row r="138" spans="1:12" ht="14.4" thickBot="1" x14ac:dyDescent="0.3">
      <c r="A138" s="223" t="s">
        <v>422</v>
      </c>
      <c r="B138" s="311" t="e">
        <f>+HLOOKUP(B$116,'EEFF proyectados'!$A$70:$EN$92,ROWS('Control y Supuestos'!B$116:B138),FALSE)</f>
        <v>#VALUE!</v>
      </c>
      <c r="C138" s="311">
        <f>+HLOOKUP(C$116,'EEFF proyectados'!$A$70:$EN$92,ROWS('Control y Supuestos'!C$116:C138),FALSE)</f>
        <v>-187923837.04000136</v>
      </c>
      <c r="D138" s="311">
        <f>+HLOOKUP(D$116,'EEFF proyectados'!$A$70:$EN$92,ROWS('Control y Supuestos'!D$116:D138),FALSE)</f>
        <v>-6534134.6399991252</v>
      </c>
      <c r="E138" s="311">
        <f>+HLOOKUP(E$116,'EEFF proyectados'!$A$70:$EN$92,ROWS('Control y Supuestos'!E$116:E138),FALSE)</f>
        <v>6298816.679999874</v>
      </c>
      <c r="F138" s="345">
        <f>+SUM('EEFF proyectados'!BO92:BT92)</f>
        <v>28566252.94999994</v>
      </c>
      <c r="G138" s="281">
        <f>+HLOOKUP(G$116,'EEFF proyectados'!$A$70:$EN$92,ROWS('Control y Supuestos'!G$116:G138),FALSE)</f>
        <v>114492530.75445001</v>
      </c>
      <c r="H138" s="281">
        <f>+HLOOKUP(H$116,'EEFF proyectados'!$A$70:$EN$92,ROWS('Control y Supuestos'!H$116:H138),FALSE)</f>
        <v>-66139143.323289432</v>
      </c>
      <c r="I138" s="281">
        <f>+HLOOKUP(I$116,'EEFF proyectados'!$A$70:$EN$92,ROWS('Control y Supuestos'!I$116:I138),FALSE)</f>
        <v>24550180.5540637</v>
      </c>
      <c r="J138" s="281">
        <f>+HLOOKUP(J$116,'EEFF proyectados'!$A$70:$EN$92,ROWS('Control y Supuestos'!J$116:J138),FALSE)</f>
        <v>292285554.84671521</v>
      </c>
      <c r="K138" s="281">
        <f>+HLOOKUP(K$116,'EEFF proyectados'!$A$70:$EN$92,ROWS('Control y Supuestos'!K$116:K138),FALSE)</f>
        <v>59811821.035962544</v>
      </c>
      <c r="L138" s="281">
        <f>+HLOOKUP(L$116,'EEFF proyectados'!$A$70:$EN$92,ROWS('Control y Supuestos'!L$116:L138),FALSE)</f>
        <v>62543169.411443278</v>
      </c>
    </row>
    <row r="139" spans="1:12" ht="14.4" thickTop="1" x14ac:dyDescent="0.25">
      <c r="B139" s="313"/>
      <c r="C139" s="313"/>
      <c r="D139" s="313"/>
      <c r="E139" s="313"/>
      <c r="F139" s="401"/>
      <c r="G139" s="214"/>
      <c r="H139" s="214"/>
      <c r="I139" s="214"/>
      <c r="J139" s="214"/>
      <c r="K139" s="214"/>
      <c r="L139" s="214"/>
    </row>
    <row r="140" spans="1:12" ht="14.4" thickBot="1" x14ac:dyDescent="0.3">
      <c r="A140" s="392" t="s">
        <v>255</v>
      </c>
      <c r="B140" s="393"/>
      <c r="C140" s="311">
        <f>+C138+B75</f>
        <v>-175495976.99000159</v>
      </c>
      <c r="D140" s="311">
        <f>+D138+C75</f>
        <v>5632242.2300003115</v>
      </c>
      <c r="E140" s="311">
        <f>+E138+D75</f>
        <v>11931058.909999896</v>
      </c>
      <c r="F140" s="345">
        <f>E140+F138</f>
        <v>40497311.859999835</v>
      </c>
      <c r="G140" s="281">
        <f>+G138+E75</f>
        <v>126423589.66445</v>
      </c>
      <c r="H140" s="281">
        <f>+H138+G75</f>
        <v>60284446.341160633</v>
      </c>
      <c r="I140" s="281">
        <f>+I138+H75</f>
        <v>84834626.895224348</v>
      </c>
      <c r="J140" s="281">
        <f>+J138+I75</f>
        <v>377120181.74193954</v>
      </c>
      <c r="K140" s="281">
        <f>+K138+J75</f>
        <v>436932002.77790213</v>
      </c>
      <c r="L140" s="281">
        <f>+L138+K75</f>
        <v>499475172.18934554</v>
      </c>
    </row>
    <row r="141" spans="1:12" ht="14.4" thickTop="1" x14ac:dyDescent="0.25"/>
    <row r="142" spans="1:12" x14ac:dyDescent="0.25">
      <c r="A142" s="194" t="s">
        <v>89</v>
      </c>
      <c r="C142" s="301">
        <f>+C138+B75-C75</f>
        <v>-187662353.86000103</v>
      </c>
      <c r="D142" s="301">
        <f>+D138+C75-D75</f>
        <v>2.905726432800293E-7</v>
      </c>
      <c r="E142" s="301">
        <f>+E138+D75-E75</f>
        <v>-1.0430812835693359E-7</v>
      </c>
      <c r="F142" s="266">
        <f>+F138+E75-F75</f>
        <v>-5.9604644775390625E-8</v>
      </c>
      <c r="G142" s="396">
        <f>+G138+E75-G75</f>
        <v>0</v>
      </c>
      <c r="H142" s="396">
        <f>+H138+G75-H75</f>
        <v>0</v>
      </c>
      <c r="I142" s="396">
        <f>+I138+H75-I75</f>
        <v>0</v>
      </c>
      <c r="J142" s="396">
        <f>+J138+I75-J75</f>
        <v>0</v>
      </c>
      <c r="K142" s="396">
        <f>+K138+J75-K75</f>
        <v>0</v>
      </c>
      <c r="L142" s="396">
        <f>+L138+K75-L75</f>
        <v>0</v>
      </c>
    </row>
    <row r="154" spans="1:7" x14ac:dyDescent="0.25">
      <c r="B154" s="314">
        <v>44621</v>
      </c>
      <c r="C154" s="314">
        <v>44986</v>
      </c>
      <c r="D154" s="402">
        <v>45352</v>
      </c>
      <c r="E154" s="402">
        <v>45717</v>
      </c>
      <c r="F154" s="403">
        <f>+F116</f>
        <v>45901</v>
      </c>
      <c r="G154" s="516">
        <v>46082</v>
      </c>
    </row>
    <row r="155" spans="1:7" x14ac:dyDescent="0.25">
      <c r="A155" s="283" t="s">
        <v>446</v>
      </c>
      <c r="B155" s="315">
        <v>44621</v>
      </c>
      <c r="C155" s="315">
        <v>44986</v>
      </c>
      <c r="D155" s="404">
        <v>45352</v>
      </c>
      <c r="E155" s="404">
        <v>45717</v>
      </c>
      <c r="F155" s="405"/>
      <c r="G155" s="517">
        <v>46082</v>
      </c>
    </row>
    <row r="156" spans="1:7" x14ac:dyDescent="0.25">
      <c r="A156" s="284"/>
      <c r="B156" s="316"/>
      <c r="C156" s="316"/>
      <c r="D156" s="406"/>
      <c r="E156" s="406"/>
      <c r="F156" s="407"/>
      <c r="G156" s="518"/>
    </row>
    <row r="157" spans="1:7" x14ac:dyDescent="0.25">
      <c r="A157" s="197" t="s">
        <v>436</v>
      </c>
      <c r="B157" s="317"/>
      <c r="C157" s="317"/>
      <c r="D157" s="317"/>
      <c r="E157" s="317"/>
      <c r="F157" s="408"/>
      <c r="G157" s="519"/>
    </row>
    <row r="158" spans="1:7" x14ac:dyDescent="0.25">
      <c r="A158" s="194" t="s">
        <v>429</v>
      </c>
      <c r="B158" s="305">
        <f t="shared" ref="B158:G158" si="13">+B56</f>
        <v>352150986.33999997</v>
      </c>
      <c r="C158" s="305">
        <f t="shared" si="13"/>
        <v>418155960.5399999</v>
      </c>
      <c r="D158" s="305">
        <f t="shared" si="13"/>
        <v>437764618.10999995</v>
      </c>
      <c r="E158" s="305">
        <f t="shared" si="13"/>
        <v>432122176.53999996</v>
      </c>
      <c r="F158" s="341">
        <f t="shared" si="13"/>
        <v>250381868.81</v>
      </c>
      <c r="G158" s="520">
        <f t="shared" si="13"/>
        <v>506368825.25848955</v>
      </c>
    </row>
    <row r="159" spans="1:7" x14ac:dyDescent="0.25">
      <c r="A159" s="194" t="s">
        <v>430</v>
      </c>
      <c r="B159" s="305">
        <f>+AVERAGEIF('EEFF proyectados'!2:2,'Control y Supuestos'!B1,'EEFF proyectados'!5:5)</f>
        <v>27552041.147333331</v>
      </c>
      <c r="C159" s="305">
        <f>+AVERAGEIF('EEFF proyectados'!2:2,'Control y Supuestos'!C1,'EEFF proyectados'!5:5)</f>
        <v>34846330.044999994</v>
      </c>
      <c r="D159" s="305">
        <f>+AVERAGEIF('EEFF proyectados'!2:2,'Control y Supuestos'!D1,'EEFF proyectados'!5:5)</f>
        <v>36480384.842499994</v>
      </c>
      <c r="E159" s="305">
        <f>+AVERAGEIF('EEFF proyectados'!2:2,'Control y Supuestos'!E1,'EEFF proyectados'!5:5)</f>
        <v>36010181.37833333</v>
      </c>
      <c r="F159" s="341">
        <f>AVERAGE('EEFF proyectados'!BO5:BT5)</f>
        <v>41730311.468333334</v>
      </c>
      <c r="G159" s="520">
        <f>+AVERAGEIF('EEFF proyectados'!2:2,'Control y Supuestos'!G1,'EEFF proyectados'!5:5)</f>
        <v>42197402.104874127</v>
      </c>
    </row>
    <row r="160" spans="1:7" x14ac:dyDescent="0.25">
      <c r="A160" s="194" t="s">
        <v>435</v>
      </c>
      <c r="B160" s="318"/>
      <c r="C160" s="318">
        <f>+C159/B159-1</f>
        <v>0.26474586251743637</v>
      </c>
      <c r="D160" s="409">
        <f>+D159/C159-1</f>
        <v>4.6893167670449376E-2</v>
      </c>
      <c r="E160" s="409">
        <f>+E159/D159-1</f>
        <v>-1.2889213373069253E-2</v>
      </c>
      <c r="F160" s="410">
        <f>+F159/E159-1</f>
        <v>0.15884757785312642</v>
      </c>
      <c r="G160" s="521">
        <f>+G159/E159-1</f>
        <v>0.17181864932964586</v>
      </c>
    </row>
    <row r="161" spans="1:7" x14ac:dyDescent="0.25">
      <c r="A161" s="194" t="s">
        <v>598</v>
      </c>
      <c r="B161" s="318"/>
      <c r="C161" s="318">
        <f>C66/C108</f>
        <v>-6.9357010266359841E-3</v>
      </c>
      <c r="D161" s="318">
        <f t="shared" ref="D161:G161" si="14">D66/D108</f>
        <v>2.1111769870845645E-3</v>
      </c>
      <c r="E161" s="318">
        <f t="shared" si="14"/>
        <v>-2.7202610306388864E-2</v>
      </c>
      <c r="F161" s="410">
        <f t="shared" si="14"/>
        <v>7.5648318017427288E-2</v>
      </c>
      <c r="G161" s="521">
        <f t="shared" si="14"/>
        <v>8.3854136868455387E-2</v>
      </c>
    </row>
    <row r="162" spans="1:7" x14ac:dyDescent="0.25">
      <c r="A162" s="194" t="s">
        <v>599</v>
      </c>
      <c r="B162" s="318"/>
      <c r="C162" s="318">
        <f>C66/C86</f>
        <v>-3.0814996013118906E-3</v>
      </c>
      <c r="D162" s="318">
        <f t="shared" ref="D162:G162" si="15">D66/D86</f>
        <v>8.8793403860232777E-4</v>
      </c>
      <c r="E162" s="318">
        <f t="shared" si="15"/>
        <v>-1.0934688042396742E-2</v>
      </c>
      <c r="F162" s="410">
        <f t="shared" si="15"/>
        <v>3.4263254109413339E-2</v>
      </c>
      <c r="G162" s="521">
        <f t="shared" si="15"/>
        <v>3.7860555879327212E-2</v>
      </c>
    </row>
    <row r="163" spans="1:7" x14ac:dyDescent="0.25">
      <c r="A163" s="194" t="s">
        <v>431</v>
      </c>
      <c r="B163" s="318">
        <f t="shared" ref="B163:F163" si="16">+B58/B56</f>
        <v>0.28935564590927781</v>
      </c>
      <c r="C163" s="318">
        <f t="shared" si="16"/>
        <v>0.24991674232036495</v>
      </c>
      <c r="D163" s="409">
        <f t="shared" si="16"/>
        <v>0.25297343343580353</v>
      </c>
      <c r="E163" s="409">
        <f t="shared" si="16"/>
        <v>0.20082273484514648</v>
      </c>
      <c r="F163" s="410">
        <f t="shared" si="16"/>
        <v>0.36792613621677994</v>
      </c>
      <c r="G163" s="521" t="s">
        <v>663</v>
      </c>
    </row>
    <row r="164" spans="1:7" x14ac:dyDescent="0.25">
      <c r="A164" s="194" t="s">
        <v>432</v>
      </c>
      <c r="B164" s="318">
        <f t="shared" ref="B164:G164" si="17">+(B62+B121)/B56</f>
        <v>0.21819047289510049</v>
      </c>
      <c r="C164" s="318">
        <f>+(C62+C121)/C56</f>
        <v>0.17416828129378348</v>
      </c>
      <c r="D164" s="409">
        <f t="shared" si="17"/>
        <v>0.18338524279691351</v>
      </c>
      <c r="E164" s="409">
        <f t="shared" si="17"/>
        <v>0.17238905363863996</v>
      </c>
      <c r="F164" s="410">
        <f t="shared" si="17"/>
        <v>0.46803084523235178</v>
      </c>
      <c r="G164" s="521">
        <f t="shared" si="17"/>
        <v>0.41112699649361412</v>
      </c>
    </row>
    <row r="165" spans="1:7" x14ac:dyDescent="0.25">
      <c r="A165" s="194" t="s">
        <v>433</v>
      </c>
      <c r="B165" s="318">
        <f t="shared" ref="B165:G165" si="18">+B64/B56</f>
        <v>5.4412570696308393E-2</v>
      </c>
      <c r="C165" s="318">
        <f t="shared" si="18"/>
        <v>3.792497535972069E-2</v>
      </c>
      <c r="D165" s="409">
        <f t="shared" si="18"/>
        <v>4.6876868186828985E-2</v>
      </c>
      <c r="E165" s="409">
        <f t="shared" si="18"/>
        <v>1.3580438817068616E-2</v>
      </c>
      <c r="F165" s="410">
        <f t="shared" si="18"/>
        <v>0.21434871037218053</v>
      </c>
      <c r="G165" s="521">
        <f t="shared" si="18"/>
        <v>0.13390321852678133</v>
      </c>
    </row>
    <row r="166" spans="1:7" x14ac:dyDescent="0.25">
      <c r="A166" s="256" t="s">
        <v>434</v>
      </c>
      <c r="B166" s="319">
        <f t="shared" ref="B166:G166" si="19">+B66/B56</f>
        <v>9.4669556790087182E-3</v>
      </c>
      <c r="C166" s="319">
        <f t="shared" si="19"/>
        <v>-7.4196552310136941E-3</v>
      </c>
      <c r="D166" s="411">
        <f t="shared" si="19"/>
        <v>2.1699029814266774E-3</v>
      </c>
      <c r="E166" s="411">
        <f t="shared" si="19"/>
        <v>-3.0089238104160192E-2</v>
      </c>
      <c r="F166" s="412">
        <f>+F66/F56</f>
        <v>0.17067786634514173</v>
      </c>
      <c r="G166" s="522">
        <f t="shared" si="19"/>
        <v>9.4386731879312333E-2</v>
      </c>
    </row>
    <row r="167" spans="1:7" x14ac:dyDescent="0.25">
      <c r="A167" s="197" t="s">
        <v>437</v>
      </c>
      <c r="B167" s="317"/>
      <c r="C167" s="317"/>
      <c r="D167" s="317"/>
      <c r="E167" s="317"/>
      <c r="F167" s="408"/>
      <c r="G167" s="519"/>
    </row>
    <row r="168" spans="1:7" x14ac:dyDescent="0.25">
      <c r="A168" s="196" t="s">
        <v>573</v>
      </c>
      <c r="B168" s="289">
        <f t="shared" ref="B168:B173" si="20">+B21</f>
        <v>37.712287378425245</v>
      </c>
      <c r="C168" s="289">
        <f>+C21</f>
        <v>70.206160171288062</v>
      </c>
      <c r="D168" s="289">
        <f>+D21</f>
        <v>174.52361135534349</v>
      </c>
      <c r="E168" s="289">
        <f>+E21</f>
        <v>128.17004637558378</v>
      </c>
      <c r="F168" s="328">
        <f>+F21</f>
        <v>108.22230608623758</v>
      </c>
      <c r="G168" s="236">
        <f>+G21</f>
        <v>106</v>
      </c>
    </row>
    <row r="169" spans="1:7" x14ac:dyDescent="0.25">
      <c r="A169" s="196" t="s">
        <v>502</v>
      </c>
      <c r="B169" s="289">
        <f t="shared" si="20"/>
        <v>121.79868407670222</v>
      </c>
      <c r="C169" s="289">
        <f t="shared" ref="C169:E173" si="21">+C22</f>
        <v>90.988405605602395</v>
      </c>
      <c r="D169" s="289">
        <f t="shared" si="21"/>
        <v>0</v>
      </c>
      <c r="E169" s="289">
        <f t="shared" si="21"/>
        <v>0</v>
      </c>
      <c r="F169" s="328">
        <f t="shared" ref="F169:G173" si="22">+F22</f>
        <v>0</v>
      </c>
      <c r="G169" s="236">
        <f t="shared" si="22"/>
        <v>0</v>
      </c>
    </row>
    <row r="170" spans="1:7" x14ac:dyDescent="0.25">
      <c r="A170" s="196" t="s">
        <v>503</v>
      </c>
      <c r="B170" s="289">
        <f t="shared" si="20"/>
        <v>294.07237345797523</v>
      </c>
      <c r="C170" s="289">
        <f t="shared" si="21"/>
        <v>197.00052019263978</v>
      </c>
      <c r="D170" s="289">
        <f t="shared" si="21"/>
        <v>200.84048115541935</v>
      </c>
      <c r="E170" s="289">
        <f t="shared" si="21"/>
        <v>135.59969893268124</v>
      </c>
      <c r="F170" s="328">
        <f t="shared" si="22"/>
        <v>158.37773058836657</v>
      </c>
      <c r="G170" s="236">
        <f t="shared" si="22"/>
        <v>122</v>
      </c>
    </row>
    <row r="171" spans="1:7" x14ac:dyDescent="0.25">
      <c r="A171" s="196" t="s">
        <v>574</v>
      </c>
      <c r="B171" s="289">
        <f t="shared" si="20"/>
        <v>94.334219212236349</v>
      </c>
      <c r="C171" s="289">
        <f t="shared" si="21"/>
        <v>68.289733530835605</v>
      </c>
      <c r="D171" s="289">
        <f t="shared" si="21"/>
        <v>104.77079065131217</v>
      </c>
      <c r="E171" s="289">
        <f t="shared" si="21"/>
        <v>84.78498520276753</v>
      </c>
      <c r="F171" s="328">
        <f t="shared" si="22"/>
        <v>66.051195546537201</v>
      </c>
      <c r="G171" s="236">
        <f t="shared" si="22"/>
        <v>60</v>
      </c>
    </row>
    <row r="172" spans="1:7" x14ac:dyDescent="0.25">
      <c r="A172" s="196" t="s">
        <v>504</v>
      </c>
      <c r="B172" s="289">
        <f t="shared" si="20"/>
        <v>0</v>
      </c>
      <c r="C172" s="289">
        <f t="shared" si="21"/>
        <v>0</v>
      </c>
      <c r="D172" s="289">
        <f t="shared" si="21"/>
        <v>0</v>
      </c>
      <c r="E172" s="289">
        <f t="shared" si="21"/>
        <v>12.519987470601849</v>
      </c>
      <c r="F172" s="328">
        <f t="shared" si="22"/>
        <v>9.7582116589043437</v>
      </c>
      <c r="G172" s="236">
        <f t="shared" si="22"/>
        <v>9.7582116589043437</v>
      </c>
    </row>
    <row r="173" spans="1:7" x14ac:dyDescent="0.25">
      <c r="A173" s="196" t="s">
        <v>505</v>
      </c>
      <c r="B173" s="289">
        <f t="shared" si="20"/>
        <v>55.555308166656239</v>
      </c>
      <c r="C173" s="289">
        <f t="shared" si="21"/>
        <v>36.605753531067649</v>
      </c>
      <c r="D173" s="289">
        <f t="shared" si="21"/>
        <v>32.710989711704471</v>
      </c>
      <c r="E173" s="289">
        <f t="shared" si="21"/>
        <v>12.687129870157424</v>
      </c>
      <c r="F173" s="328">
        <f t="shared" si="22"/>
        <v>14.031805068117039</v>
      </c>
      <c r="G173" s="236">
        <f t="shared" si="22"/>
        <v>12.687129870157424</v>
      </c>
    </row>
    <row r="174" spans="1:7" x14ac:dyDescent="0.25">
      <c r="A174" s="196" t="s">
        <v>506</v>
      </c>
      <c r="B174" s="289">
        <f t="shared" ref="B174:G174" si="23">+B27</f>
        <v>11.421231911776562</v>
      </c>
      <c r="C174" s="289">
        <f t="shared" si="23"/>
        <v>9.6760353001424182</v>
      </c>
      <c r="D174" s="289">
        <f t="shared" si="23"/>
        <v>3.4447054881047444E-14</v>
      </c>
      <c r="E174" s="289">
        <f t="shared" si="23"/>
        <v>0</v>
      </c>
      <c r="F174" s="328">
        <f>+F27</f>
        <v>3.4447054881047444E-14</v>
      </c>
      <c r="G174" s="236">
        <f t="shared" si="23"/>
        <v>0</v>
      </c>
    </row>
    <row r="175" spans="1:7" x14ac:dyDescent="0.25">
      <c r="A175" s="196" t="s">
        <v>507</v>
      </c>
      <c r="B175" s="289">
        <f t="shared" ref="B175:G175" si="24">+B28</f>
        <v>9.2922763122424623</v>
      </c>
      <c r="C175" s="289">
        <f t="shared" si="24"/>
        <v>17.085132850967927</v>
      </c>
      <c r="D175" s="289">
        <f t="shared" si="24"/>
        <v>9.4566574809610788</v>
      </c>
      <c r="E175" s="289">
        <f t="shared" si="24"/>
        <v>19.022010560222011</v>
      </c>
      <c r="F175" s="328">
        <f>+F28</f>
        <v>9.1103450926431311</v>
      </c>
      <c r="G175" s="236">
        <f t="shared" si="24"/>
        <v>19.022010560222011</v>
      </c>
    </row>
    <row r="176" spans="1:7" x14ac:dyDescent="0.25">
      <c r="A176" s="197" t="s">
        <v>438</v>
      </c>
      <c r="B176" s="317"/>
      <c r="C176" s="317"/>
      <c r="D176" s="317"/>
      <c r="E176" s="317"/>
      <c r="F176" s="408"/>
      <c r="G176" s="519"/>
    </row>
    <row r="177" spans="1:7" x14ac:dyDescent="0.25">
      <c r="A177" s="194" t="s">
        <v>442</v>
      </c>
      <c r="B177" s="320">
        <f t="shared" ref="B177:G177" si="25">+B79/B96</f>
        <v>1.7774508839309251</v>
      </c>
      <c r="C177" s="320">
        <f t="shared" si="25"/>
        <v>1.3826900830650937</v>
      </c>
      <c r="D177" s="320">
        <f t="shared" si="25"/>
        <v>1.3500352865396532</v>
      </c>
      <c r="E177" s="320">
        <f t="shared" si="25"/>
        <v>1.5742347574169662</v>
      </c>
      <c r="F177" s="413">
        <f t="shared" si="25"/>
        <v>2.351423312749334</v>
      </c>
      <c r="G177" s="523">
        <f t="shared" si="25"/>
        <v>2.5107246246084456</v>
      </c>
    </row>
    <row r="178" spans="1:7" x14ac:dyDescent="0.25">
      <c r="A178" s="194" t="s">
        <v>443</v>
      </c>
      <c r="B178" s="320">
        <f t="shared" ref="B178:G178" si="26">+(B79-B78)/B96</f>
        <v>0.70800425197468841</v>
      </c>
      <c r="C178" s="320">
        <f t="shared" si="26"/>
        <v>0.69658240082525968</v>
      </c>
      <c r="D178" s="320">
        <f t="shared" si="26"/>
        <v>0.73485432943683504</v>
      </c>
      <c r="E178" s="320">
        <f t="shared" si="26"/>
        <v>0.88248337508133923</v>
      </c>
      <c r="F178" s="413">
        <f t="shared" si="26"/>
        <v>1.3600559145291513</v>
      </c>
      <c r="G178" s="523">
        <f t="shared" si="26"/>
        <v>1.6850476502315421</v>
      </c>
    </row>
    <row r="179" spans="1:7" x14ac:dyDescent="0.25">
      <c r="A179" s="194" t="s">
        <v>444</v>
      </c>
      <c r="B179" s="320">
        <f t="shared" ref="B179:G179" si="27">+B75/B96</f>
        <v>6.5919345947952374E-2</v>
      </c>
      <c r="C179" s="320">
        <f t="shared" si="27"/>
        <v>4.9309576797393964E-2</v>
      </c>
      <c r="D179" s="320">
        <f t="shared" si="27"/>
        <v>1.9255247937904348E-2</v>
      </c>
      <c r="E179" s="320">
        <f t="shared" si="27"/>
        <v>6.4329990805247816E-2</v>
      </c>
      <c r="F179" s="413">
        <f t="shared" si="27"/>
        <v>0.28831584422168888</v>
      </c>
      <c r="G179" s="523">
        <f t="shared" si="27"/>
        <v>0.80438880753011222</v>
      </c>
    </row>
    <row r="180" spans="1:7" x14ac:dyDescent="0.25">
      <c r="A180" s="256" t="s">
        <v>445</v>
      </c>
      <c r="B180" s="321">
        <f>+'EEFF proyectados'!AA76</f>
        <v>0</v>
      </c>
      <c r="C180" s="322">
        <f>+'EEFF proyectados'!AN76</f>
        <v>-208193799.36000061</v>
      </c>
      <c r="D180" s="322">
        <f>+'EEFF proyectados'!BA76</f>
        <v>-46546333.189999998</v>
      </c>
      <c r="E180" s="322">
        <f>+'EEFF proyectados'!BN76</f>
        <v>104268387.3700006</v>
      </c>
      <c r="F180" s="414">
        <f>+'EEFF proyectados'!BO76</f>
        <v>2789934.9800000191</v>
      </c>
      <c r="G180" s="524">
        <f>+'EEFF proyectados'!CA76</f>
        <v>-4345709.7939773202</v>
      </c>
    </row>
    <row r="181" spans="1:7" x14ac:dyDescent="0.25">
      <c r="A181" s="197" t="s">
        <v>439</v>
      </c>
      <c r="B181" s="317"/>
      <c r="C181" s="317"/>
      <c r="D181" s="317"/>
      <c r="E181" s="317"/>
      <c r="F181" s="408"/>
      <c r="G181" s="519"/>
    </row>
    <row r="182" spans="1:7" x14ac:dyDescent="0.25">
      <c r="A182" s="194" t="s">
        <v>440</v>
      </c>
      <c r="B182" s="320">
        <f t="shared" ref="B182:G182" si="28">+(B90+B98+B99)/B108</f>
        <v>0.82701546468877729</v>
      </c>
      <c r="C182" s="320">
        <f t="shared" si="28"/>
        <v>0.73728712605328706</v>
      </c>
      <c r="D182" s="320">
        <f t="shared" si="28"/>
        <v>0.71864744752148912</v>
      </c>
      <c r="E182" s="320">
        <f t="shared" si="28"/>
        <v>1.1047092880588731</v>
      </c>
      <c r="F182" s="413">
        <f t="shared" si="28"/>
        <v>0.93441967034507822</v>
      </c>
      <c r="G182" s="523">
        <f t="shared" si="28"/>
        <v>0.91449711726272254</v>
      </c>
    </row>
    <row r="183" spans="1:7" x14ac:dyDescent="0.25">
      <c r="A183" s="194" t="s">
        <v>441</v>
      </c>
      <c r="B183" s="320">
        <f t="shared" ref="B183:G183" si="29">+B103/B108</f>
        <v>1.2433946237195057</v>
      </c>
      <c r="C183" s="320">
        <f t="shared" si="29"/>
        <v>1.1179856270091741</v>
      </c>
      <c r="D183" s="320">
        <f t="shared" si="29"/>
        <v>1.1402607444867889</v>
      </c>
      <c r="E183" s="320">
        <f t="shared" si="29"/>
        <v>1.4877353794563679</v>
      </c>
      <c r="F183" s="413">
        <f t="shared" si="29"/>
        <v>1.2078556162779643</v>
      </c>
      <c r="G183" s="523">
        <f t="shared" si="29"/>
        <v>1.2148152588071692</v>
      </c>
    </row>
    <row r="184" spans="1:7" x14ac:dyDescent="0.25">
      <c r="A184" s="256" t="s">
        <v>662</v>
      </c>
      <c r="B184" s="323"/>
      <c r="C184" s="323">
        <f>(C90+C99)/(C62+C121)</f>
        <v>4.5184601937185374</v>
      </c>
      <c r="D184" s="323">
        <f t="shared" ref="D184:F184" si="30">(D90+D99)/(D62+D121)</f>
        <v>4.0187401004437469</v>
      </c>
      <c r="E184" s="323">
        <f t="shared" si="30"/>
        <v>3.4957420896137954</v>
      </c>
      <c r="F184" s="323">
        <f t="shared" si="30"/>
        <v>2.2081657989684023</v>
      </c>
      <c r="G184" s="323">
        <f>(G90+G99)/(G62+G121)</f>
        <v>1.2111515194896028</v>
      </c>
    </row>
    <row r="196" spans="3:4" x14ac:dyDescent="0.25">
      <c r="C196" s="397"/>
    </row>
    <row r="197" spans="3:4" x14ac:dyDescent="0.25">
      <c r="C197" s="397"/>
    </row>
    <row r="199" spans="3:4" x14ac:dyDescent="0.25">
      <c r="C199" s="398"/>
    </row>
    <row r="200" spans="3:4" x14ac:dyDescent="0.25">
      <c r="C200" s="398"/>
    </row>
    <row r="201" spans="3:4" x14ac:dyDescent="0.25">
      <c r="C201" s="398"/>
    </row>
    <row r="202" spans="3:4" x14ac:dyDescent="0.25">
      <c r="C202" s="398"/>
    </row>
    <row r="203" spans="3:4" x14ac:dyDescent="0.25">
      <c r="C203" s="398"/>
    </row>
    <row r="207" spans="3:4" x14ac:dyDescent="0.25">
      <c r="C207" s="398"/>
      <c r="D207" s="398"/>
    </row>
    <row r="208" spans="3:4" x14ac:dyDescent="0.25">
      <c r="C208" s="211"/>
      <c r="D208" s="398"/>
    </row>
    <row r="209" spans="3:4" x14ac:dyDescent="0.25">
      <c r="C209" s="211"/>
      <c r="D209" s="398"/>
    </row>
    <row r="210" spans="3:4" x14ac:dyDescent="0.25">
      <c r="C210" s="398"/>
      <c r="D210" s="3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Presupuesto ventas</vt:lpstr>
      <vt:lpstr>Presupuesto 25</vt:lpstr>
      <vt:lpstr>BCO</vt:lpstr>
      <vt:lpstr>Ventas</vt:lpstr>
      <vt:lpstr>Obligaciones financieras</vt:lpstr>
      <vt:lpstr>EEFF proyectados</vt:lpstr>
      <vt:lpstr>EEFF historicoss</vt:lpstr>
      <vt:lpstr>EEFF base</vt:lpstr>
      <vt:lpstr>Costos</vt:lpstr>
      <vt:lpstr>Dash</vt:lpstr>
      <vt:lpstr>Control y Supuestos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2026-03-09T19:15:24Z</dcterms:modified>
</cp:coreProperties>
</file>