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Quant_AC\Documents\Python\COBOCE\"/>
    </mc:Choice>
  </mc:AlternateContent>
  <xr:revisionPtr revIDLastSave="0" documentId="13_ncr:1_{C5746B79-EC1A-4C2B-BE80-847758C982B3}" xr6:coauthVersionLast="47" xr6:coauthVersionMax="47" xr10:uidLastSave="{00000000-0000-0000-0000-000000000000}"/>
  <bookViews>
    <workbookView xWindow="38280" yWindow="-120" windowWidth="29040" windowHeight="15720" activeTab="5" xr2:uid="{D85F9705-2139-4A9F-997C-8C40FBF26C11}"/>
  </bookViews>
  <sheets>
    <sheet name="Caracteristicas" sheetId="7" r:id="rId1"/>
    <sheet name="info" sheetId="30" r:id="rId2"/>
    <sheet name="3167401" sheetId="14" r:id="rId3"/>
    <sheet name="2767412" sheetId="15" r:id="rId4"/>
    <sheet name="2764418" sheetId="16" r:id="rId5"/>
    <sheet name="1271559" sheetId="29" r:id="rId6"/>
    <sheet name="1358960" sheetId="17" r:id="rId7"/>
    <sheet name="1295150" sheetId="18" r:id="rId8"/>
    <sheet name="101243178" sheetId="19" r:id="rId9"/>
    <sheet name="315101121500077" sheetId="20" r:id="rId10"/>
    <sheet name="315101121500078f" sheetId="21" r:id="rId11"/>
    <sheet name="315101121500021" sheetId="22" r:id="rId12"/>
    <sheet name="2010014418" sheetId="23" r:id="rId13"/>
    <sheet name="2010014118" sheetId="24" r:id="rId14"/>
    <sheet name="2010013918" sheetId="25" r:id="rId15"/>
    <sheet name="2010014218" sheetId="26" r:id="rId16"/>
    <sheet name="2010014318" sheetId="27" r:id="rId17"/>
    <sheet name="2010014018" sheetId="28" r:id="rId18"/>
    <sheet name="Garantias" sheetId="12" r:id="rId19"/>
    <sheet name="Obligaciones financieras" sheetId="2" r:id="rId20"/>
    <sheet name="Pagos a cuentas de unidades" sheetId="11" r:id="rId21"/>
  </sheets>
  <externalReferences>
    <externalReference r:id="rId22"/>
    <externalReference r:id="rId2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7" i="29" l="1"/>
  <c r="F16" i="29"/>
  <c r="F15" i="29"/>
  <c r="F14" i="29"/>
  <c r="F13" i="29"/>
  <c r="F12" i="29"/>
  <c r="F11" i="29"/>
  <c r="F10" i="29"/>
  <c r="F9" i="29"/>
  <c r="F8" i="29"/>
  <c r="F7" i="29"/>
  <c r="F6" i="29"/>
  <c r="F5" i="29"/>
  <c r="B4" i="29"/>
  <c r="B5" i="29" s="1"/>
  <c r="B6" i="29" s="1"/>
  <c r="B7" i="29" s="1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Q2" i="7" l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2" i="7"/>
  <c r="L3" i="7"/>
  <c r="L5" i="7"/>
  <c r="L6" i="7"/>
  <c r="L7" i="7"/>
  <c r="L9" i="7"/>
  <c r="L11" i="7"/>
  <c r="L12" i="7"/>
  <c r="L13" i="7"/>
  <c r="L14" i="7"/>
  <c r="L15" i="7"/>
  <c r="L16" i="7"/>
  <c r="L17" i="7"/>
  <c r="L2" i="7"/>
  <c r="B5" i="7"/>
  <c r="C5" i="7"/>
  <c r="D5" i="7"/>
  <c r="F5" i="7"/>
  <c r="H5" i="7"/>
  <c r="K5" i="7"/>
  <c r="M5" i="7"/>
  <c r="B6" i="7"/>
  <c r="C6" i="7"/>
  <c r="D6" i="7"/>
  <c r="F6" i="7"/>
  <c r="H6" i="7"/>
  <c r="K6" i="7"/>
  <c r="M6" i="7"/>
  <c r="B7" i="7"/>
  <c r="C7" i="7"/>
  <c r="D7" i="7"/>
  <c r="F7" i="7"/>
  <c r="H7" i="7"/>
  <c r="K7" i="7"/>
  <c r="M7" i="7"/>
  <c r="B8" i="7"/>
  <c r="C8" i="7"/>
  <c r="D8" i="7"/>
  <c r="F8" i="7"/>
  <c r="H8" i="7"/>
  <c r="M8" i="7"/>
  <c r="B9" i="7"/>
  <c r="C9" i="7"/>
  <c r="D9" i="7"/>
  <c r="F9" i="7"/>
  <c r="H9" i="7"/>
  <c r="K9" i="7"/>
  <c r="M9" i="7"/>
  <c r="B10" i="7"/>
  <c r="C10" i="7"/>
  <c r="D10" i="7"/>
  <c r="F10" i="7"/>
  <c r="H10" i="7"/>
  <c r="M10" i="7"/>
  <c r="B11" i="7"/>
  <c r="C11" i="7"/>
  <c r="D11" i="7"/>
  <c r="F11" i="7"/>
  <c r="H11" i="7"/>
  <c r="K11" i="7"/>
  <c r="M11" i="7"/>
  <c r="B12" i="7"/>
  <c r="C12" i="7"/>
  <c r="D12" i="7"/>
  <c r="F12" i="7"/>
  <c r="H12" i="7"/>
  <c r="K12" i="7"/>
  <c r="M12" i="7"/>
  <c r="B13" i="7"/>
  <c r="C13" i="7"/>
  <c r="D13" i="7"/>
  <c r="F13" i="7"/>
  <c r="H13" i="7"/>
  <c r="K13" i="7"/>
  <c r="M13" i="7"/>
  <c r="B14" i="7"/>
  <c r="C14" i="7"/>
  <c r="D14" i="7"/>
  <c r="F14" i="7"/>
  <c r="H14" i="7"/>
  <c r="K14" i="7"/>
  <c r="M14" i="7"/>
  <c r="B15" i="7"/>
  <c r="C15" i="7"/>
  <c r="D15" i="7"/>
  <c r="F15" i="7"/>
  <c r="H15" i="7"/>
  <c r="K15" i="7"/>
  <c r="M15" i="7"/>
  <c r="B16" i="7"/>
  <c r="C16" i="7"/>
  <c r="D16" i="7"/>
  <c r="F16" i="7"/>
  <c r="H16" i="7"/>
  <c r="K16" i="7"/>
  <c r="M16" i="7"/>
  <c r="B17" i="7"/>
  <c r="C17" i="7"/>
  <c r="D17" i="7"/>
  <c r="F17" i="7"/>
  <c r="H17" i="7"/>
  <c r="K17" i="7"/>
  <c r="M17" i="7"/>
  <c r="CC8" i="2"/>
  <c r="CC24" i="2" l="1"/>
  <c r="CJ28" i="2"/>
  <c r="FG63" i="2"/>
  <c r="EZ63" i="2"/>
  <c r="FG62" i="2"/>
  <c r="EZ62" i="2"/>
  <c r="DS62" i="2"/>
  <c r="DM62" i="2"/>
  <c r="AS62" i="2"/>
  <c r="FG61" i="2"/>
  <c r="EZ61" i="2"/>
  <c r="DS61" i="2"/>
  <c r="DM61" i="2"/>
  <c r="AS61" i="2"/>
  <c r="FG60" i="2"/>
  <c r="EZ60" i="2"/>
  <c r="DS60" i="2"/>
  <c r="DM60" i="2"/>
  <c r="AS60" i="2"/>
  <c r="FG59" i="2"/>
  <c r="EZ59" i="2"/>
  <c r="DS59" i="2"/>
  <c r="DM59" i="2"/>
  <c r="AS59" i="2"/>
  <c r="FG58" i="2"/>
  <c r="EZ58" i="2"/>
  <c r="EB58" i="2"/>
  <c r="DS58" i="2"/>
  <c r="DM58" i="2"/>
  <c r="AS58" i="2"/>
  <c r="FG57" i="2"/>
  <c r="EZ57" i="2"/>
  <c r="EB57" i="2"/>
  <c r="DS57" i="2"/>
  <c r="DM57" i="2"/>
  <c r="AS57" i="2"/>
  <c r="FG56" i="2"/>
  <c r="EZ56" i="2"/>
  <c r="EB56" i="2"/>
  <c r="DS56" i="2"/>
  <c r="DM56" i="2"/>
  <c r="AS56" i="2"/>
  <c r="FG55" i="2"/>
  <c r="EZ55" i="2"/>
  <c r="EB55" i="2"/>
  <c r="DS55" i="2"/>
  <c r="DM55" i="2"/>
  <c r="AS55" i="2"/>
  <c r="FG54" i="2"/>
  <c r="EZ54" i="2"/>
  <c r="EB54" i="2"/>
  <c r="DS54" i="2"/>
  <c r="DM54" i="2"/>
  <c r="AS54" i="2"/>
  <c r="FG53" i="2"/>
  <c r="EZ53" i="2"/>
  <c r="EB53" i="2"/>
  <c r="DS53" i="2"/>
  <c r="DM53" i="2"/>
  <c r="AS53" i="2"/>
  <c r="FG52" i="2"/>
  <c r="EZ52" i="2"/>
  <c r="EB52" i="2"/>
  <c r="DS52" i="2"/>
  <c r="DM52" i="2"/>
  <c r="AS52" i="2"/>
  <c r="FG51" i="2"/>
  <c r="EZ51" i="2"/>
  <c r="EB51" i="2"/>
  <c r="DS51" i="2"/>
  <c r="DM51" i="2"/>
  <c r="AS51" i="2"/>
  <c r="AD51" i="2"/>
  <c r="FG50" i="2"/>
  <c r="EZ50" i="2"/>
  <c r="EB50" i="2"/>
  <c r="DS50" i="2"/>
  <c r="DM50" i="2"/>
  <c r="CX50" i="2"/>
  <c r="AS50" i="2"/>
  <c r="AD50" i="2"/>
  <c r="FG49" i="2"/>
  <c r="EZ49" i="2"/>
  <c r="EB49" i="2"/>
  <c r="DS49" i="2"/>
  <c r="DM49" i="2"/>
  <c r="CX49" i="2"/>
  <c r="AS49" i="2"/>
  <c r="AD49" i="2"/>
  <c r="FG48" i="2"/>
  <c r="EZ48" i="2"/>
  <c r="EB48" i="2"/>
  <c r="DS48" i="2"/>
  <c r="DM48" i="2"/>
  <c r="CX48" i="2"/>
  <c r="AS48" i="2"/>
  <c r="AD48" i="2"/>
  <c r="FG47" i="2"/>
  <c r="EZ47" i="2"/>
  <c r="EB47" i="2"/>
  <c r="DS47" i="2"/>
  <c r="DM47" i="2"/>
  <c r="CX47" i="2"/>
  <c r="AS47" i="2"/>
  <c r="AD47" i="2"/>
  <c r="FG46" i="2"/>
  <c r="EZ46" i="2"/>
  <c r="EB46" i="2"/>
  <c r="DS46" i="2"/>
  <c r="DM46" i="2"/>
  <c r="CX46" i="2"/>
  <c r="AS46" i="2"/>
  <c r="AD46" i="2"/>
  <c r="FG45" i="2"/>
  <c r="EZ45" i="2"/>
  <c r="EB45" i="2"/>
  <c r="DS45" i="2"/>
  <c r="DM45" i="2"/>
  <c r="CX45" i="2"/>
  <c r="AS45" i="2"/>
  <c r="AD45" i="2"/>
  <c r="FG44" i="2"/>
  <c r="EZ44" i="2"/>
  <c r="EB44" i="2"/>
  <c r="DS44" i="2"/>
  <c r="DM44" i="2"/>
  <c r="CX44" i="2"/>
  <c r="BX44" i="2"/>
  <c r="AS44" i="2"/>
  <c r="AD44" i="2"/>
  <c r="FG43" i="2"/>
  <c r="EZ43" i="2"/>
  <c r="EB43" i="2"/>
  <c r="DS43" i="2"/>
  <c r="DM43" i="2"/>
  <c r="CX43" i="2"/>
  <c r="CU43" i="2"/>
  <c r="CO43" i="2"/>
  <c r="BX43" i="2"/>
  <c r="AS43" i="2"/>
  <c r="AD43" i="2"/>
  <c r="FG42" i="2"/>
  <c r="EZ42" i="2"/>
  <c r="EB42" i="2"/>
  <c r="DS42" i="2"/>
  <c r="DM42" i="2"/>
  <c r="CX42" i="2"/>
  <c r="CU42" i="2"/>
  <c r="CO42" i="2"/>
  <c r="BX42" i="2"/>
  <c r="AS42" i="2"/>
  <c r="AD42" i="2"/>
  <c r="FG41" i="2"/>
  <c r="EZ41" i="2"/>
  <c r="EB41" i="2"/>
  <c r="DS41" i="2"/>
  <c r="DM41" i="2"/>
  <c r="CX41" i="2"/>
  <c r="CU41" i="2"/>
  <c r="CO41" i="2"/>
  <c r="BX41" i="2"/>
  <c r="AS41" i="2"/>
  <c r="AD41" i="2"/>
  <c r="FG40" i="2"/>
  <c r="EZ40" i="2"/>
  <c r="EB40" i="2"/>
  <c r="DS40" i="2"/>
  <c r="DM40" i="2"/>
  <c r="CX40" i="2"/>
  <c r="CU40" i="2"/>
  <c r="CO40" i="2"/>
  <c r="BX40" i="2"/>
  <c r="BH40" i="2"/>
  <c r="AS40" i="2"/>
  <c r="AD40" i="2"/>
  <c r="FG39" i="2"/>
  <c r="EZ39" i="2"/>
  <c r="EB39" i="2"/>
  <c r="DS39" i="2"/>
  <c r="DM39" i="2"/>
  <c r="CX39" i="2"/>
  <c r="CU39" i="2"/>
  <c r="CO39" i="2"/>
  <c r="BX39" i="2"/>
  <c r="BH39" i="2"/>
  <c r="AS39" i="2"/>
  <c r="AD39" i="2"/>
  <c r="FG38" i="2"/>
  <c r="EZ38" i="2"/>
  <c r="EB38" i="2"/>
  <c r="DS38" i="2"/>
  <c r="DM38" i="2"/>
  <c r="CX38" i="2"/>
  <c r="CU38" i="2"/>
  <c r="CO38" i="2"/>
  <c r="BX38" i="2"/>
  <c r="BH38" i="2"/>
  <c r="AS38" i="2"/>
  <c r="AD38" i="2"/>
  <c r="HC37" i="2"/>
  <c r="GZ37" i="2"/>
  <c r="GT37" i="2"/>
  <c r="FG37" i="2"/>
  <c r="EZ37" i="2"/>
  <c r="EB37" i="2"/>
  <c r="DS37" i="2"/>
  <c r="DM37" i="2"/>
  <c r="CX37" i="2"/>
  <c r="CU37" i="2"/>
  <c r="CO37" i="2"/>
  <c r="BX37" i="2"/>
  <c r="BH37" i="2"/>
  <c r="AS37" i="2"/>
  <c r="AD37" i="2"/>
  <c r="HC36" i="2"/>
  <c r="GZ36" i="2"/>
  <c r="GT36" i="2"/>
  <c r="FG36" i="2"/>
  <c r="EZ36" i="2"/>
  <c r="EB36" i="2"/>
  <c r="DS36" i="2"/>
  <c r="DM36" i="2"/>
  <c r="CX36" i="2"/>
  <c r="CU36" i="2"/>
  <c r="CO36" i="2"/>
  <c r="BX36" i="2"/>
  <c r="BH36" i="2"/>
  <c r="AS36" i="2"/>
  <c r="AD36" i="2"/>
  <c r="HC35" i="2"/>
  <c r="GZ35" i="2"/>
  <c r="GT35" i="2"/>
  <c r="GQ35" i="2"/>
  <c r="GK35" i="2"/>
  <c r="GH35" i="2"/>
  <c r="GB35" i="2"/>
  <c r="FY35" i="2"/>
  <c r="FS35" i="2"/>
  <c r="FP35" i="2"/>
  <c r="FJ35" i="2"/>
  <c r="FG35" i="2"/>
  <c r="EZ35" i="2"/>
  <c r="EB35" i="2"/>
  <c r="DS35" i="2"/>
  <c r="DM35" i="2"/>
  <c r="CX35" i="2"/>
  <c r="CU35" i="2"/>
  <c r="CO35" i="2"/>
  <c r="BX35" i="2"/>
  <c r="BH35" i="2"/>
  <c r="AS35" i="2"/>
  <c r="AD35" i="2"/>
  <c r="HC34" i="2"/>
  <c r="GZ34" i="2"/>
  <c r="GT34" i="2"/>
  <c r="GQ34" i="2"/>
  <c r="GK34" i="2"/>
  <c r="GH34" i="2"/>
  <c r="GB34" i="2"/>
  <c r="FY34" i="2"/>
  <c r="FS34" i="2"/>
  <c r="FP34" i="2"/>
  <c r="FJ34" i="2"/>
  <c r="FG34" i="2"/>
  <c r="EZ34" i="2"/>
  <c r="EB34" i="2"/>
  <c r="DS34" i="2"/>
  <c r="DM34" i="2"/>
  <c r="CX34" i="2"/>
  <c r="CU34" i="2"/>
  <c r="CO34" i="2"/>
  <c r="BX34" i="2"/>
  <c r="BH34" i="2"/>
  <c r="AS34" i="2"/>
  <c r="AD34" i="2"/>
  <c r="HC33" i="2"/>
  <c r="GZ33" i="2"/>
  <c r="GT33" i="2"/>
  <c r="GQ33" i="2"/>
  <c r="GK33" i="2"/>
  <c r="GH33" i="2"/>
  <c r="GB33" i="2"/>
  <c r="FY33" i="2"/>
  <c r="FS33" i="2"/>
  <c r="FP33" i="2"/>
  <c r="FJ33" i="2"/>
  <c r="FG33" i="2"/>
  <c r="EZ33" i="2"/>
  <c r="EB33" i="2"/>
  <c r="DS33" i="2"/>
  <c r="DM33" i="2"/>
  <c r="CX33" i="2"/>
  <c r="CU33" i="2"/>
  <c r="CO33" i="2"/>
  <c r="BX33" i="2"/>
  <c r="BH33" i="2"/>
  <c r="AS33" i="2"/>
  <c r="AD33" i="2"/>
  <c r="HC32" i="2"/>
  <c r="GZ32" i="2"/>
  <c r="GT32" i="2"/>
  <c r="GQ32" i="2"/>
  <c r="GK32" i="2"/>
  <c r="GH32" i="2"/>
  <c r="GB32" i="2"/>
  <c r="FY32" i="2"/>
  <c r="FS32" i="2"/>
  <c r="FP32" i="2"/>
  <c r="FJ32" i="2"/>
  <c r="FG32" i="2"/>
  <c r="EZ32" i="2"/>
  <c r="EB32" i="2"/>
  <c r="DS32" i="2"/>
  <c r="DM32" i="2"/>
  <c r="CX32" i="2"/>
  <c r="CU32" i="2"/>
  <c r="CO32" i="2"/>
  <c r="BX32" i="2"/>
  <c r="BH32" i="2"/>
  <c r="AS32" i="2"/>
  <c r="AD32" i="2"/>
  <c r="HC31" i="2"/>
  <c r="GZ31" i="2"/>
  <c r="GT31" i="2"/>
  <c r="GQ31" i="2"/>
  <c r="GK31" i="2"/>
  <c r="GH31" i="2"/>
  <c r="GB31" i="2"/>
  <c r="FY31" i="2"/>
  <c r="FS31" i="2"/>
  <c r="FP31" i="2"/>
  <c r="FJ31" i="2"/>
  <c r="FG31" i="2"/>
  <c r="EZ31" i="2"/>
  <c r="EB31" i="2"/>
  <c r="DS31" i="2"/>
  <c r="DM31" i="2"/>
  <c r="CX31" i="2"/>
  <c r="CU31" i="2"/>
  <c r="CO31" i="2"/>
  <c r="BX31" i="2"/>
  <c r="BH31" i="2"/>
  <c r="AS31" i="2"/>
  <c r="AD31" i="2"/>
  <c r="HC30" i="2"/>
  <c r="GZ30" i="2"/>
  <c r="GT30" i="2"/>
  <c r="GQ30" i="2"/>
  <c r="GK30" i="2"/>
  <c r="GH30" i="2"/>
  <c r="GB30" i="2"/>
  <c r="FY30" i="2"/>
  <c r="FS30" i="2"/>
  <c r="FP30" i="2"/>
  <c r="FJ30" i="2"/>
  <c r="FG30" i="2"/>
  <c r="EZ30" i="2"/>
  <c r="EB30" i="2"/>
  <c r="DS30" i="2"/>
  <c r="DM30" i="2"/>
  <c r="CX30" i="2"/>
  <c r="CU30" i="2"/>
  <c r="CO30" i="2"/>
  <c r="BX30" i="2"/>
  <c r="BH30" i="2"/>
  <c r="AS30" i="2"/>
  <c r="AD30" i="2"/>
  <c r="R30" i="2"/>
  <c r="O30" i="2"/>
  <c r="O31" i="2" s="1"/>
  <c r="HC29" i="2"/>
  <c r="GZ29" i="2"/>
  <c r="GT29" i="2"/>
  <c r="GQ29" i="2"/>
  <c r="GK29" i="2"/>
  <c r="GH29" i="2"/>
  <c r="GB29" i="2"/>
  <c r="FY29" i="2"/>
  <c r="FS29" i="2"/>
  <c r="FP29" i="2"/>
  <c r="FJ29" i="2"/>
  <c r="FG29" i="2"/>
  <c r="EZ29" i="2"/>
  <c r="EB29" i="2"/>
  <c r="DS29" i="2"/>
  <c r="DM29" i="2"/>
  <c r="CX29" i="2"/>
  <c r="CU29" i="2"/>
  <c r="CO29" i="2"/>
  <c r="BX29" i="2"/>
  <c r="BH29" i="2"/>
  <c r="AS29" i="2"/>
  <c r="AD29" i="2"/>
  <c r="W29" i="2"/>
  <c r="R29" i="2"/>
  <c r="Y29" i="2" s="1"/>
  <c r="AA29" i="2" s="1"/>
  <c r="N29" i="2"/>
  <c r="HC28" i="2"/>
  <c r="GZ28" i="2"/>
  <c r="GT28" i="2"/>
  <c r="GQ28" i="2"/>
  <c r="GK28" i="2"/>
  <c r="GH28" i="2"/>
  <c r="GB28" i="2"/>
  <c r="FY28" i="2"/>
  <c r="FS28" i="2"/>
  <c r="FP28" i="2"/>
  <c r="FM28" i="2"/>
  <c r="FM29" i="2" s="1"/>
  <c r="FM30" i="2" s="1"/>
  <c r="FM31" i="2" s="1"/>
  <c r="FM32" i="2" s="1"/>
  <c r="FM33" i="2" s="1"/>
  <c r="FM34" i="2" s="1"/>
  <c r="FM35" i="2" s="1"/>
  <c r="FJ28" i="2"/>
  <c r="FG28" i="2"/>
  <c r="EZ28" i="2"/>
  <c r="EB28" i="2"/>
  <c r="DS28" i="2"/>
  <c r="DM28" i="2"/>
  <c r="DH28" i="2"/>
  <c r="CX28" i="2"/>
  <c r="CU28" i="2"/>
  <c r="CO28" i="2"/>
  <c r="BX28" i="2"/>
  <c r="BH28" i="2"/>
  <c r="BC28" i="2"/>
  <c r="BA28" i="2"/>
  <c r="BB28" i="2" s="1"/>
  <c r="AS28" i="2"/>
  <c r="AD28" i="2"/>
  <c r="W28" i="2"/>
  <c r="X28" i="2" s="1"/>
  <c r="N28" i="2"/>
  <c r="HC27" i="2"/>
  <c r="GZ27" i="2"/>
  <c r="GT27" i="2"/>
  <c r="GQ27" i="2"/>
  <c r="GK27" i="2"/>
  <c r="GH27" i="2"/>
  <c r="GB27" i="2"/>
  <c r="FY27" i="2"/>
  <c r="FS27" i="2"/>
  <c r="FP27" i="2"/>
  <c r="FJ27" i="2"/>
  <c r="FG27" i="2"/>
  <c r="EZ27" i="2"/>
  <c r="EL27" i="2"/>
  <c r="EE27" i="2"/>
  <c r="EE28" i="2" s="1"/>
  <c r="EB27" i="2"/>
  <c r="DW27" i="2"/>
  <c r="DS27" i="2"/>
  <c r="DM27" i="2"/>
  <c r="DI27" i="2"/>
  <c r="DJ27" i="2" s="1"/>
  <c r="DH27" i="2"/>
  <c r="CX27" i="2"/>
  <c r="CU27" i="2"/>
  <c r="CO27" i="2"/>
  <c r="CJ27" i="2"/>
  <c r="BX27" i="2"/>
  <c r="BS27" i="2"/>
  <c r="BH27" i="2"/>
  <c r="BD27" i="2"/>
  <c r="BC27" i="2"/>
  <c r="BB27" i="2"/>
  <c r="AX27" i="2"/>
  <c r="AY27" i="2" s="1"/>
  <c r="AV27" i="2"/>
  <c r="AX28" i="2" s="1"/>
  <c r="AY28" i="2" s="1"/>
  <c r="AS27" i="2"/>
  <c r="AL27" i="2"/>
  <c r="AD27" i="2"/>
  <c r="N27" i="2"/>
  <c r="HC26" i="2"/>
  <c r="GZ26" i="2"/>
  <c r="GW26" i="2"/>
  <c r="GW27" i="2" s="1"/>
  <c r="GW28" i="2" s="1"/>
  <c r="GW29" i="2" s="1"/>
  <c r="GW30" i="2" s="1"/>
  <c r="GW31" i="2" s="1"/>
  <c r="GW32" i="2" s="1"/>
  <c r="GW33" i="2" s="1"/>
  <c r="GW34" i="2" s="1"/>
  <c r="GW35" i="2" s="1"/>
  <c r="GW36" i="2" s="1"/>
  <c r="GW37" i="2" s="1"/>
  <c r="GT26" i="2"/>
  <c r="GQ26" i="2"/>
  <c r="GN26" i="2"/>
  <c r="GK26" i="2"/>
  <c r="GH26" i="2"/>
  <c r="GE26" i="2"/>
  <c r="GE27" i="2" s="1"/>
  <c r="GE28" i="2" s="1"/>
  <c r="GE29" i="2" s="1"/>
  <c r="GE30" i="2" s="1"/>
  <c r="GE31" i="2" s="1"/>
  <c r="GE32" i="2" s="1"/>
  <c r="GE33" i="2" s="1"/>
  <c r="GE34" i="2" s="1"/>
  <c r="GE35" i="2" s="1"/>
  <c r="GB26" i="2"/>
  <c r="FY26" i="2"/>
  <c r="FV26" i="2"/>
  <c r="FV27" i="2" s="1"/>
  <c r="FV28" i="2" s="1"/>
  <c r="FV29" i="2" s="1"/>
  <c r="FV30" i="2" s="1"/>
  <c r="FV31" i="2" s="1"/>
  <c r="FV32" i="2" s="1"/>
  <c r="FV33" i="2" s="1"/>
  <c r="FV34" i="2" s="1"/>
  <c r="FV35" i="2" s="1"/>
  <c r="FS26" i="2"/>
  <c r="FP26" i="2"/>
  <c r="FM26" i="2"/>
  <c r="FM27" i="2" s="1"/>
  <c r="FJ26" i="2"/>
  <c r="FG26" i="2"/>
  <c r="FC26" i="2"/>
  <c r="FC27" i="2" s="1"/>
  <c r="FC28" i="2" s="1"/>
  <c r="FC29" i="2" s="1"/>
  <c r="FC30" i="2" s="1"/>
  <c r="FC31" i="2" s="1"/>
  <c r="FC32" i="2" s="1"/>
  <c r="FC33" i="2" s="1"/>
  <c r="FC34" i="2" s="1"/>
  <c r="FC35" i="2" s="1"/>
  <c r="FC36" i="2" s="1"/>
  <c r="FC37" i="2" s="1"/>
  <c r="FC38" i="2" s="1"/>
  <c r="FC39" i="2" s="1"/>
  <c r="FC40" i="2" s="1"/>
  <c r="FC41" i="2" s="1"/>
  <c r="FC42" i="2" s="1"/>
  <c r="FC43" i="2" s="1"/>
  <c r="FC44" i="2" s="1"/>
  <c r="FC45" i="2" s="1"/>
  <c r="FC46" i="2" s="1"/>
  <c r="FC47" i="2" s="1"/>
  <c r="FC48" i="2" s="1"/>
  <c r="FC49" i="2" s="1"/>
  <c r="FC50" i="2" s="1"/>
  <c r="FC51" i="2" s="1"/>
  <c r="FC52" i="2" s="1"/>
  <c r="FC53" i="2" s="1"/>
  <c r="FC54" i="2" s="1"/>
  <c r="FC55" i="2" s="1"/>
  <c r="FC56" i="2" s="1"/>
  <c r="FC57" i="2" s="1"/>
  <c r="FC58" i="2" s="1"/>
  <c r="FC59" i="2" s="1"/>
  <c r="FC60" i="2" s="1"/>
  <c r="FC61" i="2" s="1"/>
  <c r="FC62" i="2" s="1"/>
  <c r="FC63" i="2" s="1"/>
  <c r="EZ26" i="2"/>
  <c r="EM26" i="2"/>
  <c r="EL26" i="2"/>
  <c r="EJ26" i="2"/>
  <c r="EH26" i="2"/>
  <c r="EE26" i="2"/>
  <c r="EB26" i="2"/>
  <c r="DW26" i="2"/>
  <c r="DU26" i="2"/>
  <c r="DX26" i="2" s="1"/>
  <c r="DY26" i="2" s="1"/>
  <c r="DS26" i="2"/>
  <c r="DP26" i="2"/>
  <c r="DM26" i="2"/>
  <c r="DI26" i="2"/>
  <c r="DH26" i="2"/>
  <c r="DF26" i="2"/>
  <c r="DC26" i="2"/>
  <c r="DD26" i="2" s="1"/>
  <c r="DA26" i="2"/>
  <c r="DC27" i="2" s="1"/>
  <c r="DD27" i="2" s="1"/>
  <c r="CX26" i="2"/>
  <c r="CU26" i="2"/>
  <c r="CR26" i="2"/>
  <c r="CR13" i="2" s="1"/>
  <c r="CR11" i="2" s="1"/>
  <c r="CO26" i="2"/>
  <c r="CK26" i="2"/>
  <c r="CL26" i="2" s="1"/>
  <c r="CJ26" i="2"/>
  <c r="CF26" i="2"/>
  <c r="CD26" i="2"/>
  <c r="CA26" i="2"/>
  <c r="CK27" i="2" s="1"/>
  <c r="CL27" i="2" s="1"/>
  <c r="BX26" i="2"/>
  <c r="BT26" i="2"/>
  <c r="BU26" i="2" s="1"/>
  <c r="BS26" i="2"/>
  <c r="BM26" i="2"/>
  <c r="BO26" i="2" s="1"/>
  <c r="BK26" i="2"/>
  <c r="BH26" i="2"/>
  <c r="BD26" i="2"/>
  <c r="BC26" i="2"/>
  <c r="BB26" i="2"/>
  <c r="AX26" i="2"/>
  <c r="AY26" i="2" s="1"/>
  <c r="AS26" i="2"/>
  <c r="AN26" i="2"/>
  <c r="AI26" i="2"/>
  <c r="AH26" i="2"/>
  <c r="AD26" i="2"/>
  <c r="T26" i="2"/>
  <c r="S26" i="2"/>
  <c r="N26" i="2"/>
  <c r="HC25" i="2"/>
  <c r="GU25" i="2"/>
  <c r="GW8" i="2" s="1"/>
  <c r="GW9" i="2" s="1"/>
  <c r="GL25" i="2"/>
  <c r="GC25" i="2"/>
  <c r="GE8" i="2" s="1"/>
  <c r="GE9" i="2" s="1"/>
  <c r="GB25" i="2"/>
  <c r="FT25" i="2"/>
  <c r="FS25" i="2" s="1"/>
  <c r="FK25" i="2"/>
  <c r="FM8" i="2" s="1"/>
  <c r="FM9" i="2" s="1"/>
  <c r="FJ25" i="2"/>
  <c r="EZ25" i="2"/>
  <c r="EB25" i="2"/>
  <c r="DM25" i="2"/>
  <c r="CX25" i="2"/>
  <c r="CO25" i="2"/>
  <c r="BX25" i="2"/>
  <c r="BH25" i="2"/>
  <c r="AS25" i="2"/>
  <c r="AD25" i="2"/>
  <c r="N25" i="2"/>
  <c r="HG24" i="2"/>
  <c r="GX24" i="2"/>
  <c r="GO24" i="2"/>
  <c r="GF24" i="2"/>
  <c r="FW24" i="2"/>
  <c r="FN24" i="2"/>
  <c r="FD24" i="2"/>
  <c r="EF24" i="2"/>
  <c r="DQ24" i="2"/>
  <c r="DB24" i="2"/>
  <c r="CS24" i="2"/>
  <c r="CB24" i="2"/>
  <c r="AW24" i="2"/>
  <c r="Q20" i="2"/>
  <c r="R26" i="2" s="1"/>
  <c r="CA19" i="2"/>
  <c r="Q17" i="2"/>
  <c r="EE15" i="2"/>
  <c r="DA15" i="2"/>
  <c r="DA12" i="2" s="1"/>
  <c r="BK15" i="2"/>
  <c r="AY15" i="2"/>
  <c r="AV15" i="2"/>
  <c r="HF13" i="2"/>
  <c r="HF11" i="2" s="1"/>
  <c r="GY13" i="2"/>
  <c r="GE13" i="2"/>
  <c r="GE11" i="2" s="1"/>
  <c r="FV13" i="2"/>
  <c r="FV11" i="2" s="1"/>
  <c r="FM13" i="2"/>
  <c r="FM11" i="2" s="1"/>
  <c r="EE13" i="2"/>
  <c r="EE12" i="2" s="1"/>
  <c r="DP13" i="2"/>
  <c r="DA13" i="2"/>
  <c r="CA12" i="2"/>
  <c r="HF8" i="2"/>
  <c r="HF9" i="2" s="1"/>
  <c r="FV8" i="2"/>
  <c r="FV9" i="2" s="1"/>
  <c r="FC8" i="2"/>
  <c r="FC9" i="2" s="1"/>
  <c r="EE8" i="2"/>
  <c r="EE9" i="2" s="1"/>
  <c r="DP8" i="2"/>
  <c r="DP9" i="2" s="1"/>
  <c r="DA8" i="2"/>
  <c r="DA9" i="2" s="1"/>
  <c r="CR8" i="2"/>
  <c r="CR9" i="2" s="1"/>
  <c r="CA8" i="2"/>
  <c r="CA9" i="2" s="1"/>
  <c r="BK8" i="2"/>
  <c r="BK9" i="2" s="1"/>
  <c r="AV8" i="2"/>
  <c r="AV9" i="2" s="1"/>
  <c r="AG8" i="2"/>
  <c r="AG9" i="2" s="1"/>
  <c r="DA11" i="2" l="1"/>
  <c r="K8" i="7" s="1"/>
  <c r="L8" i="7"/>
  <c r="EE11" i="2"/>
  <c r="L10" i="7"/>
  <c r="AM26" i="2"/>
  <c r="AG26" i="2"/>
  <c r="AI27" i="2" s="1"/>
  <c r="GN27" i="2"/>
  <c r="GN28" i="2" s="1"/>
  <c r="GN29" i="2" s="1"/>
  <c r="GN30" i="2" s="1"/>
  <c r="GN31" i="2" s="1"/>
  <c r="GN32" i="2" s="1"/>
  <c r="GN33" i="2" s="1"/>
  <c r="GN34" i="2" s="1"/>
  <c r="GN35" i="2" s="1"/>
  <c r="GN13" i="2"/>
  <c r="GN11" i="2" s="1"/>
  <c r="EN26" i="2"/>
  <c r="AH27" i="2"/>
  <c r="AH28" i="2" s="1"/>
  <c r="AH29" i="2" s="1"/>
  <c r="BT27" i="2"/>
  <c r="BU27" i="2" s="1"/>
  <c r="BK13" i="2"/>
  <c r="BK11" i="2" s="1"/>
  <c r="DP11" i="2"/>
  <c r="DP15" i="2"/>
  <c r="DJ26" i="2"/>
  <c r="GK25" i="2"/>
  <c r="GN8" i="2"/>
  <c r="GN9" i="2" s="1"/>
  <c r="BE26" i="2"/>
  <c r="DX27" i="2"/>
  <c r="DY27" i="2" s="1"/>
  <c r="GT25" i="2"/>
  <c r="EM27" i="2"/>
  <c r="EN27" i="2" s="1"/>
  <c r="BE27" i="2"/>
  <c r="AJ26" i="2"/>
  <c r="AN27" i="2"/>
  <c r="AO26" i="2"/>
  <c r="BD28" i="2"/>
  <c r="BE28" i="2" s="1"/>
  <c r="Q26" i="2"/>
  <c r="U26" i="2"/>
  <c r="O32" i="2"/>
  <c r="N31" i="2"/>
  <c r="EG29" i="2"/>
  <c r="EH29" i="2" s="1"/>
  <c r="EE29" i="2"/>
  <c r="CR27" i="2"/>
  <c r="CR28" i="2" s="1"/>
  <c r="CR29" i="2" s="1"/>
  <c r="CR30" i="2" s="1"/>
  <c r="CR31" i="2" s="1"/>
  <c r="CR32" i="2" s="1"/>
  <c r="CR33" i="2" s="1"/>
  <c r="CR34" i="2" s="1"/>
  <c r="CR35" i="2" s="1"/>
  <c r="CR36" i="2" s="1"/>
  <c r="CR37" i="2" s="1"/>
  <c r="CR38" i="2" s="1"/>
  <c r="CR39" i="2" s="1"/>
  <c r="CR40" i="2" s="1"/>
  <c r="CR41" i="2" s="1"/>
  <c r="CR42" i="2" s="1"/>
  <c r="CR43" i="2" s="1"/>
  <c r="FC13" i="2"/>
  <c r="FC11" i="2" s="1"/>
  <c r="T44" i="2"/>
  <c r="T40" i="2"/>
  <c r="T36" i="2"/>
  <c r="T32" i="2"/>
  <c r="T42" i="2"/>
  <c r="T39" i="2"/>
  <c r="T37" i="2"/>
  <c r="T35" i="2"/>
  <c r="T31" i="2"/>
  <c r="T43" i="2"/>
  <c r="T38" i="2"/>
  <c r="T34" i="2"/>
  <c r="CA27" i="2"/>
  <c r="CK28" i="2" s="1"/>
  <c r="EG27" i="2"/>
  <c r="EH27" i="2" s="1"/>
  <c r="EG28" i="2"/>
  <c r="EH28" i="2" s="1"/>
  <c r="N30" i="2"/>
  <c r="T41" i="2"/>
  <c r="BK27" i="2"/>
  <c r="CD27" i="2"/>
  <c r="CF27" i="2" s="1"/>
  <c r="DP27" i="2"/>
  <c r="DP28" i="2" s="1"/>
  <c r="DP29" i="2" s="1"/>
  <c r="DP30" i="2" s="1"/>
  <c r="DP31" i="2" s="1"/>
  <c r="DP32" i="2" s="1"/>
  <c r="DP33" i="2" s="1"/>
  <c r="DP34" i="2" s="1"/>
  <c r="DP35" i="2" s="1"/>
  <c r="DP36" i="2" s="1"/>
  <c r="DP37" i="2" s="1"/>
  <c r="DP38" i="2" s="1"/>
  <c r="DP39" i="2" s="1"/>
  <c r="DP40" i="2" s="1"/>
  <c r="DP41" i="2" s="1"/>
  <c r="DP42" i="2" s="1"/>
  <c r="DP43" i="2" s="1"/>
  <c r="DP44" i="2" s="1"/>
  <c r="DP45" i="2" s="1"/>
  <c r="DP46" i="2" s="1"/>
  <c r="DP47" i="2" s="1"/>
  <c r="DP48" i="2" s="1"/>
  <c r="DP49" i="2" s="1"/>
  <c r="DP50" i="2" s="1"/>
  <c r="DP51" i="2" s="1"/>
  <c r="DP52" i="2" s="1"/>
  <c r="DP53" i="2" s="1"/>
  <c r="DP54" i="2" s="1"/>
  <c r="DP55" i="2" s="1"/>
  <c r="DP56" i="2" s="1"/>
  <c r="DP57" i="2" s="1"/>
  <c r="DP58" i="2" s="1"/>
  <c r="DP59" i="2" s="1"/>
  <c r="DP60" i="2" s="1"/>
  <c r="DP61" i="2" s="1"/>
  <c r="DP62" i="2" s="1"/>
  <c r="AV28" i="2"/>
  <c r="T29" i="2"/>
  <c r="BM27" i="2"/>
  <c r="BO27" i="2" s="1"/>
  <c r="DA27" i="2"/>
  <c r="R28" i="2"/>
  <c r="T33" i="2"/>
  <c r="R27" i="2"/>
  <c r="AJ27" i="2"/>
  <c r="T28" i="2"/>
  <c r="GW13" i="2"/>
  <c r="GW11" i="2" s="1"/>
  <c r="T27" i="2"/>
  <c r="AM27" i="2"/>
  <c r="T30" i="2"/>
  <c r="T45" i="2"/>
  <c r="I1" i="12"/>
  <c r="J1" i="12"/>
  <c r="H1" i="12"/>
  <c r="G1" i="12"/>
  <c r="F1" i="12"/>
  <c r="E1" i="12"/>
  <c r="D1" i="12"/>
  <c r="EH13" i="2" l="1"/>
  <c r="EI13" i="2" s="1"/>
  <c r="K10" i="7"/>
  <c r="CM28" i="2"/>
  <c r="CM29" i="2" s="1"/>
  <c r="CL28" i="2"/>
  <c r="AG27" i="2"/>
  <c r="AG13" i="2" s="1"/>
  <c r="AO27" i="2"/>
  <c r="BM28" i="2"/>
  <c r="BO28" i="2" s="1"/>
  <c r="BK28" i="2"/>
  <c r="Y28" i="2"/>
  <c r="O33" i="2"/>
  <c r="N32" i="2"/>
  <c r="S27" i="2"/>
  <c r="U27" i="2" s="1"/>
  <c r="Q27" i="2"/>
  <c r="AX29" i="2"/>
  <c r="AY29" i="2" s="1"/>
  <c r="AV13" i="2"/>
  <c r="AV29" i="2"/>
  <c r="CD28" i="2"/>
  <c r="CF28" i="2" s="1"/>
  <c r="CA28" i="2"/>
  <c r="CA13" i="2" s="1"/>
  <c r="EG30" i="2"/>
  <c r="EH30" i="2" s="1"/>
  <c r="EE30" i="2"/>
  <c r="AH30" i="2"/>
  <c r="AI28" i="2"/>
  <c r="AJ28" i="2" s="1"/>
  <c r="AG28" i="2"/>
  <c r="DA28" i="2"/>
  <c r="DC28" i="2"/>
  <c r="DD28" i="2" s="1"/>
  <c r="DI28" i="2"/>
  <c r="DJ28" i="2" s="1"/>
  <c r="A2" i="12"/>
  <c r="AG11" i="2" l="1"/>
  <c r="AG15" i="2"/>
  <c r="AI29" i="2"/>
  <c r="AJ29" i="2" s="1"/>
  <c r="AG29" i="2"/>
  <c r="BL31" i="2"/>
  <c r="BM29" i="2"/>
  <c r="BO29" i="2" s="1"/>
  <c r="BK29" i="2"/>
  <c r="O34" i="2"/>
  <c r="N33" i="2"/>
  <c r="DC29" i="2"/>
  <c r="DD29" i="2" s="1"/>
  <c r="DA29" i="2"/>
  <c r="CD29" i="2"/>
  <c r="CF29" i="2" s="1"/>
  <c r="CA29" i="2"/>
  <c r="CA11" i="2"/>
  <c r="CA15" i="2"/>
  <c r="AX30" i="2"/>
  <c r="AY30" i="2" s="1"/>
  <c r="AV30" i="2"/>
  <c r="AH31" i="2"/>
  <c r="AV12" i="2"/>
  <c r="EG31" i="2"/>
  <c r="EH31" i="2" s="1"/>
  <c r="EE31" i="2"/>
  <c r="S28" i="2"/>
  <c r="U28" i="2" s="1"/>
  <c r="Z28" i="2"/>
  <c r="AA28" i="2" s="1"/>
  <c r="Q28" i="2"/>
  <c r="A3" i="12"/>
  <c r="R2" i="12"/>
  <c r="N2" i="7" s="1"/>
  <c r="I2" i="7"/>
  <c r="M3" i="7"/>
  <c r="B3" i="7"/>
  <c r="C3" i="7"/>
  <c r="D3" i="7"/>
  <c r="F3" i="7"/>
  <c r="B4" i="7"/>
  <c r="C4" i="7"/>
  <c r="D4" i="7"/>
  <c r="F4" i="7"/>
  <c r="B3" i="12"/>
  <c r="C2" i="7"/>
  <c r="D2" i="7"/>
  <c r="F2" i="7"/>
  <c r="B2" i="7"/>
  <c r="B2" i="12" s="1"/>
  <c r="AV11" i="2" l="1"/>
  <c r="L4" i="7"/>
  <c r="N34" i="2"/>
  <c r="O35" i="2"/>
  <c r="EG32" i="2"/>
  <c r="EH32" i="2" s="1"/>
  <c r="EE32" i="2"/>
  <c r="BM30" i="2"/>
  <c r="BO30" i="2" s="1"/>
  <c r="BK30" i="2"/>
  <c r="CD30" i="2"/>
  <c r="CF30" i="2" s="1"/>
  <c r="CA30" i="2"/>
  <c r="BL32" i="2"/>
  <c r="AI30" i="2"/>
  <c r="AJ30" i="2" s="1"/>
  <c r="AG30" i="2"/>
  <c r="DC30" i="2"/>
  <c r="DD30" i="2" s="1"/>
  <c r="DA30" i="2"/>
  <c r="Q29" i="2"/>
  <c r="S29" i="2"/>
  <c r="U29" i="2" s="1"/>
  <c r="AH32" i="2"/>
  <c r="AV31" i="2"/>
  <c r="AX31" i="2"/>
  <c r="AY31" i="2" s="1"/>
  <c r="AX32" i="2" l="1"/>
  <c r="AY32" i="2" s="1"/>
  <c r="AV32" i="2"/>
  <c r="BM31" i="2"/>
  <c r="BO31" i="2" s="1"/>
  <c r="BK31" i="2"/>
  <c r="AH33" i="2"/>
  <c r="EE33" i="2"/>
  <c r="EG33" i="2"/>
  <c r="EH33" i="2" s="1"/>
  <c r="CA31" i="2"/>
  <c r="CD31" i="2"/>
  <c r="CF31" i="2" s="1"/>
  <c r="AI31" i="2"/>
  <c r="AJ31" i="2" s="1"/>
  <c r="AG31" i="2"/>
  <c r="Q13" i="2"/>
  <c r="S30" i="2"/>
  <c r="U30" i="2" s="1"/>
  <c r="Q30" i="2"/>
  <c r="N35" i="2"/>
  <c r="O36" i="2"/>
  <c r="DC31" i="2"/>
  <c r="DD31" i="2" s="1"/>
  <c r="DA31" i="2"/>
  <c r="BL33" i="2"/>
  <c r="AH34" i="2" l="1"/>
  <c r="BL34" i="2"/>
  <c r="BM32" i="2"/>
  <c r="BO32" i="2" s="1"/>
  <c r="BK32" i="2"/>
  <c r="P25" i="2"/>
  <c r="Q11" i="2"/>
  <c r="AX33" i="2"/>
  <c r="AY33" i="2" s="1"/>
  <c r="AV33" i="2"/>
  <c r="R48" i="2"/>
  <c r="R45" i="2"/>
  <c r="R54" i="2"/>
  <c r="R52" i="2"/>
  <c r="R51" i="2"/>
  <c r="R41" i="2"/>
  <c r="R33" i="2"/>
  <c r="R46" i="2"/>
  <c r="R44" i="2"/>
  <c r="R49" i="2"/>
  <c r="R40" i="2"/>
  <c r="R36" i="2"/>
  <c r="R32" i="2"/>
  <c r="R42" i="2"/>
  <c r="R55" i="2"/>
  <c r="R53" i="2"/>
  <c r="R47" i="2"/>
  <c r="R39" i="2"/>
  <c r="R37" i="2"/>
  <c r="R35" i="2"/>
  <c r="R31" i="2"/>
  <c r="Q31" i="2" s="1"/>
  <c r="R43" i="2"/>
  <c r="S31" i="2"/>
  <c r="R34" i="2"/>
  <c r="R50" i="2"/>
  <c r="R38" i="2"/>
  <c r="EG34" i="2"/>
  <c r="EH34" i="2" s="1"/>
  <c r="EE34" i="2"/>
  <c r="AI32" i="2"/>
  <c r="AJ32" i="2" s="1"/>
  <c r="AG32" i="2"/>
  <c r="DC32" i="2"/>
  <c r="DD32" i="2" s="1"/>
  <c r="DA32" i="2"/>
  <c r="N36" i="2"/>
  <c r="O37" i="2"/>
  <c r="CA32" i="2"/>
  <c r="CD32" i="2"/>
  <c r="CF32" i="2" s="1"/>
  <c r="M4" i="7"/>
  <c r="E3" i="11"/>
  <c r="E2" i="11"/>
  <c r="S32" i="2" l="1"/>
  <c r="Q32" i="2"/>
  <c r="BL35" i="2"/>
  <c r="DA33" i="2"/>
  <c r="DC33" i="2"/>
  <c r="DD33" i="2" s="1"/>
  <c r="AI33" i="2"/>
  <c r="AJ33" i="2" s="1"/>
  <c r="AG33" i="2"/>
  <c r="AX34" i="2"/>
  <c r="AY34" i="2" s="1"/>
  <c r="AV34" i="2"/>
  <c r="R24" i="2"/>
  <c r="U31" i="2"/>
  <c r="U32" i="2"/>
  <c r="N37" i="2"/>
  <c r="O38" i="2"/>
  <c r="EG35" i="2"/>
  <c r="EH35" i="2" s="1"/>
  <c r="EE35" i="2"/>
  <c r="CD33" i="2"/>
  <c r="CF33" i="2" s="1"/>
  <c r="CA33" i="2"/>
  <c r="BM33" i="2"/>
  <c r="BO33" i="2" s="1"/>
  <c r="BK33" i="2"/>
  <c r="AH35" i="2"/>
  <c r="DC34" i="2" l="1"/>
  <c r="DD34" i="2" s="1"/>
  <c r="DA34" i="2"/>
  <c r="CD34" i="2"/>
  <c r="CF34" i="2" s="1"/>
  <c r="CA34" i="2"/>
  <c r="AI34" i="2"/>
  <c r="AJ34" i="2" s="1"/>
  <c r="AG34" i="2"/>
  <c r="EG36" i="2"/>
  <c r="EH36" i="2" s="1"/>
  <c r="EE36" i="2"/>
  <c r="BK34" i="2"/>
  <c r="BM34" i="2"/>
  <c r="BO34" i="2" s="1"/>
  <c r="AX35" i="2"/>
  <c r="AY35" i="2" s="1"/>
  <c r="AV35" i="2"/>
  <c r="BL36" i="2"/>
  <c r="S33" i="2"/>
  <c r="U33" i="2" s="1"/>
  <c r="Q33" i="2"/>
  <c r="AH36" i="2"/>
  <c r="N38" i="2"/>
  <c r="O39" i="2"/>
  <c r="C26" i="2"/>
  <c r="B25" i="2"/>
  <c r="M2" i="7"/>
  <c r="K4" i="7"/>
  <c r="K3" i="7"/>
  <c r="C27" i="2" l="1"/>
  <c r="BM35" i="2"/>
  <c r="BO35" i="2" s="1"/>
  <c r="BK35" i="2"/>
  <c r="EG37" i="2"/>
  <c r="EH37" i="2" s="1"/>
  <c r="EE37" i="2"/>
  <c r="BL37" i="2"/>
  <c r="CD35" i="2"/>
  <c r="CF35" i="2" s="1"/>
  <c r="CA35" i="2"/>
  <c r="N39" i="2"/>
  <c r="O40" i="2"/>
  <c r="AX36" i="2"/>
  <c r="AY36" i="2" s="1"/>
  <c r="AV36" i="2"/>
  <c r="AH37" i="2"/>
  <c r="AG35" i="2"/>
  <c r="AI35" i="2"/>
  <c r="AJ35" i="2" s="1"/>
  <c r="Q34" i="2"/>
  <c r="S34" i="2"/>
  <c r="U34" i="2" s="1"/>
  <c r="DC35" i="2"/>
  <c r="DD35" i="2" s="1"/>
  <c r="DA35" i="2"/>
  <c r="B26" i="2"/>
  <c r="H3" i="7"/>
  <c r="H4" i="7"/>
  <c r="C28" i="2"/>
  <c r="B27" i="2"/>
  <c r="C29" i="2" l="1"/>
  <c r="AH38" i="2"/>
  <c r="AI36" i="2"/>
  <c r="AJ36" i="2" s="1"/>
  <c r="AG36" i="2"/>
  <c r="DC36" i="2"/>
  <c r="DD36" i="2" s="1"/>
  <c r="DA36" i="2"/>
  <c r="AX37" i="2"/>
  <c r="AY37" i="2" s="1"/>
  <c r="AV37" i="2"/>
  <c r="EG38" i="2"/>
  <c r="EH38" i="2" s="1"/>
  <c r="EE38" i="2"/>
  <c r="O41" i="2"/>
  <c r="N40" i="2"/>
  <c r="BL38" i="2"/>
  <c r="S35" i="2"/>
  <c r="U35" i="2" s="1"/>
  <c r="Q35" i="2"/>
  <c r="BM36" i="2"/>
  <c r="BO36" i="2" s="1"/>
  <c r="BK36" i="2"/>
  <c r="CA36" i="2"/>
  <c r="CD36" i="2"/>
  <c r="CF36" i="2" s="1"/>
  <c r="B28" i="2"/>
  <c r="C30" i="2" l="1"/>
  <c r="DC37" i="2"/>
  <c r="DD37" i="2" s="1"/>
  <c r="DA37" i="2"/>
  <c r="CD37" i="2"/>
  <c r="CF37" i="2" s="1"/>
  <c r="CA37" i="2"/>
  <c r="BL39" i="2"/>
  <c r="AX38" i="2"/>
  <c r="AY38" i="2" s="1"/>
  <c r="AV38" i="2"/>
  <c r="BM37" i="2"/>
  <c r="BO37" i="2" s="1"/>
  <c r="BK37" i="2"/>
  <c r="AG37" i="2"/>
  <c r="AI37" i="2"/>
  <c r="AJ37" i="2" s="1"/>
  <c r="N41" i="2"/>
  <c r="O42" i="2"/>
  <c r="S36" i="2"/>
  <c r="U36" i="2" s="1"/>
  <c r="Q36" i="2"/>
  <c r="EG39" i="2"/>
  <c r="EH39" i="2" s="1"/>
  <c r="EE39" i="2"/>
  <c r="AH39" i="2"/>
  <c r="B29" i="2"/>
  <c r="C31" i="2" l="1"/>
  <c r="O43" i="2"/>
  <c r="N42" i="2"/>
  <c r="AH40" i="2"/>
  <c r="BK38" i="2"/>
  <c r="BM38" i="2"/>
  <c r="BO38" i="2" s="1"/>
  <c r="CD38" i="2"/>
  <c r="CF38" i="2" s="1"/>
  <c r="CA38" i="2"/>
  <c r="DC38" i="2"/>
  <c r="DD38" i="2" s="1"/>
  <c r="DA38" i="2"/>
  <c r="BL40" i="2"/>
  <c r="BL24" i="2"/>
  <c r="AI38" i="2"/>
  <c r="AJ38" i="2" s="1"/>
  <c r="AG38" i="2"/>
  <c r="EG40" i="2"/>
  <c r="EH40" i="2" s="1"/>
  <c r="EE40" i="2"/>
  <c r="S37" i="2"/>
  <c r="U37" i="2" s="1"/>
  <c r="Q37" i="2"/>
  <c r="AX39" i="2"/>
  <c r="AY39" i="2" s="1"/>
  <c r="AV39" i="2"/>
  <c r="I28" i="2"/>
  <c r="B30" i="2"/>
  <c r="C32" i="2" l="1"/>
  <c r="AG39" i="2"/>
  <c r="AI39" i="2"/>
  <c r="AJ39" i="2" s="1"/>
  <c r="CD39" i="2"/>
  <c r="CF39" i="2" s="1"/>
  <c r="CA39" i="2"/>
  <c r="AX40" i="2"/>
  <c r="AY40" i="2" s="1"/>
  <c r="AV40" i="2"/>
  <c r="AH41" i="2"/>
  <c r="BM39" i="2"/>
  <c r="BO39" i="2" s="1"/>
  <c r="BK39" i="2"/>
  <c r="Q38" i="2"/>
  <c r="S38" i="2"/>
  <c r="U38" i="2" s="1"/>
  <c r="EG41" i="2"/>
  <c r="EH41" i="2" s="1"/>
  <c r="EE41" i="2"/>
  <c r="DC39" i="2"/>
  <c r="DD39" i="2" s="1"/>
  <c r="DA39" i="2"/>
  <c r="N43" i="2"/>
  <c r="O44" i="2"/>
  <c r="B31" i="2"/>
  <c r="C33" i="2" l="1"/>
  <c r="S39" i="2"/>
  <c r="U39" i="2" s="1"/>
  <c r="Q39" i="2"/>
  <c r="AX41" i="2"/>
  <c r="AY41" i="2" s="1"/>
  <c r="AV41" i="2"/>
  <c r="BM40" i="2"/>
  <c r="BO40" i="2" s="1"/>
  <c r="BK40" i="2"/>
  <c r="EE42" i="2"/>
  <c r="EG42" i="2"/>
  <c r="EH42" i="2" s="1"/>
  <c r="CA40" i="2"/>
  <c r="CD40" i="2"/>
  <c r="CF40" i="2" s="1"/>
  <c r="O45" i="2"/>
  <c r="N44" i="2"/>
  <c r="DC40" i="2"/>
  <c r="DD40" i="2" s="1"/>
  <c r="DA40" i="2"/>
  <c r="AH42" i="2"/>
  <c r="AI40" i="2"/>
  <c r="AJ40" i="2" s="1"/>
  <c r="AG40" i="2"/>
  <c r="B32" i="2"/>
  <c r="C34" i="2" l="1"/>
  <c r="EG43" i="2"/>
  <c r="EH43" i="2" s="1"/>
  <c r="EE43" i="2"/>
  <c r="DC41" i="2"/>
  <c r="DD41" i="2" s="1"/>
  <c r="DA41" i="2"/>
  <c r="AX42" i="2"/>
  <c r="AY42" i="2" s="1"/>
  <c r="AV42" i="2"/>
  <c r="AH43" i="2"/>
  <c r="N45" i="2"/>
  <c r="O46" i="2"/>
  <c r="AI41" i="2"/>
  <c r="AJ41" i="2" s="1"/>
  <c r="AG41" i="2"/>
  <c r="S40" i="2"/>
  <c r="U40" i="2" s="1"/>
  <c r="Q40" i="2"/>
  <c r="CD41" i="2"/>
  <c r="CF41" i="2" s="1"/>
  <c r="CA41" i="2"/>
  <c r="B33" i="2"/>
  <c r="C35" i="2" l="1"/>
  <c r="AH44" i="2"/>
  <c r="AX43" i="2"/>
  <c r="AY43" i="2" s="1"/>
  <c r="AV43" i="2"/>
  <c r="DC42" i="2"/>
  <c r="DD42" i="2" s="1"/>
  <c r="DA42" i="2"/>
  <c r="CD42" i="2"/>
  <c r="CF42" i="2" s="1"/>
  <c r="CA42" i="2"/>
  <c r="S41" i="2"/>
  <c r="U41" i="2" s="1"/>
  <c r="Q41" i="2"/>
  <c r="AI42" i="2"/>
  <c r="AJ42" i="2" s="1"/>
  <c r="AG42" i="2"/>
  <c r="N46" i="2"/>
  <c r="O47" i="2"/>
  <c r="EG44" i="2"/>
  <c r="EH44" i="2" s="1"/>
  <c r="EE44" i="2"/>
  <c r="B34" i="2"/>
  <c r="C36" i="2" l="1"/>
  <c r="N47" i="2"/>
  <c r="O48" i="2"/>
  <c r="AI43" i="2"/>
  <c r="AJ43" i="2" s="1"/>
  <c r="AG43" i="2"/>
  <c r="EG45" i="2"/>
  <c r="EH45" i="2" s="1"/>
  <c r="EE45" i="2"/>
  <c r="CD43" i="2"/>
  <c r="CF43" i="2" s="1"/>
  <c r="CA43" i="2"/>
  <c r="DC43" i="2"/>
  <c r="DD43" i="2" s="1"/>
  <c r="DA43" i="2"/>
  <c r="AV44" i="2"/>
  <c r="AX44" i="2"/>
  <c r="AY44" i="2" s="1"/>
  <c r="S42" i="2"/>
  <c r="U42" i="2" s="1"/>
  <c r="Q42" i="2"/>
  <c r="AH45" i="2"/>
  <c r="B35" i="2"/>
  <c r="C37" i="2" l="1"/>
  <c r="Q43" i="2"/>
  <c r="S43" i="2"/>
  <c r="U43" i="2" s="1"/>
  <c r="AX45" i="2"/>
  <c r="AY45" i="2" s="1"/>
  <c r="AV45" i="2"/>
  <c r="EG46" i="2"/>
  <c r="EH46" i="2" s="1"/>
  <c r="EE46" i="2"/>
  <c r="N48" i="2"/>
  <c r="O49" i="2"/>
  <c r="CD44" i="2"/>
  <c r="CF44" i="2" s="1"/>
  <c r="CA44" i="2"/>
  <c r="AH46" i="2"/>
  <c r="AI44" i="2"/>
  <c r="AJ44" i="2" s="1"/>
  <c r="AG44" i="2"/>
  <c r="DA44" i="2"/>
  <c r="DC44" i="2"/>
  <c r="DD44" i="2" s="1"/>
  <c r="B36" i="2"/>
  <c r="C38" i="2" l="1"/>
  <c r="AI45" i="2"/>
  <c r="AJ45" i="2" s="1"/>
  <c r="AG45" i="2"/>
  <c r="O50" i="2"/>
  <c r="N49" i="2"/>
  <c r="DC45" i="2"/>
  <c r="DD45" i="2" s="1"/>
  <c r="DA45" i="2"/>
  <c r="EG47" i="2"/>
  <c r="EH47" i="2" s="1"/>
  <c r="EE47" i="2"/>
  <c r="AH47" i="2"/>
  <c r="AX46" i="2"/>
  <c r="AY46" i="2" s="1"/>
  <c r="AV46" i="2"/>
  <c r="S44" i="2"/>
  <c r="U44" i="2" s="1"/>
  <c r="Q44" i="2"/>
  <c r="B37" i="2"/>
  <c r="C39" i="2" l="1"/>
  <c r="EG48" i="2"/>
  <c r="EH48" i="2" s="1"/>
  <c r="EE48" i="2"/>
  <c r="Q45" i="2"/>
  <c r="S45" i="2"/>
  <c r="U45" i="2" s="1"/>
  <c r="AX47" i="2"/>
  <c r="AY47" i="2" s="1"/>
  <c r="AV47" i="2"/>
  <c r="DC46" i="2"/>
  <c r="DD46" i="2" s="1"/>
  <c r="DA46" i="2"/>
  <c r="N50" i="2"/>
  <c r="O51" i="2"/>
  <c r="AI46" i="2"/>
  <c r="AJ46" i="2" s="1"/>
  <c r="AG46" i="2"/>
  <c r="AH48" i="2"/>
  <c r="B38" i="2"/>
  <c r="C40" i="2" l="1"/>
  <c r="DA47" i="2"/>
  <c r="DC47" i="2"/>
  <c r="DD47" i="2" s="1"/>
  <c r="AH49" i="2"/>
  <c r="AG47" i="2"/>
  <c r="AI47" i="2"/>
  <c r="AJ47" i="2" s="1"/>
  <c r="S46" i="2"/>
  <c r="U46" i="2" s="1"/>
  <c r="Q46" i="2"/>
  <c r="O52" i="2"/>
  <c r="N51" i="2"/>
  <c r="EG49" i="2"/>
  <c r="EH49" i="2" s="1"/>
  <c r="EE49" i="2"/>
  <c r="AV48" i="2"/>
  <c r="AX48" i="2"/>
  <c r="AY48" i="2" s="1"/>
  <c r="B39" i="2"/>
  <c r="C41" i="2" l="1"/>
  <c r="EG50" i="2"/>
  <c r="EH50" i="2" s="1"/>
  <c r="EE50" i="2"/>
  <c r="S47" i="2"/>
  <c r="U47" i="2" s="1"/>
  <c r="Q47" i="2"/>
  <c r="AX49" i="2"/>
  <c r="AY49" i="2" s="1"/>
  <c r="AV49" i="2"/>
  <c r="AI48" i="2"/>
  <c r="AJ48" i="2" s="1"/>
  <c r="AG48" i="2"/>
  <c r="AH50" i="2"/>
  <c r="N52" i="2"/>
  <c r="O53" i="2"/>
  <c r="DC48" i="2"/>
  <c r="DD48" i="2" s="1"/>
  <c r="DA48" i="2"/>
  <c r="B40" i="2"/>
  <c r="C42" i="2" l="1"/>
  <c r="AX50" i="2"/>
  <c r="AY50" i="2" s="1"/>
  <c r="AV50" i="2"/>
  <c r="AI49" i="2"/>
  <c r="AJ49" i="2" s="1"/>
  <c r="AG49" i="2"/>
  <c r="DC49" i="2"/>
  <c r="DD49" i="2" s="1"/>
  <c r="DA49" i="2"/>
  <c r="N53" i="2"/>
  <c r="O54" i="2"/>
  <c r="Q48" i="2"/>
  <c r="S48" i="2"/>
  <c r="U48" i="2" s="1"/>
  <c r="EG51" i="2"/>
  <c r="EH51" i="2" s="1"/>
  <c r="EE51" i="2"/>
  <c r="AH24" i="2"/>
  <c r="B41" i="2"/>
  <c r="G40" i="2" l="1"/>
  <c r="C43" i="2"/>
  <c r="G41" i="2"/>
  <c r="N54" i="2"/>
  <c r="O55" i="2"/>
  <c r="EG52" i="2"/>
  <c r="EH52" i="2" s="1"/>
  <c r="EE52" i="2"/>
  <c r="AX51" i="2"/>
  <c r="AY51" i="2" s="1"/>
  <c r="AV51" i="2"/>
  <c r="DC50" i="2"/>
  <c r="DD50" i="2" s="1"/>
  <c r="DA50" i="2"/>
  <c r="AI50" i="2"/>
  <c r="AJ50" i="2" s="1"/>
  <c r="AG50" i="2"/>
  <c r="S49" i="2"/>
  <c r="U49" i="2" s="1"/>
  <c r="Q49" i="2"/>
  <c r="B42" i="2"/>
  <c r="F32" i="2" l="1"/>
  <c r="F33" i="2"/>
  <c r="G33" i="2"/>
  <c r="F34" i="2"/>
  <c r="G35" i="2"/>
  <c r="F35" i="2"/>
  <c r="G36" i="2"/>
  <c r="G34" i="2"/>
  <c r="G37" i="2"/>
  <c r="F36" i="2"/>
  <c r="G39" i="2"/>
  <c r="F42" i="2"/>
  <c r="F39" i="2"/>
  <c r="F40" i="2"/>
  <c r="G42" i="2"/>
  <c r="F37" i="2"/>
  <c r="F41" i="2"/>
  <c r="F43" i="2"/>
  <c r="G43" i="2"/>
  <c r="C44" i="2"/>
  <c r="G38" i="2"/>
  <c r="F38" i="2"/>
  <c r="EG53" i="2"/>
  <c r="EH53" i="2" s="1"/>
  <c r="EE53" i="2"/>
  <c r="N55" i="2"/>
  <c r="Q8" i="2"/>
  <c r="Q9" i="2" s="1"/>
  <c r="AX52" i="2"/>
  <c r="AY52" i="2" s="1"/>
  <c r="AV52" i="2"/>
  <c r="S50" i="2"/>
  <c r="U50" i="2" s="1"/>
  <c r="Q50" i="2"/>
  <c r="AI51" i="2"/>
  <c r="AJ51" i="2" s="1"/>
  <c r="AG51" i="2"/>
  <c r="B43" i="2"/>
  <c r="G44" i="2" l="1"/>
  <c r="F44" i="2"/>
  <c r="C45" i="2"/>
  <c r="F28" i="2"/>
  <c r="G29" i="2"/>
  <c r="F26" i="2"/>
  <c r="G28" i="2"/>
  <c r="F27" i="2"/>
  <c r="F29" i="2"/>
  <c r="G27" i="2"/>
  <c r="G30" i="2"/>
  <c r="F30" i="2"/>
  <c r="F31" i="2"/>
  <c r="G31" i="2"/>
  <c r="S51" i="2"/>
  <c r="U51" i="2" s="1"/>
  <c r="Q51" i="2"/>
  <c r="AX53" i="2"/>
  <c r="AY53" i="2" s="1"/>
  <c r="AV53" i="2"/>
  <c r="EG54" i="2"/>
  <c r="EH54" i="2" s="1"/>
  <c r="EE54" i="2"/>
  <c r="B44" i="2"/>
  <c r="F45" i="2" l="1"/>
  <c r="G45" i="2"/>
  <c r="C46" i="2"/>
  <c r="EG55" i="2"/>
  <c r="EH55" i="2" s="1"/>
  <c r="EE55" i="2"/>
  <c r="AX54" i="2"/>
  <c r="AY54" i="2" s="1"/>
  <c r="AV54" i="2"/>
  <c r="S52" i="2"/>
  <c r="U52" i="2" s="1"/>
  <c r="Q52" i="2"/>
  <c r="B45" i="2"/>
  <c r="F46" i="2" l="1"/>
  <c r="G46" i="2"/>
  <c r="C47" i="2"/>
  <c r="S53" i="2"/>
  <c r="U53" i="2" s="1"/>
  <c r="Q53" i="2"/>
  <c r="AX55" i="2"/>
  <c r="AY55" i="2" s="1"/>
  <c r="AV55" i="2"/>
  <c r="EG56" i="2"/>
  <c r="EH56" i="2" s="1"/>
  <c r="EE56" i="2"/>
  <c r="B46" i="2"/>
  <c r="G47" i="2" l="1"/>
  <c r="F47" i="2"/>
  <c r="C48" i="2"/>
  <c r="EG57" i="2"/>
  <c r="EH57" i="2" s="1"/>
  <c r="EE57" i="2"/>
  <c r="AX56" i="2"/>
  <c r="AY56" i="2" s="1"/>
  <c r="AV56" i="2"/>
  <c r="S54" i="2"/>
  <c r="U54" i="2" s="1"/>
  <c r="Q54" i="2"/>
  <c r="B47" i="2"/>
  <c r="F48" i="2" l="1"/>
  <c r="G48" i="2"/>
  <c r="C49" i="2"/>
  <c r="S55" i="2"/>
  <c r="U55" i="2" s="1"/>
  <c r="Q55" i="2"/>
  <c r="AX57" i="2"/>
  <c r="AY57" i="2" s="1"/>
  <c r="AV57" i="2"/>
  <c r="EE58" i="2"/>
  <c r="EG58" i="2"/>
  <c r="EH58" i="2" s="1"/>
  <c r="B48" i="2"/>
  <c r="F49" i="2" l="1"/>
  <c r="G49" i="2"/>
  <c r="C50" i="2"/>
  <c r="AX58" i="2"/>
  <c r="AY58" i="2" s="1"/>
  <c r="AV58" i="2"/>
  <c r="B49" i="2"/>
  <c r="F50" i="2" l="1"/>
  <c r="G50" i="2"/>
  <c r="C51" i="2"/>
  <c r="AX59" i="2"/>
  <c r="AY59" i="2" s="1"/>
  <c r="AV59" i="2"/>
  <c r="B50" i="2"/>
  <c r="G51" i="2" l="1"/>
  <c r="F51" i="2"/>
  <c r="C52" i="2"/>
  <c r="AX60" i="2"/>
  <c r="AY60" i="2" s="1"/>
  <c r="AV60" i="2"/>
  <c r="B51" i="2"/>
  <c r="F52" i="2" l="1"/>
  <c r="G52" i="2"/>
  <c r="C53" i="2"/>
  <c r="AX61" i="2"/>
  <c r="AY61" i="2" s="1"/>
  <c r="AV61" i="2"/>
  <c r="I30" i="2"/>
  <c r="G32" i="2"/>
  <c r="B52" i="2"/>
  <c r="G53" i="2" l="1"/>
  <c r="F53" i="2"/>
  <c r="C54" i="2"/>
  <c r="AX62" i="2"/>
  <c r="AY62" i="2" s="1"/>
  <c r="AV62" i="2"/>
  <c r="H2" i="7"/>
  <c r="K2" i="7"/>
  <c r="G26" i="2"/>
  <c r="H27" i="2"/>
  <c r="H42" i="2"/>
  <c r="B53" i="2"/>
  <c r="F54" i="2" l="1"/>
  <c r="G54" i="2"/>
  <c r="C55" i="2"/>
  <c r="H48" i="2"/>
  <c r="H28" i="2"/>
  <c r="H39" i="2"/>
  <c r="H26" i="2"/>
  <c r="H50" i="2"/>
  <c r="H37" i="2"/>
  <c r="H47" i="2"/>
  <c r="H33" i="2"/>
  <c r="H44" i="2"/>
  <c r="H49" i="2"/>
  <c r="H31" i="2"/>
  <c r="H38" i="2"/>
  <c r="H45" i="2"/>
  <c r="H41" i="2"/>
  <c r="H36" i="2"/>
  <c r="H30" i="2"/>
  <c r="H40" i="2"/>
  <c r="H51" i="2"/>
  <c r="H29" i="2"/>
  <c r="H35" i="2"/>
  <c r="H34" i="2"/>
  <c r="H43" i="2"/>
  <c r="H46" i="2"/>
  <c r="H52" i="2"/>
  <c r="B54" i="2"/>
  <c r="G55" i="2" l="1"/>
  <c r="F55" i="2"/>
  <c r="C56" i="2"/>
  <c r="H53" i="2"/>
  <c r="B55" i="2"/>
  <c r="F56" i="2" l="1"/>
  <c r="G56" i="2"/>
  <c r="C57" i="2"/>
  <c r="H55" i="2"/>
  <c r="H32" i="2"/>
  <c r="H54" i="2"/>
  <c r="B56" i="2"/>
  <c r="F57" i="2" l="1"/>
  <c r="G57" i="2"/>
  <c r="C58" i="2"/>
  <c r="H56" i="2"/>
  <c r="B57" i="2"/>
  <c r="G58" i="2" l="1"/>
  <c r="F58" i="2"/>
  <c r="C59" i="2"/>
  <c r="H57" i="2"/>
  <c r="B58" i="2"/>
  <c r="F59" i="2" l="1"/>
  <c r="G59" i="2"/>
  <c r="C60" i="2"/>
  <c r="H58" i="2"/>
  <c r="B59" i="2"/>
  <c r="F60" i="2" l="1"/>
  <c r="G60" i="2"/>
  <c r="C61" i="2"/>
  <c r="H59" i="2"/>
  <c r="B60" i="2"/>
  <c r="F61" i="2" l="1"/>
  <c r="G61" i="2"/>
  <c r="C62" i="2"/>
  <c r="H60" i="2"/>
  <c r="B61" i="2"/>
  <c r="G62" i="2" l="1"/>
  <c r="F62" i="2"/>
  <c r="C63" i="2"/>
  <c r="H61" i="2"/>
  <c r="I61" i="2" s="1"/>
  <c r="B62" i="2"/>
  <c r="F63" i="2" l="1"/>
  <c r="G63" i="2"/>
  <c r="C64" i="2"/>
  <c r="H62" i="2"/>
  <c r="B63" i="2"/>
  <c r="G64" i="2" l="1"/>
  <c r="F64" i="2"/>
  <c r="C65" i="2"/>
  <c r="H63" i="2"/>
  <c r="B64" i="2"/>
  <c r="F65" i="2" l="1"/>
  <c r="G65" i="2"/>
  <c r="C66" i="2"/>
  <c r="H64" i="2"/>
  <c r="B65" i="2"/>
  <c r="F66" i="2" l="1"/>
  <c r="G66" i="2"/>
  <c r="C67" i="2"/>
  <c r="H65" i="2"/>
  <c r="B66" i="2"/>
  <c r="F67" i="2" l="1"/>
  <c r="G67" i="2"/>
  <c r="C68" i="2"/>
  <c r="H66" i="2"/>
  <c r="B67" i="2"/>
  <c r="F68" i="2" l="1"/>
  <c r="G68" i="2"/>
  <c r="C69" i="2"/>
  <c r="H67" i="2"/>
  <c r="B68" i="2"/>
  <c r="G69" i="2" l="1"/>
  <c r="F69" i="2"/>
  <c r="C70" i="2"/>
  <c r="H68" i="2"/>
  <c r="B69" i="2"/>
  <c r="H69" i="2" l="1"/>
  <c r="I69" i="2" s="1"/>
  <c r="F70" i="2"/>
  <c r="G70" i="2"/>
  <c r="C71" i="2"/>
  <c r="B70" i="2"/>
  <c r="F71" i="2" l="1"/>
  <c r="G71" i="2"/>
  <c r="C72" i="2"/>
  <c r="H70" i="2"/>
  <c r="B71" i="2"/>
  <c r="F72" i="2" l="1"/>
  <c r="G72" i="2"/>
  <c r="C73" i="2"/>
  <c r="H71" i="2"/>
  <c r="B72" i="2"/>
  <c r="G73" i="2" l="1"/>
  <c r="F73" i="2"/>
  <c r="C74" i="2"/>
  <c r="H72" i="2"/>
  <c r="B73" i="2"/>
  <c r="F74" i="2" l="1"/>
  <c r="G74" i="2"/>
  <c r="C75" i="2"/>
  <c r="H73" i="2"/>
  <c r="B74" i="2"/>
  <c r="G75" i="2" l="1"/>
  <c r="F75" i="2"/>
  <c r="C76" i="2"/>
  <c r="H74" i="2"/>
  <c r="I74" i="2" s="1"/>
  <c r="B75" i="2"/>
  <c r="F76" i="2" l="1"/>
  <c r="G76" i="2"/>
  <c r="C77" i="2"/>
  <c r="H75" i="2"/>
  <c r="B76" i="2"/>
  <c r="I75" i="2"/>
  <c r="G77" i="2" l="1"/>
  <c r="F77" i="2"/>
  <c r="C78" i="2"/>
  <c r="H76" i="2"/>
  <c r="B77" i="2"/>
  <c r="F78" i="2" l="1"/>
  <c r="G78" i="2"/>
  <c r="C79" i="2"/>
  <c r="H77" i="2"/>
  <c r="B78" i="2"/>
  <c r="F79" i="2" l="1"/>
  <c r="G79" i="2"/>
  <c r="C80" i="2"/>
  <c r="H78" i="2"/>
  <c r="B79" i="2"/>
  <c r="G80" i="2" l="1"/>
  <c r="F80" i="2"/>
  <c r="C81" i="2"/>
  <c r="H79" i="2"/>
  <c r="I79" i="2" s="1"/>
  <c r="B80" i="2"/>
  <c r="F81" i="2" l="1"/>
  <c r="G81" i="2"/>
  <c r="C82" i="2"/>
  <c r="H80" i="2"/>
  <c r="B81" i="2"/>
  <c r="H81" i="2" l="1"/>
  <c r="F82" i="2"/>
  <c r="G82" i="2"/>
  <c r="C83" i="2"/>
  <c r="B82" i="2"/>
  <c r="F83" i="2" l="1"/>
  <c r="G83" i="2"/>
  <c r="C84" i="2"/>
  <c r="H82" i="2"/>
  <c r="B83" i="2"/>
  <c r="G84" i="2" l="1"/>
  <c r="F84" i="2"/>
  <c r="C85" i="2"/>
  <c r="H83" i="2"/>
  <c r="B84" i="2"/>
  <c r="H84" i="2" l="1"/>
  <c r="F85" i="2"/>
  <c r="G85" i="2"/>
  <c r="C86" i="2"/>
  <c r="B85" i="2"/>
  <c r="G86" i="2" l="1"/>
  <c r="F86" i="2"/>
  <c r="C87" i="2"/>
  <c r="H85" i="2"/>
  <c r="B86" i="2"/>
  <c r="F87" i="2" l="1"/>
  <c r="G87" i="2"/>
  <c r="C88" i="2"/>
  <c r="H86" i="2"/>
  <c r="B87" i="2"/>
  <c r="G88" i="2" l="1"/>
  <c r="F88" i="2"/>
  <c r="C89" i="2"/>
  <c r="H87" i="2"/>
  <c r="B88" i="2"/>
  <c r="F89" i="2" l="1"/>
  <c r="G89" i="2"/>
  <c r="C90" i="2"/>
  <c r="H88" i="2"/>
  <c r="B89" i="2"/>
  <c r="F90" i="2" l="1"/>
  <c r="G90" i="2"/>
  <c r="C91" i="2"/>
  <c r="H89" i="2"/>
  <c r="B90" i="2"/>
  <c r="G91" i="2" l="1"/>
  <c r="F91" i="2"/>
  <c r="C92" i="2"/>
  <c r="H90" i="2"/>
  <c r="B91" i="2"/>
  <c r="F92" i="2" l="1"/>
  <c r="G92" i="2"/>
  <c r="C93" i="2"/>
  <c r="H91" i="2"/>
  <c r="B92" i="2"/>
  <c r="F93" i="2" l="1"/>
  <c r="G93" i="2"/>
  <c r="C94" i="2"/>
  <c r="H92" i="2"/>
  <c r="B93" i="2"/>
  <c r="F94" i="2" l="1"/>
  <c r="G94" i="2"/>
  <c r="C95" i="2"/>
  <c r="H93" i="2"/>
  <c r="B94" i="2"/>
  <c r="G95" i="2" l="1"/>
  <c r="F95" i="2"/>
  <c r="C96" i="2"/>
  <c r="H94" i="2"/>
  <c r="B95" i="2"/>
  <c r="F96" i="2" l="1"/>
  <c r="G96" i="2"/>
  <c r="C97" i="2"/>
  <c r="H95" i="2"/>
  <c r="B96" i="2"/>
  <c r="G97" i="2" l="1"/>
  <c r="F97" i="2"/>
  <c r="C98" i="2"/>
  <c r="H96" i="2"/>
  <c r="B97" i="2"/>
  <c r="F98" i="2" l="1"/>
  <c r="G98" i="2"/>
  <c r="C99" i="2"/>
  <c r="H97" i="2"/>
  <c r="B98" i="2"/>
  <c r="G99" i="2" l="1"/>
  <c r="F99" i="2"/>
  <c r="C100" i="2"/>
  <c r="H98" i="2"/>
  <c r="B99" i="2"/>
  <c r="H99" i="2" l="1"/>
  <c r="F100" i="2"/>
  <c r="G100" i="2"/>
  <c r="C101" i="2"/>
  <c r="B100" i="2"/>
  <c r="F101" i="2" l="1"/>
  <c r="G101" i="2"/>
  <c r="C102" i="2"/>
  <c r="H100" i="2"/>
  <c r="B101" i="2"/>
  <c r="G102" i="2" l="1"/>
  <c r="F102" i="2"/>
  <c r="C103" i="2"/>
  <c r="H101" i="2"/>
  <c r="B102" i="2"/>
  <c r="H102" i="2" l="1"/>
  <c r="F103" i="2"/>
  <c r="G103" i="2"/>
  <c r="C104" i="2"/>
  <c r="B103" i="2"/>
  <c r="F104" i="2" l="1"/>
  <c r="G104" i="2"/>
  <c r="C105" i="2"/>
  <c r="H103" i="2"/>
  <c r="B104" i="2"/>
  <c r="F105" i="2" l="1"/>
  <c r="G105" i="2"/>
  <c r="C106" i="2"/>
  <c r="H104" i="2"/>
  <c r="B105" i="2"/>
  <c r="G106" i="2" l="1"/>
  <c r="F106" i="2"/>
  <c r="C107" i="2"/>
  <c r="H105" i="2"/>
  <c r="B106" i="2"/>
  <c r="F107" i="2" l="1"/>
  <c r="G107" i="2"/>
  <c r="C108" i="2"/>
  <c r="H106" i="2"/>
  <c r="B107" i="2"/>
  <c r="G108" i="2" l="1"/>
  <c r="F108" i="2"/>
  <c r="C109" i="2"/>
  <c r="H107" i="2"/>
  <c r="B108" i="2"/>
  <c r="F109" i="2" l="1"/>
  <c r="G109" i="2"/>
  <c r="C110" i="2"/>
  <c r="H108" i="2"/>
  <c r="B109" i="2"/>
  <c r="G110" i="2" l="1"/>
  <c r="F110" i="2"/>
  <c r="C111" i="2"/>
  <c r="H109" i="2"/>
  <c r="B110" i="2"/>
  <c r="F111" i="2" l="1"/>
  <c r="G111" i="2"/>
  <c r="C112" i="2"/>
  <c r="H110" i="2"/>
  <c r="B111" i="2"/>
  <c r="F112" i="2" l="1"/>
  <c r="G112" i="2"/>
  <c r="C113" i="2"/>
  <c r="H111" i="2"/>
  <c r="B112" i="2"/>
  <c r="G113" i="2" l="1"/>
  <c r="F113" i="2"/>
  <c r="C114" i="2"/>
  <c r="H112" i="2"/>
  <c r="B113" i="2"/>
  <c r="F114" i="2" l="1"/>
  <c r="G114" i="2"/>
  <c r="C115" i="2"/>
  <c r="H113" i="2"/>
  <c r="B114" i="2"/>
  <c r="H114" i="2" l="1"/>
  <c r="F115" i="2"/>
  <c r="G115" i="2"/>
  <c r="C116" i="2"/>
  <c r="B115" i="2"/>
  <c r="G116" i="2" l="1"/>
  <c r="F116" i="2"/>
  <c r="C117" i="2"/>
  <c r="H115" i="2"/>
  <c r="B116" i="2"/>
  <c r="H116" i="2" l="1"/>
  <c r="G117" i="2"/>
  <c r="F117" i="2"/>
  <c r="C118" i="2"/>
  <c r="B117" i="2"/>
  <c r="F118" i="2" l="1"/>
  <c r="G118" i="2"/>
  <c r="C119" i="2"/>
  <c r="H117" i="2"/>
  <c r="B118" i="2"/>
  <c r="G119" i="2" l="1"/>
  <c r="F119" i="2"/>
  <c r="C120" i="2"/>
  <c r="H118" i="2"/>
  <c r="B119" i="2"/>
  <c r="F120" i="2" l="1"/>
  <c r="G120" i="2"/>
  <c r="C121" i="2"/>
  <c r="H119" i="2"/>
  <c r="B120" i="2"/>
  <c r="G121" i="2" l="1"/>
  <c r="F121" i="2"/>
  <c r="C122" i="2"/>
  <c r="H120" i="2"/>
  <c r="B121" i="2"/>
  <c r="H121" i="2" l="1"/>
  <c r="F122" i="2"/>
  <c r="G122" i="2"/>
  <c r="C123" i="2"/>
  <c r="B122" i="2"/>
  <c r="F123" i="2" l="1"/>
  <c r="G123" i="2"/>
  <c r="C124" i="2"/>
  <c r="H122" i="2"/>
  <c r="B123" i="2"/>
  <c r="G124" i="2" l="1"/>
  <c r="F124" i="2"/>
  <c r="C125" i="2"/>
  <c r="H123" i="2"/>
  <c r="B124" i="2"/>
  <c r="H124" i="2" l="1"/>
  <c r="F125" i="2"/>
  <c r="G125" i="2"/>
  <c r="C126" i="2"/>
  <c r="B125" i="2"/>
  <c r="F126" i="2" l="1"/>
  <c r="G126" i="2"/>
  <c r="C127" i="2"/>
  <c r="H125" i="2"/>
  <c r="B126" i="2"/>
  <c r="F127" i="2" l="1"/>
  <c r="G127" i="2"/>
  <c r="C128" i="2"/>
  <c r="H126" i="2"/>
  <c r="B127" i="2"/>
  <c r="G128" i="2" l="1"/>
  <c r="F128" i="2"/>
  <c r="C129" i="2"/>
  <c r="H127" i="2"/>
  <c r="B128" i="2"/>
  <c r="H128" i="2" l="1"/>
  <c r="F129" i="2"/>
  <c r="G129" i="2"/>
  <c r="C130" i="2"/>
  <c r="B129" i="2"/>
  <c r="G130" i="2" l="1"/>
  <c r="F130" i="2"/>
  <c r="C131" i="2"/>
  <c r="H129" i="2"/>
  <c r="B130" i="2"/>
  <c r="H130" i="2" l="1"/>
  <c r="F131" i="2"/>
  <c r="G131" i="2"/>
  <c r="C132" i="2"/>
  <c r="B131" i="2"/>
  <c r="G132" i="2" l="1"/>
  <c r="F132" i="2"/>
  <c r="C133" i="2"/>
  <c r="H131" i="2"/>
  <c r="B132" i="2"/>
  <c r="H132" i="2" l="1"/>
  <c r="F133" i="2"/>
  <c r="G133" i="2"/>
  <c r="C134" i="2"/>
  <c r="B133" i="2"/>
  <c r="F134" i="2" l="1"/>
  <c r="G134" i="2"/>
  <c r="C135" i="2"/>
  <c r="H133" i="2"/>
  <c r="B134" i="2"/>
  <c r="G135" i="2" l="1"/>
  <c r="F135" i="2"/>
  <c r="C136" i="2"/>
  <c r="H134" i="2"/>
  <c r="B135" i="2"/>
  <c r="H135" i="2" l="1"/>
  <c r="F136" i="2"/>
  <c r="G136" i="2"/>
  <c r="C137" i="2"/>
  <c r="B136" i="2"/>
  <c r="F137" i="2" l="1"/>
  <c r="G137" i="2"/>
  <c r="C138" i="2"/>
  <c r="H136" i="2"/>
  <c r="B137" i="2"/>
  <c r="F138" i="2" l="1"/>
  <c r="G138" i="2"/>
  <c r="C139" i="2"/>
  <c r="H137" i="2"/>
  <c r="B138" i="2"/>
  <c r="G139" i="2" l="1"/>
  <c r="F139" i="2"/>
  <c r="C140" i="2"/>
  <c r="H138" i="2"/>
  <c r="B139" i="2"/>
  <c r="F140" i="2" l="1"/>
  <c r="G140" i="2"/>
  <c r="C141" i="2"/>
  <c r="H139" i="2"/>
  <c r="B140" i="2"/>
  <c r="G141" i="2" l="1"/>
  <c r="F141" i="2"/>
  <c r="C142" i="2"/>
  <c r="H140" i="2"/>
  <c r="B141" i="2"/>
  <c r="F142" i="2" l="1"/>
  <c r="G142" i="2"/>
  <c r="C143" i="2"/>
  <c r="H141" i="2"/>
  <c r="B142" i="2"/>
  <c r="G143" i="2" l="1"/>
  <c r="F143" i="2"/>
  <c r="C144" i="2"/>
  <c r="H142" i="2"/>
  <c r="B143" i="2"/>
  <c r="F144" i="2" l="1"/>
  <c r="G144" i="2"/>
  <c r="C145" i="2"/>
  <c r="H143" i="2"/>
  <c r="B144" i="2"/>
  <c r="F145" i="2" l="1"/>
  <c r="G145" i="2"/>
  <c r="C146" i="2"/>
  <c r="H144" i="2"/>
  <c r="B145" i="2"/>
  <c r="G146" i="2" l="1"/>
  <c r="F146" i="2"/>
  <c r="C147" i="2"/>
  <c r="H145" i="2"/>
  <c r="B146" i="2"/>
  <c r="F147" i="2" l="1"/>
  <c r="G147" i="2"/>
  <c r="C148" i="2"/>
  <c r="H146" i="2"/>
  <c r="B147" i="2"/>
  <c r="F148" i="2" l="1"/>
  <c r="G148" i="2"/>
  <c r="C149" i="2"/>
  <c r="H147" i="2"/>
  <c r="B148" i="2"/>
  <c r="F149" i="2" l="1"/>
  <c r="G149" i="2"/>
  <c r="C150" i="2"/>
  <c r="H148" i="2"/>
  <c r="B149" i="2"/>
  <c r="G150" i="2" l="1"/>
  <c r="F150" i="2"/>
  <c r="C151" i="2"/>
  <c r="H149" i="2"/>
  <c r="B150" i="2"/>
  <c r="F151" i="2" l="1"/>
  <c r="G151" i="2"/>
  <c r="C152" i="2"/>
  <c r="H150" i="2"/>
  <c r="B151" i="2"/>
  <c r="H151" i="2" l="1"/>
  <c r="G152" i="2"/>
  <c r="F152" i="2"/>
  <c r="C153" i="2"/>
  <c r="B152" i="2"/>
  <c r="H152" i="2" l="1"/>
  <c r="F153" i="2"/>
  <c r="G153" i="2"/>
  <c r="C154" i="2"/>
  <c r="B153" i="2"/>
  <c r="G154" i="2" l="1"/>
  <c r="F154" i="2"/>
  <c r="C155" i="2"/>
  <c r="H153" i="2"/>
  <c r="B154" i="2"/>
  <c r="H154" i="2" l="1"/>
  <c r="F155" i="2"/>
  <c r="G155" i="2"/>
  <c r="C156" i="2"/>
  <c r="B155" i="2"/>
  <c r="F156" i="2" l="1"/>
  <c r="G156" i="2"/>
  <c r="C157" i="2"/>
  <c r="H155" i="2"/>
  <c r="B156" i="2"/>
  <c r="G157" i="2" l="1"/>
  <c r="F157" i="2"/>
  <c r="C158" i="2"/>
  <c r="H156" i="2"/>
  <c r="B157" i="2"/>
  <c r="F158" i="2" l="1"/>
  <c r="G158" i="2"/>
  <c r="C159" i="2"/>
  <c r="H157" i="2"/>
  <c r="B158" i="2"/>
  <c r="F159" i="2" l="1"/>
  <c r="G159" i="2"/>
  <c r="C160" i="2"/>
  <c r="H158" i="2"/>
  <c r="B159" i="2"/>
  <c r="F160" i="2" l="1"/>
  <c r="G160" i="2"/>
  <c r="C161" i="2"/>
  <c r="H159" i="2"/>
  <c r="B160" i="2"/>
  <c r="G161" i="2" l="1"/>
  <c r="F161" i="2"/>
  <c r="C162" i="2"/>
  <c r="H160" i="2"/>
  <c r="B161" i="2"/>
  <c r="H161" i="2" l="1"/>
  <c r="F162" i="2"/>
  <c r="G162" i="2"/>
  <c r="C163" i="2"/>
  <c r="B162" i="2"/>
  <c r="H162" i="2" l="1"/>
  <c r="G163" i="2"/>
  <c r="F163" i="2"/>
  <c r="C164" i="2"/>
  <c r="B163" i="2"/>
  <c r="F164" i="2" l="1"/>
  <c r="G164" i="2"/>
  <c r="C165" i="2"/>
  <c r="H163" i="2"/>
  <c r="B164" i="2"/>
  <c r="G165" i="2" l="1"/>
  <c r="F165" i="2"/>
  <c r="C166" i="2"/>
  <c r="H164" i="2"/>
  <c r="B165" i="2"/>
  <c r="F166" i="2" l="1"/>
  <c r="G166" i="2"/>
  <c r="C167" i="2"/>
  <c r="H165" i="2"/>
  <c r="B166" i="2"/>
  <c r="F167" i="2" l="1"/>
  <c r="G167" i="2"/>
  <c r="C168" i="2"/>
  <c r="H166" i="2"/>
  <c r="B167" i="2"/>
  <c r="G168" i="2" l="1"/>
  <c r="F168" i="2"/>
  <c r="C169" i="2"/>
  <c r="H167" i="2"/>
  <c r="B168" i="2"/>
  <c r="F169" i="2" l="1"/>
  <c r="G169" i="2"/>
  <c r="C170" i="2"/>
  <c r="H168" i="2"/>
  <c r="B169" i="2"/>
  <c r="F170" i="2" l="1"/>
  <c r="G170" i="2"/>
  <c r="C171" i="2"/>
  <c r="H169" i="2"/>
  <c r="B170" i="2"/>
  <c r="F171" i="2" l="1"/>
  <c r="G171" i="2"/>
  <c r="C172" i="2"/>
  <c r="H170" i="2"/>
  <c r="B171" i="2"/>
  <c r="G172" i="2" l="1"/>
  <c r="F172" i="2"/>
  <c r="C173" i="2"/>
  <c r="H171" i="2"/>
  <c r="B172" i="2"/>
  <c r="H172" i="2" l="1"/>
  <c r="F173" i="2"/>
  <c r="G173" i="2"/>
  <c r="C174" i="2"/>
  <c r="B173" i="2"/>
  <c r="G174" i="2" l="1"/>
  <c r="F174" i="2"/>
  <c r="C175" i="2"/>
  <c r="H173" i="2"/>
  <c r="B174" i="2"/>
  <c r="H174" i="2" l="1"/>
  <c r="F175" i="2"/>
  <c r="G175" i="2"/>
  <c r="C176" i="2"/>
  <c r="B175" i="2"/>
  <c r="G176" i="2" l="1"/>
  <c r="F176" i="2"/>
  <c r="C177" i="2"/>
  <c r="H175" i="2"/>
  <c r="B176" i="2"/>
  <c r="H176" i="2" l="1"/>
  <c r="F177" i="2"/>
  <c r="G177" i="2"/>
  <c r="C178" i="2"/>
  <c r="B177" i="2"/>
  <c r="F178" i="2" l="1"/>
  <c r="G178" i="2"/>
  <c r="C179" i="2"/>
  <c r="H177" i="2"/>
  <c r="B178" i="2"/>
  <c r="G179" i="2" l="1"/>
  <c r="F179" i="2"/>
  <c r="C180" i="2"/>
  <c r="H178" i="2"/>
  <c r="B179" i="2"/>
  <c r="H179" i="2" l="1"/>
  <c r="F180" i="2"/>
  <c r="G180" i="2"/>
  <c r="C181" i="2"/>
  <c r="B180" i="2"/>
  <c r="F181" i="2" l="1"/>
  <c r="G181" i="2"/>
  <c r="C182" i="2"/>
  <c r="H180" i="2"/>
  <c r="B181" i="2"/>
  <c r="F182" i="2" l="1"/>
  <c r="G182" i="2"/>
  <c r="C183" i="2"/>
  <c r="H181" i="2"/>
  <c r="B182" i="2"/>
  <c r="G183" i="2" l="1"/>
  <c r="F183" i="2"/>
  <c r="C184" i="2"/>
  <c r="H182" i="2"/>
  <c r="B183" i="2"/>
  <c r="H183" i="2" l="1"/>
  <c r="F184" i="2"/>
  <c r="G184" i="2"/>
  <c r="C185" i="2"/>
  <c r="B184" i="2"/>
  <c r="G185" i="2" l="1"/>
  <c r="F185" i="2"/>
  <c r="C186" i="2"/>
  <c r="H184" i="2"/>
  <c r="B185" i="2"/>
  <c r="H185" i="2" l="1"/>
  <c r="F186" i="2"/>
  <c r="G186" i="2"/>
  <c r="C187" i="2"/>
  <c r="B186" i="2"/>
  <c r="G187" i="2" l="1"/>
  <c r="F187" i="2"/>
  <c r="C188" i="2"/>
  <c r="H186" i="2"/>
  <c r="B187" i="2"/>
  <c r="H187" i="2" l="1"/>
  <c r="F188" i="2"/>
  <c r="G188" i="2"/>
  <c r="C189" i="2"/>
  <c r="B188" i="2"/>
  <c r="F189" i="2" l="1"/>
  <c r="G189" i="2"/>
  <c r="C190" i="2"/>
  <c r="H188" i="2"/>
  <c r="B189" i="2"/>
  <c r="G190" i="2" l="1"/>
  <c r="F190" i="2"/>
  <c r="C191" i="2"/>
  <c r="H189" i="2"/>
  <c r="B190" i="2"/>
  <c r="H190" i="2" l="1"/>
  <c r="F191" i="2"/>
  <c r="G191" i="2"/>
  <c r="C192" i="2"/>
  <c r="B191" i="2"/>
  <c r="F192" i="2" l="1"/>
  <c r="G192" i="2"/>
  <c r="C193" i="2"/>
  <c r="H191" i="2"/>
  <c r="B192" i="2"/>
  <c r="F193" i="2" l="1"/>
  <c r="G193" i="2"/>
  <c r="C194" i="2"/>
  <c r="H192" i="2"/>
  <c r="B193" i="2"/>
  <c r="H193" i="2" l="1"/>
  <c r="G194" i="2"/>
  <c r="F194" i="2"/>
  <c r="C195" i="2"/>
  <c r="B194" i="2"/>
  <c r="F195" i="2" l="1"/>
  <c r="G195" i="2"/>
  <c r="C196" i="2"/>
  <c r="H194" i="2"/>
  <c r="B195" i="2"/>
  <c r="G196" i="2" l="1"/>
  <c r="F196" i="2"/>
  <c r="C197" i="2"/>
  <c r="H195" i="2"/>
  <c r="B196" i="2"/>
  <c r="F197" i="2" l="1"/>
  <c r="G197" i="2"/>
  <c r="C198" i="2"/>
  <c r="H196" i="2"/>
  <c r="B197" i="2"/>
  <c r="G198" i="2" l="1"/>
  <c r="F198" i="2"/>
  <c r="C199" i="2"/>
  <c r="H197" i="2"/>
  <c r="B198" i="2"/>
  <c r="H198" i="2" l="1"/>
  <c r="F199" i="2"/>
  <c r="G199" i="2"/>
  <c r="C200" i="2"/>
  <c r="B199" i="2"/>
  <c r="F200" i="2" l="1"/>
  <c r="G200" i="2"/>
  <c r="C201" i="2"/>
  <c r="H199" i="2"/>
  <c r="B200" i="2"/>
  <c r="G201" i="2" l="1"/>
  <c r="F201" i="2"/>
  <c r="C202" i="2"/>
  <c r="H200" i="2"/>
  <c r="B201" i="2"/>
  <c r="H201" i="2" l="1"/>
  <c r="F202" i="2"/>
  <c r="G202" i="2"/>
  <c r="C203" i="2"/>
  <c r="B202" i="2"/>
  <c r="F203" i="2" l="1"/>
  <c r="G203" i="2"/>
  <c r="C204" i="2"/>
  <c r="H202" i="2"/>
  <c r="B203" i="2"/>
  <c r="F204" i="2" l="1"/>
  <c r="G204" i="2"/>
  <c r="C205" i="2"/>
  <c r="H203" i="2"/>
  <c r="B204" i="2"/>
  <c r="G205" i="2" l="1"/>
  <c r="F205" i="2"/>
  <c r="C206" i="2"/>
  <c r="H204" i="2"/>
  <c r="B205" i="2"/>
  <c r="H205" i="2" l="1"/>
  <c r="F206" i="2"/>
  <c r="G206" i="2"/>
  <c r="C207" i="2"/>
  <c r="B206" i="2"/>
  <c r="G207" i="2" l="1"/>
  <c r="F207" i="2"/>
  <c r="C208" i="2"/>
  <c r="H206" i="2"/>
  <c r="B207" i="2"/>
  <c r="H207" i="2" l="1"/>
  <c r="F208" i="2"/>
  <c r="G208" i="2"/>
  <c r="C209" i="2"/>
  <c r="B208" i="2"/>
  <c r="G209" i="2" l="1"/>
  <c r="F209" i="2"/>
  <c r="C210" i="2"/>
  <c r="H208" i="2"/>
  <c r="B209" i="2"/>
  <c r="H209" i="2" l="1"/>
  <c r="F210" i="2"/>
  <c r="G210" i="2"/>
  <c r="C211" i="2"/>
  <c r="B210" i="2"/>
  <c r="F211" i="2" l="1"/>
  <c r="G211" i="2"/>
  <c r="C212" i="2"/>
  <c r="H210" i="2"/>
  <c r="B211" i="2"/>
  <c r="G212" i="2" l="1"/>
  <c r="F212" i="2"/>
  <c r="C213" i="2"/>
  <c r="H211" i="2"/>
  <c r="B212" i="2"/>
  <c r="F213" i="2" l="1"/>
  <c r="G213" i="2"/>
  <c r="C214" i="2"/>
  <c r="H212" i="2"/>
  <c r="B213" i="2"/>
  <c r="F214" i="2" l="1"/>
  <c r="G214" i="2"/>
  <c r="C215" i="2"/>
  <c r="H213" i="2"/>
  <c r="B214" i="2"/>
  <c r="F215" i="2" l="1"/>
  <c r="G215" i="2"/>
  <c r="C216" i="2"/>
  <c r="H214" i="2"/>
  <c r="B215" i="2"/>
  <c r="G216" i="2" l="1"/>
  <c r="F216" i="2"/>
  <c r="C217" i="2"/>
  <c r="H215" i="2"/>
  <c r="B216" i="2"/>
  <c r="H216" i="2" l="1"/>
  <c r="F217" i="2"/>
  <c r="G217" i="2"/>
  <c r="C218" i="2"/>
  <c r="B217" i="2"/>
  <c r="G218" i="2" l="1"/>
  <c r="F218" i="2"/>
  <c r="C219" i="2"/>
  <c r="H217" i="2"/>
  <c r="B218" i="2"/>
  <c r="H218" i="2" l="1"/>
  <c r="F219" i="2"/>
  <c r="G219" i="2"/>
  <c r="C220" i="2"/>
  <c r="B219" i="2"/>
  <c r="G220" i="2" l="1"/>
  <c r="F220" i="2"/>
  <c r="C221" i="2"/>
  <c r="H219" i="2"/>
  <c r="B220" i="2"/>
  <c r="H220" i="2" l="1"/>
  <c r="F221" i="2"/>
  <c r="G221" i="2"/>
  <c r="C222" i="2"/>
  <c r="B221" i="2"/>
  <c r="F222" i="2" l="1"/>
  <c r="G222" i="2"/>
  <c r="C223" i="2"/>
  <c r="H221" i="2"/>
  <c r="B222" i="2"/>
  <c r="G223" i="2" l="1"/>
  <c r="F223" i="2"/>
  <c r="C224" i="2"/>
  <c r="H222" i="2"/>
  <c r="B223" i="2"/>
  <c r="H223" i="2" l="1"/>
  <c r="F224" i="2"/>
  <c r="G224" i="2"/>
  <c r="C225" i="2"/>
  <c r="B224" i="2"/>
  <c r="F225" i="2" l="1"/>
  <c r="G225" i="2"/>
  <c r="C226" i="2"/>
  <c r="H224" i="2"/>
  <c r="B225" i="2"/>
  <c r="F226" i="2" l="1"/>
  <c r="G226" i="2"/>
  <c r="C227" i="2"/>
  <c r="H225" i="2"/>
  <c r="B226" i="2"/>
  <c r="G227" i="2" l="1"/>
  <c r="F227" i="2"/>
  <c r="C228" i="2"/>
  <c r="H226" i="2"/>
  <c r="B227" i="2"/>
  <c r="H227" i="2" l="1"/>
  <c r="F228" i="2"/>
  <c r="G228" i="2"/>
  <c r="C229" i="2"/>
  <c r="B228" i="2"/>
  <c r="G229" i="2" l="1"/>
  <c r="F229" i="2"/>
  <c r="C230" i="2"/>
  <c r="H228" i="2"/>
  <c r="B229" i="2"/>
  <c r="H229" i="2" l="1"/>
  <c r="F230" i="2"/>
  <c r="G230" i="2"/>
  <c r="C231" i="2"/>
  <c r="B230" i="2"/>
  <c r="G231" i="2" l="1"/>
  <c r="F231" i="2"/>
  <c r="C232" i="2"/>
  <c r="H230" i="2"/>
  <c r="B231" i="2"/>
  <c r="H231" i="2" l="1"/>
  <c r="F232" i="2"/>
  <c r="G232" i="2"/>
  <c r="C233" i="2"/>
  <c r="B232" i="2"/>
  <c r="F233" i="2" l="1"/>
  <c r="G233" i="2"/>
  <c r="C234" i="2"/>
  <c r="H232" i="2"/>
  <c r="B233" i="2"/>
  <c r="G234" i="2" l="1"/>
  <c r="F234" i="2"/>
  <c r="C235" i="2"/>
  <c r="H233" i="2"/>
  <c r="B234" i="2"/>
  <c r="H234" i="2" l="1"/>
  <c r="F235" i="2"/>
  <c r="G235" i="2"/>
  <c r="C236" i="2"/>
  <c r="B235" i="2"/>
  <c r="F236" i="2" l="1"/>
  <c r="G236" i="2"/>
  <c r="C237" i="2"/>
  <c r="H235" i="2"/>
  <c r="B236" i="2"/>
  <c r="F237" i="2" l="1"/>
  <c r="G237" i="2"/>
  <c r="C238" i="2"/>
  <c r="H236" i="2"/>
  <c r="B237" i="2"/>
  <c r="G238" i="2" l="1"/>
  <c r="F238" i="2"/>
  <c r="C239" i="2"/>
  <c r="H237" i="2"/>
  <c r="B238" i="2"/>
  <c r="H238" i="2" l="1"/>
  <c r="F239" i="2"/>
  <c r="G239" i="2"/>
  <c r="C240" i="2"/>
  <c r="B239" i="2"/>
  <c r="G240" i="2" l="1"/>
  <c r="F240" i="2"/>
  <c r="C241" i="2"/>
  <c r="H239" i="2"/>
  <c r="B240" i="2"/>
  <c r="H240" i="2" l="1"/>
  <c r="F241" i="2"/>
  <c r="G241" i="2"/>
  <c r="C242" i="2"/>
  <c r="B241" i="2"/>
  <c r="G242" i="2" l="1"/>
  <c r="F242" i="2"/>
  <c r="C243" i="2"/>
  <c r="H241" i="2"/>
  <c r="B242" i="2"/>
  <c r="H242" i="2" l="1"/>
  <c r="F243" i="2"/>
  <c r="G243" i="2"/>
  <c r="C244" i="2"/>
  <c r="B243" i="2"/>
  <c r="F244" i="2" l="1"/>
  <c r="G244" i="2"/>
  <c r="C245" i="2"/>
  <c r="H243" i="2"/>
  <c r="B244" i="2"/>
  <c r="G245" i="2" l="1"/>
  <c r="F245" i="2"/>
  <c r="C246" i="2"/>
  <c r="H244" i="2"/>
  <c r="B245" i="2"/>
  <c r="H245" i="2" l="1"/>
  <c r="F246" i="2"/>
  <c r="G246" i="2"/>
  <c r="C247" i="2"/>
  <c r="B246" i="2"/>
  <c r="F247" i="2" l="1"/>
  <c r="G247" i="2"/>
  <c r="C248" i="2"/>
  <c r="H246" i="2"/>
  <c r="B247" i="2"/>
  <c r="F248" i="2" l="1"/>
  <c r="G248" i="2"/>
  <c r="C249" i="2"/>
  <c r="H247" i="2"/>
  <c r="B248" i="2"/>
  <c r="G249" i="2" l="1"/>
  <c r="F249" i="2"/>
  <c r="C250" i="2"/>
  <c r="H248" i="2"/>
  <c r="B249" i="2"/>
  <c r="H249" i="2" l="1"/>
  <c r="F250" i="2"/>
  <c r="G250" i="2"/>
  <c r="C251" i="2"/>
  <c r="B250" i="2"/>
  <c r="G251" i="2" l="1"/>
  <c r="F251" i="2"/>
  <c r="C252" i="2"/>
  <c r="H250" i="2"/>
  <c r="B251" i="2"/>
  <c r="H251" i="2" l="1"/>
  <c r="F252" i="2"/>
  <c r="G252" i="2"/>
  <c r="C253" i="2"/>
  <c r="B252" i="2"/>
  <c r="G253" i="2" l="1"/>
  <c r="F253" i="2"/>
  <c r="C254" i="2"/>
  <c r="H252" i="2"/>
  <c r="B253" i="2"/>
  <c r="F254" i="2" l="1"/>
  <c r="G254" i="2"/>
  <c r="C255" i="2"/>
  <c r="H253" i="2"/>
  <c r="B254" i="2"/>
  <c r="F255" i="2" l="1"/>
  <c r="G255" i="2"/>
  <c r="C256" i="2"/>
  <c r="H254" i="2"/>
  <c r="B255" i="2"/>
  <c r="G256" i="2" l="1"/>
  <c r="F256" i="2"/>
  <c r="C257" i="2"/>
  <c r="H255" i="2"/>
  <c r="B256" i="2"/>
  <c r="F257" i="2" l="1"/>
  <c r="G257" i="2"/>
  <c r="C258" i="2"/>
  <c r="H256" i="2"/>
  <c r="B257" i="2"/>
  <c r="F258" i="2" l="1"/>
  <c r="G258" i="2"/>
  <c r="C259" i="2"/>
  <c r="H257" i="2"/>
  <c r="B258" i="2"/>
  <c r="F259" i="2" l="1"/>
  <c r="G259" i="2"/>
  <c r="C260" i="2"/>
  <c r="H258" i="2"/>
  <c r="B259" i="2"/>
  <c r="G260" i="2" l="1"/>
  <c r="F260" i="2"/>
  <c r="C261" i="2"/>
  <c r="H259" i="2"/>
  <c r="B260" i="2"/>
  <c r="F261" i="2" l="1"/>
  <c r="G261" i="2"/>
  <c r="C262" i="2"/>
  <c r="H260" i="2"/>
  <c r="B261" i="2"/>
  <c r="G262" i="2" l="1"/>
  <c r="F262" i="2"/>
  <c r="C263" i="2"/>
  <c r="H261" i="2"/>
  <c r="B262" i="2"/>
  <c r="F263" i="2" l="1"/>
  <c r="G263" i="2"/>
  <c r="C264" i="2"/>
  <c r="H262" i="2"/>
  <c r="B263" i="2"/>
  <c r="G264" i="2" l="1"/>
  <c r="F264" i="2"/>
  <c r="C265" i="2"/>
  <c r="H263" i="2"/>
  <c r="B264" i="2"/>
  <c r="F265" i="2" l="1"/>
  <c r="G265" i="2"/>
  <c r="C266" i="2"/>
  <c r="H264" i="2"/>
  <c r="B265" i="2"/>
  <c r="F266" i="2" l="1"/>
  <c r="G266" i="2"/>
  <c r="C267" i="2"/>
  <c r="H265" i="2"/>
  <c r="B266" i="2"/>
  <c r="G267" i="2" l="1"/>
  <c r="F267" i="2"/>
  <c r="C268" i="2"/>
  <c r="H266" i="2"/>
  <c r="B267" i="2"/>
  <c r="H267" i="2" l="1"/>
  <c r="F268" i="2"/>
  <c r="G268" i="2"/>
  <c r="C269" i="2"/>
  <c r="B268" i="2"/>
  <c r="F269" i="2" l="1"/>
  <c r="G269" i="2"/>
  <c r="C270" i="2"/>
  <c r="H268" i="2"/>
  <c r="B269" i="2"/>
  <c r="H269" i="2" l="1"/>
  <c r="G270" i="2"/>
  <c r="F270" i="2"/>
  <c r="C271" i="2"/>
  <c r="B270" i="2"/>
  <c r="G271" i="2" l="1"/>
  <c r="F271" i="2"/>
  <c r="C272" i="2"/>
  <c r="H270" i="2"/>
  <c r="B271" i="2"/>
  <c r="H271" i="2" l="1"/>
  <c r="F272" i="2"/>
  <c r="G272" i="2"/>
  <c r="C273" i="2"/>
  <c r="B272" i="2"/>
  <c r="G273" i="2" l="1"/>
  <c r="F273" i="2"/>
  <c r="C274" i="2"/>
  <c r="H272" i="2"/>
  <c r="B273" i="2"/>
  <c r="H273" i="2" l="1"/>
  <c r="F274" i="2"/>
  <c r="G274" i="2"/>
  <c r="C275" i="2"/>
  <c r="B274" i="2"/>
  <c r="G275" i="2" l="1"/>
  <c r="F275" i="2"/>
  <c r="C276" i="2"/>
  <c r="H274" i="2"/>
  <c r="B275" i="2"/>
  <c r="H275" i="2" l="1"/>
  <c r="F276" i="2"/>
  <c r="G276" i="2"/>
  <c r="C277" i="2"/>
  <c r="B276" i="2"/>
  <c r="F277" i="2" l="1"/>
  <c r="G277" i="2"/>
  <c r="C278" i="2"/>
  <c r="H276" i="2"/>
  <c r="B277" i="2"/>
  <c r="G278" i="2" l="1"/>
  <c r="F278" i="2"/>
  <c r="C279" i="2"/>
  <c r="H277" i="2"/>
  <c r="B278" i="2"/>
  <c r="H278" i="2" l="1"/>
  <c r="F279" i="2"/>
  <c r="G279" i="2"/>
  <c r="C280" i="2"/>
  <c r="B279" i="2"/>
  <c r="F280" i="2" l="1"/>
  <c r="G280" i="2"/>
  <c r="C281" i="2"/>
  <c r="H279" i="2"/>
  <c r="B280" i="2"/>
  <c r="F281" i="2" l="1"/>
  <c r="G281" i="2"/>
  <c r="C282" i="2"/>
  <c r="H280" i="2"/>
  <c r="B281" i="2"/>
  <c r="G282" i="2" l="1"/>
  <c r="F282" i="2"/>
  <c r="C283" i="2"/>
  <c r="H281" i="2"/>
  <c r="B282" i="2"/>
  <c r="H282" i="2" l="1"/>
  <c r="F283" i="2"/>
  <c r="G283" i="2"/>
  <c r="C284" i="2"/>
  <c r="B283" i="2"/>
  <c r="G284" i="2" l="1"/>
  <c r="F284" i="2"/>
  <c r="C285" i="2"/>
  <c r="H283" i="2"/>
  <c r="B284" i="2"/>
  <c r="H284" i="2" l="1"/>
  <c r="F285" i="2"/>
  <c r="G285" i="2"/>
  <c r="C286" i="2"/>
  <c r="B285" i="2"/>
  <c r="G286" i="2" l="1"/>
  <c r="F286" i="2"/>
  <c r="C287" i="2"/>
  <c r="H285" i="2"/>
  <c r="B286" i="2"/>
  <c r="H286" i="2" l="1"/>
  <c r="F287" i="2"/>
  <c r="G287" i="2"/>
  <c r="C288" i="2"/>
  <c r="B287" i="2"/>
  <c r="F288" i="2" l="1"/>
  <c r="G288" i="2"/>
  <c r="C289" i="2"/>
  <c r="H287" i="2"/>
  <c r="B288" i="2"/>
  <c r="G289" i="2" l="1"/>
  <c r="F289" i="2"/>
  <c r="C290" i="2"/>
  <c r="H288" i="2"/>
  <c r="B289" i="2"/>
  <c r="F290" i="2" l="1"/>
  <c r="G290" i="2"/>
  <c r="C291" i="2"/>
  <c r="H289" i="2"/>
  <c r="B290" i="2"/>
  <c r="F291" i="2" l="1"/>
  <c r="G291" i="2"/>
  <c r="C292" i="2"/>
  <c r="H290" i="2"/>
  <c r="B291" i="2"/>
  <c r="F292" i="2" l="1"/>
  <c r="G292" i="2"/>
  <c r="C293" i="2"/>
  <c r="H291" i="2"/>
  <c r="B292" i="2"/>
  <c r="G293" i="2" l="1"/>
  <c r="F293" i="2"/>
  <c r="C294" i="2"/>
  <c r="H292" i="2"/>
  <c r="B293" i="2"/>
  <c r="F294" i="2" l="1"/>
  <c r="G294" i="2"/>
  <c r="C295" i="2"/>
  <c r="H293" i="2"/>
  <c r="B294" i="2"/>
  <c r="G295" i="2" l="1"/>
  <c r="F295" i="2"/>
  <c r="C296" i="2"/>
  <c r="H294" i="2"/>
  <c r="B295" i="2"/>
  <c r="F296" i="2" l="1"/>
  <c r="G296" i="2"/>
  <c r="C297" i="2"/>
  <c r="H295" i="2"/>
  <c r="B296" i="2"/>
  <c r="G297" i="2" l="1"/>
  <c r="F297" i="2"/>
  <c r="C298" i="2"/>
  <c r="H296" i="2"/>
  <c r="B297" i="2"/>
  <c r="H297" i="2" l="1"/>
  <c r="F298" i="2"/>
  <c r="G298" i="2"/>
  <c r="C299" i="2"/>
  <c r="B298" i="2"/>
  <c r="F299" i="2" l="1"/>
  <c r="G299" i="2"/>
  <c r="C300" i="2"/>
  <c r="H298" i="2"/>
  <c r="B299" i="2"/>
  <c r="G300" i="2" l="1"/>
  <c r="F300" i="2"/>
  <c r="C301" i="2"/>
  <c r="H299" i="2"/>
  <c r="B300" i="2"/>
  <c r="H300" i="2" l="1"/>
  <c r="F301" i="2"/>
  <c r="G301" i="2"/>
  <c r="C302" i="2"/>
  <c r="B301" i="2"/>
  <c r="F302" i="2" l="1"/>
  <c r="G302" i="2"/>
  <c r="C303" i="2"/>
  <c r="H301" i="2"/>
  <c r="B302" i="2"/>
  <c r="F303" i="2" l="1"/>
  <c r="G303" i="2"/>
  <c r="C304" i="2"/>
  <c r="H302" i="2"/>
  <c r="B303" i="2"/>
  <c r="G304" i="2" l="1"/>
  <c r="F304" i="2"/>
  <c r="C305" i="2"/>
  <c r="H303" i="2"/>
  <c r="B304" i="2"/>
  <c r="F305" i="2" l="1"/>
  <c r="G305" i="2"/>
  <c r="C306" i="2"/>
  <c r="H304" i="2"/>
  <c r="B305" i="2"/>
  <c r="G306" i="2" l="1"/>
  <c r="F306" i="2"/>
  <c r="C307" i="2"/>
  <c r="H305" i="2"/>
  <c r="B306" i="2"/>
  <c r="H306" i="2" l="1"/>
  <c r="F307" i="2"/>
  <c r="G307" i="2"/>
  <c r="C308" i="2"/>
  <c r="B307" i="2"/>
  <c r="G308" i="2" l="1"/>
  <c r="F308" i="2"/>
  <c r="C309" i="2"/>
  <c r="H307" i="2"/>
  <c r="B308" i="2"/>
  <c r="H308" i="2" l="1"/>
  <c r="F309" i="2"/>
  <c r="G309" i="2"/>
  <c r="C310" i="2"/>
  <c r="B309" i="2"/>
  <c r="H309" i="2" l="1"/>
  <c r="F310" i="2"/>
  <c r="G310" i="2"/>
  <c r="C311" i="2"/>
  <c r="B310" i="2"/>
  <c r="G311" i="2" l="1"/>
  <c r="F311" i="2"/>
  <c r="C312" i="2"/>
  <c r="H310" i="2"/>
  <c r="B311" i="2"/>
  <c r="H311" i="2" l="1"/>
  <c r="F312" i="2"/>
  <c r="G312" i="2"/>
  <c r="C313" i="2"/>
  <c r="B312" i="2"/>
  <c r="F313" i="2" l="1"/>
  <c r="G313" i="2"/>
  <c r="C314" i="2"/>
  <c r="H312" i="2"/>
  <c r="B313" i="2"/>
  <c r="F314" i="2" l="1"/>
  <c r="G314" i="2"/>
  <c r="C315" i="2"/>
  <c r="H313" i="2"/>
  <c r="B314" i="2"/>
  <c r="G315" i="2" l="1"/>
  <c r="F315" i="2"/>
  <c r="C316" i="2"/>
  <c r="H314" i="2"/>
  <c r="B315" i="2"/>
  <c r="H315" i="2" l="1"/>
  <c r="F316" i="2"/>
  <c r="G316" i="2"/>
  <c r="C317" i="2"/>
  <c r="B316" i="2"/>
  <c r="G317" i="2" l="1"/>
  <c r="F317" i="2"/>
  <c r="C318" i="2"/>
  <c r="H316" i="2"/>
  <c r="B317" i="2"/>
  <c r="H317" i="2" l="1"/>
  <c r="F318" i="2"/>
  <c r="G318" i="2"/>
  <c r="C319" i="2"/>
  <c r="B318" i="2"/>
  <c r="G319" i="2" l="1"/>
  <c r="F319" i="2"/>
  <c r="C320" i="2"/>
  <c r="H318" i="2"/>
  <c r="B319" i="2"/>
  <c r="H319" i="2" l="1"/>
  <c r="F320" i="2"/>
  <c r="G320" i="2"/>
  <c r="C321" i="2"/>
  <c r="B320" i="2"/>
  <c r="F321" i="2" l="1"/>
  <c r="G321" i="2"/>
  <c r="C322" i="2"/>
  <c r="H320" i="2"/>
  <c r="B321" i="2"/>
  <c r="G322" i="2" l="1"/>
  <c r="F322" i="2"/>
  <c r="C323" i="2"/>
  <c r="H321" i="2"/>
  <c r="B322" i="2"/>
  <c r="H322" i="2" l="1"/>
  <c r="F323" i="2"/>
  <c r="G323" i="2"/>
  <c r="C324" i="2"/>
  <c r="B323" i="2"/>
  <c r="F324" i="2" l="1"/>
  <c r="G324" i="2"/>
  <c r="C325" i="2"/>
  <c r="H323" i="2"/>
  <c r="B324" i="2"/>
  <c r="F325" i="2" l="1"/>
  <c r="G325" i="2"/>
  <c r="C326" i="2"/>
  <c r="H324" i="2"/>
  <c r="B325" i="2"/>
  <c r="G326" i="2" l="1"/>
  <c r="F326" i="2"/>
  <c r="C327" i="2"/>
  <c r="H325" i="2"/>
  <c r="B326" i="2"/>
  <c r="F327" i="2" l="1"/>
  <c r="G327" i="2"/>
  <c r="C328" i="2"/>
  <c r="H326" i="2"/>
  <c r="B327" i="2"/>
  <c r="G328" i="2" l="1"/>
  <c r="F328" i="2"/>
  <c r="C329" i="2"/>
  <c r="H327" i="2"/>
  <c r="B328" i="2"/>
  <c r="H328" i="2" l="1"/>
  <c r="F329" i="2"/>
  <c r="G329" i="2"/>
  <c r="C330" i="2"/>
  <c r="B329" i="2"/>
  <c r="G330" i="2" l="1"/>
  <c r="F330" i="2"/>
  <c r="C331" i="2"/>
  <c r="H329" i="2"/>
  <c r="B330" i="2"/>
  <c r="H330" i="2" l="1"/>
  <c r="F331" i="2"/>
  <c r="G331" i="2"/>
  <c r="C332" i="2"/>
  <c r="B331" i="2"/>
  <c r="F332" i="2" l="1"/>
  <c r="G332" i="2"/>
  <c r="C333" i="2"/>
  <c r="H331" i="2"/>
  <c r="B332" i="2"/>
  <c r="G333" i="2" l="1"/>
  <c r="F333" i="2"/>
  <c r="C334" i="2"/>
  <c r="H332" i="2"/>
  <c r="B333" i="2"/>
  <c r="H333" i="2" l="1"/>
  <c r="F334" i="2"/>
  <c r="G334" i="2"/>
  <c r="C335" i="2"/>
  <c r="B334" i="2"/>
  <c r="F335" i="2" l="1"/>
  <c r="G335" i="2"/>
  <c r="C336" i="2"/>
  <c r="H334" i="2"/>
  <c r="B335" i="2"/>
  <c r="G336" i="2" l="1"/>
  <c r="F336" i="2"/>
  <c r="C337" i="2"/>
  <c r="H335" i="2"/>
  <c r="B336" i="2"/>
  <c r="H336" i="2" l="1"/>
  <c r="G337" i="2"/>
  <c r="F337" i="2"/>
  <c r="C338" i="2"/>
  <c r="B337" i="2"/>
  <c r="H337" i="2" l="1"/>
  <c r="F338" i="2"/>
  <c r="G338" i="2"/>
  <c r="C339" i="2"/>
  <c r="B338" i="2"/>
  <c r="G339" i="2" l="1"/>
  <c r="F339" i="2"/>
  <c r="C340" i="2"/>
  <c r="H338" i="2"/>
  <c r="B339" i="2"/>
  <c r="H339" i="2" l="1"/>
  <c r="F340" i="2"/>
  <c r="G340" i="2"/>
  <c r="C341" i="2"/>
  <c r="B340" i="2"/>
  <c r="H340" i="2" l="1"/>
  <c r="G341" i="2"/>
  <c r="F341" i="2"/>
  <c r="C342" i="2"/>
  <c r="B341" i="2"/>
  <c r="F342" i="2" l="1"/>
  <c r="G342" i="2"/>
  <c r="C343" i="2"/>
  <c r="H341" i="2"/>
  <c r="B342" i="2"/>
  <c r="F343" i="2" l="1"/>
  <c r="G343" i="2"/>
  <c r="C344" i="2"/>
  <c r="H342" i="2"/>
  <c r="B343" i="2"/>
  <c r="G344" i="2" l="1"/>
  <c r="F344" i="2"/>
  <c r="C345" i="2"/>
  <c r="H343" i="2"/>
  <c r="B344" i="2"/>
  <c r="H344" i="2" l="1"/>
  <c r="F345" i="2"/>
  <c r="G345" i="2"/>
  <c r="C346" i="2"/>
  <c r="B345" i="2"/>
  <c r="F346" i="2" l="1"/>
  <c r="G346" i="2"/>
  <c r="C347" i="2"/>
  <c r="H345" i="2"/>
  <c r="B346" i="2"/>
  <c r="F347" i="2" l="1"/>
  <c r="G347" i="2"/>
  <c r="C348" i="2"/>
  <c r="H346" i="2"/>
  <c r="B347" i="2"/>
  <c r="G348" i="2" l="1"/>
  <c r="F348" i="2"/>
  <c r="C349" i="2"/>
  <c r="H347" i="2"/>
  <c r="B348" i="2"/>
  <c r="H348" i="2" l="1"/>
  <c r="F349" i="2"/>
  <c r="G349" i="2"/>
  <c r="C350" i="2"/>
  <c r="B349" i="2"/>
  <c r="G350" i="2" l="1"/>
  <c r="F350" i="2"/>
  <c r="C351" i="2"/>
  <c r="H349" i="2"/>
  <c r="B350" i="2"/>
  <c r="H350" i="2" l="1"/>
  <c r="F351" i="2"/>
  <c r="G351" i="2"/>
  <c r="C352" i="2"/>
  <c r="B351" i="2"/>
  <c r="H351" i="2" l="1"/>
  <c r="G352" i="2"/>
  <c r="F352" i="2"/>
  <c r="C353" i="2"/>
  <c r="B352" i="2"/>
  <c r="F353" i="2" l="1"/>
  <c r="G353" i="2"/>
  <c r="C354" i="2"/>
  <c r="H352" i="2"/>
  <c r="B353" i="2"/>
  <c r="F354" i="2" l="1"/>
  <c r="G354" i="2"/>
  <c r="C355" i="2"/>
  <c r="H353" i="2"/>
  <c r="B354" i="2"/>
  <c r="G355" i="2" l="1"/>
  <c r="F355" i="2"/>
  <c r="C356" i="2"/>
  <c r="H354" i="2"/>
  <c r="B355" i="2"/>
  <c r="F356" i="2" l="1"/>
  <c r="G356" i="2"/>
  <c r="C357" i="2"/>
  <c r="H355" i="2"/>
  <c r="B356" i="2"/>
  <c r="F357" i="2" l="1"/>
  <c r="G357" i="2"/>
  <c r="C358" i="2"/>
  <c r="H356" i="2"/>
  <c r="B357" i="2"/>
  <c r="F358" i="2" l="1"/>
  <c r="G358" i="2"/>
  <c r="C359" i="2"/>
  <c r="H357" i="2"/>
  <c r="B358" i="2"/>
  <c r="G359" i="2" l="1"/>
  <c r="F359" i="2"/>
  <c r="C360" i="2"/>
  <c r="H358" i="2"/>
  <c r="B359" i="2"/>
  <c r="H359" i="2" l="1"/>
  <c r="F360" i="2"/>
  <c r="G360" i="2"/>
  <c r="C361" i="2"/>
  <c r="B360" i="2"/>
  <c r="G361" i="2" l="1"/>
  <c r="F361" i="2"/>
  <c r="C362" i="2"/>
  <c r="H360" i="2"/>
  <c r="B361" i="2"/>
  <c r="H361" i="2" l="1"/>
  <c r="F362" i="2"/>
  <c r="G362" i="2"/>
  <c r="C363" i="2"/>
  <c r="B362" i="2"/>
  <c r="G363" i="2" l="1"/>
  <c r="F363" i="2"/>
  <c r="C364" i="2"/>
  <c r="H362" i="2"/>
  <c r="B363" i="2"/>
  <c r="H363" i="2" l="1"/>
  <c r="F364" i="2"/>
  <c r="G364" i="2"/>
  <c r="C365" i="2"/>
  <c r="B364" i="2"/>
  <c r="F365" i="2" l="1"/>
  <c r="G365" i="2"/>
  <c r="C366" i="2"/>
  <c r="H364" i="2"/>
  <c r="B365" i="2"/>
  <c r="F366" i="2" l="1"/>
  <c r="G366" i="2"/>
  <c r="C367" i="2"/>
  <c r="H365" i="2"/>
  <c r="B366" i="2"/>
  <c r="F367" i="2" l="1"/>
  <c r="G367" i="2"/>
  <c r="C368" i="2"/>
  <c r="H366" i="2"/>
  <c r="B367" i="2"/>
  <c r="F368" i="2" l="1"/>
  <c r="G368" i="2"/>
  <c r="C369" i="2"/>
  <c r="H367" i="2"/>
  <c r="B368" i="2"/>
  <c r="H368" i="2" l="1"/>
  <c r="F369" i="2"/>
  <c r="G369" i="2"/>
  <c r="C370" i="2"/>
  <c r="B369" i="2"/>
  <c r="G370" i="2" l="1"/>
  <c r="F370" i="2"/>
  <c r="C371" i="2"/>
  <c r="H369" i="2"/>
  <c r="B370" i="2"/>
  <c r="H370" i="2" l="1"/>
  <c r="F371" i="2"/>
  <c r="G371" i="2"/>
  <c r="C372" i="2"/>
  <c r="B371" i="2"/>
  <c r="G372" i="2" l="1"/>
  <c r="F372" i="2"/>
  <c r="C373" i="2"/>
  <c r="H371" i="2"/>
  <c r="B372" i="2"/>
  <c r="F373" i="2" l="1"/>
  <c r="G373" i="2"/>
  <c r="C374" i="2"/>
  <c r="H372" i="2"/>
  <c r="B373" i="2"/>
  <c r="G374" i="2" l="1"/>
  <c r="F374" i="2"/>
  <c r="C375" i="2"/>
  <c r="H373" i="2"/>
  <c r="B374" i="2"/>
  <c r="H374" i="2" l="1"/>
  <c r="F375" i="2"/>
  <c r="G375" i="2"/>
  <c r="C376" i="2"/>
  <c r="B375" i="2"/>
  <c r="F376" i="2" l="1"/>
  <c r="G376" i="2"/>
  <c r="C377" i="2"/>
  <c r="H375" i="2"/>
  <c r="B376" i="2"/>
  <c r="G377" i="2" l="1"/>
  <c r="F377" i="2"/>
  <c r="C378" i="2"/>
  <c r="H376" i="2"/>
  <c r="B377" i="2"/>
  <c r="H377" i="2" l="1"/>
  <c r="F378" i="2"/>
  <c r="G378" i="2"/>
  <c r="C379" i="2"/>
  <c r="B378" i="2"/>
  <c r="F379" i="2" l="1"/>
  <c r="G379" i="2"/>
  <c r="C380" i="2"/>
  <c r="H378" i="2"/>
  <c r="B379" i="2"/>
  <c r="F380" i="2" l="1"/>
  <c r="G380" i="2"/>
  <c r="C381" i="2"/>
  <c r="H379" i="2"/>
  <c r="B380" i="2"/>
  <c r="G381" i="2" l="1"/>
  <c r="F381" i="2"/>
  <c r="C382" i="2"/>
  <c r="H380" i="2"/>
  <c r="B381" i="2"/>
  <c r="H381" i="2" l="1"/>
  <c r="F382" i="2"/>
  <c r="G382" i="2"/>
  <c r="C383" i="2"/>
  <c r="B382" i="2"/>
  <c r="G383" i="2" l="1"/>
  <c r="F383" i="2"/>
  <c r="C384" i="2"/>
  <c r="H382" i="2"/>
  <c r="B383" i="2"/>
  <c r="H383" i="2" l="1"/>
  <c r="F384" i="2"/>
  <c r="G384" i="2"/>
  <c r="C385" i="2"/>
  <c r="B384" i="2"/>
  <c r="G385" i="2" l="1"/>
  <c r="F385" i="2"/>
  <c r="C386" i="2"/>
  <c r="H384" i="2"/>
  <c r="B385" i="2"/>
  <c r="H385" i="2" l="1"/>
  <c r="F386" i="2"/>
  <c r="G386" i="2"/>
  <c r="C387" i="2"/>
  <c r="B386" i="2"/>
  <c r="F387" i="2" l="1"/>
  <c r="G387" i="2"/>
  <c r="C388" i="2"/>
  <c r="H386" i="2"/>
  <c r="B387" i="2"/>
  <c r="F388" i="2" l="1"/>
  <c r="G388" i="2"/>
  <c r="C389" i="2"/>
  <c r="H387" i="2"/>
  <c r="B388" i="2"/>
  <c r="F389" i="2" l="1"/>
  <c r="G389" i="2"/>
  <c r="C390" i="2"/>
  <c r="H388" i="2"/>
  <c r="B389" i="2"/>
  <c r="F390" i="2" l="1"/>
  <c r="G390" i="2"/>
  <c r="G24" i="2" s="1"/>
  <c r="H389" i="2"/>
  <c r="B390" i="2"/>
  <c r="H390" i="2" l="1"/>
  <c r="E25" i="2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F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12" authorId="0" shapeId="0" xr:uid="{99C0E802-A70C-4E8A-A696-F8AF02EFD4E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valor residual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12" authorId="0" shapeId="0" xr:uid="{44B98B7B-55D8-40D2-A27F-046B89AD3EC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valor residual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12" authorId="0" shapeId="0" xr:uid="{F06056B8-66EE-459A-BE6B-0A7A8F59E7A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valor residual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12" authorId="0" shapeId="0" xr:uid="{5F9B5C79-25CE-44F5-B269-66379B5E347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valor residual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FN35" authorId="0" shapeId="0" xr:uid="{614B508D-A4F1-4624-ACBB-5FE349B6165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valor residual
</t>
        </r>
      </text>
    </comment>
    <comment ref="FW35" authorId="0" shapeId="0" xr:uid="{0D81B1D8-04D2-4C17-9E0F-730A96883D5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valor residual
</t>
        </r>
      </text>
    </comment>
    <comment ref="GF35" authorId="0" shapeId="0" xr:uid="{D94EDC17-A997-4384-90B3-7877A3C7CAA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valor residual
</t>
        </r>
      </text>
    </comment>
    <comment ref="GO35" authorId="0" shapeId="0" xr:uid="{F2847E44-8741-4D6A-B32C-8AA27286A0A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valor residual
</t>
        </r>
      </text>
    </comment>
  </commentList>
</comments>
</file>

<file path=xl/sharedStrings.xml><?xml version="1.0" encoding="utf-8"?>
<sst xmlns="http://schemas.openxmlformats.org/spreadsheetml/2006/main" count="697" uniqueCount="104">
  <si>
    <t>FID - BUN</t>
  </si>
  <si>
    <t>Fideicomiso - Banco Unión</t>
  </si>
  <si>
    <t>Bolivanos</t>
  </si>
  <si>
    <t>Trimestral</t>
  </si>
  <si>
    <t>BUN</t>
  </si>
  <si>
    <t>Banco Unión</t>
  </si>
  <si>
    <t>BIS</t>
  </si>
  <si>
    <t>Banco Bisa</t>
  </si>
  <si>
    <t>GAN</t>
  </si>
  <si>
    <t>Banco Ganadero</t>
  </si>
  <si>
    <t>vencimiento</t>
  </si>
  <si>
    <t>Cod. Entidad</t>
  </si>
  <si>
    <t>BDP</t>
  </si>
  <si>
    <t>BNL</t>
  </si>
  <si>
    <t>Entidad</t>
  </si>
  <si>
    <t>Banco de Desarrollo Productivo</t>
  </si>
  <si>
    <t>BNB leasing</t>
  </si>
  <si>
    <t>Nro de la operación</t>
  </si>
  <si>
    <t>Moneda</t>
  </si>
  <si>
    <t>Tasa</t>
  </si>
  <si>
    <t>Periodicidad</t>
  </si>
  <si>
    <t>Total de Saldo Adeudado</t>
  </si>
  <si>
    <t>Total de Intereses Diferidos</t>
  </si>
  <si>
    <t>%  correspondiente a CEMENTO</t>
  </si>
  <si>
    <t>Saldo Adeudado CEMENTO</t>
  </si>
  <si>
    <t>Intereses DIferidos CEMENTO</t>
  </si>
  <si>
    <t># Cuotas Intereses Diferidos</t>
  </si>
  <si>
    <t>Amortización Trimenstral 
1er Año</t>
  </si>
  <si>
    <t>Amortización Trimenstral</t>
  </si>
  <si>
    <t>Amort. Trim 1er año CEMENTO</t>
  </si>
  <si>
    <t>Intereses</t>
  </si>
  <si>
    <t>Amortización 5to trimestre</t>
  </si>
  <si>
    <t>N</t>
  </si>
  <si>
    <t>semana</t>
  </si>
  <si>
    <t>Dia</t>
  </si>
  <si>
    <t>Desembolsos</t>
  </si>
  <si>
    <t>Saldo adeudado</t>
  </si>
  <si>
    <t>Capital</t>
  </si>
  <si>
    <t>Total Cuota</t>
  </si>
  <si>
    <t>Fin mes</t>
  </si>
  <si>
    <t>Fecha</t>
  </si>
  <si>
    <t>Amortización</t>
  </si>
  <si>
    <t>Intereses corrientes</t>
  </si>
  <si>
    <t>Intereses diferidos</t>
  </si>
  <si>
    <t>Número de cuota</t>
  </si>
  <si>
    <t>pago a capital</t>
  </si>
  <si>
    <t>cuota pagada</t>
  </si>
  <si>
    <t>Amortización cap diferido</t>
  </si>
  <si>
    <t>Intereses prorroga gracia</t>
  </si>
  <si>
    <t>capital en mora</t>
  </si>
  <si>
    <t>interes en mora</t>
  </si>
  <si>
    <t>Por pagar</t>
  </si>
  <si>
    <t>Fideicomiso</t>
  </si>
  <si>
    <t>saldo ajustado</t>
  </si>
  <si>
    <t>Construcciones</t>
  </si>
  <si>
    <t>prestamos bancarios</t>
  </si>
  <si>
    <t>x pagar</t>
  </si>
  <si>
    <t>neto</t>
  </si>
  <si>
    <t>Metal</t>
  </si>
  <si>
    <t>fecha de pago</t>
  </si>
  <si>
    <t>intereses corrientes</t>
  </si>
  <si>
    <t>Interes prorroga y gracia</t>
  </si>
  <si>
    <t>BISA</t>
  </si>
  <si>
    <t>GANADERO</t>
  </si>
  <si>
    <t>Monto desembolsado</t>
  </si>
  <si>
    <t>Mensual</t>
  </si>
  <si>
    <t>% adeudado por Cemento</t>
  </si>
  <si>
    <t>Saldo a capital</t>
  </si>
  <si>
    <t>Saldo a capital Cemento</t>
  </si>
  <si>
    <t>Garantias</t>
  </si>
  <si>
    <t>desembolso</t>
  </si>
  <si>
    <t xml:space="preserve">inicio </t>
  </si>
  <si>
    <t>plazo</t>
  </si>
  <si>
    <t xml:space="preserve">Saldo Adeudado </t>
  </si>
  <si>
    <t>Saldo a capital inicial</t>
  </si>
  <si>
    <t>Monto Inicial</t>
  </si>
  <si>
    <t>Plazo (dias)</t>
  </si>
  <si>
    <t>Covenants</t>
  </si>
  <si>
    <t>- Entregar infromación finacniera de maenra semestral debiendo presentar EEFF fiscales auditados hasta agosto de cada gestión.
- No realizar distribuciones, pago de dividendos, inversiones en empresas relacionadas, o cualquier forma de pago de crédito o ingresos a favor de sus asociados
- en 360 dias vender las acciones de las empresas en las que tenga participación y sean ajenas al giro de su negocio, aplicados a reducir la obligacion presente.
- Trimestralmente presentar un informe debidamente firmado por Gerencia General que incluya un resumen de las gestiones comerciales realizadas para concretar la venta de las acciones</t>
  </si>
  <si>
    <t>Monto garantia</t>
  </si>
  <si>
    <t>existencias de mercaderia</t>
  </si>
  <si>
    <t>total</t>
  </si>
  <si>
    <t>Bolsas de 50 kg de cemento y clinker tipo IP 30</t>
  </si>
  <si>
    <t>detalle existencia de mercaderia</t>
  </si>
  <si>
    <t>covenants</t>
  </si>
  <si>
    <t>hipotecaria</t>
  </si>
  <si>
    <t>prendaria</t>
  </si>
  <si>
    <t>detalle prendaria</t>
  </si>
  <si>
    <t>detalle hipotecaria</t>
  </si>
  <si>
    <t>- maquinaria ubicada en Irpa Irpa, según avaluo de fecha 24 de abril de 2023, elaborado por CIDEAR</t>
  </si>
  <si>
    <t>- Una torre de precalcinación DOPOL, planta Irpa Irpa.
- 10 toneladas de Clinker, playas de almacenamiento Irpa Irpa</t>
  </si>
  <si>
    <t>Testimonio 1007/2023</t>
  </si>
  <si>
    <t xml:space="preserve"> Testimonio XXX/2024</t>
  </si>
  <si>
    <t>numero de contrato</t>
  </si>
  <si>
    <t>numero operación</t>
  </si>
  <si>
    <t>- Lote de terreno extensión 2762,74 m2, ubicación Tadeo Haenke.
- Lote de terreno extensión 143737,22 m2, ubicación PILAT Warnes</t>
  </si>
  <si>
    <t>- Existencias de mercaderia
 - Prendaria</t>
  </si>
  <si>
    <t>Entidad Financiera</t>
  </si>
  <si>
    <t>En Bs</t>
  </si>
  <si>
    <t>Union</t>
  </si>
  <si>
    <t>dias de mora</t>
  </si>
  <si>
    <t>315101121500078f</t>
  </si>
  <si>
    <t>Antes</t>
  </si>
  <si>
    <t>Transferencia a CERAMIL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</si>
</sst>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dd/mm/yyyy;@"/>
    <numFmt numFmtId="165" formatCode="dd\-mm\-yy;@"/>
    <numFmt numFmtId="166" formatCode="_(* #,##0.00_);_(* \(#,##0.00\);_(* &quot;-&quot;??_);_(@_)"/>
    <numFmt numFmtId="167" formatCode="_-* #,##0.0000_-;\-* #,##0.0000_-;_-* &quot;-&quot;??_-;_-@_-"/>
    <numFmt numFmtId="168" formatCode="#,##0.0,,\ ;\(#,##0.0,,\);\-\ ;"/>
    <numFmt numFmtId="169" formatCode="0.0000%"/>
    <numFmt numFmtId="170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b/>
      <i/>
      <sz val="11"/>
      <color theme="1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7030A0"/>
      <name val="Calibri Light"/>
      <family val="2"/>
      <scheme val="major"/>
    </font>
    <font>
      <sz val="11"/>
      <color rgb="FF00206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theme="1"/>
      <name val="Arial"/>
      <family val="2"/>
    </font>
    <font>
      <sz val="12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8">
    <xf numFmtId="0" fontId="0" fillId="0" borderId="0" xfId="0"/>
    <xf numFmtId="0" fontId="1" fillId="0" borderId="0" xfId="0" applyFont="1"/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  <xf numFmtId="10" fontId="5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right"/>
    </xf>
    <xf numFmtId="165" fontId="7" fillId="0" borderId="0" xfId="0" applyNumberFormat="1" applyFont="1"/>
    <xf numFmtId="165" fontId="5" fillId="0" borderId="0" xfId="0" applyNumberFormat="1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3" fillId="0" borderId="0" xfId="0" applyFont="1"/>
    <xf numFmtId="3" fontId="5" fillId="0" borderId="0" xfId="0" applyNumberFormat="1" applyFont="1"/>
    <xf numFmtId="165" fontId="7" fillId="0" borderId="0" xfId="0" applyNumberFormat="1" applyFont="1" applyAlignment="1">
      <alignment horizontal="left"/>
    </xf>
    <xf numFmtId="43" fontId="5" fillId="0" borderId="0" xfId="1" applyFont="1" applyFill="1" applyBorder="1" applyAlignment="1">
      <alignment horizontal="center"/>
    </xf>
    <xf numFmtId="0" fontId="7" fillId="0" borderId="0" xfId="0" applyFont="1" applyAlignment="1">
      <alignment horizontal="left"/>
    </xf>
    <xf numFmtId="4" fontId="5" fillId="0" borderId="0" xfId="0" applyNumberFormat="1" applyFont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43" fontId="5" fillId="0" borderId="0" xfId="1" applyFont="1" applyFill="1" applyBorder="1" applyAlignment="1">
      <alignment horizontal="center" vertical="center"/>
    </xf>
    <xf numFmtId="10" fontId="5" fillId="0" borderId="0" xfId="2" applyNumberFormat="1" applyFont="1" applyFill="1" applyBorder="1" applyAlignment="1">
      <alignment horizontal="center" vertical="center"/>
    </xf>
    <xf numFmtId="10" fontId="7" fillId="0" borderId="0" xfId="2" applyNumberFormat="1" applyFont="1" applyFill="1" applyBorder="1" applyAlignment="1">
      <alignment horizontal="center" vertical="center"/>
    </xf>
    <xf numFmtId="9" fontId="5" fillId="0" borderId="0" xfId="1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166" fontId="5" fillId="0" borderId="0" xfId="0" applyNumberFormat="1" applyFont="1"/>
    <xf numFmtId="166" fontId="5" fillId="0" borderId="0" xfId="1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6" fontId="5" fillId="0" borderId="0" xfId="1" applyNumberFormat="1" applyFont="1" applyFill="1" applyBorder="1"/>
    <xf numFmtId="165" fontId="0" fillId="0" borderId="0" xfId="0" applyNumberFormat="1"/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65" fontId="7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7" fillId="0" borderId="2" xfId="0" applyNumberFormat="1" applyFont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/>
    <xf numFmtId="166" fontId="5" fillId="0" borderId="1" xfId="1" applyNumberFormat="1" applyFont="1" applyFill="1" applyBorder="1"/>
    <xf numFmtId="166" fontId="8" fillId="0" borderId="1" xfId="1" applyNumberFormat="1" applyFont="1" applyFill="1" applyBorder="1"/>
    <xf numFmtId="164" fontId="8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166" fontId="8" fillId="0" borderId="0" xfId="1" applyNumberFormat="1" applyFont="1" applyFill="1" applyBorder="1"/>
    <xf numFmtId="43" fontId="5" fillId="0" borderId="0" xfId="1" applyFont="1"/>
    <xf numFmtId="164" fontId="6" fillId="2" borderId="0" xfId="0" applyNumberFormat="1" applyFont="1" applyFill="1" applyAlignment="1">
      <alignment horizontal="center"/>
    </xf>
    <xf numFmtId="166" fontId="5" fillId="2" borderId="0" xfId="1" applyNumberFormat="1" applyFont="1" applyFill="1" applyBorder="1"/>
    <xf numFmtId="167" fontId="5" fillId="0" borderId="0" xfId="0" applyNumberFormat="1" applyFont="1"/>
    <xf numFmtId="0" fontId="5" fillId="0" borderId="2" xfId="0" applyFont="1" applyBorder="1"/>
    <xf numFmtId="165" fontId="6" fillId="0" borderId="2" xfId="0" applyNumberFormat="1" applyFont="1" applyBorder="1" applyAlignment="1">
      <alignment horizontal="center"/>
    </xf>
    <xf numFmtId="166" fontId="5" fillId="0" borderId="2" xfId="0" applyNumberFormat="1" applyFont="1" applyBorder="1"/>
    <xf numFmtId="166" fontId="5" fillId="0" borderId="2" xfId="1" applyNumberFormat="1" applyFont="1" applyFill="1" applyBorder="1"/>
    <xf numFmtId="166" fontId="8" fillId="0" borderId="2" xfId="1" applyNumberFormat="1" applyFont="1" applyFill="1" applyBorder="1"/>
    <xf numFmtId="164" fontId="6" fillId="0" borderId="2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10" fontId="5" fillId="0" borderId="0" xfId="0" applyNumberFormat="1" applyFont="1" applyAlignment="1">
      <alignment horizontal="right"/>
    </xf>
    <xf numFmtId="168" fontId="5" fillId="0" borderId="0" xfId="0" applyNumberFormat="1" applyFont="1"/>
    <xf numFmtId="164" fontId="5" fillId="0" borderId="0" xfId="0" applyNumberFormat="1" applyFont="1"/>
    <xf numFmtId="169" fontId="5" fillId="0" borderId="0" xfId="2" applyNumberFormat="1" applyFont="1" applyFill="1" applyBorder="1" applyAlignment="1">
      <alignment horizontal="center" vertical="center"/>
    </xf>
    <xf numFmtId="43" fontId="5" fillId="0" borderId="0" xfId="0" applyNumberFormat="1" applyFont="1"/>
    <xf numFmtId="14" fontId="5" fillId="0" borderId="0" xfId="0" applyNumberFormat="1" applyFont="1" applyAlignment="1">
      <alignment horizontal="right"/>
    </xf>
    <xf numFmtId="14" fontId="7" fillId="0" borderId="0" xfId="0" applyNumberFormat="1" applyFont="1" applyAlignment="1">
      <alignment horizontal="right"/>
    </xf>
    <xf numFmtId="0" fontId="14" fillId="0" borderId="1" xfId="0" applyFont="1" applyBorder="1"/>
    <xf numFmtId="165" fontId="14" fillId="0" borderId="1" xfId="0" applyNumberFormat="1" applyFont="1" applyBorder="1" applyAlignment="1">
      <alignment horizontal="center"/>
    </xf>
    <xf numFmtId="166" fontId="14" fillId="0" borderId="1" xfId="0" applyNumberFormat="1" applyFont="1" applyBorder="1"/>
    <xf numFmtId="166" fontId="14" fillId="0" borderId="1" xfId="1" applyNumberFormat="1" applyFont="1" applyFill="1" applyBorder="1"/>
    <xf numFmtId="0" fontId="14" fillId="0" borderId="0" xfId="0" applyFont="1"/>
    <xf numFmtId="165" fontId="14" fillId="0" borderId="0" xfId="0" applyNumberFormat="1" applyFont="1" applyAlignment="1">
      <alignment horizontal="center"/>
    </xf>
    <xf numFmtId="166" fontId="14" fillId="0" borderId="0" xfId="0" applyNumberFormat="1" applyFont="1"/>
    <xf numFmtId="166" fontId="14" fillId="0" borderId="0" xfId="1" applyNumberFormat="1" applyFont="1" applyFill="1" applyBorder="1"/>
    <xf numFmtId="165" fontId="8" fillId="0" borderId="0" xfId="0" applyNumberFormat="1" applyFont="1" applyAlignment="1">
      <alignment horizontal="center"/>
    </xf>
    <xf numFmtId="0" fontId="16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43" fontId="1" fillId="0" borderId="0" xfId="1" applyFont="1"/>
    <xf numFmtId="0" fontId="18" fillId="0" borderId="0" xfId="0" applyFont="1" applyAlignment="1">
      <alignment horizontal="center" vertical="center" wrapText="1"/>
    </xf>
    <xf numFmtId="43" fontId="18" fillId="0" borderId="0" xfId="1" applyFont="1"/>
    <xf numFmtId="0" fontId="18" fillId="0" borderId="0" xfId="0" applyFont="1"/>
    <xf numFmtId="166" fontId="5" fillId="2" borderId="0" xfId="0" applyNumberFormat="1" applyFont="1" applyFill="1"/>
    <xf numFmtId="43" fontId="15" fillId="0" borderId="0" xfId="1" applyFont="1"/>
    <xf numFmtId="10" fontId="5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11" fillId="0" borderId="1" xfId="0" applyNumberFormat="1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1" xfId="1" applyNumberFormat="1" applyFont="1" applyFill="1" applyBorder="1" applyAlignment="1">
      <alignment horizontal="center"/>
    </xf>
    <xf numFmtId="1" fontId="8" fillId="0" borderId="0" xfId="1" applyNumberFormat="1" applyFont="1" applyFill="1" applyBorder="1" applyAlignment="1">
      <alignment horizontal="center"/>
    </xf>
    <xf numFmtId="1" fontId="8" fillId="0" borderId="2" xfId="1" applyNumberFormat="1" applyFont="1" applyFill="1" applyBorder="1" applyAlignment="1">
      <alignment horizontal="center"/>
    </xf>
    <xf numFmtId="164" fontId="8" fillId="0" borderId="0" xfId="0" applyNumberFormat="1" applyFont="1"/>
    <xf numFmtId="0" fontId="11" fillId="0" borderId="1" xfId="0" applyFont="1" applyBorder="1" applyAlignment="1">
      <alignment horizontal="center" vertical="center"/>
    </xf>
    <xf numFmtId="0" fontId="11" fillId="0" borderId="0" xfId="0" applyFont="1"/>
    <xf numFmtId="166" fontId="8" fillId="2" borderId="0" xfId="1" applyNumberFormat="1" applyFont="1" applyFill="1" applyBorder="1"/>
    <xf numFmtId="0" fontId="5" fillId="0" borderId="0" xfId="0" applyFont="1" applyAlignment="1">
      <alignment wrapText="1"/>
    </xf>
    <xf numFmtId="10" fontId="5" fillId="0" borderId="0" xfId="2" applyNumberFormat="1" applyFont="1" applyFill="1"/>
    <xf numFmtId="10" fontId="5" fillId="0" borderId="0" xfId="2" applyNumberFormat="1" applyFont="1" applyFill="1" applyAlignment="1">
      <alignment horizontal="center"/>
    </xf>
    <xf numFmtId="43" fontId="0" fillId="0" borderId="0" xfId="1" applyFont="1"/>
    <xf numFmtId="43" fontId="0" fillId="0" borderId="0" xfId="1" applyFont="1" applyFill="1"/>
    <xf numFmtId="43" fontId="6" fillId="0" borderId="0" xfId="1" applyFont="1" applyAlignment="1">
      <alignment horizontal="center"/>
    </xf>
    <xf numFmtId="170" fontId="16" fillId="0" borderId="3" xfId="1" applyNumberFormat="1" applyFont="1" applyBorder="1" applyAlignment="1">
      <alignment horizontal="center" vertical="center" wrapText="1"/>
    </xf>
    <xf numFmtId="43" fontId="1" fillId="0" borderId="0" xfId="1" applyFont="1" applyAlignment="1">
      <alignment vertical="center" wrapText="1"/>
    </xf>
    <xf numFmtId="0" fontId="18" fillId="0" borderId="2" xfId="0" applyFont="1" applyBorder="1" applyAlignment="1">
      <alignment horizontal="center" vertical="center" wrapText="1"/>
    </xf>
    <xf numFmtId="43" fontId="18" fillId="0" borderId="2" xfId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1" fontId="18" fillId="0" borderId="0" xfId="0" applyNumberFormat="1" applyFont="1" applyAlignment="1">
      <alignment horizontal="center" vertical="center"/>
    </xf>
    <xf numFmtId="43" fontId="1" fillId="0" borderId="0" xfId="1" applyFont="1" applyAlignment="1">
      <alignment vertical="center"/>
    </xf>
    <xf numFmtId="1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70" fontId="1" fillId="0" borderId="1" xfId="1" applyNumberFormat="1" applyFont="1" applyBorder="1" applyAlignment="1">
      <alignment horizontal="center" vertical="center"/>
    </xf>
    <xf numFmtId="43" fontId="1" fillId="0" borderId="1" xfId="1" applyFont="1" applyBorder="1" applyAlignment="1">
      <alignment vertical="center"/>
    </xf>
    <xf numFmtId="43" fontId="1" fillId="0" borderId="1" xfId="1" applyFont="1" applyBorder="1" applyAlignment="1">
      <alignment horizontal="center" vertical="center"/>
    </xf>
    <xf numFmtId="43" fontId="1" fillId="0" borderId="1" xfId="1" quotePrefix="1" applyFont="1" applyBorder="1" applyAlignment="1">
      <alignment horizontal="left" vertical="center" wrapText="1"/>
    </xf>
    <xf numFmtId="43" fontId="1" fillId="0" borderId="1" xfId="1" quotePrefix="1" applyFont="1" applyBorder="1" applyAlignment="1">
      <alignment horizontal="center" vertical="center"/>
    </xf>
    <xf numFmtId="1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70" fontId="1" fillId="0" borderId="0" xfId="1" applyNumberFormat="1" applyFont="1" applyAlignment="1">
      <alignment horizontal="center" vertical="center"/>
    </xf>
    <xf numFmtId="43" fontId="1" fillId="0" borderId="0" xfId="1" applyFont="1" applyBorder="1" applyAlignment="1">
      <alignment vertical="center"/>
    </xf>
    <xf numFmtId="43" fontId="1" fillId="0" borderId="0" xfId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170" fontId="1" fillId="0" borderId="0" xfId="1" applyNumberFormat="1" applyFont="1" applyAlignment="1">
      <alignment vertical="center"/>
    </xf>
    <xf numFmtId="10" fontId="1" fillId="0" borderId="0" xfId="2" applyNumberFormat="1" applyFont="1" applyAlignment="1">
      <alignment horizontal="center" vertical="center"/>
    </xf>
    <xf numFmtId="0" fontId="1" fillId="0" borderId="1" xfId="1" quotePrefix="1" applyNumberFormat="1" applyFont="1" applyBorder="1" applyAlignment="1">
      <alignment horizontal="left" vertical="center" wrapText="1"/>
    </xf>
    <xf numFmtId="43" fontId="1" fillId="0" borderId="0" xfId="1" quotePrefix="1" applyFont="1" applyAlignment="1">
      <alignment vertical="center" wrapText="1"/>
    </xf>
    <xf numFmtId="0" fontId="1" fillId="0" borderId="0" xfId="1" quotePrefix="1" applyNumberFormat="1" applyFont="1" applyAlignment="1">
      <alignment vertical="center" wrapText="1"/>
    </xf>
    <xf numFmtId="1" fontId="1" fillId="0" borderId="0" xfId="0" quotePrefix="1" applyNumberFormat="1" applyFont="1" applyAlignment="1">
      <alignment horizontal="center" vertical="center"/>
    </xf>
    <xf numFmtId="1" fontId="18" fillId="0" borderId="0" xfId="0" applyNumberFormat="1" applyFont="1" applyAlignment="1">
      <alignment horizontal="left" vertical="center"/>
    </xf>
    <xf numFmtId="4" fontId="5" fillId="0" borderId="0" xfId="0" applyNumberFormat="1" applyFont="1"/>
    <xf numFmtId="2" fontId="6" fillId="0" borderId="0" xfId="1" applyNumberFormat="1" applyFont="1" applyAlignment="1">
      <alignment horizontal="center"/>
    </xf>
    <xf numFmtId="10" fontId="5" fillId="2" borderId="0" xfId="2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43" fontId="10" fillId="0" borderId="2" xfId="1" applyFont="1" applyBorder="1" applyAlignment="1">
      <alignment horizontal="center" vertical="center"/>
    </xf>
    <xf numFmtId="170" fontId="10" fillId="0" borderId="2" xfId="1" applyNumberFormat="1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3" fontId="8" fillId="0" borderId="0" xfId="1" applyNumberFormat="1" applyFont="1" applyFill="1" applyBorder="1" applyAlignment="1">
      <alignment horizontal="center"/>
    </xf>
    <xf numFmtId="0" fontId="8" fillId="0" borderId="0" xfId="1" applyNumberFormat="1" applyFont="1" applyFill="1" applyBorder="1" applyAlignment="1">
      <alignment horizontal="center"/>
    </xf>
    <xf numFmtId="43" fontId="8" fillId="0" borderId="0" xfId="1" applyFont="1" applyAlignment="1">
      <alignment horizontal="center"/>
    </xf>
    <xf numFmtId="166" fontId="5" fillId="3" borderId="0" xfId="1" applyNumberFormat="1" applyFont="1" applyFill="1" applyBorder="1"/>
    <xf numFmtId="166" fontId="5" fillId="4" borderId="0" xfId="1" applyNumberFormat="1" applyFont="1" applyFill="1" applyBorder="1"/>
    <xf numFmtId="10" fontId="19" fillId="3" borderId="0" xfId="0" applyNumberFormat="1" applyFont="1" applyFill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2" fontId="1" fillId="0" borderId="1" xfId="2" applyNumberFormat="1" applyFont="1" applyBorder="1" applyAlignment="1">
      <alignment horizontal="center" vertical="center"/>
    </xf>
    <xf numFmtId="2" fontId="1" fillId="0" borderId="0" xfId="2" applyNumberFormat="1" applyFont="1" applyBorder="1" applyAlignment="1">
      <alignment horizontal="center" vertical="center"/>
    </xf>
    <xf numFmtId="43" fontId="1" fillId="0" borderId="0" xfId="0" applyNumberFormat="1" applyFont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/>
    </xf>
    <xf numFmtId="2" fontId="1" fillId="0" borderId="2" xfId="2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43" fontId="1" fillId="0" borderId="2" xfId="1" applyFont="1" applyBorder="1" applyAlignment="1">
      <alignment vertical="center"/>
    </xf>
    <xf numFmtId="43" fontId="1" fillId="0" borderId="2" xfId="1" applyFont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icardo\Documents\Finanzas\2.4%20Obligaciones%20financieras\OF%20a%20202509%20(al%20cierre).xlsx" TargetMode="External"/><Relationship Id="rId1" Type="http://schemas.openxmlformats.org/officeDocument/2006/relationships/externalLinkPath" Target="/Users/Quant_AC/Documents/Finanzas/2.4%20Obligaciones%20financieras/OF%20a%20202509%20(al%20cierre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icardo\Downloads\Dashboad%20Control%20de%20Deuda%20V.6%20-%20Unidades.xlsx" TargetMode="External"/><Relationship Id="rId1" Type="http://schemas.openxmlformats.org/officeDocument/2006/relationships/externalLinkPath" Target="/Users/Ricardo/Downloads/Dashboad%20Control%20de%20Deuda%20V.6%20-%20Unidad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acteristicas"/>
      <sheetName val="Obligaciones financieras"/>
      <sheetName val="detalla a agosto"/>
      <sheetName val="Pagos a cuentas de unidades"/>
      <sheetName val="Garantias"/>
    </sheetNames>
    <sheetDataSet>
      <sheetData sheetId="0">
        <row r="19">
          <cell r="B19">
            <v>45900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General"/>
      <sheetName val="2. PP"/>
      <sheetName val="Saldos"/>
      <sheetName val="Consolidado1"/>
      <sheetName val="Auxi"/>
    </sheetNames>
    <sheetDataSet>
      <sheetData sheetId="0"/>
      <sheetData sheetId="1"/>
      <sheetData sheetId="2"/>
      <sheetData sheetId="3">
        <row r="241">
          <cell r="C241">
            <v>15996516.062482124</v>
          </cell>
        </row>
        <row r="242">
          <cell r="C242">
            <v>25657082.368837565</v>
          </cell>
        </row>
        <row r="243">
          <cell r="C243">
            <v>3310757.6821562708</v>
          </cell>
        </row>
        <row r="244">
          <cell r="C244">
            <v>6226369.0691175386</v>
          </cell>
        </row>
        <row r="245">
          <cell r="C245">
            <v>605442.35740650608</v>
          </cell>
        </row>
        <row r="315">
          <cell r="C315">
            <v>1109707.8726865982</v>
          </cell>
        </row>
        <row r="316">
          <cell r="C316">
            <v>1946824.49609955</v>
          </cell>
        </row>
        <row r="317">
          <cell r="C317">
            <v>2827295.4350634301</v>
          </cell>
        </row>
        <row r="318">
          <cell r="C318">
            <v>477315.69999999984</v>
          </cell>
        </row>
        <row r="319">
          <cell r="C319">
            <v>2106711.4732455392</v>
          </cell>
        </row>
        <row r="323">
          <cell r="C323">
            <v>26010060.698803104</v>
          </cell>
        </row>
        <row r="324">
          <cell r="C324">
            <v>3065469.2036547139</v>
          </cell>
        </row>
        <row r="325">
          <cell r="C325">
            <v>83830.490228503171</v>
          </cell>
        </row>
        <row r="326">
          <cell r="C326">
            <v>193131.84388081235</v>
          </cell>
        </row>
        <row r="327">
          <cell r="C327">
            <v>228313.3858758377</v>
          </cell>
        </row>
        <row r="328">
          <cell r="C328">
            <v>229194.37755703231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5A44-5C00-4CE1-BB65-93D919EF6A24}">
  <dimension ref="A1:S18"/>
  <sheetViews>
    <sheetView topLeftCell="I1" workbookViewId="0">
      <selection activeCell="Q2" sqref="Q2"/>
    </sheetView>
  </sheetViews>
  <sheetFormatPr baseColWidth="10" defaultColWidth="11.54296875" defaultRowHeight="14" x14ac:dyDescent="0.35"/>
  <cols>
    <col min="1" max="1" width="18.54296875" style="121" bestFit="1" customWidth="1"/>
    <col min="2" max="2" width="29.90625" style="121" customWidth="1"/>
    <col min="3" max="3" width="11.08984375" style="121" customWidth="1"/>
    <col min="4" max="4" width="11.6328125" style="134" bestFit="1" customWidth="1"/>
    <col min="5" max="5" width="11.81640625" style="134" bestFit="1" customWidth="1"/>
    <col min="6" max="6" width="12.90625" style="134" customWidth="1"/>
    <col min="7" max="8" width="13.08984375" style="121" bestFit="1" customWidth="1"/>
    <col min="9" max="9" width="13.08984375" style="141" customWidth="1"/>
    <col min="10" max="11" width="16.1796875" style="121" customWidth="1"/>
    <col min="12" max="12" width="16.36328125" style="121" bestFit="1" customWidth="1"/>
    <col min="13" max="13" width="16.6328125" style="121" customWidth="1"/>
    <col min="14" max="14" width="16.36328125" style="121" customWidth="1"/>
    <col min="15" max="15" width="27.453125" style="121" customWidth="1"/>
    <col min="16" max="16" width="16.36328125" style="121" customWidth="1"/>
    <col min="17" max="18" width="16.36328125" style="121" bestFit="1" customWidth="1"/>
    <col min="19" max="19" width="13.54296875" style="121" bestFit="1" customWidth="1"/>
    <col min="20" max="25" width="12.08984375" style="121" bestFit="1" customWidth="1"/>
    <col min="26" max="16384" width="11.54296875" style="121"/>
  </cols>
  <sheetData>
    <row r="1" spans="1:19" ht="26" x14ac:dyDescent="0.35">
      <c r="A1" s="88" t="s">
        <v>17</v>
      </c>
      <c r="B1" s="88" t="s">
        <v>14</v>
      </c>
      <c r="C1" s="88" t="s">
        <v>11</v>
      </c>
      <c r="D1" s="88" t="s">
        <v>18</v>
      </c>
      <c r="E1" s="88" t="s">
        <v>19</v>
      </c>
      <c r="F1" s="88" t="s">
        <v>20</v>
      </c>
      <c r="G1" s="88" t="s">
        <v>70</v>
      </c>
      <c r="H1" s="88" t="s">
        <v>10</v>
      </c>
      <c r="I1" s="116" t="s">
        <v>76</v>
      </c>
      <c r="J1" s="88" t="s">
        <v>75</v>
      </c>
      <c r="K1" s="88" t="s">
        <v>67</v>
      </c>
      <c r="L1" s="88" t="s">
        <v>66</v>
      </c>
      <c r="M1" s="88" t="s">
        <v>68</v>
      </c>
      <c r="N1" s="88" t="s">
        <v>79</v>
      </c>
      <c r="O1" s="88" t="s">
        <v>69</v>
      </c>
      <c r="P1" s="88" t="s">
        <v>77</v>
      </c>
      <c r="Q1" s="89" t="s">
        <v>49</v>
      </c>
      <c r="R1" s="89" t="s">
        <v>50</v>
      </c>
      <c r="S1" s="89" t="s">
        <v>53</v>
      </c>
    </row>
    <row r="2" spans="1:19" ht="28" x14ac:dyDescent="0.35">
      <c r="A2" s="124">
        <v>3167401</v>
      </c>
      <c r="B2" s="125" t="str">
        <f>+HLOOKUP($A2,'Obligaciones financieras'!$Q$1:$HV$21,COLUMNS($A2:B2),FALSE)</f>
        <v>Fideicomiso - Banco Unión</v>
      </c>
      <c r="C2" s="126" t="str">
        <f>+HLOOKUP($A2,'Obligaciones financieras'!$Q$1:$HV$21,COLUMNS($A2:C2),FALSE)</f>
        <v>FID - BUN</v>
      </c>
      <c r="D2" s="126" t="str">
        <f>+HLOOKUP($A2,'Obligaciones financieras'!$Q$1:$HV$21,COLUMNS($A2:D2),FALSE)</f>
        <v>Bolivanos</v>
      </c>
      <c r="E2" s="164">
        <f>+HLOOKUP($A2,'Obligaciones financieras'!$Q$1:$HV$21,COLUMNS($A2:E2),FALSE)*100</f>
        <v>6</v>
      </c>
      <c r="F2" s="126" t="str">
        <f>+HLOOKUP($A2,'Obligaciones financieras'!$Q$1:$HV$21,COLUMNS($A2:F2),FALSE)</f>
        <v>Trimestral</v>
      </c>
      <c r="G2" s="127">
        <v>45463</v>
      </c>
      <c r="H2" s="127">
        <f>+HLOOKUP($A2,'Obligaciones financieras'!$Q$1:$HV$21,COLUMNS($A2:H2),FALSE)</f>
        <v>48248</v>
      </c>
      <c r="I2" s="128">
        <f>8*365</f>
        <v>2920</v>
      </c>
      <c r="J2" s="129">
        <v>230617692.43000001</v>
      </c>
      <c r="K2" s="129">
        <f>+HLOOKUP($A2,'Obligaciones financieras'!$Q$1:$HV$21,COLUMNS($A2:K2),FALSE)</f>
        <v>230343292.43000001</v>
      </c>
      <c r="L2" s="137">
        <f>+HLOOKUP($A2,'Obligaciones financieras'!$Q$1:$HV$21,COLUMNS($A2:L2),FALSE)*100</f>
        <v>57.390184900285554</v>
      </c>
      <c r="M2" s="130">
        <f>+HLOOKUP($A2,'Obligaciones financieras'!$Q$1:$HV$21,COLUMNS($A2:M2),FALSE)</f>
        <v>132194441.43098247</v>
      </c>
      <c r="N2" s="132">
        <f>+Garantias!R2</f>
        <v>237629820.91999999</v>
      </c>
      <c r="O2" s="131" t="s">
        <v>96</v>
      </c>
      <c r="P2" s="143"/>
      <c r="Q2" s="129">
        <f>SUM('3167401'!C3:C6)</f>
        <v>157478.66736638357</v>
      </c>
      <c r="R2" s="125">
        <v>0</v>
      </c>
      <c r="S2" s="125">
        <v>0</v>
      </c>
    </row>
    <row r="3" spans="1:19" x14ac:dyDescent="0.35">
      <c r="A3" s="133">
        <v>2767412</v>
      </c>
      <c r="B3" s="121" t="str">
        <f>+HLOOKUP($A3,'Obligaciones financieras'!$Q$1:$HV$21,COLUMNS($A3:B3),FALSE)</f>
        <v>Banco Unión</v>
      </c>
      <c r="C3" s="134" t="str">
        <f>+HLOOKUP($A3,'Obligaciones financieras'!$Q$1:$HV$21,COLUMNS($A3:C3),FALSE)</f>
        <v>BUN</v>
      </c>
      <c r="D3" s="134" t="str">
        <f>+HLOOKUP($A3,'Obligaciones financieras'!$Q$1:$HV$21,COLUMNS($A3:D3),FALSE)</f>
        <v>Bolivanos</v>
      </c>
      <c r="E3" s="164">
        <f>+HLOOKUP($A3,'Obligaciones financieras'!$Q$1:$HV$21,COLUMNS($A3:E3),FALSE)*100</f>
        <v>5.5</v>
      </c>
      <c r="F3" s="134" t="str">
        <f>+HLOOKUP($A3,'Obligaciones financieras'!$Q$1:$HV$21,COLUMNS($A3:F3),FALSE)</f>
        <v>Trimestral</v>
      </c>
      <c r="G3" s="135"/>
      <c r="H3" s="135">
        <f>+HLOOKUP($A3,'Obligaciones financieras'!$Q$1:$HV$21,COLUMNS($A3:H3),FALSE)</f>
        <v>48058</v>
      </c>
      <c r="I3" s="136"/>
      <c r="J3" s="137"/>
      <c r="K3" s="137">
        <f>+HLOOKUP($A3,'Obligaciones financieras'!$Q$1:$HV$21,COLUMNS($A3:K3),FALSE)</f>
        <v>1241907.93</v>
      </c>
      <c r="L3" s="137">
        <f>+HLOOKUP($A3,'Obligaciones financieras'!$Q$1:$HV$21,COLUMNS($A3:L3),FALSE)*100</f>
        <v>100</v>
      </c>
      <c r="M3" s="138">
        <f>+HLOOKUP($A3,'Obligaciones financieras'!$Q$1:$HV$21,COLUMNS($A3:M3),FALSE)</f>
        <v>1241907.93</v>
      </c>
      <c r="N3" s="138"/>
      <c r="O3" s="138"/>
      <c r="P3" s="138"/>
    </row>
    <row r="4" spans="1:19" x14ac:dyDescent="0.35">
      <c r="A4" s="133">
        <v>2764418</v>
      </c>
      <c r="B4" s="121" t="str">
        <f>+HLOOKUP($A4,'Obligaciones financieras'!$Q$1:$HV$21,COLUMNS($A4:B4),FALSE)</f>
        <v>Banco Unión</v>
      </c>
      <c r="C4" s="134" t="str">
        <f>+HLOOKUP($A4,'Obligaciones financieras'!$Q$1:$HV$21,COLUMNS($A4:C4),FALSE)</f>
        <v>BUN</v>
      </c>
      <c r="D4" s="134" t="str">
        <f>+HLOOKUP($A4,'Obligaciones financieras'!$Q$1:$HV$21,COLUMNS($A4:D4),FALSE)</f>
        <v>Bolivanos</v>
      </c>
      <c r="E4" s="164">
        <f>+HLOOKUP($A4,'Obligaciones financieras'!$Q$1:$HV$21,COLUMNS($A4:E4),FALSE)*100</f>
        <v>6</v>
      </c>
      <c r="F4" s="134" t="str">
        <f>+HLOOKUP($A4,'Obligaciones financieras'!$Q$1:$HV$21,COLUMNS($A4:F4),FALSE)</f>
        <v>Trimestral</v>
      </c>
      <c r="G4" s="135"/>
      <c r="H4" s="135">
        <f>+HLOOKUP($A4,'Obligaciones financieras'!$Q$1:$HV$21,COLUMNS($A4:H4),FALSE)</f>
        <v>48997</v>
      </c>
      <c r="I4" s="136"/>
      <c r="J4" s="137"/>
      <c r="K4" s="137">
        <f>+HLOOKUP($A4,'Obligaciones financieras'!$Q$1:$HV$21,COLUMNS($A4:K4),FALSE)</f>
        <v>51796167.540000007</v>
      </c>
      <c r="L4" s="137">
        <f>+HLOOKUP($A4,'Obligaciones financieras'!$Q$1:$HV$21,COLUMNS($A4:L4),FALSE)*100</f>
        <v>30.883590084398975</v>
      </c>
      <c r="M4" s="138">
        <f>+HLOOKUP($A4,'Obligaciones financieras'!$Q$1:$HV$21,COLUMNS($A4:M4),FALSE)</f>
        <v>15996516.062482124</v>
      </c>
      <c r="N4" s="138"/>
      <c r="O4" s="138"/>
      <c r="P4" s="138"/>
    </row>
    <row r="5" spans="1:19" x14ac:dyDescent="0.35">
      <c r="A5" s="133">
        <v>1271559</v>
      </c>
      <c r="B5" s="121" t="str">
        <f>+HLOOKUP($A5,'Obligaciones financieras'!$Q$1:$HV$21,COLUMNS($A5:B5),FALSE)</f>
        <v>Banco Bisa</v>
      </c>
      <c r="C5" s="134" t="str">
        <f>+HLOOKUP($A5,'Obligaciones financieras'!$Q$1:$HV$21,COLUMNS($A5:C5),FALSE)</f>
        <v>BIS</v>
      </c>
      <c r="D5" s="134" t="str">
        <f>+HLOOKUP($A5,'Obligaciones financieras'!$Q$1:$HV$21,COLUMNS($A5:D5),FALSE)</f>
        <v>Bolivanos</v>
      </c>
      <c r="E5" s="164">
        <f>+HLOOKUP($A5,'Obligaciones financieras'!$Q$1:$HV$21,COLUMNS($A5:E5),FALSE)*100</f>
        <v>6</v>
      </c>
      <c r="F5" s="134" t="str">
        <f>+HLOOKUP($A5,'Obligaciones financieras'!$Q$1:$HV$21,COLUMNS($A5:F5),FALSE)</f>
        <v>Trimestral</v>
      </c>
      <c r="G5" s="135"/>
      <c r="H5" s="135">
        <f>+HLOOKUP($A5,'Obligaciones financieras'!$Q$1:$HV$21,COLUMNS($A5:H5),FALSE)</f>
        <v>47107</v>
      </c>
      <c r="I5" s="136"/>
      <c r="J5" s="137"/>
      <c r="K5" s="137">
        <f>+HLOOKUP($A5,'Obligaciones financieras'!$Q$1:$HV$21,COLUMNS($A5:K5),FALSE)</f>
        <v>53476614.030000001</v>
      </c>
      <c r="L5" s="137">
        <f>+HLOOKUP($A5,'Obligaciones financieras'!$Q$1:$HV$21,COLUMNS($A5:L5),FALSE)*100</f>
        <v>100</v>
      </c>
      <c r="M5" s="138">
        <f>+HLOOKUP($A5,'Obligaciones financieras'!$Q$1:$HV$21,COLUMNS($A5:M5),FALSE)</f>
        <v>53476614.030000001</v>
      </c>
      <c r="N5" s="138"/>
      <c r="O5" s="138"/>
      <c r="P5" s="138"/>
    </row>
    <row r="6" spans="1:19" x14ac:dyDescent="0.35">
      <c r="A6" s="133">
        <v>1358960</v>
      </c>
      <c r="B6" s="121" t="str">
        <f>+HLOOKUP($A6,'Obligaciones financieras'!$Q$1:$HV$21,COLUMNS($A6:B6),FALSE)</f>
        <v>Banco Bisa</v>
      </c>
      <c r="C6" s="134" t="str">
        <f>+HLOOKUP($A6,'Obligaciones financieras'!$Q$1:$HV$21,COLUMNS($A6:C6),FALSE)</f>
        <v>BIS</v>
      </c>
      <c r="D6" s="134" t="str">
        <f>+HLOOKUP($A6,'Obligaciones financieras'!$Q$1:$HV$21,COLUMNS($A6:D6),FALSE)</f>
        <v>Bolivanos</v>
      </c>
      <c r="E6" s="164">
        <f>+HLOOKUP($A6,'Obligaciones financieras'!$Q$1:$HV$21,COLUMNS($A6:E6),FALSE)*100</f>
        <v>6</v>
      </c>
      <c r="F6" s="134" t="str">
        <f>+HLOOKUP($A6,'Obligaciones financieras'!$Q$1:$HV$21,COLUMNS($A6:F6),FALSE)</f>
        <v>Trimestral</v>
      </c>
      <c r="G6" s="135"/>
      <c r="H6" s="135">
        <f>+HLOOKUP($A6,'Obligaciones financieras'!$Q$1:$HV$21,COLUMNS($A6:H6),FALSE)</f>
        <v>47398</v>
      </c>
      <c r="I6" s="136"/>
      <c r="J6" s="137"/>
      <c r="K6" s="137">
        <f>+HLOOKUP($A6,'Obligaciones financieras'!$Q$1:$HV$21,COLUMNS($A6:K6),FALSE)</f>
        <v>4571867.7990000034</v>
      </c>
      <c r="L6" s="137">
        <f>+HLOOKUP($A6,'Obligaciones financieras'!$Q$1:$HV$21,COLUMNS($A6:L6),FALSE)*100</f>
        <v>22.702943184608067</v>
      </c>
      <c r="M6" s="138">
        <f>+HLOOKUP($A6,'Obligaciones financieras'!$Q$1:$HV$21,COLUMNS($A6:M6),FALSE)</f>
        <v>1037948.5488823621</v>
      </c>
      <c r="N6" s="138"/>
      <c r="O6" s="138"/>
      <c r="P6" s="138"/>
    </row>
    <row r="7" spans="1:19" x14ac:dyDescent="0.35">
      <c r="A7" s="133">
        <v>1295150</v>
      </c>
      <c r="B7" s="121" t="str">
        <f>+HLOOKUP($A7,'Obligaciones financieras'!$Q$1:$HV$21,COLUMNS($A7:B7),FALSE)</f>
        <v>Banco Bisa</v>
      </c>
      <c r="C7" s="134" t="str">
        <f>+HLOOKUP($A7,'Obligaciones financieras'!$Q$1:$HV$21,COLUMNS($A7:C7),FALSE)</f>
        <v>BIS</v>
      </c>
      <c r="D7" s="134" t="str">
        <f>+HLOOKUP($A7,'Obligaciones financieras'!$Q$1:$HV$21,COLUMNS($A7:D7),FALSE)</f>
        <v>Bolivanos</v>
      </c>
      <c r="E7" s="164">
        <f>+HLOOKUP($A7,'Obligaciones financieras'!$Q$1:$HV$21,COLUMNS($A7:E7),FALSE)*100</f>
        <v>6</v>
      </c>
      <c r="F7" s="134" t="str">
        <f>+HLOOKUP($A7,'Obligaciones financieras'!$Q$1:$HV$21,COLUMNS($A7:F7),FALSE)</f>
        <v>Trimestral</v>
      </c>
      <c r="G7" s="135"/>
      <c r="H7" s="135">
        <f>+HLOOKUP($A7,'Obligaciones financieras'!$Q$1:$HV$21,COLUMNS($A7:H7),FALSE)</f>
        <v>47375</v>
      </c>
      <c r="I7" s="136"/>
      <c r="J7" s="137"/>
      <c r="K7" s="137">
        <f>+HLOOKUP($A7,'Obligaciones financieras'!$Q$1:$HV$21,COLUMNS($A7:K7),FALSE)</f>
        <v>1669085.8500000003</v>
      </c>
      <c r="L7" s="137">
        <f>+HLOOKUP($A7,'Obligaciones financieras'!$Q$1:$HV$21,COLUMNS($A7:L7),FALSE)*100</f>
        <v>100</v>
      </c>
      <c r="M7" s="138">
        <f>+HLOOKUP($A7,'Obligaciones financieras'!$Q$1:$HV$21,COLUMNS($A7:M7),FALSE)</f>
        <v>1669085.8500000003</v>
      </c>
      <c r="N7" s="138"/>
      <c r="O7" s="138"/>
      <c r="P7" s="138"/>
    </row>
    <row r="8" spans="1:19" ht="14.5" x14ac:dyDescent="0.35">
      <c r="A8" s="3">
        <v>101243178</v>
      </c>
      <c r="B8" s="121" t="str">
        <f>+HLOOKUP($A8,'Obligaciones financieras'!$Q$1:$HV$21,COLUMNS($A8:B8),FALSE)</f>
        <v>Banco Ganadero</v>
      </c>
      <c r="C8" s="134" t="str">
        <f>+HLOOKUP($A8,'Obligaciones financieras'!$Q$1:$HV$21,COLUMNS($A8:C8),FALSE)</f>
        <v>GAN</v>
      </c>
      <c r="D8" s="134" t="str">
        <f>+HLOOKUP($A8,'Obligaciones financieras'!$Q$1:$HV$21,COLUMNS($A8:D8),FALSE)</f>
        <v>Bolivanos</v>
      </c>
      <c r="E8" s="164">
        <f>+HLOOKUP($A8,'Obligaciones financieras'!$Q$1:$HV$21,COLUMNS($A8:E8),FALSE)*100</f>
        <v>6</v>
      </c>
      <c r="F8" s="134" t="str">
        <f>+HLOOKUP($A8,'Obligaciones financieras'!$Q$1:$HV$21,COLUMNS($A8:F8),FALSE)</f>
        <v>Mensual</v>
      </c>
      <c r="G8" s="135"/>
      <c r="H8" s="135">
        <f>+HLOOKUP($A8,'Obligaciones financieras'!$Q$1:$HV$21,COLUMNS($A8:H8),FALSE)</f>
        <v>46609</v>
      </c>
      <c r="I8" s="136"/>
      <c r="J8" s="137"/>
      <c r="K8" s="137">
        <f>+HLOOKUP($A8,'Obligaciones financieras'!$Q$1:$HV$21,COLUMNS($A8:K8),FALSE)</f>
        <v>29810000.000000004</v>
      </c>
      <c r="L8" s="137">
        <f>+HLOOKUP($A8,'Obligaciones financieras'!$Q$1:$HV$21,COLUMNS($A8:L8),FALSE)*100</f>
        <v>86.082017741707816</v>
      </c>
      <c r="M8" s="138">
        <f>+HLOOKUP($A8,'Obligaciones financieras'!$Q$1:$HV$21,COLUMNS($A8:M8),FALSE)</f>
        <v>25661049.488803104</v>
      </c>
      <c r="N8" s="138"/>
      <c r="O8" s="138"/>
      <c r="P8" s="138"/>
    </row>
    <row r="9" spans="1:19" x14ac:dyDescent="0.35">
      <c r="A9" s="133">
        <v>315101121500077</v>
      </c>
      <c r="B9" s="121" t="str">
        <f>+HLOOKUP($A9,'Obligaciones financieras'!$Q$1:$HV$21,COLUMNS($A9:B9),FALSE)</f>
        <v>Banco de Desarrollo Productivo</v>
      </c>
      <c r="C9" s="134" t="str">
        <f>+HLOOKUP($A9,'Obligaciones financieras'!$Q$1:$HV$21,COLUMNS($A9:C9),FALSE)</f>
        <v>BDP</v>
      </c>
      <c r="D9" s="134" t="str">
        <f>+HLOOKUP($A9,'Obligaciones financieras'!$Q$1:$HV$21,COLUMNS($A9:D9),FALSE)</f>
        <v>Bolivanos</v>
      </c>
      <c r="E9" s="164">
        <f>+HLOOKUP($A9,'Obligaciones financieras'!$Q$1:$HV$21,COLUMNS($A9:E9),FALSE)*100</f>
        <v>5.8000000000000007</v>
      </c>
      <c r="F9" s="134" t="str">
        <f>+HLOOKUP($A9,'Obligaciones financieras'!$Q$1:$HV$21,COLUMNS($A9:F9),FALSE)</f>
        <v>Trimestral</v>
      </c>
      <c r="G9" s="135"/>
      <c r="H9" s="135">
        <f>+HLOOKUP($A9,'Obligaciones financieras'!$Q$1:$HV$21,COLUMNS($A9:H9),FALSE)</f>
        <v>49111</v>
      </c>
      <c r="I9" s="136"/>
      <c r="J9" s="137"/>
      <c r="K9" s="137">
        <f>+HLOOKUP($A9,'Obligaciones financieras'!$Q$1:$HV$21,COLUMNS($A9:K9),FALSE)</f>
        <v>9174681.5399999991</v>
      </c>
      <c r="L9" s="137">
        <f>+HLOOKUP($A9,'Obligaciones financieras'!$Q$1:$HV$21,COLUMNS($A9:L9),FALSE)*100</f>
        <v>99.370811936295951</v>
      </c>
      <c r="M9" s="138">
        <f>+HLOOKUP($A9,'Obligaciones financieras'!$Q$1:$HV$21,COLUMNS($A9:M9),FALSE)</f>
        <v>9116955.5388674606</v>
      </c>
      <c r="N9" s="138"/>
      <c r="O9" s="138"/>
      <c r="P9" s="138"/>
    </row>
    <row r="10" spans="1:19" x14ac:dyDescent="0.35">
      <c r="A10" s="133" t="s">
        <v>101</v>
      </c>
      <c r="B10" s="121" t="str">
        <f>+HLOOKUP($A10,'Obligaciones financieras'!$Q$1:$HV$21,COLUMNS($A10:B10),FALSE)</f>
        <v>Banco de Desarrollo Productivo</v>
      </c>
      <c r="C10" s="134" t="str">
        <f>+HLOOKUP($A10,'Obligaciones financieras'!$Q$1:$HV$21,COLUMNS($A10:C10),FALSE)</f>
        <v>BDP</v>
      </c>
      <c r="D10" s="134" t="str">
        <f>+HLOOKUP($A10,'Obligaciones financieras'!$Q$1:$HV$21,COLUMNS($A10:D10),FALSE)</f>
        <v>Bolivanos</v>
      </c>
      <c r="E10" s="164">
        <f>+HLOOKUP($A10,'Obligaciones financieras'!$Q$1:$HV$21,COLUMNS($A10:E10),FALSE)*100</f>
        <v>5.82</v>
      </c>
      <c r="F10" s="134" t="str">
        <f>+HLOOKUP($A10,'Obligaciones financieras'!$Q$1:$HV$21,COLUMNS($A10:F10),FALSE)</f>
        <v>Trimestral</v>
      </c>
      <c r="G10" s="135"/>
      <c r="H10" s="135">
        <f>+HLOOKUP($A10,'Obligaciones financieras'!$Q$1:$HV$21,COLUMNS($A10:H10),FALSE)</f>
        <v>48765</v>
      </c>
      <c r="I10" s="136"/>
      <c r="J10" s="137"/>
      <c r="K10" s="137">
        <f>+HLOOKUP($A10,'Obligaciones financieras'!$Q$1:$HV$21,COLUMNS($A10:K10),FALSE)</f>
        <v>8467854.9770951178</v>
      </c>
      <c r="L10" s="137">
        <f>+HLOOKUP($A10,'Obligaciones financieras'!$Q$1:$HV$21,COLUMNS($A10:L10),FALSE)*100</f>
        <v>13.104946597317394</v>
      </c>
      <c r="M10" s="138">
        <f>+HLOOKUP($A10,'Obligaciones financieras'!$Q$1:$HV$21,COLUMNS($A10:M10),FALSE)</f>
        <v>1109707.8726865982</v>
      </c>
      <c r="N10" s="138"/>
      <c r="O10" s="138"/>
      <c r="P10" s="138"/>
    </row>
    <row r="11" spans="1:19" x14ac:dyDescent="0.35">
      <c r="A11" s="133">
        <v>315101121500021</v>
      </c>
      <c r="B11" s="121" t="str">
        <f>+HLOOKUP($A11,'Obligaciones financieras'!$Q$1:$HV$21,COLUMNS($A11:B11),FALSE)</f>
        <v>Banco de Desarrollo Productivo</v>
      </c>
      <c r="C11" s="134" t="str">
        <f>+HLOOKUP($A11,'Obligaciones financieras'!$Q$1:$HV$21,COLUMNS($A11:C11),FALSE)</f>
        <v>BDP</v>
      </c>
      <c r="D11" s="134" t="str">
        <f>+HLOOKUP($A11,'Obligaciones financieras'!$Q$1:$HV$21,COLUMNS($A11:D11),FALSE)</f>
        <v>Bolivanos</v>
      </c>
      <c r="E11" s="164">
        <f>+HLOOKUP($A11,'Obligaciones financieras'!$Q$1:$HV$21,COLUMNS($A11:E11),FALSE)*100</f>
        <v>5.99</v>
      </c>
      <c r="F11" s="134" t="str">
        <f>+HLOOKUP($A11,'Obligaciones financieras'!$Q$1:$HV$21,COLUMNS($A11:F11),FALSE)</f>
        <v>Trimestral</v>
      </c>
      <c r="G11" s="135"/>
      <c r="H11" s="135">
        <f>+HLOOKUP($A11,'Obligaciones financieras'!$Q$1:$HV$21,COLUMNS($A11:H11),FALSE)</f>
        <v>49111</v>
      </c>
      <c r="I11" s="136"/>
      <c r="J11" s="137"/>
      <c r="K11" s="137">
        <f>+HLOOKUP($A11,'Obligaciones financieras'!$Q$1:$HV$21,COLUMNS($A11:K11),FALSE)</f>
        <v>2794681.5</v>
      </c>
      <c r="L11" s="137">
        <f>+HLOOKUP($A11,'Obligaciones financieras'!$Q$1:$HV$21,COLUMNS($A11:L11),FALSE)*100</f>
        <v>100</v>
      </c>
      <c r="M11" s="138">
        <f>+HLOOKUP($A11,'Obligaciones financieras'!$Q$1:$HV$21,COLUMNS($A11:M11),FALSE)</f>
        <v>2794681.5</v>
      </c>
      <c r="N11" s="138"/>
      <c r="O11" s="138"/>
      <c r="P11" s="138"/>
    </row>
    <row r="12" spans="1:19" x14ac:dyDescent="0.35">
      <c r="A12" s="133">
        <v>2010014418</v>
      </c>
      <c r="B12" s="121" t="str">
        <f>+HLOOKUP($A12,'Obligaciones financieras'!$Q$1:$HV$21,COLUMNS($A12:B12),FALSE)</f>
        <v>BNB leasing</v>
      </c>
      <c r="C12" s="134" t="str">
        <f>+HLOOKUP($A12,'Obligaciones financieras'!$Q$1:$HV$21,COLUMNS($A12:C12),FALSE)</f>
        <v>BNL</v>
      </c>
      <c r="D12" s="134" t="str">
        <f>+HLOOKUP($A12,'Obligaciones financieras'!$Q$1:$HV$21,COLUMNS($A12:D12),FALSE)</f>
        <v>Bolivanos</v>
      </c>
      <c r="E12" s="164">
        <f>+HLOOKUP($A12,'Obligaciones financieras'!$Q$1:$HV$21,COLUMNS($A12:E12),FALSE)*100</f>
        <v>6</v>
      </c>
      <c r="F12" s="134" t="str">
        <f>+HLOOKUP($A12,'Obligaciones financieras'!$Q$1:$HV$21,COLUMNS($A12:F12),FALSE)</f>
        <v>Trimestral</v>
      </c>
      <c r="G12" s="135"/>
      <c r="H12" s="135">
        <f>+HLOOKUP($A12,'Obligaciones financieras'!$Q$1:$HV$21,COLUMNS($A12:H12),FALSE)</f>
        <v>46552</v>
      </c>
      <c r="I12" s="136"/>
      <c r="J12" s="137"/>
      <c r="K12" s="137">
        <f>+HLOOKUP($A12,'Obligaciones financieras'!$Q$1:$HV$21,COLUMNS($A12:K12),FALSE)</f>
        <v>309433.84400000004</v>
      </c>
      <c r="L12" s="137">
        <f>+HLOOKUP($A12,'Obligaciones financieras'!$Q$1:$HV$21,COLUMNS($A12:L12),FALSE)*100</f>
        <v>100</v>
      </c>
      <c r="M12" s="138">
        <f>+HLOOKUP($A12,'Obligaciones financieras'!$Q$1:$HV$21,COLUMNS($A12:M12),FALSE)</f>
        <v>309433.84400000004</v>
      </c>
      <c r="N12" s="138"/>
      <c r="O12" s="138"/>
      <c r="P12" s="138"/>
    </row>
    <row r="13" spans="1:19" x14ac:dyDescent="0.35">
      <c r="A13" s="133">
        <v>2010014118</v>
      </c>
      <c r="B13" s="121" t="str">
        <f>+HLOOKUP($A13,'Obligaciones financieras'!$Q$1:$HV$21,COLUMNS($A13:B13),FALSE)</f>
        <v>BNB leasing</v>
      </c>
      <c r="C13" s="134" t="str">
        <f>+HLOOKUP($A13,'Obligaciones financieras'!$Q$1:$HV$21,COLUMNS($A13:C13),FALSE)</f>
        <v>BNL</v>
      </c>
      <c r="D13" s="134" t="str">
        <f>+HLOOKUP($A13,'Obligaciones financieras'!$Q$1:$HV$21,COLUMNS($A13:D13),FALSE)</f>
        <v>Bolivanos</v>
      </c>
      <c r="E13" s="164">
        <f>+HLOOKUP($A13,'Obligaciones financieras'!$Q$1:$HV$21,COLUMNS($A13:E13),FALSE)*100</f>
        <v>6</v>
      </c>
      <c r="F13" s="134" t="str">
        <f>+HLOOKUP($A13,'Obligaciones financieras'!$Q$1:$HV$21,COLUMNS($A13:F13),FALSE)</f>
        <v>Trimestral</v>
      </c>
      <c r="G13" s="135"/>
      <c r="H13" s="135">
        <f>+HLOOKUP($A13,'Obligaciones financieras'!$Q$1:$HV$21,COLUMNS($A13:H13),FALSE)</f>
        <v>46552</v>
      </c>
      <c r="I13" s="136"/>
      <c r="J13" s="137"/>
      <c r="K13" s="137">
        <f>+HLOOKUP($A13,'Obligaciones financieras'!$Q$1:$HV$21,COLUMNS($A13:K13),FALSE)</f>
        <v>309433.84400000004</v>
      </c>
      <c r="L13" s="137">
        <f>+HLOOKUP($A13,'Obligaciones financieras'!$Q$1:$HV$21,COLUMNS($A13:L13),FALSE)*100</f>
        <v>100</v>
      </c>
      <c r="M13" s="138">
        <f>+HLOOKUP($A13,'Obligaciones financieras'!$Q$1:$HV$21,COLUMNS($A13:M13),FALSE)</f>
        <v>309433.84400000004</v>
      </c>
      <c r="N13" s="138"/>
      <c r="O13" s="138"/>
      <c r="P13" s="138"/>
    </row>
    <row r="14" spans="1:19" x14ac:dyDescent="0.35">
      <c r="A14" s="133">
        <v>2010013918</v>
      </c>
      <c r="B14" s="121" t="str">
        <f>+HLOOKUP($A14,'Obligaciones financieras'!$Q$1:$HV$21,COLUMNS($A14:B14),FALSE)</f>
        <v>BNB leasing</v>
      </c>
      <c r="C14" s="134" t="str">
        <f>+HLOOKUP($A14,'Obligaciones financieras'!$Q$1:$HV$21,COLUMNS($A14:C14),FALSE)</f>
        <v>BNL</v>
      </c>
      <c r="D14" s="134" t="str">
        <f>+HLOOKUP($A14,'Obligaciones financieras'!$Q$1:$HV$21,COLUMNS($A14:D14),FALSE)</f>
        <v>Bolivanos</v>
      </c>
      <c r="E14" s="164">
        <f>+HLOOKUP($A14,'Obligaciones financieras'!$Q$1:$HV$21,COLUMNS($A14:E14),FALSE)*100</f>
        <v>6</v>
      </c>
      <c r="F14" s="134" t="str">
        <f>+HLOOKUP($A14,'Obligaciones financieras'!$Q$1:$HV$21,COLUMNS($A14:F14),FALSE)</f>
        <v>Trimestral</v>
      </c>
      <c r="G14" s="135"/>
      <c r="H14" s="135">
        <f>+HLOOKUP($A14,'Obligaciones financieras'!$Q$1:$HV$21,COLUMNS($A14:H14),FALSE)</f>
        <v>46552</v>
      </c>
      <c r="I14" s="136"/>
      <c r="J14" s="137"/>
      <c r="K14" s="137">
        <f>+HLOOKUP($A14,'Obligaciones financieras'!$Q$1:$HV$21,COLUMNS($A14:K14),FALSE)</f>
        <v>309433.84400000004</v>
      </c>
      <c r="L14" s="137">
        <f>+HLOOKUP($A14,'Obligaciones financieras'!$Q$1:$HV$21,COLUMNS($A14:L14),FALSE)*100</f>
        <v>100</v>
      </c>
      <c r="M14" s="138">
        <f>+HLOOKUP($A14,'Obligaciones financieras'!$Q$1:$HV$21,COLUMNS($A14:M14),FALSE)</f>
        <v>309433.84400000004</v>
      </c>
      <c r="N14" s="138"/>
      <c r="O14" s="138"/>
      <c r="P14" s="138"/>
    </row>
    <row r="15" spans="1:19" x14ac:dyDescent="0.35">
      <c r="A15" s="133">
        <v>2010014218</v>
      </c>
      <c r="B15" s="121" t="str">
        <f>+HLOOKUP($A15,'Obligaciones financieras'!$Q$1:$HV$21,COLUMNS($A15:B15),FALSE)</f>
        <v>BNB leasing</v>
      </c>
      <c r="C15" s="134" t="str">
        <f>+HLOOKUP($A15,'Obligaciones financieras'!$Q$1:$HV$21,COLUMNS($A15:C15),FALSE)</f>
        <v>BNL</v>
      </c>
      <c r="D15" s="134" t="str">
        <f>+HLOOKUP($A15,'Obligaciones financieras'!$Q$1:$HV$21,COLUMNS($A15:D15),FALSE)</f>
        <v>Bolivanos</v>
      </c>
      <c r="E15" s="164">
        <f>+HLOOKUP($A15,'Obligaciones financieras'!$Q$1:$HV$21,COLUMNS($A15:E15),FALSE)*100</f>
        <v>6</v>
      </c>
      <c r="F15" s="134" t="str">
        <f>+HLOOKUP($A15,'Obligaciones financieras'!$Q$1:$HV$21,COLUMNS($A15:F15),FALSE)</f>
        <v>Trimestral</v>
      </c>
      <c r="G15" s="135"/>
      <c r="H15" s="135">
        <f>+HLOOKUP($A15,'Obligaciones financieras'!$Q$1:$HV$21,COLUMNS($A15:H15),FALSE)</f>
        <v>46552</v>
      </c>
      <c r="I15" s="136"/>
      <c r="J15" s="137"/>
      <c r="K15" s="137">
        <f>+HLOOKUP($A15,'Obligaciones financieras'!$Q$1:$HV$21,COLUMNS($A15:K15),FALSE)</f>
        <v>309433.84400000004</v>
      </c>
      <c r="L15" s="137">
        <f>+HLOOKUP($A15,'Obligaciones financieras'!$Q$1:$HV$21,COLUMNS($A15:L15),FALSE)*100</f>
        <v>100</v>
      </c>
      <c r="M15" s="138">
        <f>+HLOOKUP($A15,'Obligaciones financieras'!$Q$1:$HV$21,COLUMNS($A15:M15),FALSE)</f>
        <v>309433.84400000004</v>
      </c>
      <c r="N15" s="138"/>
      <c r="O15" s="138"/>
      <c r="P15" s="138"/>
    </row>
    <row r="16" spans="1:19" x14ac:dyDescent="0.35">
      <c r="A16" s="133">
        <v>2010014318</v>
      </c>
      <c r="B16" s="121" t="str">
        <f>+HLOOKUP($A16,'Obligaciones financieras'!$Q$1:$HV$21,COLUMNS($A16:B16),FALSE)</f>
        <v>BNB leasing</v>
      </c>
      <c r="C16" s="134" t="str">
        <f>+HLOOKUP($A16,'Obligaciones financieras'!$Q$1:$HV$21,COLUMNS($A16:C16),FALSE)</f>
        <v>BNL</v>
      </c>
      <c r="D16" s="134" t="str">
        <f>+HLOOKUP($A16,'Obligaciones financieras'!$Q$1:$HV$21,COLUMNS($A16:D16),FALSE)</f>
        <v>Bolivanos</v>
      </c>
      <c r="E16" s="164">
        <f>+HLOOKUP($A16,'Obligaciones financieras'!$Q$1:$HV$21,COLUMNS($A16:E16),FALSE)*100</f>
        <v>6</v>
      </c>
      <c r="F16" s="134" t="str">
        <f>+HLOOKUP($A16,'Obligaciones financieras'!$Q$1:$HV$21,COLUMNS($A16:F16),FALSE)</f>
        <v>Trimestral</v>
      </c>
      <c r="G16" s="135"/>
      <c r="H16" s="135">
        <f>+HLOOKUP($A16,'Obligaciones financieras'!$Q$1:$HV$21,COLUMNS($A16:H16),FALSE)</f>
        <v>46714</v>
      </c>
      <c r="I16" s="136"/>
      <c r="J16" s="137"/>
      <c r="K16" s="137">
        <f>+HLOOKUP($A16,'Obligaciones financieras'!$Q$1:$HV$21,COLUMNS($A16:K16),FALSE)</f>
        <v>388403.55</v>
      </c>
      <c r="L16" s="137">
        <f>+HLOOKUP($A16,'Obligaciones financieras'!$Q$1:$HV$21,COLUMNS($A16:L16),FALSE)*100</f>
        <v>100</v>
      </c>
      <c r="M16" s="138">
        <f>+HLOOKUP($A16,'Obligaciones financieras'!$Q$1:$HV$21,COLUMNS($A16:M16),FALSE)</f>
        <v>388403.55</v>
      </c>
      <c r="N16" s="138"/>
      <c r="O16" s="138"/>
      <c r="P16" s="138"/>
    </row>
    <row r="17" spans="1:16" x14ac:dyDescent="0.35">
      <c r="A17" s="139">
        <v>2010014018</v>
      </c>
      <c r="B17" s="121" t="str">
        <f>+HLOOKUP($A17,'Obligaciones financieras'!$Q$1:$HV$21,COLUMNS($A17:B17),FALSE)</f>
        <v>BNB leasing</v>
      </c>
      <c r="C17" s="134" t="str">
        <f>+HLOOKUP($A17,'Obligaciones financieras'!$Q$1:$HV$21,COLUMNS($A17:C17),FALSE)</f>
        <v>BNL</v>
      </c>
      <c r="D17" s="134" t="str">
        <f>+HLOOKUP($A17,'Obligaciones financieras'!$Q$1:$HV$21,COLUMNS($A17:D17),FALSE)</f>
        <v>Bolivanos</v>
      </c>
      <c r="E17" s="164">
        <f>+HLOOKUP($A17,'Obligaciones financieras'!$Q$1:$HV$21,COLUMNS($A17:E17),FALSE)*100</f>
        <v>6</v>
      </c>
      <c r="F17" s="134" t="str">
        <f>+HLOOKUP($A17,'Obligaciones financieras'!$Q$1:$HV$21,COLUMNS($A17:F17),FALSE)</f>
        <v>Trimestral</v>
      </c>
      <c r="G17" s="135"/>
      <c r="H17" s="135">
        <f>+HLOOKUP($A17,'Obligaciones financieras'!$Q$1:$HV$21,COLUMNS($A17:H17),FALSE)</f>
        <v>46714</v>
      </c>
      <c r="I17" s="136"/>
      <c r="J17" s="137"/>
      <c r="K17" s="137">
        <f>+HLOOKUP($A17,'Obligaciones financieras'!$Q$1:$HV$21,COLUMNS($A17:K17),FALSE)</f>
        <v>388403.55</v>
      </c>
      <c r="L17" s="137">
        <f>+HLOOKUP($A17,'Obligaciones financieras'!$Q$1:$HV$21,COLUMNS($A17:L17),FALSE)*100</f>
        <v>100</v>
      </c>
      <c r="M17" s="138">
        <f>+HLOOKUP($A17,'Obligaciones financieras'!$Q$1:$HV$21,COLUMNS($A17:M17),FALSE)</f>
        <v>388403.55</v>
      </c>
      <c r="N17" s="138"/>
      <c r="O17" s="138"/>
      <c r="P17" s="138"/>
    </row>
    <row r="18" spans="1:16" x14ac:dyDescent="0.35">
      <c r="E18" s="1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BAE60-45E4-4D34-9CD7-45EBA03B3F70}">
  <dimension ref="A1:L23"/>
  <sheetViews>
    <sheetView workbookViewId="0">
      <selection activeCell="H25" sqref="H25"/>
    </sheetView>
  </sheetViews>
  <sheetFormatPr baseColWidth="10" defaultColWidth="11.54296875" defaultRowHeight="14" x14ac:dyDescent="0.35"/>
  <cols>
    <col min="1" max="1" width="18.54296875" style="121" bestFit="1" customWidth="1"/>
    <col min="2" max="2" width="29.90625" style="121" customWidth="1"/>
    <col min="3" max="3" width="11.08984375" style="121" customWidth="1"/>
    <col min="4" max="4" width="11.6328125" style="134" bestFit="1" customWidth="1"/>
    <col min="5" max="5" width="11.81640625" style="134" bestFit="1" customWidth="1"/>
    <col min="6" max="6" width="12.90625" style="134" customWidth="1"/>
    <col min="7" max="7" width="13.08984375" style="121" bestFit="1" customWidth="1"/>
    <col min="8" max="8" width="16.1796875" style="121" customWidth="1"/>
    <col min="9" max="9" width="16.36328125" style="121" bestFit="1" customWidth="1"/>
    <col min="10" max="10" width="16.6328125" style="121" customWidth="1"/>
    <col min="11" max="11" width="12.08984375" style="121" bestFit="1" customWidth="1"/>
    <col min="12" max="12" width="14.6328125" style="121" bestFit="1" customWidth="1"/>
    <col min="13" max="16" width="12.08984375" style="121" bestFit="1" customWidth="1"/>
    <col min="17" max="16384" width="11.54296875" style="121"/>
  </cols>
  <sheetData>
    <row r="1" spans="1:12" ht="26" x14ac:dyDescent="0.35">
      <c r="A1" s="88" t="s">
        <v>17</v>
      </c>
      <c r="B1" s="88" t="s">
        <v>14</v>
      </c>
      <c r="C1" s="88" t="s">
        <v>11</v>
      </c>
      <c r="D1" s="88" t="s">
        <v>18</v>
      </c>
      <c r="E1" s="88" t="s">
        <v>19</v>
      </c>
      <c r="F1" s="88" t="s">
        <v>20</v>
      </c>
      <c r="G1" s="88" t="s">
        <v>10</v>
      </c>
      <c r="H1" s="88" t="s">
        <v>67</v>
      </c>
      <c r="I1" s="88" t="s">
        <v>66</v>
      </c>
      <c r="J1" s="88" t="s">
        <v>68</v>
      </c>
    </row>
    <row r="2" spans="1:12" x14ac:dyDescent="0.35">
      <c r="A2" s="167">
        <v>3167401</v>
      </c>
      <c r="B2" s="125" t="s">
        <v>1</v>
      </c>
      <c r="C2" s="126" t="s">
        <v>0</v>
      </c>
      <c r="D2" s="126" t="s">
        <v>2</v>
      </c>
      <c r="E2" s="164">
        <v>6</v>
      </c>
      <c r="F2" s="126" t="s">
        <v>3</v>
      </c>
      <c r="G2" s="127">
        <v>48248</v>
      </c>
      <c r="H2" s="129">
        <v>230343292.43000001</v>
      </c>
      <c r="I2" s="164">
        <v>57.390184900285554</v>
      </c>
      <c r="J2" s="130">
        <v>132194441.43098247</v>
      </c>
    </row>
    <row r="3" spans="1:12" x14ac:dyDescent="0.35">
      <c r="A3" s="169">
        <v>2767412</v>
      </c>
      <c r="B3" s="170" t="s">
        <v>5</v>
      </c>
      <c r="C3" s="171" t="s">
        <v>4</v>
      </c>
      <c r="D3" s="171" t="s">
        <v>2</v>
      </c>
      <c r="E3" s="165">
        <v>5.5</v>
      </c>
      <c r="F3" s="171" t="s">
        <v>3</v>
      </c>
      <c r="G3" s="172">
        <v>48058</v>
      </c>
      <c r="H3" s="137">
        <v>1241907.93</v>
      </c>
      <c r="I3" s="165">
        <v>100</v>
      </c>
      <c r="J3" s="138">
        <v>1241907.93</v>
      </c>
    </row>
    <row r="4" spans="1:12" x14ac:dyDescent="0.35">
      <c r="A4" s="169">
        <v>2764418</v>
      </c>
      <c r="B4" s="170" t="s">
        <v>5</v>
      </c>
      <c r="C4" s="171" t="s">
        <v>4</v>
      </c>
      <c r="D4" s="171" t="s">
        <v>2</v>
      </c>
      <c r="E4" s="165">
        <v>6</v>
      </c>
      <c r="F4" s="171" t="s">
        <v>3</v>
      </c>
      <c r="G4" s="172">
        <v>48997</v>
      </c>
      <c r="H4" s="137">
        <v>51796167.540000007</v>
      </c>
      <c r="I4" s="165">
        <v>30.883590084398975</v>
      </c>
      <c r="J4" s="138">
        <v>15996516.062482124</v>
      </c>
    </row>
    <row r="5" spans="1:12" x14ac:dyDescent="0.35">
      <c r="A5" s="169">
        <v>1271559</v>
      </c>
      <c r="B5" s="170" t="s">
        <v>7</v>
      </c>
      <c r="C5" s="171" t="s">
        <v>6</v>
      </c>
      <c r="D5" s="171" t="s">
        <v>2</v>
      </c>
      <c r="E5" s="165">
        <v>6</v>
      </c>
      <c r="F5" s="171" t="s">
        <v>3</v>
      </c>
      <c r="G5" s="172">
        <v>47107</v>
      </c>
      <c r="H5" s="137">
        <v>53476614.030000001</v>
      </c>
      <c r="I5" s="165">
        <v>100</v>
      </c>
      <c r="J5" s="138">
        <v>53476614.030000001</v>
      </c>
      <c r="L5" s="166"/>
    </row>
    <row r="6" spans="1:12" x14ac:dyDescent="0.35">
      <c r="A6" s="169">
        <v>1358960</v>
      </c>
      <c r="B6" s="170" t="s">
        <v>7</v>
      </c>
      <c r="C6" s="171" t="s">
        <v>6</v>
      </c>
      <c r="D6" s="171" t="s">
        <v>2</v>
      </c>
      <c r="E6" s="165">
        <v>6</v>
      </c>
      <c r="F6" s="171" t="s">
        <v>3</v>
      </c>
      <c r="G6" s="172">
        <v>47398</v>
      </c>
      <c r="H6" s="137">
        <v>4571867.7990000034</v>
      </c>
      <c r="I6" s="165">
        <v>22.702943184608067</v>
      </c>
      <c r="J6" s="138">
        <v>1037948.5488823621</v>
      </c>
    </row>
    <row r="7" spans="1:12" x14ac:dyDescent="0.35">
      <c r="A7" s="169">
        <v>1295150</v>
      </c>
      <c r="B7" s="170" t="s">
        <v>7</v>
      </c>
      <c r="C7" s="171" t="s">
        <v>6</v>
      </c>
      <c r="D7" s="171" t="s">
        <v>2</v>
      </c>
      <c r="E7" s="165">
        <v>6</v>
      </c>
      <c r="F7" s="171" t="s">
        <v>3</v>
      </c>
      <c r="G7" s="172">
        <v>47375</v>
      </c>
      <c r="H7" s="137">
        <v>1669085.8500000003</v>
      </c>
      <c r="I7" s="165">
        <v>100</v>
      </c>
      <c r="J7" s="138">
        <v>1669085.8500000003</v>
      </c>
    </row>
    <row r="8" spans="1:12" x14ac:dyDescent="0.3">
      <c r="A8" s="173">
        <v>101243178</v>
      </c>
      <c r="B8" s="170" t="s">
        <v>9</v>
      </c>
      <c r="C8" s="171" t="s">
        <v>8</v>
      </c>
      <c r="D8" s="171" t="s">
        <v>2</v>
      </c>
      <c r="E8" s="165">
        <v>6</v>
      </c>
      <c r="F8" s="171" t="s">
        <v>65</v>
      </c>
      <c r="G8" s="172">
        <v>46609</v>
      </c>
      <c r="H8" s="137">
        <v>29810000.000000004</v>
      </c>
      <c r="I8" s="165">
        <v>86.082017741707816</v>
      </c>
      <c r="J8" s="138">
        <v>25661049.488803104</v>
      </c>
    </row>
    <row r="9" spans="1:12" x14ac:dyDescent="0.35">
      <c r="A9" s="169">
        <v>315101121500077</v>
      </c>
      <c r="B9" s="170" t="s">
        <v>15</v>
      </c>
      <c r="C9" s="171" t="s">
        <v>12</v>
      </c>
      <c r="D9" s="171" t="s">
        <v>2</v>
      </c>
      <c r="E9" s="165">
        <v>5.8000000000000007</v>
      </c>
      <c r="F9" s="171" t="s">
        <v>3</v>
      </c>
      <c r="G9" s="172">
        <v>49111</v>
      </c>
      <c r="H9" s="137">
        <v>9174681.5399999991</v>
      </c>
      <c r="I9" s="165">
        <v>99.370811936295951</v>
      </c>
      <c r="J9" s="138">
        <v>9116955.5388674606</v>
      </c>
    </row>
    <row r="10" spans="1:12" x14ac:dyDescent="0.35">
      <c r="A10" s="169" t="s">
        <v>101</v>
      </c>
      <c r="B10" s="170" t="s">
        <v>15</v>
      </c>
      <c r="C10" s="171" t="s">
        <v>12</v>
      </c>
      <c r="D10" s="171" t="s">
        <v>2</v>
      </c>
      <c r="E10" s="165">
        <v>5.82</v>
      </c>
      <c r="F10" s="171" t="s">
        <v>3</v>
      </c>
      <c r="G10" s="172">
        <v>48765</v>
      </c>
      <c r="H10" s="137">
        <v>8467854.9770951178</v>
      </c>
      <c r="I10" s="165">
        <v>13.104946597317394</v>
      </c>
      <c r="J10" s="138">
        <v>1109707.8726865982</v>
      </c>
    </row>
    <row r="11" spans="1:12" x14ac:dyDescent="0.35">
      <c r="A11" s="169">
        <v>315101121500021</v>
      </c>
      <c r="B11" s="170" t="s">
        <v>15</v>
      </c>
      <c r="C11" s="171" t="s">
        <v>12</v>
      </c>
      <c r="D11" s="171" t="s">
        <v>2</v>
      </c>
      <c r="E11" s="165">
        <v>5.99</v>
      </c>
      <c r="F11" s="171" t="s">
        <v>3</v>
      </c>
      <c r="G11" s="172">
        <v>49111</v>
      </c>
      <c r="H11" s="137">
        <v>2794681.5</v>
      </c>
      <c r="I11" s="165">
        <v>100</v>
      </c>
      <c r="J11" s="138">
        <v>2794681.5</v>
      </c>
    </row>
    <row r="12" spans="1:12" x14ac:dyDescent="0.35">
      <c r="A12" s="169">
        <v>2010014418</v>
      </c>
      <c r="B12" s="170" t="s">
        <v>16</v>
      </c>
      <c r="C12" s="171" t="s">
        <v>13</v>
      </c>
      <c r="D12" s="171" t="s">
        <v>2</v>
      </c>
      <c r="E12" s="165">
        <v>6</v>
      </c>
      <c r="F12" s="171" t="s">
        <v>3</v>
      </c>
      <c r="G12" s="172">
        <v>46552</v>
      </c>
      <c r="H12" s="137">
        <v>309433.84400000004</v>
      </c>
      <c r="I12" s="165">
        <v>100</v>
      </c>
      <c r="J12" s="138">
        <v>309433.84400000004</v>
      </c>
    </row>
    <row r="13" spans="1:12" x14ac:dyDescent="0.35">
      <c r="A13" s="169">
        <v>2010014118</v>
      </c>
      <c r="B13" s="170" t="s">
        <v>16</v>
      </c>
      <c r="C13" s="171" t="s">
        <v>13</v>
      </c>
      <c r="D13" s="171" t="s">
        <v>2</v>
      </c>
      <c r="E13" s="165">
        <v>6</v>
      </c>
      <c r="F13" s="171" t="s">
        <v>3</v>
      </c>
      <c r="G13" s="172">
        <v>46552</v>
      </c>
      <c r="H13" s="137">
        <v>309433.84400000004</v>
      </c>
      <c r="I13" s="165">
        <v>100</v>
      </c>
      <c r="J13" s="138">
        <v>309433.84400000004</v>
      </c>
    </row>
    <row r="14" spans="1:12" x14ac:dyDescent="0.35">
      <c r="A14" s="169">
        <v>2010013918</v>
      </c>
      <c r="B14" s="170" t="s">
        <v>16</v>
      </c>
      <c r="C14" s="171" t="s">
        <v>13</v>
      </c>
      <c r="D14" s="171" t="s">
        <v>2</v>
      </c>
      <c r="E14" s="165">
        <v>6</v>
      </c>
      <c r="F14" s="171" t="s">
        <v>3</v>
      </c>
      <c r="G14" s="172">
        <v>46552</v>
      </c>
      <c r="H14" s="137">
        <v>309433.84400000004</v>
      </c>
      <c r="I14" s="165">
        <v>100</v>
      </c>
      <c r="J14" s="138">
        <v>309433.84400000004</v>
      </c>
    </row>
    <row r="15" spans="1:12" x14ac:dyDescent="0.35">
      <c r="A15" s="169">
        <v>2010014218</v>
      </c>
      <c r="B15" s="170" t="s">
        <v>16</v>
      </c>
      <c r="C15" s="171" t="s">
        <v>13</v>
      </c>
      <c r="D15" s="171" t="s">
        <v>2</v>
      </c>
      <c r="E15" s="165">
        <v>6</v>
      </c>
      <c r="F15" s="171" t="s">
        <v>3</v>
      </c>
      <c r="G15" s="172">
        <v>46552</v>
      </c>
      <c r="H15" s="137">
        <v>309433.84400000004</v>
      </c>
      <c r="I15" s="165">
        <v>100</v>
      </c>
      <c r="J15" s="138">
        <v>309433.84400000004</v>
      </c>
    </row>
    <row r="16" spans="1:12" x14ac:dyDescent="0.35">
      <c r="A16" s="169">
        <v>2010014318</v>
      </c>
      <c r="B16" s="170" t="s">
        <v>16</v>
      </c>
      <c r="C16" s="171" t="s">
        <v>13</v>
      </c>
      <c r="D16" s="171" t="s">
        <v>2</v>
      </c>
      <c r="E16" s="165">
        <v>6</v>
      </c>
      <c r="F16" s="171" t="s">
        <v>3</v>
      </c>
      <c r="G16" s="172">
        <v>46714</v>
      </c>
      <c r="H16" s="137">
        <v>388403.55</v>
      </c>
      <c r="I16" s="165">
        <v>100</v>
      </c>
      <c r="J16" s="138">
        <v>388403.55</v>
      </c>
    </row>
    <row r="17" spans="1:10" x14ac:dyDescent="0.35">
      <c r="A17" s="168">
        <v>2010014018</v>
      </c>
      <c r="B17" s="120" t="s">
        <v>16</v>
      </c>
      <c r="C17" s="140" t="s">
        <v>13</v>
      </c>
      <c r="D17" s="140" t="s">
        <v>2</v>
      </c>
      <c r="E17" s="174">
        <v>6</v>
      </c>
      <c r="F17" s="140" t="s">
        <v>3</v>
      </c>
      <c r="G17" s="175">
        <v>46714</v>
      </c>
      <c r="H17" s="176">
        <v>388403.55</v>
      </c>
      <c r="I17" s="174">
        <v>100</v>
      </c>
      <c r="J17" s="177">
        <v>388403.55</v>
      </c>
    </row>
    <row r="18" spans="1:10" x14ac:dyDescent="0.35">
      <c r="E18" s="142"/>
    </row>
    <row r="23" spans="1:10" x14ac:dyDescent="0.35">
      <c r="G23" s="16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E35E9-6269-4CE5-9DA3-D596DB1E1374}">
  <dimension ref="A1:F32"/>
  <sheetViews>
    <sheetView workbookViewId="0">
      <selection activeCell="J16" sqref="J16"/>
    </sheetView>
  </sheetViews>
  <sheetFormatPr baseColWidth="10" defaultRowHeight="14.5" x14ac:dyDescent="0.35"/>
  <cols>
    <col min="2" max="2" width="15.81640625" bestFit="1" customWidth="1"/>
    <col min="3" max="3" width="14.54296875" bestFit="1" customWidth="1"/>
    <col min="4" max="4" width="13.453125" bestFit="1" customWidth="1"/>
    <col min="5" max="5" width="11.81640625" bestFit="1" customWidth="1"/>
    <col min="6" max="6" width="14.54296875" bestFit="1" customWidth="1"/>
  </cols>
  <sheetData>
    <row r="1" spans="1:6" ht="29" x14ac:dyDescent="0.35">
      <c r="A1" s="162" t="s">
        <v>40</v>
      </c>
      <c r="B1" s="161" t="s">
        <v>36</v>
      </c>
      <c r="C1" s="161" t="s">
        <v>41</v>
      </c>
      <c r="D1" s="161" t="s">
        <v>42</v>
      </c>
      <c r="E1" s="161" t="s">
        <v>43</v>
      </c>
      <c r="F1" s="161" t="s">
        <v>38</v>
      </c>
    </row>
    <row r="2" spans="1:6" x14ac:dyDescent="0.35">
      <c r="A2" s="58">
        <v>45505.999999935608</v>
      </c>
      <c r="B2" s="56">
        <v>132351920.09834886</v>
      </c>
      <c r="C2" s="56">
        <v>0</v>
      </c>
      <c r="D2" s="56">
        <v>0</v>
      </c>
      <c r="E2" s="56">
        <v>0</v>
      </c>
      <c r="F2" s="56">
        <v>0</v>
      </c>
    </row>
    <row r="3" spans="1:6" x14ac:dyDescent="0.35">
      <c r="A3" s="5">
        <v>45611</v>
      </c>
      <c r="B3" s="32">
        <v>132312550.43150726</v>
      </c>
      <c r="C3" s="32">
        <v>39369.666841595892</v>
      </c>
      <c r="D3" s="32">
        <v>2316158.6031415104</v>
      </c>
      <c r="E3" s="32">
        <v>471550.5461533799</v>
      </c>
      <c r="F3" s="32">
        <v>2827078.8161364864</v>
      </c>
    </row>
    <row r="4" spans="1:6" x14ac:dyDescent="0.35">
      <c r="A4" s="62">
        <v>45703</v>
      </c>
      <c r="B4" s="32">
        <v>132273180.76466566</v>
      </c>
      <c r="C4" s="32">
        <v>39369.666841595892</v>
      </c>
      <c r="D4" s="32">
        <v>2028792.4399497777</v>
      </c>
      <c r="E4" s="32">
        <v>471550.5461533799</v>
      </c>
      <c r="F4" s="32">
        <v>2539712.6529447534</v>
      </c>
    </row>
    <row r="5" spans="1:6" x14ac:dyDescent="0.35">
      <c r="A5" s="5">
        <v>45792</v>
      </c>
      <c r="B5" s="32">
        <v>132233811.09782407</v>
      </c>
      <c r="C5" s="32">
        <v>39369.666841595892</v>
      </c>
      <c r="D5" s="32">
        <v>1962052.1813425405</v>
      </c>
      <c r="E5" s="32">
        <v>471550.5461533799</v>
      </c>
      <c r="F5" s="32">
        <v>2472972.3943375163</v>
      </c>
    </row>
    <row r="6" spans="1:6" x14ac:dyDescent="0.35">
      <c r="A6" s="5">
        <v>45884</v>
      </c>
      <c r="B6" s="32">
        <v>132194441.43098247</v>
      </c>
      <c r="C6" s="32">
        <v>39369.666841595892</v>
      </c>
      <c r="D6" s="32">
        <v>2027585.1034999688</v>
      </c>
      <c r="E6" s="32">
        <v>471550.5461533799</v>
      </c>
      <c r="F6" s="32">
        <v>2538505.3164949445</v>
      </c>
    </row>
    <row r="7" spans="1:6" x14ac:dyDescent="0.35">
      <c r="A7" s="5">
        <v>45976</v>
      </c>
      <c r="B7" s="32">
        <v>101824947.03098246</v>
      </c>
      <c r="C7" s="32">
        <v>30369494.399999999</v>
      </c>
      <c r="D7" s="32">
        <v>2026981.4352750645</v>
      </c>
      <c r="E7" s="32">
        <v>471550.5461533799</v>
      </c>
      <c r="F7" s="32">
        <v>32868026.381428443</v>
      </c>
    </row>
    <row r="8" spans="1:6" x14ac:dyDescent="0.35">
      <c r="A8" s="5">
        <v>46068</v>
      </c>
      <c r="B8" s="32">
        <v>97751949.14974317</v>
      </c>
      <c r="C8" s="32">
        <v>4072997.8812392987</v>
      </c>
      <c r="D8" s="32">
        <v>1561315.8544750644</v>
      </c>
      <c r="E8" s="32">
        <v>471550.5461533799</v>
      </c>
      <c r="F8" s="32">
        <v>6105864.2818677425</v>
      </c>
    </row>
    <row r="9" spans="1:6" x14ac:dyDescent="0.35">
      <c r="A9" s="5">
        <v>46157</v>
      </c>
      <c r="B9" s="32">
        <v>93678951.268503875</v>
      </c>
      <c r="C9" s="32">
        <v>4072997.8812392987</v>
      </c>
      <c r="D9" s="32">
        <v>1449987.2457211902</v>
      </c>
      <c r="E9" s="32">
        <v>471550.5461533799</v>
      </c>
      <c r="F9" s="32">
        <v>5994535.6731138686</v>
      </c>
    </row>
    <row r="10" spans="1:6" x14ac:dyDescent="0.35">
      <c r="A10" s="5">
        <v>46249</v>
      </c>
      <c r="B10" s="32">
        <v>89605953.38726458</v>
      </c>
      <c r="C10" s="32">
        <v>4072997.8812392987</v>
      </c>
      <c r="D10" s="32">
        <v>1436410.5861170595</v>
      </c>
      <c r="E10" s="32">
        <v>471550.5461533799</v>
      </c>
      <c r="F10" s="32">
        <v>5980959.0135097373</v>
      </c>
    </row>
    <row r="11" spans="1:6" x14ac:dyDescent="0.35">
      <c r="A11" s="5">
        <v>46341</v>
      </c>
      <c r="B11" s="32">
        <v>85532955.506025285</v>
      </c>
      <c r="C11" s="32">
        <v>4072997.8812392987</v>
      </c>
      <c r="D11" s="32">
        <v>1373957.9519380569</v>
      </c>
      <c r="E11" s="32">
        <v>471550.5461533799</v>
      </c>
      <c r="F11" s="32">
        <v>5918506.3793307357</v>
      </c>
    </row>
    <row r="12" spans="1:6" x14ac:dyDescent="0.35">
      <c r="A12" s="5">
        <v>46433</v>
      </c>
      <c r="B12" s="32">
        <v>81459957.62478599</v>
      </c>
      <c r="C12" s="32">
        <v>4072997.8812392987</v>
      </c>
      <c r="D12" s="32">
        <v>1311505.3177590545</v>
      </c>
      <c r="E12" s="32">
        <v>471550.5461533799</v>
      </c>
      <c r="F12" s="32">
        <v>5856053.745151733</v>
      </c>
    </row>
    <row r="13" spans="1:6" x14ac:dyDescent="0.35">
      <c r="A13" s="5">
        <v>46522</v>
      </c>
      <c r="B13" s="32">
        <v>77386959.743546695</v>
      </c>
      <c r="C13" s="32">
        <v>4072997.8812392987</v>
      </c>
      <c r="D13" s="32">
        <v>1208322.7047676588</v>
      </c>
      <c r="E13" s="32">
        <v>471550.5461533799</v>
      </c>
      <c r="F13" s="32">
        <v>5752871.1321603376</v>
      </c>
    </row>
    <row r="14" spans="1:6" x14ac:dyDescent="0.35">
      <c r="A14" s="5">
        <v>46614</v>
      </c>
      <c r="B14" s="32">
        <v>73313961.8623074</v>
      </c>
      <c r="C14" s="32">
        <v>4072997.8812392987</v>
      </c>
      <c r="D14" s="32">
        <v>1186600.0494010493</v>
      </c>
      <c r="E14" s="32">
        <v>471550.5461533799</v>
      </c>
      <c r="F14" s="32">
        <v>5731148.4767937278</v>
      </c>
    </row>
    <row r="15" spans="1:6" x14ac:dyDescent="0.35">
      <c r="A15" s="5">
        <v>46706</v>
      </c>
      <c r="B15" s="32">
        <v>69240963.981068105</v>
      </c>
      <c r="C15" s="32">
        <v>4072997.8812392987</v>
      </c>
      <c r="D15" s="32">
        <v>1124147.4152220467</v>
      </c>
      <c r="E15" s="32">
        <v>471550.5461533799</v>
      </c>
      <c r="F15" s="32">
        <v>5668695.8426147252</v>
      </c>
    </row>
    <row r="16" spans="1:6" x14ac:dyDescent="0.35">
      <c r="A16" s="5">
        <v>46798</v>
      </c>
      <c r="B16" s="32">
        <v>65167966.099828809</v>
      </c>
      <c r="C16" s="32">
        <v>4072997.8812392987</v>
      </c>
      <c r="D16" s="32">
        <v>1061694.7810430443</v>
      </c>
      <c r="E16" s="32">
        <v>471550.5461533799</v>
      </c>
      <c r="F16" s="32">
        <v>5606243.2084357226</v>
      </c>
    </row>
    <row r="17" spans="1:6" x14ac:dyDescent="0.35">
      <c r="A17" s="5">
        <v>46888</v>
      </c>
      <c r="B17" s="32">
        <v>61094968.218589514</v>
      </c>
      <c r="C17" s="32">
        <v>4072997.8812392987</v>
      </c>
      <c r="D17" s="32">
        <v>977519.49149743223</v>
      </c>
      <c r="E17" s="32">
        <v>471550.5461533799</v>
      </c>
      <c r="F17" s="32">
        <v>5522067.9188901102</v>
      </c>
    </row>
    <row r="18" spans="1:6" x14ac:dyDescent="0.35">
      <c r="A18" s="5">
        <v>46980</v>
      </c>
      <c r="B18" s="32">
        <v>57021970.337350219</v>
      </c>
      <c r="C18" s="32">
        <v>4072997.8812392987</v>
      </c>
      <c r="D18" s="32">
        <v>936789.5126850392</v>
      </c>
      <c r="E18" s="32">
        <v>471550.5461533799</v>
      </c>
      <c r="F18" s="32">
        <v>5481337.9400777174</v>
      </c>
    </row>
    <row r="19" spans="1:6" x14ac:dyDescent="0.35">
      <c r="A19" s="5">
        <v>47072</v>
      </c>
      <c r="B19" s="32">
        <v>52948972.456110924</v>
      </c>
      <c r="C19" s="32">
        <v>4072997.8812392987</v>
      </c>
      <c r="D19" s="32">
        <v>874336.87850603659</v>
      </c>
      <c r="E19" s="32">
        <v>471550.5461533799</v>
      </c>
      <c r="F19" s="32">
        <v>5418885.3058987148</v>
      </c>
    </row>
    <row r="20" spans="1:6" x14ac:dyDescent="0.35">
      <c r="A20" s="5">
        <v>47164</v>
      </c>
      <c r="B20" s="32">
        <v>48875974.574871629</v>
      </c>
      <c r="C20" s="32">
        <v>4072997.8812392987</v>
      </c>
      <c r="D20" s="32">
        <v>811884.2443270341</v>
      </c>
      <c r="E20" s="32">
        <v>471550.5461533799</v>
      </c>
      <c r="F20" s="32">
        <v>5356432.6717197122</v>
      </c>
    </row>
    <row r="21" spans="1:6" x14ac:dyDescent="0.35">
      <c r="A21" s="5">
        <v>47253</v>
      </c>
      <c r="B21" s="32">
        <v>44802976.693632334</v>
      </c>
      <c r="C21" s="32">
        <v>4072997.8812392987</v>
      </c>
      <c r="D21" s="32">
        <v>724993.6228605957</v>
      </c>
      <c r="E21" s="32">
        <v>471550.5461533799</v>
      </c>
      <c r="F21" s="32">
        <v>5269542.0502532739</v>
      </c>
    </row>
    <row r="22" spans="1:6" x14ac:dyDescent="0.35">
      <c r="A22" s="5">
        <v>47345</v>
      </c>
      <c r="B22" s="32">
        <v>40729978.812393039</v>
      </c>
      <c r="C22" s="32">
        <v>4072997.8812392987</v>
      </c>
      <c r="D22" s="32">
        <v>686978.97596902901</v>
      </c>
      <c r="E22" s="32">
        <v>471550.5461533799</v>
      </c>
      <c r="F22" s="32">
        <v>5231527.403361707</v>
      </c>
    </row>
    <row r="23" spans="1:6" x14ac:dyDescent="0.35">
      <c r="A23" s="5">
        <v>47437</v>
      </c>
      <c r="B23" s="32">
        <v>36656980.931153744</v>
      </c>
      <c r="C23" s="32">
        <v>4072997.8812392987</v>
      </c>
      <c r="D23" s="32">
        <v>624526.34179002664</v>
      </c>
      <c r="E23" s="32"/>
      <c r="F23" s="32">
        <v>4697524.2230293257</v>
      </c>
    </row>
    <row r="24" spans="1:6" x14ac:dyDescent="0.35">
      <c r="A24" s="5">
        <v>47529</v>
      </c>
      <c r="B24" s="32">
        <v>32583983.049914446</v>
      </c>
      <c r="C24" s="32">
        <v>4072997.8812392987</v>
      </c>
      <c r="D24" s="32">
        <v>562073.70761102415</v>
      </c>
      <c r="E24" s="32"/>
      <c r="F24" s="32">
        <v>4635071.5888503231</v>
      </c>
    </row>
    <row r="25" spans="1:6" x14ac:dyDescent="0.35">
      <c r="A25" s="5">
        <v>47618</v>
      </c>
      <c r="B25" s="32">
        <v>28510985.168675147</v>
      </c>
      <c r="C25" s="32">
        <v>4072997.8812392987</v>
      </c>
      <c r="D25" s="32">
        <v>483329.08190706425</v>
      </c>
      <c r="E25" s="32"/>
      <c r="F25" s="32">
        <v>4556326.9631463634</v>
      </c>
    </row>
    <row r="26" spans="1:6" x14ac:dyDescent="0.35">
      <c r="A26" s="5">
        <v>47710</v>
      </c>
      <c r="B26" s="32">
        <v>24437987.287435848</v>
      </c>
      <c r="C26" s="32">
        <v>4072997.8812392987</v>
      </c>
      <c r="D26" s="32">
        <v>437168.43925301894</v>
      </c>
      <c r="E26" s="32"/>
      <c r="F26" s="32">
        <v>4510166.3204923179</v>
      </c>
    </row>
    <row r="27" spans="1:6" x14ac:dyDescent="0.35">
      <c r="A27" s="5">
        <v>47802</v>
      </c>
      <c r="B27" s="32">
        <v>20364989.40619655</v>
      </c>
      <c r="C27" s="32">
        <v>4072997.8812392987</v>
      </c>
      <c r="D27" s="32">
        <v>374715.80507401633</v>
      </c>
      <c r="E27" s="32"/>
      <c r="F27" s="32">
        <v>4447713.6863133153</v>
      </c>
    </row>
    <row r="28" spans="1:6" x14ac:dyDescent="0.35">
      <c r="A28" s="5">
        <v>47894</v>
      </c>
      <c r="B28" s="32">
        <v>16291991.524957251</v>
      </c>
      <c r="C28" s="32">
        <v>4072997.8812392987</v>
      </c>
      <c r="D28" s="32">
        <v>312263.17089501373</v>
      </c>
      <c r="E28" s="32"/>
      <c r="F28" s="32">
        <v>4385261.0521343127</v>
      </c>
    </row>
    <row r="29" spans="1:6" x14ac:dyDescent="0.35">
      <c r="A29" s="5">
        <v>47983</v>
      </c>
      <c r="B29" s="32">
        <v>12218993.643717952</v>
      </c>
      <c r="C29" s="32">
        <v>4072997.8812392987</v>
      </c>
      <c r="D29" s="32">
        <v>241664.54095353256</v>
      </c>
      <c r="E29" s="32"/>
      <c r="F29" s="32">
        <v>4314662.4221928315</v>
      </c>
    </row>
    <row r="30" spans="1:6" x14ac:dyDescent="0.35">
      <c r="A30" s="5">
        <v>48075</v>
      </c>
      <c r="B30" s="32">
        <v>8145995.7624786533</v>
      </c>
      <c r="C30" s="32">
        <v>4072997.8812392987</v>
      </c>
      <c r="D30" s="32">
        <v>187357.90253700857</v>
      </c>
      <c r="E30" s="32"/>
      <c r="F30" s="32">
        <v>4260355.7837763075</v>
      </c>
    </row>
    <row r="31" spans="1:6" x14ac:dyDescent="0.35">
      <c r="A31" s="5">
        <v>48167</v>
      </c>
      <c r="B31" s="32">
        <v>4072997.8812393546</v>
      </c>
      <c r="C31" s="32">
        <v>4072997.8812392987</v>
      </c>
      <c r="D31" s="32">
        <v>124905.26835800601</v>
      </c>
      <c r="E31" s="32"/>
      <c r="F31" s="32">
        <v>4197903.1495973049</v>
      </c>
    </row>
    <row r="32" spans="1:6" x14ac:dyDescent="0.35">
      <c r="A32" s="5">
        <v>48248</v>
      </c>
      <c r="B32" s="68">
        <v>5.5879354476928711E-8</v>
      </c>
      <c r="C32" s="68">
        <v>4072997.8812392987</v>
      </c>
      <c r="D32" s="68">
        <v>54985.471396731285</v>
      </c>
      <c r="E32" s="68"/>
      <c r="F32" s="68">
        <v>4127983.3526360299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555B-C754-4D25-85BC-33105E611CC9}">
  <dimension ref="A1:E28"/>
  <sheetViews>
    <sheetView workbookViewId="0">
      <selection sqref="A1:A1048576"/>
    </sheetView>
  </sheetViews>
  <sheetFormatPr baseColWidth="10" defaultRowHeight="14.5" x14ac:dyDescent="0.35"/>
  <cols>
    <col min="2" max="2" width="13.453125" bestFit="1" customWidth="1"/>
  </cols>
  <sheetData>
    <row r="1" spans="1:5" ht="29" x14ac:dyDescent="0.35">
      <c r="A1" s="162" t="s">
        <v>40</v>
      </c>
      <c r="B1" s="163" t="s">
        <v>36</v>
      </c>
      <c r="C1" s="163" t="s">
        <v>41</v>
      </c>
      <c r="D1" s="163" t="s">
        <v>42</v>
      </c>
      <c r="E1" s="163" t="s">
        <v>38</v>
      </c>
    </row>
    <row r="2" spans="1:5" x14ac:dyDescent="0.35">
      <c r="A2" s="58">
        <v>45712</v>
      </c>
      <c r="B2" s="32">
        <v>1345589.51</v>
      </c>
      <c r="C2" s="32">
        <v>0</v>
      </c>
      <c r="D2" s="32">
        <v>0</v>
      </c>
      <c r="E2" s="32">
        <v>0</v>
      </c>
    </row>
    <row r="3" spans="1:5" x14ac:dyDescent="0.35">
      <c r="A3" s="5">
        <v>45779</v>
      </c>
      <c r="B3" s="32">
        <v>1293748.72</v>
      </c>
      <c r="C3" s="32">
        <v>51840.79</v>
      </c>
      <c r="D3" s="32">
        <v>13773.603734305556</v>
      </c>
      <c r="E3" s="32">
        <v>65614.393734305559</v>
      </c>
    </row>
    <row r="4" spans="1:5" x14ac:dyDescent="0.35">
      <c r="A4" s="62">
        <v>45871</v>
      </c>
      <c r="B4" s="63">
        <v>1241907.93</v>
      </c>
      <c r="C4" s="63">
        <v>51840.79</v>
      </c>
      <c r="D4" s="63">
        <v>18184.357008888892</v>
      </c>
      <c r="E4" s="63">
        <v>70025.147008888889</v>
      </c>
    </row>
    <row r="5" spans="1:5" x14ac:dyDescent="0.35">
      <c r="A5" s="5">
        <v>45963</v>
      </c>
      <c r="B5" s="32">
        <v>1190067.1399999999</v>
      </c>
      <c r="C5" s="32">
        <v>51840.79</v>
      </c>
      <c r="D5" s="32">
        <v>17455.705904999999</v>
      </c>
      <c r="E5" s="32">
        <v>69296.495905000003</v>
      </c>
    </row>
    <row r="6" spans="1:5" x14ac:dyDescent="0.35">
      <c r="A6" s="5">
        <v>46055</v>
      </c>
      <c r="B6" s="32">
        <v>1138226.3499999999</v>
      </c>
      <c r="C6" s="32">
        <v>51840.79</v>
      </c>
      <c r="D6" s="32">
        <v>16727.05480111111</v>
      </c>
      <c r="E6" s="32">
        <v>68567.844801111118</v>
      </c>
    </row>
    <row r="7" spans="1:5" x14ac:dyDescent="0.35">
      <c r="A7" s="5">
        <v>46144</v>
      </c>
      <c r="B7" s="32">
        <v>1086385.5599999998</v>
      </c>
      <c r="C7" s="32">
        <v>51840.79</v>
      </c>
      <c r="D7" s="32">
        <v>15476.716620138888</v>
      </c>
      <c r="E7" s="32">
        <v>67317.506620138884</v>
      </c>
    </row>
    <row r="8" spans="1:5" x14ac:dyDescent="0.35">
      <c r="A8" s="5">
        <v>46236</v>
      </c>
      <c r="B8" s="32">
        <v>1034544.7699999998</v>
      </c>
      <c r="C8" s="32">
        <v>51840.79</v>
      </c>
      <c r="D8" s="32">
        <v>15269.752593333331</v>
      </c>
      <c r="E8" s="32">
        <v>67110.542593333332</v>
      </c>
    </row>
    <row r="9" spans="1:5" x14ac:dyDescent="0.35">
      <c r="A9" s="5">
        <v>46328</v>
      </c>
      <c r="B9" s="32">
        <v>982703.97999999975</v>
      </c>
      <c r="C9" s="32">
        <v>51840.79</v>
      </c>
      <c r="D9" s="32">
        <v>14541.101489444442</v>
      </c>
      <c r="E9" s="32">
        <v>66381.891489444446</v>
      </c>
    </row>
    <row r="10" spans="1:5" x14ac:dyDescent="0.35">
      <c r="A10" s="5">
        <v>46420</v>
      </c>
      <c r="B10" s="32">
        <v>930863.18999999971</v>
      </c>
      <c r="C10" s="32">
        <v>51840.79</v>
      </c>
      <c r="D10" s="32">
        <v>13812.450385555552</v>
      </c>
      <c r="E10" s="32">
        <v>65653.240385555546</v>
      </c>
    </row>
    <row r="11" spans="1:5" x14ac:dyDescent="0.35">
      <c r="A11" s="5">
        <v>46509</v>
      </c>
      <c r="B11" s="32">
        <v>879022.39999999967</v>
      </c>
      <c r="C11" s="32">
        <v>51840.79</v>
      </c>
      <c r="D11" s="32">
        <v>12657.153652916662</v>
      </c>
      <c r="E11" s="32">
        <v>64497.943652916663</v>
      </c>
    </row>
    <row r="12" spans="1:5" x14ac:dyDescent="0.35">
      <c r="A12" s="5">
        <v>46601</v>
      </c>
      <c r="B12" s="32">
        <v>827181.60999999964</v>
      </c>
      <c r="C12" s="32">
        <v>51840.79</v>
      </c>
      <c r="D12" s="32">
        <v>12355.148177777774</v>
      </c>
      <c r="E12" s="32">
        <v>64195.938177777774</v>
      </c>
    </row>
    <row r="13" spans="1:5" x14ac:dyDescent="0.35">
      <c r="A13" s="5">
        <v>46693</v>
      </c>
      <c r="B13" s="32">
        <v>775340.8199999996</v>
      </c>
      <c r="C13" s="32">
        <v>51840.79</v>
      </c>
      <c r="D13" s="32">
        <v>11626.497073888884</v>
      </c>
      <c r="E13" s="32">
        <v>63467.287073888889</v>
      </c>
    </row>
    <row r="14" spans="1:5" x14ac:dyDescent="0.35">
      <c r="A14" s="5">
        <v>46785</v>
      </c>
      <c r="B14" s="32">
        <v>723500.02999999956</v>
      </c>
      <c r="C14" s="32">
        <v>51840.79</v>
      </c>
      <c r="D14" s="32">
        <v>10897.845969999995</v>
      </c>
      <c r="E14" s="32">
        <v>62738.635969999996</v>
      </c>
    </row>
    <row r="15" spans="1:5" x14ac:dyDescent="0.35">
      <c r="A15" s="5">
        <v>46875</v>
      </c>
      <c r="B15" s="32">
        <v>671659.23999999953</v>
      </c>
      <c r="C15" s="32">
        <v>51840.79</v>
      </c>
      <c r="D15" s="32">
        <v>9948.1254124999941</v>
      </c>
      <c r="E15" s="32">
        <v>61788.915412499991</v>
      </c>
    </row>
    <row r="16" spans="1:5" x14ac:dyDescent="0.35">
      <c r="A16" s="5">
        <v>46967</v>
      </c>
      <c r="B16" s="32">
        <v>619818.44999999949</v>
      </c>
      <c r="C16" s="32">
        <v>51840.79</v>
      </c>
      <c r="D16" s="32">
        <v>9440.5437622222162</v>
      </c>
      <c r="E16" s="32">
        <v>61281.333762222217</v>
      </c>
    </row>
    <row r="17" spans="1:5" x14ac:dyDescent="0.35">
      <c r="A17" s="5">
        <v>47059</v>
      </c>
      <c r="B17" s="32">
        <v>567977.65999999945</v>
      </c>
      <c r="C17" s="32">
        <v>51840.79</v>
      </c>
      <c r="D17" s="32">
        <v>8711.8926583333268</v>
      </c>
      <c r="E17" s="32">
        <v>60552.682658333331</v>
      </c>
    </row>
    <row r="18" spans="1:5" x14ac:dyDescent="0.35">
      <c r="A18" s="5">
        <v>47151</v>
      </c>
      <c r="B18" s="32">
        <v>516136.86999999947</v>
      </c>
      <c r="C18" s="32">
        <v>51840.79</v>
      </c>
      <c r="D18" s="32">
        <v>7983.2415544444375</v>
      </c>
      <c r="E18" s="32">
        <v>59824.031554444438</v>
      </c>
    </row>
    <row r="19" spans="1:5" x14ac:dyDescent="0.35">
      <c r="A19" s="5">
        <v>47240</v>
      </c>
      <c r="B19" s="32">
        <v>464296.07999999949</v>
      </c>
      <c r="C19" s="32">
        <v>51840.79</v>
      </c>
      <c r="D19" s="32">
        <v>7018.0277184722145</v>
      </c>
      <c r="E19" s="32">
        <v>58858.817718472215</v>
      </c>
    </row>
    <row r="20" spans="1:5" x14ac:dyDescent="0.35">
      <c r="A20" s="5">
        <v>47332</v>
      </c>
      <c r="B20" s="32">
        <v>412455.28999999951</v>
      </c>
      <c r="C20" s="32">
        <v>51840.79</v>
      </c>
      <c r="D20" s="32">
        <v>6525.9393466666597</v>
      </c>
      <c r="E20" s="32">
        <v>58366.72934666666</v>
      </c>
    </row>
    <row r="21" spans="1:5" x14ac:dyDescent="0.35">
      <c r="A21" s="5">
        <v>47424</v>
      </c>
      <c r="B21" s="32">
        <v>360614.49999999953</v>
      </c>
      <c r="C21" s="32">
        <v>51840.79</v>
      </c>
      <c r="D21" s="32">
        <v>5797.2882427777704</v>
      </c>
      <c r="E21" s="32">
        <v>57638.078242777774</v>
      </c>
    </row>
    <row r="22" spans="1:5" x14ac:dyDescent="0.35">
      <c r="A22" s="5">
        <v>47516</v>
      </c>
      <c r="B22" s="32">
        <v>308773.70999999956</v>
      </c>
      <c r="C22" s="32">
        <v>51840.79</v>
      </c>
      <c r="D22" s="32">
        <v>5068.6371388888829</v>
      </c>
      <c r="E22" s="32">
        <v>56909.427138888881</v>
      </c>
    </row>
    <row r="23" spans="1:5" x14ac:dyDescent="0.35">
      <c r="A23" s="5">
        <v>47605</v>
      </c>
      <c r="B23" s="32">
        <v>256932.91999999955</v>
      </c>
      <c r="C23" s="32">
        <v>51840.79</v>
      </c>
      <c r="D23" s="32">
        <v>4198.4647512499942</v>
      </c>
      <c r="E23" s="32">
        <v>56039.254751249995</v>
      </c>
    </row>
    <row r="24" spans="1:5" x14ac:dyDescent="0.35">
      <c r="A24" s="5">
        <v>47697</v>
      </c>
      <c r="B24" s="32">
        <v>205092.12999999954</v>
      </c>
      <c r="C24" s="32">
        <v>51840.79</v>
      </c>
      <c r="D24" s="32">
        <v>3611.3349311111047</v>
      </c>
      <c r="E24" s="32">
        <v>55452.124931111102</v>
      </c>
    </row>
    <row r="25" spans="1:5" x14ac:dyDescent="0.35">
      <c r="A25" s="5">
        <v>47789</v>
      </c>
      <c r="B25" s="32">
        <v>153251.33999999953</v>
      </c>
      <c r="C25" s="32">
        <v>51840.79</v>
      </c>
      <c r="D25" s="32">
        <v>2882.6838272222158</v>
      </c>
      <c r="E25" s="32">
        <v>54723.473827222217</v>
      </c>
    </row>
    <row r="26" spans="1:5" x14ac:dyDescent="0.35">
      <c r="A26" s="5">
        <v>47881</v>
      </c>
      <c r="B26" s="32">
        <v>101410.54999999952</v>
      </c>
      <c r="C26" s="32">
        <v>51840.79</v>
      </c>
      <c r="D26" s="32">
        <v>2154.0327233333269</v>
      </c>
      <c r="E26" s="32">
        <v>53994.822723333331</v>
      </c>
    </row>
    <row r="27" spans="1:5" x14ac:dyDescent="0.35">
      <c r="A27" s="5">
        <v>47970</v>
      </c>
      <c r="B27" s="32">
        <v>49569.759999999522</v>
      </c>
      <c r="C27" s="32">
        <v>51840.79</v>
      </c>
      <c r="D27" s="32">
        <v>1378.9017840277713</v>
      </c>
      <c r="E27" s="32">
        <v>53219.691784027775</v>
      </c>
    </row>
    <row r="28" spans="1:5" x14ac:dyDescent="0.35">
      <c r="A28" s="5">
        <v>48058</v>
      </c>
      <c r="B28" s="32">
        <v>-4.8021320253610611E-10</v>
      </c>
      <c r="C28" s="32">
        <v>49569.760000000002</v>
      </c>
      <c r="D28" s="32">
        <v>666.43788444443794</v>
      </c>
      <c r="E28" s="32">
        <v>50236.197884444438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9801E-92C3-4832-B3F3-9518DF88658E}">
  <dimension ref="A1:E39"/>
  <sheetViews>
    <sheetView workbookViewId="0">
      <selection activeCell="C10" sqref="C10"/>
    </sheetView>
  </sheetViews>
  <sheetFormatPr baseColWidth="10" defaultRowHeight="14.5" x14ac:dyDescent="0.35"/>
  <cols>
    <col min="1" max="1" width="11" bestFit="1" customWidth="1"/>
    <col min="2" max="2" width="14.54296875" bestFit="1" customWidth="1"/>
    <col min="3" max="3" width="14.26953125" customWidth="1"/>
    <col min="4" max="5" width="11.81640625" bestFit="1" customWidth="1"/>
  </cols>
  <sheetData>
    <row r="1" spans="1:5" ht="29" x14ac:dyDescent="0.35">
      <c r="A1" s="43" t="s">
        <v>40</v>
      </c>
      <c r="B1" s="36" t="s">
        <v>36</v>
      </c>
      <c r="C1" s="36" t="s">
        <v>41</v>
      </c>
      <c r="D1" s="36" t="s">
        <v>42</v>
      </c>
      <c r="E1" s="36" t="s">
        <v>38</v>
      </c>
    </row>
    <row r="2" spans="1:5" x14ac:dyDescent="0.35">
      <c r="A2" s="58">
        <v>45656</v>
      </c>
      <c r="B2" s="32">
        <v>15996516.062482124</v>
      </c>
      <c r="C2" s="56">
        <v>0</v>
      </c>
      <c r="D2" s="56">
        <v>0</v>
      </c>
      <c r="E2" s="56">
        <v>0</v>
      </c>
    </row>
    <row r="3" spans="1:5" x14ac:dyDescent="0.35">
      <c r="A3" s="58">
        <v>45708</v>
      </c>
      <c r="B3" s="32">
        <v>15996516.062482124</v>
      </c>
      <c r="C3" s="32">
        <v>0</v>
      </c>
      <c r="D3" s="32">
        <v>138636.47254151173</v>
      </c>
      <c r="E3" s="32">
        <v>138636.47254151173</v>
      </c>
    </row>
    <row r="4" spans="1:5" x14ac:dyDescent="0.35">
      <c r="A4" s="5">
        <v>45797</v>
      </c>
      <c r="B4" s="32">
        <v>15996516.062482124</v>
      </c>
      <c r="C4" s="32">
        <v>0</v>
      </c>
      <c r="D4" s="32">
        <v>237281.65492681818</v>
      </c>
      <c r="E4" s="32">
        <v>237281.65492681818</v>
      </c>
    </row>
    <row r="5" spans="1:5" x14ac:dyDescent="0.35">
      <c r="A5" s="5">
        <v>45889</v>
      </c>
      <c r="B5" s="32">
        <v>15996516.062482124</v>
      </c>
      <c r="C5" s="32">
        <v>0</v>
      </c>
      <c r="D5" s="32">
        <v>245279.91295805926</v>
      </c>
      <c r="E5" s="32">
        <v>245279.91295805926</v>
      </c>
    </row>
    <row r="6" spans="1:5" x14ac:dyDescent="0.35">
      <c r="A6" s="5">
        <v>45981</v>
      </c>
      <c r="B6" s="32">
        <v>15996516.062482124</v>
      </c>
      <c r="C6" s="32">
        <v>0</v>
      </c>
      <c r="D6" s="32">
        <v>245279.91295805926</v>
      </c>
      <c r="E6" s="32">
        <v>245279.91295805926</v>
      </c>
    </row>
    <row r="7" spans="1:5" x14ac:dyDescent="0.35">
      <c r="A7" s="5">
        <v>46073</v>
      </c>
      <c r="B7" s="32">
        <v>15996516.062482124</v>
      </c>
      <c r="C7" s="32">
        <v>0</v>
      </c>
      <c r="D7" s="32">
        <v>245279.91295805926</v>
      </c>
      <c r="E7" s="32">
        <v>245279.91295805926</v>
      </c>
    </row>
    <row r="8" spans="1:5" x14ac:dyDescent="0.35">
      <c r="A8" s="5">
        <v>46162</v>
      </c>
      <c r="B8" s="32">
        <v>15996516.062482124</v>
      </c>
      <c r="C8" s="32">
        <v>0</v>
      </c>
      <c r="D8" s="32">
        <v>237281.65492681818</v>
      </c>
      <c r="E8" s="32">
        <v>237281.65492681818</v>
      </c>
    </row>
    <row r="9" spans="1:5" x14ac:dyDescent="0.35">
      <c r="A9" s="5">
        <v>46254</v>
      </c>
      <c r="B9" s="32">
        <v>15471468.597782588</v>
      </c>
      <c r="C9" s="32">
        <v>525047.46469953598</v>
      </c>
      <c r="D9" s="32">
        <v>245279.91295805926</v>
      </c>
      <c r="E9" s="32">
        <v>770327.37765759521</v>
      </c>
    </row>
    <row r="10" spans="1:5" x14ac:dyDescent="0.35">
      <c r="A10" s="5">
        <v>46346</v>
      </c>
      <c r="B10" s="32">
        <v>14946421.133083051</v>
      </c>
      <c r="C10" s="32">
        <v>525047.46469953598</v>
      </c>
      <c r="D10" s="32">
        <v>237229.18516599966</v>
      </c>
      <c r="E10" s="32">
        <v>762276.64986553567</v>
      </c>
    </row>
    <row r="11" spans="1:5" x14ac:dyDescent="0.35">
      <c r="A11" s="5">
        <v>46438</v>
      </c>
      <c r="B11" s="32">
        <v>14421373.668383515</v>
      </c>
      <c r="C11" s="32">
        <v>525047.46469953598</v>
      </c>
      <c r="D11" s="32">
        <v>229178.45737394012</v>
      </c>
      <c r="E11" s="32">
        <v>754225.92207347613</v>
      </c>
    </row>
    <row r="12" spans="1:5" x14ac:dyDescent="0.35">
      <c r="A12" s="5">
        <v>46527</v>
      </c>
      <c r="B12" s="32">
        <v>13896326.203683978</v>
      </c>
      <c r="C12" s="32">
        <v>525047.46469953598</v>
      </c>
      <c r="D12" s="32">
        <v>213917.0427476888</v>
      </c>
      <c r="E12" s="32">
        <v>738964.50744722481</v>
      </c>
    </row>
    <row r="13" spans="1:5" x14ac:dyDescent="0.35">
      <c r="A13" s="5">
        <v>46619</v>
      </c>
      <c r="B13" s="32">
        <v>13371278.738984441</v>
      </c>
      <c r="C13" s="32">
        <v>525047.46469953598</v>
      </c>
      <c r="D13" s="32">
        <v>213077.00178982099</v>
      </c>
      <c r="E13" s="32">
        <v>738124.46648935694</v>
      </c>
    </row>
    <row r="14" spans="1:5" x14ac:dyDescent="0.35">
      <c r="A14" s="5">
        <v>46711</v>
      </c>
      <c r="B14" s="32">
        <v>12846231.274284905</v>
      </c>
      <c r="C14" s="32">
        <v>525047.46469953598</v>
      </c>
      <c r="D14" s="32">
        <v>205026.27399776143</v>
      </c>
      <c r="E14" s="32">
        <v>730073.73869729741</v>
      </c>
    </row>
    <row r="15" spans="1:5" x14ac:dyDescent="0.35">
      <c r="A15" s="5">
        <v>46803</v>
      </c>
      <c r="B15" s="32">
        <v>12321183.809585368</v>
      </c>
      <c r="C15" s="32">
        <v>525047.46469953598</v>
      </c>
      <c r="D15" s="32">
        <v>196975.54620570183</v>
      </c>
      <c r="E15" s="32">
        <v>722023.01090523787</v>
      </c>
    </row>
    <row r="16" spans="1:5" x14ac:dyDescent="0.35">
      <c r="A16" s="5">
        <v>46893</v>
      </c>
      <c r="B16" s="32">
        <v>11796136.344885832</v>
      </c>
      <c r="C16" s="32">
        <v>525047.46469953598</v>
      </c>
      <c r="D16" s="32">
        <v>184817.75714378053</v>
      </c>
      <c r="E16" s="32">
        <v>709865.22184331645</v>
      </c>
    </row>
    <row r="17" spans="1:5" x14ac:dyDescent="0.35">
      <c r="A17" s="5">
        <v>46985</v>
      </c>
      <c r="B17" s="32">
        <v>11271088.880186295</v>
      </c>
      <c r="C17" s="32">
        <v>525047.46469953598</v>
      </c>
      <c r="D17" s="32">
        <v>180874.09062158276</v>
      </c>
      <c r="E17" s="32">
        <v>705921.55532111879</v>
      </c>
    </row>
    <row r="18" spans="1:5" x14ac:dyDescent="0.35">
      <c r="A18" s="5">
        <v>47077</v>
      </c>
      <c r="B18" s="32">
        <v>10746041.415486759</v>
      </c>
      <c r="C18" s="32">
        <v>525047.46469953598</v>
      </c>
      <c r="D18" s="32">
        <v>172823.36282952319</v>
      </c>
      <c r="E18" s="32">
        <v>697870.82752905914</v>
      </c>
    </row>
    <row r="19" spans="1:5" x14ac:dyDescent="0.35">
      <c r="A19" s="5">
        <v>47169</v>
      </c>
      <c r="B19" s="32">
        <v>10220993.950787222</v>
      </c>
      <c r="C19" s="32">
        <v>525047.46469953598</v>
      </c>
      <c r="D19" s="32">
        <v>164772.63503746362</v>
      </c>
      <c r="E19" s="32">
        <v>689820.0997369996</v>
      </c>
    </row>
    <row r="20" spans="1:5" x14ac:dyDescent="0.35">
      <c r="A20" s="5">
        <v>47258</v>
      </c>
      <c r="B20" s="32">
        <v>9695946.4860876855</v>
      </c>
      <c r="C20" s="32">
        <v>525047.46469953598</v>
      </c>
      <c r="D20" s="32">
        <v>151611.41027001044</v>
      </c>
      <c r="E20" s="32">
        <v>676658.87496954645</v>
      </c>
    </row>
    <row r="21" spans="1:5" x14ac:dyDescent="0.35">
      <c r="A21" s="5">
        <v>47350</v>
      </c>
      <c r="B21" s="32">
        <v>9170899.0213881489</v>
      </c>
      <c r="C21" s="32">
        <v>525047.46469953598</v>
      </c>
      <c r="D21" s="32">
        <v>148671.17945334449</v>
      </c>
      <c r="E21" s="32">
        <v>673718.64415288041</v>
      </c>
    </row>
    <row r="22" spans="1:5" x14ac:dyDescent="0.35">
      <c r="A22" s="5">
        <v>47442</v>
      </c>
      <c r="B22" s="32">
        <v>8645851.5566886123</v>
      </c>
      <c r="C22" s="32">
        <v>525047.46469953598</v>
      </c>
      <c r="D22" s="32">
        <v>140620.45166128493</v>
      </c>
      <c r="E22" s="32">
        <v>665667.91636082088</v>
      </c>
    </row>
    <row r="23" spans="1:5" x14ac:dyDescent="0.35">
      <c r="A23" s="5">
        <v>47534</v>
      </c>
      <c r="B23" s="32">
        <v>8120804.0919890767</v>
      </c>
      <c r="C23" s="32">
        <v>525047.46469953598</v>
      </c>
      <c r="D23" s="32">
        <v>132569.72386922539</v>
      </c>
      <c r="E23" s="32">
        <v>657617.18856876134</v>
      </c>
    </row>
    <row r="24" spans="1:5" x14ac:dyDescent="0.35">
      <c r="A24" s="5">
        <v>47623</v>
      </c>
      <c r="B24" s="32">
        <v>7595756.6272895411</v>
      </c>
      <c r="C24" s="32">
        <v>525047.46469953598</v>
      </c>
      <c r="D24" s="32">
        <v>120458.59403117129</v>
      </c>
      <c r="E24" s="32">
        <v>645506.05873070727</v>
      </c>
    </row>
    <row r="25" spans="1:5" x14ac:dyDescent="0.35">
      <c r="A25" s="5">
        <v>47715</v>
      </c>
      <c r="B25" s="32">
        <v>7070709.1625900054</v>
      </c>
      <c r="C25" s="32">
        <v>525047.46469953598</v>
      </c>
      <c r="D25" s="32">
        <v>116468.26828510629</v>
      </c>
      <c r="E25" s="32">
        <v>641515.73298464227</v>
      </c>
    </row>
    <row r="26" spans="1:5" x14ac:dyDescent="0.35">
      <c r="A26" s="5">
        <v>47807</v>
      </c>
      <c r="B26" s="32">
        <v>6545661.6978904698</v>
      </c>
      <c r="C26" s="32">
        <v>525047.46469953598</v>
      </c>
      <c r="D26" s="32">
        <v>108417.54049304676</v>
      </c>
      <c r="E26" s="32">
        <v>633465.00519258273</v>
      </c>
    </row>
    <row r="27" spans="1:5" x14ac:dyDescent="0.35">
      <c r="A27" s="5">
        <v>47899</v>
      </c>
      <c r="B27" s="32">
        <v>6020614.2331909342</v>
      </c>
      <c r="C27" s="32">
        <v>525047.46469953598</v>
      </c>
      <c r="D27" s="32">
        <v>100366.8127009872</v>
      </c>
      <c r="E27" s="32">
        <v>625414.27740052319</v>
      </c>
    </row>
    <row r="28" spans="1:5" x14ac:dyDescent="0.35">
      <c r="A28" s="5">
        <v>47988</v>
      </c>
      <c r="B28" s="32">
        <v>5495566.7684913985</v>
      </c>
      <c r="C28" s="32">
        <v>525047.46469953598</v>
      </c>
      <c r="D28" s="32">
        <v>89305.777792332185</v>
      </c>
      <c r="E28" s="32">
        <v>614353.24249186821</v>
      </c>
    </row>
    <row r="29" spans="1:5" x14ac:dyDescent="0.35">
      <c r="A29" s="5">
        <v>48080</v>
      </c>
      <c r="B29" s="32">
        <v>4970519.3037918629</v>
      </c>
      <c r="C29" s="32">
        <v>525047.46469953598</v>
      </c>
      <c r="D29" s="32">
        <v>84265.357116868108</v>
      </c>
      <c r="E29" s="32">
        <v>609312.82181640412</v>
      </c>
    </row>
    <row r="30" spans="1:5" x14ac:dyDescent="0.35">
      <c r="A30" s="5">
        <v>48172</v>
      </c>
      <c r="B30" s="32">
        <v>4445471.8390923273</v>
      </c>
      <c r="C30" s="32">
        <v>525047.46469953598</v>
      </c>
      <c r="D30" s="32">
        <v>76214.629324808557</v>
      </c>
      <c r="E30" s="32">
        <v>601262.09402434458</v>
      </c>
    </row>
    <row r="31" spans="1:5" x14ac:dyDescent="0.35">
      <c r="A31" s="5">
        <v>48264</v>
      </c>
      <c r="B31" s="32">
        <v>3920424.3743927912</v>
      </c>
      <c r="C31" s="32">
        <v>525047.46469953598</v>
      </c>
      <c r="D31" s="32">
        <v>68163.90153274902</v>
      </c>
      <c r="E31" s="32">
        <v>593211.36623228504</v>
      </c>
    </row>
    <row r="32" spans="1:5" x14ac:dyDescent="0.35">
      <c r="A32" s="5">
        <v>48354</v>
      </c>
      <c r="B32" s="32">
        <v>3395376.9096932551</v>
      </c>
      <c r="C32" s="32">
        <v>525047.46469953598</v>
      </c>
      <c r="D32" s="32">
        <v>58806.365615891875</v>
      </c>
      <c r="E32" s="32">
        <v>583853.83031542785</v>
      </c>
    </row>
    <row r="33" spans="1:5" x14ac:dyDescent="0.35">
      <c r="A33" s="5">
        <v>48446</v>
      </c>
      <c r="B33" s="32">
        <v>2870329.444993719</v>
      </c>
      <c r="C33" s="32">
        <v>525047.46469953598</v>
      </c>
      <c r="D33" s="32">
        <v>52062.445948629909</v>
      </c>
      <c r="E33" s="32">
        <v>577109.91064816585</v>
      </c>
    </row>
    <row r="34" spans="1:5" x14ac:dyDescent="0.35">
      <c r="A34" s="5">
        <v>48538</v>
      </c>
      <c r="B34" s="32">
        <v>2345281.9802941829</v>
      </c>
      <c r="C34" s="32">
        <v>525047.46469953598</v>
      </c>
      <c r="D34" s="32">
        <v>44011.718156570358</v>
      </c>
      <c r="E34" s="32">
        <v>569059.18285610632</v>
      </c>
    </row>
    <row r="35" spans="1:5" x14ac:dyDescent="0.35">
      <c r="A35" s="5">
        <v>48630</v>
      </c>
      <c r="B35" s="32">
        <v>1820234.5155946468</v>
      </c>
      <c r="C35" s="32">
        <v>525047.46469953598</v>
      </c>
      <c r="D35" s="32">
        <v>35960.990364510806</v>
      </c>
      <c r="E35" s="32">
        <v>561008.45506404678</v>
      </c>
    </row>
    <row r="36" spans="1:5" x14ac:dyDescent="0.35">
      <c r="A36" s="5">
        <v>48719</v>
      </c>
      <c r="B36" s="32">
        <v>1295187.0508951107</v>
      </c>
      <c r="C36" s="32">
        <v>525047.46469953598</v>
      </c>
      <c r="D36" s="32">
        <v>27000.145314653928</v>
      </c>
      <c r="E36" s="32">
        <v>552047.61001418997</v>
      </c>
    </row>
    <row r="37" spans="1:5" x14ac:dyDescent="0.35">
      <c r="A37" s="5">
        <v>48811</v>
      </c>
      <c r="B37" s="32">
        <v>770139.58619557472</v>
      </c>
      <c r="C37" s="32">
        <v>525047.46469953598</v>
      </c>
      <c r="D37" s="32">
        <v>19859.534780391696</v>
      </c>
      <c r="E37" s="32">
        <v>544906.9994799277</v>
      </c>
    </row>
    <row r="38" spans="1:5" x14ac:dyDescent="0.35">
      <c r="A38" s="5">
        <v>48903</v>
      </c>
      <c r="B38" s="32">
        <v>245092.12149603874</v>
      </c>
      <c r="C38" s="32">
        <v>525047.46469953598</v>
      </c>
      <c r="D38" s="32">
        <v>11808.806988332144</v>
      </c>
      <c r="E38" s="32">
        <v>536856.27168786817</v>
      </c>
    </row>
    <row r="39" spans="1:5" x14ac:dyDescent="0.35">
      <c r="A39" s="5">
        <v>48997</v>
      </c>
      <c r="B39" s="32">
        <v>-7.4214767664670944E-9</v>
      </c>
      <c r="C39" s="32">
        <v>245092.12149604617</v>
      </c>
      <c r="D39" s="32">
        <v>3839.7765701046064</v>
      </c>
      <c r="E39" s="32">
        <v>248931.89806615078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DAE20-819F-4AA1-A54D-3065D55181B7}">
  <dimension ref="A1:F17"/>
  <sheetViews>
    <sheetView tabSelected="1" workbookViewId="0">
      <selection activeCell="F6" sqref="F6"/>
    </sheetView>
  </sheetViews>
  <sheetFormatPr baseColWidth="10" defaultRowHeight="14.5" x14ac:dyDescent="0.35"/>
  <cols>
    <col min="2" max="2" width="14.54296875" customWidth="1"/>
    <col min="3" max="3" width="13.453125" bestFit="1" customWidth="1"/>
    <col min="4" max="4" width="11.81640625" bestFit="1" customWidth="1"/>
    <col min="6" max="6" width="13.453125" bestFit="1" customWidth="1"/>
  </cols>
  <sheetData>
    <row r="1" spans="1:6" ht="43.5" x14ac:dyDescent="0.35">
      <c r="A1" s="162" t="s">
        <v>40</v>
      </c>
      <c r="B1" s="163" t="s">
        <v>36</v>
      </c>
      <c r="C1" s="163" t="s">
        <v>41</v>
      </c>
      <c r="D1" s="163" t="s">
        <v>42</v>
      </c>
      <c r="E1" s="163" t="s">
        <v>61</v>
      </c>
      <c r="F1" s="163" t="s">
        <v>38</v>
      </c>
    </row>
    <row r="2" spans="1:6" x14ac:dyDescent="0.35">
      <c r="A2" s="58">
        <v>45736</v>
      </c>
      <c r="B2" s="32">
        <v>53476614.030000001</v>
      </c>
      <c r="C2" s="32">
        <v>0</v>
      </c>
      <c r="D2" s="32">
        <v>0</v>
      </c>
      <c r="E2" s="32">
        <v>0</v>
      </c>
      <c r="F2" s="32">
        <v>0</v>
      </c>
    </row>
    <row r="3" spans="1:6" x14ac:dyDescent="0.35">
      <c r="A3" s="5">
        <v>45828</v>
      </c>
      <c r="B3" s="32">
        <v>53476614.030000001</v>
      </c>
      <c r="C3" s="32">
        <v>0</v>
      </c>
      <c r="D3" s="32">
        <v>819974.74846000015</v>
      </c>
      <c r="E3" s="32">
        <v>82616.23</v>
      </c>
      <c r="F3" s="32">
        <v>902590.97846000013</v>
      </c>
    </row>
    <row r="4" spans="1:6" x14ac:dyDescent="0.35">
      <c r="A4" s="5">
        <v>45920</v>
      </c>
      <c r="B4" s="32">
        <f t="shared" ref="B4:B8" si="0">B3-C4</f>
        <v>39476614.030000001</v>
      </c>
      <c r="C4" s="63">
        <v>14000000</v>
      </c>
      <c r="D4" s="32">
        <v>819974.74846000015</v>
      </c>
      <c r="E4" s="32">
        <v>82616.23</v>
      </c>
      <c r="F4" s="63">
        <v>902590.97846000013</v>
      </c>
    </row>
    <row r="5" spans="1:6" x14ac:dyDescent="0.35">
      <c r="A5" s="5">
        <v>46011</v>
      </c>
      <c r="B5" s="32">
        <f t="shared" si="0"/>
        <v>39476614.030000001</v>
      </c>
      <c r="C5" s="32"/>
      <c r="D5" s="32">
        <v>355289.53</v>
      </c>
      <c r="E5" s="32">
        <v>82616.23</v>
      </c>
      <c r="F5" s="32">
        <f>SUM(C5:E5)</f>
        <v>437905.76</v>
      </c>
    </row>
    <row r="6" spans="1:6" x14ac:dyDescent="0.35">
      <c r="A6" s="5">
        <v>46101</v>
      </c>
      <c r="B6" s="32">
        <f t="shared" si="0"/>
        <v>39476614.030000001</v>
      </c>
      <c r="C6" s="32">
        <v>0</v>
      </c>
      <c r="D6" s="32">
        <v>592149.21</v>
      </c>
      <c r="E6" s="32">
        <v>82616.23</v>
      </c>
      <c r="F6" s="32">
        <f t="shared" ref="F6:F17" si="1">SUM(C6:E6)</f>
        <v>674765.44</v>
      </c>
    </row>
    <row r="7" spans="1:6" x14ac:dyDescent="0.35">
      <c r="A7" s="5">
        <v>46193</v>
      </c>
      <c r="B7" s="32">
        <f t="shared" si="0"/>
        <v>39476614.030000001</v>
      </c>
      <c r="C7" s="32">
        <v>0</v>
      </c>
      <c r="D7" s="32">
        <v>605308.07999999996</v>
      </c>
      <c r="E7" s="32">
        <v>82616.23</v>
      </c>
      <c r="F7" s="32">
        <f t="shared" si="1"/>
        <v>687924.30999999994</v>
      </c>
    </row>
    <row r="8" spans="1:6" x14ac:dyDescent="0.35">
      <c r="A8" s="5">
        <v>46285</v>
      </c>
      <c r="B8" s="32">
        <f t="shared" si="0"/>
        <v>39476614.030000001</v>
      </c>
      <c r="C8" s="32"/>
      <c r="D8" s="32">
        <v>605308.07999999996</v>
      </c>
      <c r="E8" s="32">
        <v>82616.23</v>
      </c>
      <c r="F8" s="32">
        <f t="shared" si="1"/>
        <v>687924.30999999994</v>
      </c>
    </row>
    <row r="9" spans="1:6" x14ac:dyDescent="0.35">
      <c r="A9" s="5">
        <v>46376</v>
      </c>
      <c r="B9" s="32">
        <f>B8-C9</f>
        <v>39476614.030000001</v>
      </c>
      <c r="C9" s="32"/>
      <c r="D9" s="32">
        <v>598728.65</v>
      </c>
      <c r="E9" s="32">
        <v>82616.23</v>
      </c>
      <c r="F9" s="32">
        <f t="shared" si="1"/>
        <v>681344.88</v>
      </c>
    </row>
    <row r="10" spans="1:6" x14ac:dyDescent="0.35">
      <c r="A10" s="5">
        <v>46466</v>
      </c>
      <c r="B10" s="32">
        <f t="shared" ref="B10:B17" si="2">B9-C10</f>
        <v>37433629.800000004</v>
      </c>
      <c r="C10" s="32">
        <v>2042984.23</v>
      </c>
      <c r="D10" s="32">
        <v>592149.21</v>
      </c>
      <c r="E10" s="32">
        <v>82616.23</v>
      </c>
      <c r="F10" s="32">
        <f t="shared" si="1"/>
        <v>2717749.67</v>
      </c>
    </row>
    <row r="11" spans="1:6" x14ac:dyDescent="0.35">
      <c r="A11" s="5">
        <v>46558</v>
      </c>
      <c r="B11" s="32">
        <f t="shared" si="2"/>
        <v>32085968.400000006</v>
      </c>
      <c r="C11" s="32">
        <v>5347661.4000000004</v>
      </c>
      <c r="D11" s="32">
        <v>573982.31999999995</v>
      </c>
      <c r="E11" s="32">
        <v>82616.23</v>
      </c>
      <c r="F11" s="32">
        <f t="shared" si="1"/>
        <v>6004259.9500000011</v>
      </c>
    </row>
    <row r="12" spans="1:6" x14ac:dyDescent="0.35">
      <c r="A12" s="5">
        <v>46650</v>
      </c>
      <c r="B12" s="32">
        <f t="shared" si="2"/>
        <v>26738307.000000007</v>
      </c>
      <c r="C12" s="32">
        <v>5347661.4000000004</v>
      </c>
      <c r="D12" s="32">
        <v>491984.85</v>
      </c>
      <c r="E12" s="32">
        <v>82616.23</v>
      </c>
      <c r="F12" s="32">
        <f t="shared" si="1"/>
        <v>5922262.4800000004</v>
      </c>
    </row>
    <row r="13" spans="1:6" x14ac:dyDescent="0.35">
      <c r="A13" s="5">
        <v>46741</v>
      </c>
      <c r="B13" s="32">
        <f t="shared" si="2"/>
        <v>21390645.600000009</v>
      </c>
      <c r="C13" s="32">
        <v>5347661.4000000004</v>
      </c>
      <c r="D13" s="32">
        <v>405530.99</v>
      </c>
      <c r="E13" s="32">
        <v>82616.23</v>
      </c>
      <c r="F13" s="32">
        <f t="shared" si="1"/>
        <v>5835808.620000001</v>
      </c>
    </row>
    <row r="14" spans="1:6" x14ac:dyDescent="0.35">
      <c r="A14" s="5">
        <v>46832</v>
      </c>
      <c r="B14" s="32">
        <f t="shared" si="2"/>
        <v>16042984.200000009</v>
      </c>
      <c r="C14" s="32">
        <v>5347661.4000000004</v>
      </c>
      <c r="D14" s="32">
        <v>324424.78999999998</v>
      </c>
      <c r="E14" s="32">
        <v>82616.23</v>
      </c>
      <c r="F14" s="32">
        <f t="shared" si="1"/>
        <v>5754702.4200000009</v>
      </c>
    </row>
    <row r="15" spans="1:6" x14ac:dyDescent="0.35">
      <c r="A15" s="5">
        <v>46924</v>
      </c>
      <c r="B15" s="32">
        <f t="shared" si="2"/>
        <v>10695322.800000008</v>
      </c>
      <c r="C15" s="32">
        <v>5347661.4000000004</v>
      </c>
      <c r="D15" s="32">
        <v>245992.43</v>
      </c>
      <c r="E15" s="32">
        <v>82616.23</v>
      </c>
      <c r="F15" s="32">
        <f t="shared" si="1"/>
        <v>5676270.0600000005</v>
      </c>
    </row>
    <row r="16" spans="1:6" x14ac:dyDescent="0.35">
      <c r="A16" s="5">
        <v>47016</v>
      </c>
      <c r="B16" s="32">
        <f t="shared" si="2"/>
        <v>5347661.4000000078</v>
      </c>
      <c r="C16" s="32">
        <v>5347661.4000000004</v>
      </c>
      <c r="D16" s="32">
        <v>163994.95000000001</v>
      </c>
      <c r="E16" s="32">
        <v>82616.23</v>
      </c>
      <c r="F16" s="32">
        <f t="shared" si="1"/>
        <v>5594272.580000001</v>
      </c>
    </row>
    <row r="17" spans="1:6" x14ac:dyDescent="0.35">
      <c r="A17" s="5">
        <v>47107</v>
      </c>
      <c r="B17" s="32">
        <f t="shared" si="2"/>
        <v>7.4505805969238281E-9</v>
      </c>
      <c r="C17" s="32">
        <v>5347661.4000000004</v>
      </c>
      <c r="D17" s="32">
        <v>81106.2</v>
      </c>
      <c r="E17" s="32">
        <v>82616.23</v>
      </c>
      <c r="F17" s="32">
        <f t="shared" si="1"/>
        <v>5511383.830000001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0D54-2A71-4586-83E3-3282E4158606}">
  <dimension ref="A1:G21"/>
  <sheetViews>
    <sheetView zoomScale="130" zoomScaleNormal="130" workbookViewId="0">
      <selection activeCell="A2" sqref="A2:XFD2"/>
    </sheetView>
  </sheetViews>
  <sheetFormatPr baseColWidth="10" defaultRowHeight="14.5" x14ac:dyDescent="0.35"/>
  <cols>
    <col min="2" max="2" width="13" bestFit="1" customWidth="1"/>
    <col min="3" max="3" width="11.453125" bestFit="1" customWidth="1"/>
    <col min="4" max="4" width="15.26953125" bestFit="1" customWidth="1"/>
    <col min="5" max="5" width="13" bestFit="1" customWidth="1"/>
  </cols>
  <sheetData>
    <row r="1" spans="1:7" ht="43.5" x14ac:dyDescent="0.35">
      <c r="A1" s="43" t="s">
        <v>40</v>
      </c>
      <c r="B1" s="36" t="s">
        <v>36</v>
      </c>
      <c r="C1" s="36" t="s">
        <v>41</v>
      </c>
      <c r="D1" s="36" t="s">
        <v>47</v>
      </c>
      <c r="E1" s="36" t="s">
        <v>42</v>
      </c>
      <c r="F1" s="36" t="s">
        <v>48</v>
      </c>
      <c r="G1" s="36" t="s">
        <v>38</v>
      </c>
    </row>
    <row r="2" spans="1:7" x14ac:dyDescent="0.35">
      <c r="A2" s="58">
        <v>45677</v>
      </c>
      <c r="B2" s="32">
        <v>1154729.3887641237</v>
      </c>
      <c r="C2" s="56"/>
      <c r="D2" s="56"/>
      <c r="E2" s="56"/>
      <c r="F2" s="56"/>
      <c r="G2" s="56"/>
    </row>
    <row r="3" spans="1:7" x14ac:dyDescent="0.35">
      <c r="A3" s="5">
        <v>45702</v>
      </c>
      <c r="B3" s="32">
        <v>1096992.9187015865</v>
      </c>
      <c r="C3" s="32">
        <v>57736.470062537075</v>
      </c>
      <c r="D3" s="32">
        <v>0</v>
      </c>
      <c r="E3" s="32">
        <v>4811.3724531838488</v>
      </c>
      <c r="F3" s="32">
        <v>1642.8394559018825</v>
      </c>
      <c r="G3" s="32">
        <v>64190.681971622813</v>
      </c>
    </row>
    <row r="4" spans="1:7" x14ac:dyDescent="0.35">
      <c r="A4" s="5">
        <v>45858</v>
      </c>
      <c r="B4" s="32">
        <v>1039256.4486390494</v>
      </c>
      <c r="C4" s="32">
        <v>57736.470062537075</v>
      </c>
      <c r="D4" s="32">
        <v>2821.4284698866022</v>
      </c>
      <c r="E4" s="32">
        <v>28521.815886241249</v>
      </c>
      <c r="F4" s="32">
        <v>1642.8394559018825</v>
      </c>
      <c r="G4" s="32">
        <v>90722.553874566802</v>
      </c>
    </row>
    <row r="5" spans="1:7" x14ac:dyDescent="0.35">
      <c r="A5" s="5">
        <v>45950</v>
      </c>
      <c r="B5" s="63">
        <v>981519.97857651231</v>
      </c>
      <c r="C5" s="63">
        <v>57736.470062537075</v>
      </c>
      <c r="D5" s="63">
        <v>2821.4284698866022</v>
      </c>
      <c r="E5" s="63">
        <v>15935.265545798758</v>
      </c>
      <c r="F5" s="63">
        <v>1642.8394559018825</v>
      </c>
      <c r="G5" s="63">
        <v>78136.00353412432</v>
      </c>
    </row>
    <row r="6" spans="1:7" x14ac:dyDescent="0.35">
      <c r="A6" s="5">
        <v>46042</v>
      </c>
      <c r="B6" s="32">
        <v>923783.50851397519</v>
      </c>
      <c r="C6" s="32">
        <v>57736.470062537075</v>
      </c>
      <c r="D6" s="32">
        <v>2821.4284698866022</v>
      </c>
      <c r="E6" s="32">
        <v>15049.973004839854</v>
      </c>
      <c r="F6" s="32">
        <v>1642.8394559018825</v>
      </c>
      <c r="G6" s="32">
        <v>77250.710993165412</v>
      </c>
    </row>
    <row r="7" spans="1:7" x14ac:dyDescent="0.35">
      <c r="A7" s="5">
        <v>46132</v>
      </c>
      <c r="B7" s="32">
        <v>866047.03845143807</v>
      </c>
      <c r="C7" s="32">
        <v>57736.470062537075</v>
      </c>
      <c r="D7" s="32">
        <v>2821.4284698866022</v>
      </c>
      <c r="E7" s="32">
        <v>13856.752627709628</v>
      </c>
      <c r="F7" s="32">
        <v>1642.8394559018825</v>
      </c>
      <c r="G7" s="32">
        <v>76057.490616035182</v>
      </c>
    </row>
    <row r="8" spans="1:7" x14ac:dyDescent="0.35">
      <c r="A8" s="5">
        <v>46223</v>
      </c>
      <c r="B8" s="32">
        <v>808310.56838890095</v>
      </c>
      <c r="C8" s="32">
        <v>57736.470062537075</v>
      </c>
      <c r="D8" s="32">
        <v>2821.4284698866022</v>
      </c>
      <c r="E8" s="32">
        <v>13135.04674984681</v>
      </c>
      <c r="F8" s="32">
        <v>1642.8394559018825</v>
      </c>
      <c r="G8" s="32">
        <v>75335.78473817237</v>
      </c>
    </row>
    <row r="9" spans="1:7" x14ac:dyDescent="0.35">
      <c r="A9" s="5">
        <v>46315</v>
      </c>
      <c r="B9" s="32">
        <v>750574.09832636383</v>
      </c>
      <c r="C9" s="32">
        <v>57736.470062537075</v>
      </c>
      <c r="D9" s="32">
        <v>2821.4284698866022</v>
      </c>
      <c r="E9" s="32">
        <v>12394.095381963147</v>
      </c>
      <c r="F9" s="32">
        <v>1642.8394559018825</v>
      </c>
      <c r="G9" s="32">
        <v>74594.833370288703</v>
      </c>
    </row>
    <row r="10" spans="1:7" x14ac:dyDescent="0.35">
      <c r="A10" s="5">
        <v>46407</v>
      </c>
      <c r="B10" s="32">
        <v>692837.62826382671</v>
      </c>
      <c r="C10" s="32">
        <v>57736.470062537075</v>
      </c>
      <c r="D10" s="32">
        <v>2821.4284698866022</v>
      </c>
      <c r="E10" s="32">
        <v>11508.802841004246</v>
      </c>
      <c r="F10" s="32">
        <v>1642.8394559018825</v>
      </c>
      <c r="G10" s="32">
        <v>73709.54082932981</v>
      </c>
    </row>
    <row r="11" spans="1:7" x14ac:dyDescent="0.35">
      <c r="A11" s="5">
        <v>46497</v>
      </c>
      <c r="B11" s="32">
        <v>635101.1582012896</v>
      </c>
      <c r="C11" s="32">
        <v>57736.470062537075</v>
      </c>
      <c r="D11" s="32">
        <v>2821.4284698866022</v>
      </c>
      <c r="E11" s="32">
        <v>10392.564423957401</v>
      </c>
      <c r="F11" s="32">
        <v>1642.8394559018825</v>
      </c>
      <c r="G11" s="32">
        <v>72593.302412282952</v>
      </c>
    </row>
    <row r="12" spans="1:7" x14ac:dyDescent="0.35">
      <c r="A12" s="5">
        <v>46588</v>
      </c>
      <c r="B12" s="32">
        <v>577364.68813875248</v>
      </c>
      <c r="C12" s="32">
        <v>57736.470062537075</v>
      </c>
      <c r="D12" s="32">
        <v>2821.4284698866022</v>
      </c>
      <c r="E12" s="32">
        <v>9632.3675660528916</v>
      </c>
      <c r="F12" s="32">
        <v>1642.8394559018825</v>
      </c>
      <c r="G12" s="32">
        <v>71833.105554378446</v>
      </c>
    </row>
    <row r="13" spans="1:7" x14ac:dyDescent="0.35">
      <c r="A13" s="5">
        <v>46680</v>
      </c>
      <c r="B13" s="32">
        <v>519628.21807621542</v>
      </c>
      <c r="C13" s="32">
        <v>57736.470062537075</v>
      </c>
      <c r="D13" s="32">
        <v>2821.4284698866022</v>
      </c>
      <c r="E13" s="32">
        <v>8852.9252181275369</v>
      </c>
      <c r="F13" s="32">
        <v>1642.8394559018825</v>
      </c>
      <c r="G13" s="32">
        <v>71053.663206453086</v>
      </c>
    </row>
    <row r="14" spans="1:7" x14ac:dyDescent="0.35">
      <c r="A14" s="5">
        <v>46772</v>
      </c>
      <c r="B14" s="32">
        <v>461891.74801367836</v>
      </c>
      <c r="C14" s="32">
        <v>57736.470062537075</v>
      </c>
      <c r="D14" s="32">
        <v>2821.4284698866022</v>
      </c>
      <c r="E14" s="32">
        <v>7967.6326771686354</v>
      </c>
      <c r="F14" s="32">
        <v>1642.8394559018825</v>
      </c>
      <c r="G14" s="32">
        <v>70168.370665494193</v>
      </c>
    </row>
    <row r="15" spans="1:7" x14ac:dyDescent="0.35">
      <c r="A15" s="5">
        <v>46863</v>
      </c>
      <c r="B15" s="32">
        <v>404155.2779511413</v>
      </c>
      <c r="C15" s="32">
        <v>57736.470062537075</v>
      </c>
      <c r="D15" s="32">
        <v>2821.4284698866022</v>
      </c>
      <c r="E15" s="32">
        <v>7005.3581782074543</v>
      </c>
      <c r="F15" s="32">
        <v>1642.8394559018825</v>
      </c>
      <c r="G15" s="32">
        <v>69206.096166533011</v>
      </c>
    </row>
    <row r="16" spans="1:7" x14ac:dyDescent="0.35">
      <c r="A16" s="5">
        <v>46954</v>
      </c>
      <c r="B16" s="32">
        <v>346418.80788860423</v>
      </c>
      <c r="C16" s="32">
        <v>57736.470062537075</v>
      </c>
      <c r="D16" s="32">
        <v>2821.4284698866022</v>
      </c>
      <c r="E16" s="32">
        <v>6129.6883822589762</v>
      </c>
      <c r="F16" s="32">
        <v>1642.8394559018825</v>
      </c>
      <c r="G16" s="32">
        <v>68330.426370584537</v>
      </c>
    </row>
    <row r="17" spans="1:7" x14ac:dyDescent="0.35">
      <c r="A17" s="5">
        <v>47046</v>
      </c>
      <c r="B17" s="32">
        <v>288682.33782606717</v>
      </c>
      <c r="C17" s="32">
        <v>57736.470062537075</v>
      </c>
      <c r="D17" s="32">
        <v>2821.4284698866022</v>
      </c>
      <c r="E17" s="32">
        <v>5311.7550542919316</v>
      </c>
      <c r="F17" s="32">
        <v>1642.8394559018825</v>
      </c>
      <c r="G17" s="32">
        <v>67512.493042617483</v>
      </c>
    </row>
    <row r="18" spans="1:7" x14ac:dyDescent="0.35">
      <c r="A18" s="5">
        <v>47138</v>
      </c>
      <c r="B18" s="32">
        <v>230945.86776353011</v>
      </c>
      <c r="C18" s="32">
        <v>57736.470062537075</v>
      </c>
      <c r="D18" s="32">
        <v>2821.4284698866022</v>
      </c>
      <c r="E18" s="32">
        <v>4426.4625133330301</v>
      </c>
      <c r="F18" s="32">
        <v>1642.8394559018825</v>
      </c>
      <c r="G18" s="32">
        <v>66627.20050165859</v>
      </c>
    </row>
    <row r="19" spans="1:7" x14ac:dyDescent="0.35">
      <c r="A19" s="5">
        <v>47228</v>
      </c>
      <c r="B19" s="32">
        <v>173209.39770099305</v>
      </c>
      <c r="C19" s="32">
        <v>57736.470062537075</v>
      </c>
      <c r="D19" s="32">
        <v>2821.4284698866022</v>
      </c>
      <c r="E19" s="32">
        <v>3464.1880164529512</v>
      </c>
      <c r="F19" s="32">
        <v>1642.8394559018825</v>
      </c>
      <c r="G19" s="32">
        <v>65664.926004778506</v>
      </c>
    </row>
    <row r="20" spans="1:7" x14ac:dyDescent="0.35">
      <c r="A20" s="5">
        <v>47319</v>
      </c>
      <c r="B20" s="32">
        <v>115472.92763845598</v>
      </c>
      <c r="C20" s="32">
        <v>57736.470062537075</v>
      </c>
      <c r="D20" s="32">
        <v>2821.4284698866022</v>
      </c>
      <c r="E20" s="32">
        <v>2627.0091984650617</v>
      </c>
      <c r="F20" s="32">
        <v>1642.8394559018825</v>
      </c>
      <c r="G20" s="32">
        <v>64827.747186790628</v>
      </c>
    </row>
    <row r="21" spans="1:7" x14ac:dyDescent="0.35">
      <c r="A21" s="5">
        <v>47398</v>
      </c>
      <c r="B21" s="32">
        <v>5.6757363781798631E-3</v>
      </c>
      <c r="C21" s="32">
        <v>115472.9219627196</v>
      </c>
      <c r="D21" s="32">
        <v>14107.143257550735</v>
      </c>
      <c r="E21" s="32">
        <v>1520.3935472396704</v>
      </c>
      <c r="F21" s="32">
        <v>1642.8394559018825</v>
      </c>
      <c r="G21" s="32">
        <v>132743.2982234119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FBBD-94F9-4B3F-9638-6AEAB14C62BC}">
  <dimension ref="A1:G20"/>
  <sheetViews>
    <sheetView workbookViewId="0">
      <selection activeCell="A2" sqref="A2:XFD2"/>
    </sheetView>
  </sheetViews>
  <sheetFormatPr baseColWidth="10" defaultRowHeight="14.5" x14ac:dyDescent="0.35"/>
  <cols>
    <col min="2" max="2" width="12.453125" bestFit="1" customWidth="1"/>
  </cols>
  <sheetData>
    <row r="1" spans="1:7" ht="29" x14ac:dyDescent="0.35">
      <c r="A1" s="43" t="s">
        <v>40</v>
      </c>
      <c r="B1" s="151" t="s">
        <v>36</v>
      </c>
      <c r="C1" s="36" t="s">
        <v>41</v>
      </c>
      <c r="D1" s="36" t="s">
        <v>42</v>
      </c>
      <c r="E1" s="36" t="s">
        <v>38</v>
      </c>
      <c r="F1" s="32"/>
      <c r="G1" s="32"/>
    </row>
    <row r="2" spans="1:7" x14ac:dyDescent="0.35">
      <c r="A2" s="58">
        <v>45700</v>
      </c>
      <c r="B2" s="32">
        <v>1669085.8500000003</v>
      </c>
      <c r="C2" s="56">
        <v>0</v>
      </c>
      <c r="D2" s="56">
        <v>0</v>
      </c>
      <c r="E2" s="56">
        <v>0</v>
      </c>
      <c r="F2" s="32"/>
      <c r="G2" s="32"/>
    </row>
    <row r="3" spans="1:7" x14ac:dyDescent="0.35">
      <c r="A3" s="5">
        <v>45822</v>
      </c>
      <c r="B3" s="32">
        <v>1669085.8500000003</v>
      </c>
      <c r="C3" s="32">
        <v>0</v>
      </c>
      <c r="D3" s="32">
        <v>29209.003000000001</v>
      </c>
      <c r="E3" s="32">
        <v>29209.003000000001</v>
      </c>
      <c r="F3" s="32"/>
      <c r="G3" s="32"/>
    </row>
    <row r="4" spans="1:7" x14ac:dyDescent="0.35">
      <c r="A4" s="5">
        <v>45914</v>
      </c>
      <c r="B4" s="32">
        <v>1669085.8500000003</v>
      </c>
      <c r="C4" s="32">
        <v>0</v>
      </c>
      <c r="D4" s="32">
        <v>22393.568966666662</v>
      </c>
      <c r="E4" s="32">
        <v>22393.568966666662</v>
      </c>
      <c r="F4" s="32"/>
      <c r="G4" s="32"/>
    </row>
    <row r="5" spans="1:7" x14ac:dyDescent="0.35">
      <c r="A5" s="5">
        <v>46005</v>
      </c>
      <c r="B5" s="32">
        <v>1564767.9900000002</v>
      </c>
      <c r="C5" s="32">
        <v>104317.86</v>
      </c>
      <c r="D5" s="32">
        <v>22150.160608333328</v>
      </c>
      <c r="E5" s="32">
        <v>126468.02060833333</v>
      </c>
      <c r="F5" s="32"/>
      <c r="G5" s="32"/>
    </row>
    <row r="6" spans="1:7" x14ac:dyDescent="0.35">
      <c r="A6" s="5">
        <v>46095</v>
      </c>
      <c r="B6" s="32">
        <v>1460450.1300000001</v>
      </c>
      <c r="C6" s="32">
        <v>104317.86</v>
      </c>
      <c r="D6" s="32">
        <v>20341.984349999992</v>
      </c>
      <c r="E6" s="32">
        <v>124659.84435</v>
      </c>
      <c r="F6" s="32"/>
      <c r="G6" s="32"/>
    </row>
    <row r="7" spans="1:7" x14ac:dyDescent="0.35">
      <c r="A7" s="5">
        <v>46187</v>
      </c>
      <c r="B7" s="32">
        <v>1356132.27</v>
      </c>
      <c r="C7" s="32">
        <v>104317.86</v>
      </c>
      <c r="D7" s="32">
        <v>19194.487926666658</v>
      </c>
      <c r="E7" s="32">
        <v>123512.34792666665</v>
      </c>
      <c r="F7" s="32"/>
      <c r="G7" s="32"/>
    </row>
    <row r="8" spans="1:7" x14ac:dyDescent="0.35">
      <c r="A8" s="5">
        <v>46279</v>
      </c>
      <c r="B8" s="32">
        <v>1251814.4099999999</v>
      </c>
      <c r="C8" s="32">
        <v>104317.86</v>
      </c>
      <c r="D8" s="32">
        <v>17594.947406666655</v>
      </c>
      <c r="E8" s="32">
        <v>121912.80740666666</v>
      </c>
      <c r="F8" s="32"/>
      <c r="G8" s="32"/>
    </row>
    <row r="9" spans="1:7" x14ac:dyDescent="0.35">
      <c r="A9" s="5">
        <v>46370</v>
      </c>
      <c r="B9" s="32">
        <v>1147496.5499999998</v>
      </c>
      <c r="C9" s="32">
        <v>104317.86</v>
      </c>
      <c r="D9" s="32">
        <v>15821.543768333322</v>
      </c>
      <c r="E9" s="32">
        <v>120139.40376833332</v>
      </c>
      <c r="F9" s="32"/>
      <c r="G9" s="32"/>
    </row>
    <row r="10" spans="1:7" x14ac:dyDescent="0.35">
      <c r="A10" s="5">
        <v>46460</v>
      </c>
      <c r="B10" s="32">
        <v>1043178.6899999998</v>
      </c>
      <c r="C10" s="32">
        <v>104317.86</v>
      </c>
      <c r="D10" s="32">
        <v>14082.912749999989</v>
      </c>
      <c r="E10" s="32">
        <v>118400.77274999999</v>
      </c>
      <c r="F10" s="32"/>
      <c r="G10" s="32"/>
    </row>
    <row r="11" spans="1:7" x14ac:dyDescent="0.35">
      <c r="A11" s="5">
        <v>46552</v>
      </c>
      <c r="B11" s="32">
        <v>938860.82999999984</v>
      </c>
      <c r="C11" s="32">
        <v>104317.86</v>
      </c>
      <c r="D11" s="32">
        <v>12796.325846666659</v>
      </c>
      <c r="E11" s="32">
        <v>117114.18584666666</v>
      </c>
      <c r="F11" s="32"/>
      <c r="G11" s="32"/>
    </row>
    <row r="12" spans="1:7" x14ac:dyDescent="0.35">
      <c r="A12" s="5">
        <v>46644</v>
      </c>
      <c r="B12" s="32">
        <v>834542.96999999986</v>
      </c>
      <c r="C12" s="32">
        <v>104317.86</v>
      </c>
      <c r="D12" s="32">
        <v>11196.785326666657</v>
      </c>
      <c r="E12" s="32">
        <v>115514.64532666665</v>
      </c>
      <c r="F12" s="32"/>
      <c r="G12" s="32"/>
    </row>
    <row r="13" spans="1:7" x14ac:dyDescent="0.35">
      <c r="A13" s="5">
        <v>46735</v>
      </c>
      <c r="B13" s="32">
        <v>730225.10999999987</v>
      </c>
      <c r="C13" s="32">
        <v>104317.86</v>
      </c>
      <c r="D13" s="32">
        <v>9492.9269283333251</v>
      </c>
      <c r="E13" s="32">
        <v>113810.78692833333</v>
      </c>
      <c r="F13" s="32"/>
      <c r="G13" s="32"/>
    </row>
    <row r="14" spans="1:7" x14ac:dyDescent="0.35">
      <c r="A14" s="5">
        <v>46826</v>
      </c>
      <c r="B14" s="32">
        <v>625907.24999999988</v>
      </c>
      <c r="C14" s="32">
        <v>104317.86</v>
      </c>
      <c r="D14" s="32">
        <v>7910.7727183333245</v>
      </c>
      <c r="E14" s="32">
        <v>112228.63271833332</v>
      </c>
      <c r="F14" s="32"/>
      <c r="G14" s="32"/>
    </row>
    <row r="15" spans="1:7" x14ac:dyDescent="0.35">
      <c r="A15" s="5">
        <v>46918</v>
      </c>
      <c r="B15" s="32">
        <v>521589.3899999999</v>
      </c>
      <c r="C15" s="32">
        <v>104317.86</v>
      </c>
      <c r="D15" s="32">
        <v>6398.1637666666584</v>
      </c>
      <c r="E15" s="32">
        <v>110716.02376666667</v>
      </c>
      <c r="F15" s="32"/>
      <c r="G15" s="32"/>
    </row>
    <row r="16" spans="1:7" x14ac:dyDescent="0.35">
      <c r="A16" s="5">
        <v>47010</v>
      </c>
      <c r="B16" s="32">
        <v>417271.52999999991</v>
      </c>
      <c r="C16" s="32">
        <v>104317.86</v>
      </c>
      <c r="D16" s="32">
        <v>4798.6232466666588</v>
      </c>
      <c r="E16" s="32">
        <v>109116.48324666666</v>
      </c>
      <c r="F16" s="32"/>
      <c r="G16" s="32"/>
    </row>
    <row r="17" spans="1:7" x14ac:dyDescent="0.35">
      <c r="A17" s="5">
        <v>47101</v>
      </c>
      <c r="B17" s="32">
        <v>312953.66999999993</v>
      </c>
      <c r="C17" s="32">
        <v>104317.86</v>
      </c>
      <c r="D17" s="32">
        <v>3164.310088333325</v>
      </c>
      <c r="E17" s="32">
        <v>107482.17008833333</v>
      </c>
      <c r="F17" s="32"/>
      <c r="G17" s="32"/>
    </row>
    <row r="18" spans="1:7" x14ac:dyDescent="0.35">
      <c r="A18" s="5">
        <v>47191</v>
      </c>
      <c r="B18" s="32">
        <v>208635.69999999992</v>
      </c>
      <c r="C18" s="32">
        <v>104317.97</v>
      </c>
      <c r="D18" s="32">
        <v>1564.7695499999925</v>
      </c>
      <c r="E18" s="32">
        <v>105882.73955</v>
      </c>
      <c r="F18" s="32"/>
      <c r="G18" s="32"/>
    </row>
    <row r="19" spans="1:7" x14ac:dyDescent="0.35">
      <c r="A19" s="5">
        <v>47283</v>
      </c>
      <c r="B19" s="32">
        <v>104317.84999999992</v>
      </c>
      <c r="C19" s="32">
        <v>104317.85</v>
      </c>
      <c r="D19" s="32">
        <v>55983.92</v>
      </c>
      <c r="E19" s="32">
        <v>160301.77000000002</v>
      </c>
      <c r="F19" s="32"/>
      <c r="G19" s="32"/>
    </row>
    <row r="20" spans="1:7" x14ac:dyDescent="0.35">
      <c r="A20" s="5">
        <v>47375</v>
      </c>
      <c r="B20" s="32">
        <v>0</v>
      </c>
      <c r="C20" s="32">
        <v>104317.85</v>
      </c>
      <c r="D20" s="32">
        <v>53793.24</v>
      </c>
      <c r="E20" s="32">
        <v>158111.09</v>
      </c>
      <c r="F20" s="32"/>
      <c r="G20" s="3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ED0B9-D8F6-4A33-A1EC-0CA233BFC33D}">
  <dimension ref="A1:E27"/>
  <sheetViews>
    <sheetView workbookViewId="0">
      <selection activeCell="J38" sqref="J38"/>
    </sheetView>
  </sheetViews>
  <sheetFormatPr baseColWidth="10" defaultRowHeight="14.5" x14ac:dyDescent="0.35"/>
  <sheetData>
    <row r="1" spans="1:5" ht="29" x14ac:dyDescent="0.35">
      <c r="A1" s="43" t="s">
        <v>40</v>
      </c>
      <c r="B1" s="36" t="s">
        <v>36</v>
      </c>
      <c r="C1" s="36" t="s">
        <v>41</v>
      </c>
      <c r="D1" s="36" t="s">
        <v>42</v>
      </c>
      <c r="E1" s="36" t="s">
        <v>38</v>
      </c>
    </row>
    <row r="2" spans="1:5" x14ac:dyDescent="0.35">
      <c r="A2" s="5">
        <v>45848</v>
      </c>
      <c r="B2" s="32">
        <v>26010060.698803104</v>
      </c>
      <c r="C2" s="56"/>
      <c r="D2" s="56"/>
      <c r="E2" s="56"/>
    </row>
    <row r="3" spans="1:5" x14ac:dyDescent="0.35">
      <c r="A3" s="62">
        <v>45879</v>
      </c>
      <c r="B3" s="63">
        <v>25661049.488803104</v>
      </c>
      <c r="C3" s="63">
        <v>349011.21</v>
      </c>
      <c r="D3" s="63">
        <v>134385.3136104827</v>
      </c>
      <c r="E3" s="63">
        <v>483396.52361048269</v>
      </c>
    </row>
    <row r="4" spans="1:5" x14ac:dyDescent="0.35">
      <c r="A4" s="5">
        <v>45910</v>
      </c>
      <c r="B4" s="32">
        <v>25312038.278803103</v>
      </c>
      <c r="C4" s="32">
        <v>349011.21</v>
      </c>
      <c r="D4" s="32">
        <v>132582.08902548271</v>
      </c>
      <c r="E4" s="32">
        <v>481593.29902548273</v>
      </c>
    </row>
    <row r="5" spans="1:5" x14ac:dyDescent="0.35">
      <c r="A5" s="5">
        <v>45940</v>
      </c>
      <c r="B5" s="32">
        <v>24963027.068803102</v>
      </c>
      <c r="C5" s="32">
        <v>349011.21</v>
      </c>
      <c r="D5" s="32">
        <v>126560.19139401551</v>
      </c>
      <c r="E5" s="32">
        <v>475571.40139401553</v>
      </c>
    </row>
    <row r="6" spans="1:5" x14ac:dyDescent="0.35">
      <c r="A6" s="5">
        <v>45971</v>
      </c>
      <c r="B6" s="32">
        <v>24614015.858803101</v>
      </c>
      <c r="C6" s="32">
        <v>349011.21</v>
      </c>
      <c r="D6" s="32">
        <v>128975.6398554827</v>
      </c>
      <c r="E6" s="32">
        <v>477986.84985548269</v>
      </c>
    </row>
    <row r="7" spans="1:5" x14ac:dyDescent="0.35">
      <c r="A7" s="5">
        <v>46001</v>
      </c>
      <c r="B7" s="32">
        <v>24265004.6488031</v>
      </c>
      <c r="C7" s="32">
        <v>349011.21</v>
      </c>
      <c r="D7" s="32">
        <v>123070.07929401551</v>
      </c>
      <c r="E7" s="32">
        <v>472081.2892940155</v>
      </c>
    </row>
    <row r="8" spans="1:5" x14ac:dyDescent="0.35">
      <c r="A8" s="5">
        <v>46032</v>
      </c>
      <c r="B8" s="32">
        <v>23915993.438803099</v>
      </c>
      <c r="C8" s="32">
        <v>349011.21</v>
      </c>
      <c r="D8" s="32">
        <v>125369.1906854827</v>
      </c>
      <c r="E8" s="32">
        <v>474380.40068548272</v>
      </c>
    </row>
    <row r="9" spans="1:5" x14ac:dyDescent="0.35">
      <c r="A9" s="5">
        <v>46063</v>
      </c>
      <c r="B9" s="32">
        <v>23566982.228803098</v>
      </c>
      <c r="C9" s="32">
        <v>349011.21</v>
      </c>
      <c r="D9" s="32">
        <v>123565.96610048266</v>
      </c>
      <c r="E9" s="32">
        <v>472577.1761004827</v>
      </c>
    </row>
    <row r="10" spans="1:5" x14ac:dyDescent="0.35">
      <c r="A10" s="5">
        <v>46091</v>
      </c>
      <c r="B10" s="32">
        <v>23217971.018803097</v>
      </c>
      <c r="C10" s="32">
        <v>349011.21</v>
      </c>
      <c r="D10" s="32">
        <v>109979.25040108112</v>
      </c>
      <c r="E10" s="32">
        <v>458990.46040108113</v>
      </c>
    </row>
    <row r="11" spans="1:5" x14ac:dyDescent="0.35">
      <c r="A11" s="5">
        <v>46122</v>
      </c>
      <c r="B11" s="32">
        <v>22868959.808803096</v>
      </c>
      <c r="C11" s="32">
        <v>349011.21</v>
      </c>
      <c r="D11" s="32">
        <v>119959.51693048266</v>
      </c>
      <c r="E11" s="32">
        <v>468970.72693048266</v>
      </c>
    </row>
    <row r="12" spans="1:5" x14ac:dyDescent="0.35">
      <c r="A12" s="5">
        <v>46152</v>
      </c>
      <c r="B12" s="32">
        <v>22519948.598803096</v>
      </c>
      <c r="C12" s="32">
        <v>349011.21</v>
      </c>
      <c r="D12" s="32">
        <v>114344.79904401548</v>
      </c>
      <c r="E12" s="32">
        <v>463356.00904401549</v>
      </c>
    </row>
    <row r="13" spans="1:5" x14ac:dyDescent="0.35">
      <c r="A13" s="5">
        <v>46183</v>
      </c>
      <c r="B13" s="32">
        <v>22170937.388803095</v>
      </c>
      <c r="C13" s="32">
        <v>349011.21</v>
      </c>
      <c r="D13" s="32">
        <v>116353.06776048266</v>
      </c>
      <c r="E13" s="32">
        <v>465364.27776048268</v>
      </c>
    </row>
    <row r="14" spans="1:5" x14ac:dyDescent="0.35">
      <c r="A14" s="5">
        <v>46213</v>
      </c>
      <c r="B14" s="32">
        <v>20587299.008803096</v>
      </c>
      <c r="C14" s="32">
        <v>1583638.38</v>
      </c>
      <c r="D14" s="32">
        <v>110854.68694401547</v>
      </c>
      <c r="E14" s="32">
        <v>1694493.0669440154</v>
      </c>
    </row>
    <row r="15" spans="1:5" x14ac:dyDescent="0.35">
      <c r="A15" s="5">
        <v>46244</v>
      </c>
      <c r="B15" s="32">
        <v>19003660.628803097</v>
      </c>
      <c r="C15" s="32">
        <v>1583638.38</v>
      </c>
      <c r="D15" s="32">
        <v>106367.71154548267</v>
      </c>
      <c r="E15" s="32">
        <v>1690006.0915454826</v>
      </c>
    </row>
    <row r="16" spans="1:5" x14ac:dyDescent="0.35">
      <c r="A16" s="5">
        <v>46275</v>
      </c>
      <c r="B16" s="32">
        <v>17420022.248803098</v>
      </c>
      <c r="C16" s="32">
        <v>1583638.38</v>
      </c>
      <c r="D16" s="32">
        <v>98185.579915482682</v>
      </c>
      <c r="E16" s="32">
        <v>1681823.9599154827</v>
      </c>
    </row>
    <row r="17" spans="1:5" x14ac:dyDescent="0.35">
      <c r="A17" s="5">
        <v>46305</v>
      </c>
      <c r="B17" s="32">
        <v>15836383.868803099</v>
      </c>
      <c r="C17" s="32">
        <v>1583638.38</v>
      </c>
      <c r="D17" s="32">
        <v>87100.111244015483</v>
      </c>
      <c r="E17" s="32">
        <v>1670738.4912440153</v>
      </c>
    </row>
    <row r="18" spans="1:5" x14ac:dyDescent="0.35">
      <c r="A18" s="5">
        <v>46336</v>
      </c>
      <c r="B18" s="32">
        <v>14252745.4888031</v>
      </c>
      <c r="C18" s="32">
        <v>1583638.38</v>
      </c>
      <c r="D18" s="32">
        <v>81821.316655482675</v>
      </c>
      <c r="E18" s="32">
        <v>1665459.6966554825</v>
      </c>
    </row>
    <row r="19" spans="1:5" x14ac:dyDescent="0.35">
      <c r="A19" s="5">
        <v>46366</v>
      </c>
      <c r="B19" s="32">
        <v>12669107.108803101</v>
      </c>
      <c r="C19" s="32">
        <v>1583638.38</v>
      </c>
      <c r="D19" s="32">
        <v>71263.727444015502</v>
      </c>
      <c r="E19" s="32">
        <v>1654902.1074440153</v>
      </c>
    </row>
    <row r="20" spans="1:5" x14ac:dyDescent="0.35">
      <c r="A20" s="5">
        <v>46397</v>
      </c>
      <c r="B20" s="32">
        <v>11085468.728803102</v>
      </c>
      <c r="C20" s="32">
        <v>1583638.38</v>
      </c>
      <c r="D20" s="32">
        <v>65457.05339548269</v>
      </c>
      <c r="E20" s="32">
        <v>1649095.4333954826</v>
      </c>
    </row>
    <row r="21" spans="1:5" x14ac:dyDescent="0.35">
      <c r="A21" s="5">
        <v>46428</v>
      </c>
      <c r="B21" s="32">
        <v>9501830.348803103</v>
      </c>
      <c r="C21" s="32">
        <v>1583638.38</v>
      </c>
      <c r="D21" s="32">
        <v>57274.921765482693</v>
      </c>
      <c r="E21" s="32">
        <v>1640913.3017654826</v>
      </c>
    </row>
    <row r="22" spans="1:5" x14ac:dyDescent="0.35">
      <c r="A22" s="5">
        <v>46456</v>
      </c>
      <c r="B22" s="32">
        <v>7918191.9688031031</v>
      </c>
      <c r="C22" s="32">
        <v>1583638.38</v>
      </c>
      <c r="D22" s="32">
        <v>44341.87496108115</v>
      </c>
      <c r="E22" s="32">
        <v>1627980.2549610811</v>
      </c>
    </row>
    <row r="23" spans="1:5" x14ac:dyDescent="0.35">
      <c r="A23" s="5">
        <v>46487</v>
      </c>
      <c r="B23" s="32">
        <v>6334553.5888031032</v>
      </c>
      <c r="C23" s="32">
        <v>1583638.38</v>
      </c>
      <c r="D23" s="32">
        <v>40910.658505482701</v>
      </c>
      <c r="E23" s="32">
        <v>1624549.0385054825</v>
      </c>
    </row>
    <row r="24" spans="1:5" x14ac:dyDescent="0.35">
      <c r="A24" s="5">
        <v>46517</v>
      </c>
      <c r="B24" s="32">
        <v>4750915.2088031033</v>
      </c>
      <c r="C24" s="32">
        <v>1583638.38</v>
      </c>
      <c r="D24" s="32">
        <v>31672.767944015515</v>
      </c>
      <c r="E24" s="32">
        <v>1615311.1479440155</v>
      </c>
    </row>
    <row r="25" spans="1:5" x14ac:dyDescent="0.35">
      <c r="A25" s="5">
        <v>46548</v>
      </c>
      <c r="B25" s="32">
        <v>3167276.8288031034</v>
      </c>
      <c r="C25" s="32">
        <v>1583638.38</v>
      </c>
      <c r="D25" s="32">
        <v>24546.395245482694</v>
      </c>
      <c r="E25" s="32">
        <v>1608184.7752454826</v>
      </c>
    </row>
    <row r="26" spans="1:5" x14ac:dyDescent="0.35">
      <c r="A26" s="5">
        <v>46578</v>
      </c>
      <c r="B26" s="32">
        <v>1583638.4488031035</v>
      </c>
      <c r="C26" s="32">
        <v>1583638.38</v>
      </c>
      <c r="D26" s="32">
        <v>15836.384144015514</v>
      </c>
      <c r="E26" s="32">
        <v>1599474.7641440155</v>
      </c>
    </row>
    <row r="27" spans="1:5" x14ac:dyDescent="0.35">
      <c r="A27" s="5">
        <v>46609</v>
      </c>
      <c r="B27" s="32">
        <v>6.8803103640675545E-2</v>
      </c>
      <c r="C27" s="32">
        <v>1583638.38</v>
      </c>
      <c r="D27" s="32">
        <v>8182.1319854827016</v>
      </c>
      <c r="E27" s="32">
        <v>1591820.5119854826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CA56-3271-4DD8-808C-901697F512A0}">
  <dimension ref="A1:E39"/>
  <sheetViews>
    <sheetView workbookViewId="0">
      <selection activeCell="A2" sqref="A2:XFD2"/>
    </sheetView>
  </sheetViews>
  <sheetFormatPr baseColWidth="10" defaultRowHeight="14.5" x14ac:dyDescent="0.35"/>
  <sheetData>
    <row r="1" spans="1:5" ht="29" x14ac:dyDescent="0.35">
      <c r="A1" s="43" t="s">
        <v>40</v>
      </c>
      <c r="B1" s="36" t="s">
        <v>36</v>
      </c>
      <c r="C1" s="36" t="s">
        <v>41</v>
      </c>
      <c r="D1" s="36" t="s">
        <v>42</v>
      </c>
      <c r="E1" s="36" t="s">
        <v>38</v>
      </c>
    </row>
    <row r="2" spans="1:5" x14ac:dyDescent="0.35">
      <c r="A2" s="5">
        <v>45721</v>
      </c>
      <c r="B2" s="32">
        <v>9116955.5388674606</v>
      </c>
      <c r="C2" s="56"/>
      <c r="D2" s="56"/>
      <c r="E2" s="56"/>
    </row>
    <row r="3" spans="1:5" x14ac:dyDescent="0.35">
      <c r="A3" s="5">
        <v>45838</v>
      </c>
      <c r="B3" s="32">
        <v>9116955.5388674606</v>
      </c>
      <c r="C3" s="32">
        <v>0</v>
      </c>
      <c r="D3" s="32">
        <v>138152.48000000001</v>
      </c>
      <c r="E3" s="32">
        <v>138152.48000000001</v>
      </c>
    </row>
    <row r="4" spans="1:5" x14ac:dyDescent="0.35">
      <c r="A4" s="5">
        <v>45925</v>
      </c>
      <c r="B4" s="32">
        <v>9116955.5388674606</v>
      </c>
      <c r="C4" s="32">
        <v>0</v>
      </c>
      <c r="D4" s="32">
        <v>127789.32000000002</v>
      </c>
      <c r="E4" s="32">
        <v>127789.32000000002</v>
      </c>
    </row>
    <row r="5" spans="1:5" x14ac:dyDescent="0.35">
      <c r="A5" s="5">
        <v>46017</v>
      </c>
      <c r="B5" s="32">
        <v>9116955.5388674606</v>
      </c>
      <c r="C5" s="32">
        <v>0</v>
      </c>
      <c r="D5" s="32">
        <v>135133.54</v>
      </c>
      <c r="E5" s="32">
        <v>135133.54</v>
      </c>
    </row>
    <row r="6" spans="1:5" x14ac:dyDescent="0.35">
      <c r="A6" s="5">
        <v>46107</v>
      </c>
      <c r="B6" s="32">
        <v>9102049.97886746</v>
      </c>
      <c r="C6" s="32">
        <v>14905.56</v>
      </c>
      <c r="D6" s="32">
        <v>132195.85</v>
      </c>
      <c r="E6" s="32">
        <v>147101.41</v>
      </c>
    </row>
    <row r="7" spans="1:5" x14ac:dyDescent="0.35">
      <c r="A7" s="5">
        <v>46198</v>
      </c>
      <c r="B7" s="32">
        <v>9087144.3588674609</v>
      </c>
      <c r="C7" s="32">
        <v>14905.62</v>
      </c>
      <c r="D7" s="32">
        <v>133446.17000000001</v>
      </c>
      <c r="E7" s="32">
        <v>148351.79</v>
      </c>
    </row>
    <row r="8" spans="1:5" x14ac:dyDescent="0.35">
      <c r="A8" s="5">
        <v>46289</v>
      </c>
      <c r="B8" s="32">
        <v>8803171.0988674611</v>
      </c>
      <c r="C8" s="32">
        <v>283973.26</v>
      </c>
      <c r="D8" s="32">
        <v>133227.63</v>
      </c>
      <c r="E8" s="32">
        <v>417200.89</v>
      </c>
    </row>
    <row r="9" spans="1:5" x14ac:dyDescent="0.35">
      <c r="A9" s="5">
        <v>46380</v>
      </c>
      <c r="B9" s="32">
        <v>8519197.8388674613</v>
      </c>
      <c r="C9" s="32">
        <v>283973.26</v>
      </c>
      <c r="D9" s="32">
        <v>129064.27000000002</v>
      </c>
      <c r="E9" s="32">
        <v>413037.53</v>
      </c>
    </row>
    <row r="10" spans="1:5" x14ac:dyDescent="0.35">
      <c r="A10" s="5">
        <v>46471</v>
      </c>
      <c r="B10" s="32">
        <v>8235224.5788674615</v>
      </c>
      <c r="C10" s="32">
        <v>283973.26</v>
      </c>
      <c r="D10" s="32">
        <v>124900.9</v>
      </c>
      <c r="E10" s="32">
        <v>408874.16000000003</v>
      </c>
    </row>
    <row r="11" spans="1:5" x14ac:dyDescent="0.35">
      <c r="A11" s="5">
        <v>46562</v>
      </c>
      <c r="B11" s="32">
        <v>7951251.3188674618</v>
      </c>
      <c r="C11" s="32">
        <v>283973.26</v>
      </c>
      <c r="D11" s="32">
        <v>120737.54</v>
      </c>
      <c r="E11" s="32">
        <v>404710.8</v>
      </c>
    </row>
    <row r="12" spans="1:5" x14ac:dyDescent="0.35">
      <c r="A12" s="5">
        <v>46653</v>
      </c>
      <c r="B12" s="32">
        <v>7667278.058867462</v>
      </c>
      <c r="C12" s="32">
        <v>283973.26</v>
      </c>
      <c r="D12" s="32">
        <v>116574.18</v>
      </c>
      <c r="E12" s="32">
        <v>400547.44</v>
      </c>
    </row>
    <row r="13" spans="1:5" x14ac:dyDescent="0.35">
      <c r="A13" s="5">
        <v>46744</v>
      </c>
      <c r="B13" s="32">
        <v>7383304.7988674622</v>
      </c>
      <c r="C13" s="32">
        <v>283973.26</v>
      </c>
      <c r="D13" s="32">
        <v>112410.82</v>
      </c>
      <c r="E13" s="32">
        <v>396384.08</v>
      </c>
    </row>
    <row r="14" spans="1:5" x14ac:dyDescent="0.35">
      <c r="A14" s="5">
        <v>46835</v>
      </c>
      <c r="B14" s="32">
        <v>7099331.5388674624</v>
      </c>
      <c r="C14" s="32">
        <v>283973.26</v>
      </c>
      <c r="D14" s="32">
        <v>108247.45</v>
      </c>
      <c r="E14" s="32">
        <v>392220.71</v>
      </c>
    </row>
    <row r="15" spans="1:5" x14ac:dyDescent="0.35">
      <c r="A15" s="5">
        <v>46926</v>
      </c>
      <c r="B15" s="32">
        <v>6815358.2788674626</v>
      </c>
      <c r="C15" s="32">
        <v>283973.26</v>
      </c>
      <c r="D15" s="32">
        <v>104084.09</v>
      </c>
      <c r="E15" s="32">
        <v>388057.35</v>
      </c>
    </row>
    <row r="16" spans="1:5" x14ac:dyDescent="0.35">
      <c r="A16" s="5">
        <v>47017</v>
      </c>
      <c r="B16" s="32">
        <v>6531385.0188674629</v>
      </c>
      <c r="C16" s="32">
        <v>283973.26</v>
      </c>
      <c r="D16" s="32">
        <v>99920.72</v>
      </c>
      <c r="E16" s="32">
        <v>383893.98</v>
      </c>
    </row>
    <row r="17" spans="1:5" x14ac:dyDescent="0.35">
      <c r="A17" s="5">
        <v>47108</v>
      </c>
      <c r="B17" s="32">
        <v>6247411.7588674631</v>
      </c>
      <c r="C17" s="32">
        <v>283973.26</v>
      </c>
      <c r="D17" s="32">
        <v>95757.36</v>
      </c>
      <c r="E17" s="32">
        <v>379730.62</v>
      </c>
    </row>
    <row r="18" spans="1:5" x14ac:dyDescent="0.35">
      <c r="A18" s="5">
        <v>47199</v>
      </c>
      <c r="B18" s="32">
        <v>5963438.4988674633</v>
      </c>
      <c r="C18" s="32">
        <v>283973.26</v>
      </c>
      <c r="D18" s="32">
        <v>91594</v>
      </c>
      <c r="E18" s="32">
        <v>375567.26</v>
      </c>
    </row>
    <row r="19" spans="1:5" x14ac:dyDescent="0.35">
      <c r="A19" s="5">
        <v>47291</v>
      </c>
      <c r="B19" s="32">
        <v>5679465.2388674635</v>
      </c>
      <c r="C19" s="32">
        <v>283973.26</v>
      </c>
      <c r="D19" s="32">
        <v>88391.41</v>
      </c>
      <c r="E19" s="32">
        <v>372364.67000000004</v>
      </c>
    </row>
    <row r="20" spans="1:5" x14ac:dyDescent="0.35">
      <c r="A20" s="5">
        <v>47381</v>
      </c>
      <c r="B20" s="32">
        <v>5395491.9788674638</v>
      </c>
      <c r="C20" s="32">
        <v>283973.26</v>
      </c>
      <c r="D20" s="32">
        <v>82352.25</v>
      </c>
      <c r="E20" s="32">
        <v>366325.51</v>
      </c>
    </row>
    <row r="21" spans="1:5" x14ac:dyDescent="0.35">
      <c r="A21" s="5">
        <v>47472</v>
      </c>
      <c r="B21" s="32">
        <v>5111518.718867464</v>
      </c>
      <c r="C21" s="32">
        <v>283973.26</v>
      </c>
      <c r="D21" s="32">
        <v>79103.91</v>
      </c>
      <c r="E21" s="32">
        <v>363077.17000000004</v>
      </c>
    </row>
    <row r="22" spans="1:5" x14ac:dyDescent="0.35">
      <c r="A22" s="5">
        <v>47563</v>
      </c>
      <c r="B22" s="32">
        <v>4827545.4588674642</v>
      </c>
      <c r="C22" s="32">
        <v>283973.26</v>
      </c>
      <c r="D22" s="32">
        <v>74940.55</v>
      </c>
      <c r="E22" s="32">
        <v>358913.81</v>
      </c>
    </row>
    <row r="23" spans="1:5" x14ac:dyDescent="0.35">
      <c r="A23" s="5">
        <v>47656</v>
      </c>
      <c r="B23" s="32">
        <v>4543572.1988674644</v>
      </c>
      <c r="C23" s="32">
        <v>283973.26</v>
      </c>
      <c r="D23" s="32">
        <v>72332.72</v>
      </c>
      <c r="E23" s="32">
        <v>356305.98</v>
      </c>
    </row>
    <row r="24" spans="1:5" x14ac:dyDescent="0.35">
      <c r="A24" s="5">
        <v>47745</v>
      </c>
      <c r="B24" s="32">
        <v>4259598.9388674647</v>
      </c>
      <c r="C24" s="32">
        <v>283973.26</v>
      </c>
      <c r="D24" s="32">
        <v>65149.78</v>
      </c>
      <c r="E24" s="32">
        <v>349123.04000000004</v>
      </c>
    </row>
    <row r="25" spans="1:5" x14ac:dyDescent="0.35">
      <c r="A25" s="5">
        <v>47836</v>
      </c>
      <c r="B25" s="32">
        <v>3975625.6788674649</v>
      </c>
      <c r="C25" s="32">
        <v>283973.26</v>
      </c>
      <c r="D25" s="32">
        <v>62450.45</v>
      </c>
      <c r="E25" s="32">
        <v>346423.71</v>
      </c>
    </row>
    <row r="26" spans="1:5" x14ac:dyDescent="0.35">
      <c r="A26" s="5">
        <v>47927</v>
      </c>
      <c r="B26" s="32">
        <v>3691652.4188674651</v>
      </c>
      <c r="C26" s="32">
        <v>283973.26</v>
      </c>
      <c r="D26" s="32">
        <v>58287.09</v>
      </c>
      <c r="E26" s="32">
        <v>342260.35</v>
      </c>
    </row>
    <row r="27" spans="1:5" x14ac:dyDescent="0.35">
      <c r="A27" s="5">
        <v>48018</v>
      </c>
      <c r="B27" s="32">
        <v>3407679.1588674653</v>
      </c>
      <c r="C27" s="32">
        <v>283973.26</v>
      </c>
      <c r="D27" s="32">
        <v>54123.72</v>
      </c>
      <c r="E27" s="32">
        <v>338096.98</v>
      </c>
    </row>
    <row r="28" spans="1:5" x14ac:dyDescent="0.35">
      <c r="A28" s="5">
        <v>48109</v>
      </c>
      <c r="B28" s="32">
        <v>3123705.8988674656</v>
      </c>
      <c r="C28" s="32">
        <v>283973.26</v>
      </c>
      <c r="D28" s="32">
        <v>49960.37</v>
      </c>
      <c r="E28" s="32">
        <v>333933.63</v>
      </c>
    </row>
    <row r="29" spans="1:5" x14ac:dyDescent="0.35">
      <c r="A29" s="5">
        <v>48200</v>
      </c>
      <c r="B29" s="32">
        <v>2839732.6388674658</v>
      </c>
      <c r="C29" s="32">
        <v>283973.26</v>
      </c>
      <c r="D29" s="32">
        <v>45797</v>
      </c>
      <c r="E29" s="32">
        <v>329770.26</v>
      </c>
    </row>
    <row r="30" spans="1:5" x14ac:dyDescent="0.35">
      <c r="A30" s="5">
        <v>48291</v>
      </c>
      <c r="B30" s="32">
        <v>2555759.378867466</v>
      </c>
      <c r="C30" s="32">
        <v>283973.26</v>
      </c>
      <c r="D30" s="32">
        <v>41633.64</v>
      </c>
      <c r="E30" s="32">
        <v>325606.90000000002</v>
      </c>
    </row>
    <row r="31" spans="1:5" x14ac:dyDescent="0.35">
      <c r="A31" s="5">
        <v>48382</v>
      </c>
      <c r="B31" s="32">
        <v>2271786.1188674662</v>
      </c>
      <c r="C31" s="32">
        <v>283973.26</v>
      </c>
      <c r="D31" s="32">
        <v>37470.269999999997</v>
      </c>
      <c r="E31" s="32">
        <v>321443.53000000003</v>
      </c>
    </row>
    <row r="32" spans="1:5" x14ac:dyDescent="0.35">
      <c r="A32" s="5">
        <v>48473</v>
      </c>
      <c r="B32" s="32">
        <v>1987812.8588674662</v>
      </c>
      <c r="C32" s="32">
        <v>283973.26</v>
      </c>
      <c r="D32" s="32">
        <v>33306.910000000003</v>
      </c>
      <c r="E32" s="32">
        <v>317280.17000000004</v>
      </c>
    </row>
    <row r="33" spans="1:5" x14ac:dyDescent="0.35">
      <c r="A33" s="5">
        <v>48564</v>
      </c>
      <c r="B33" s="32">
        <v>1703839.5988674662</v>
      </c>
      <c r="C33" s="32">
        <v>283973.26</v>
      </c>
      <c r="D33" s="32">
        <v>29143.54</v>
      </c>
      <c r="E33" s="32">
        <v>313116.79999999999</v>
      </c>
    </row>
    <row r="34" spans="1:5" x14ac:dyDescent="0.35">
      <c r="A34" s="5">
        <v>48655</v>
      </c>
      <c r="B34" s="32">
        <v>1419866.3388674662</v>
      </c>
      <c r="C34" s="32">
        <v>283973.26</v>
      </c>
      <c r="D34" s="32">
        <v>24980.18</v>
      </c>
      <c r="E34" s="32">
        <v>308953.44</v>
      </c>
    </row>
    <row r="35" spans="1:5" x14ac:dyDescent="0.35">
      <c r="A35" s="5">
        <v>48747</v>
      </c>
      <c r="B35" s="32">
        <v>1135893.0788674592</v>
      </c>
      <c r="C35" s="32">
        <v>283973.26000000699</v>
      </c>
      <c r="D35" s="32">
        <v>21045.58</v>
      </c>
      <c r="E35" s="32">
        <v>305018.84000000701</v>
      </c>
    </row>
    <row r="36" spans="1:5" x14ac:dyDescent="0.35">
      <c r="A36" s="5">
        <v>48837</v>
      </c>
      <c r="B36" s="32">
        <v>851919.81886745919</v>
      </c>
      <c r="C36" s="32">
        <v>283973.26</v>
      </c>
      <c r="D36" s="32">
        <v>16470.45</v>
      </c>
      <c r="E36" s="32">
        <v>300443.71000000002</v>
      </c>
    </row>
    <row r="37" spans="1:5" x14ac:dyDescent="0.35">
      <c r="A37" s="5">
        <v>48928</v>
      </c>
      <c r="B37" s="32">
        <v>567946.55886745919</v>
      </c>
      <c r="C37" s="32">
        <v>283973.26</v>
      </c>
      <c r="D37" s="32">
        <v>12490.09</v>
      </c>
      <c r="E37" s="32">
        <v>296463.35000000003</v>
      </c>
    </row>
    <row r="38" spans="1:5" x14ac:dyDescent="0.35">
      <c r="A38" s="5">
        <v>49019</v>
      </c>
      <c r="B38" s="32">
        <v>283973.29886745918</v>
      </c>
      <c r="C38" s="32">
        <v>283973.26</v>
      </c>
      <c r="D38" s="32">
        <v>8326.73</v>
      </c>
      <c r="E38" s="32">
        <v>292299.99</v>
      </c>
    </row>
    <row r="39" spans="1:5" x14ac:dyDescent="0.35">
      <c r="A39" s="5">
        <v>49111</v>
      </c>
      <c r="B39" s="32">
        <v>3.8867459166795015E-2</v>
      </c>
      <c r="C39" s="32">
        <v>283973.26</v>
      </c>
      <c r="D39" s="32">
        <v>4209.12</v>
      </c>
      <c r="E39" s="32">
        <v>288182.38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22E0-BA9D-43EE-B651-3D8D6D0961C0}">
  <dimension ref="A1:E35"/>
  <sheetViews>
    <sheetView workbookViewId="0">
      <selection activeCell="H16" sqref="H16"/>
    </sheetView>
  </sheetViews>
  <sheetFormatPr baseColWidth="10" defaultRowHeight="14.5" x14ac:dyDescent="0.35"/>
  <sheetData>
    <row r="1" spans="1:5" ht="29" x14ac:dyDescent="0.35">
      <c r="A1" s="43" t="s">
        <v>40</v>
      </c>
      <c r="B1" s="36" t="s">
        <v>36</v>
      </c>
      <c r="C1" s="36" t="s">
        <v>41</v>
      </c>
      <c r="D1" s="36" t="s">
        <v>42</v>
      </c>
      <c r="E1" s="36" t="s">
        <v>38</v>
      </c>
    </row>
    <row r="2" spans="1:5" x14ac:dyDescent="0.35">
      <c r="A2" s="5">
        <v>45721</v>
      </c>
      <c r="B2" s="32">
        <v>1109707.8726865982</v>
      </c>
      <c r="C2" s="56"/>
      <c r="D2" s="56"/>
      <c r="E2" s="56"/>
    </row>
    <row r="3" spans="1:5" x14ac:dyDescent="0.35">
      <c r="A3" s="5">
        <v>45838</v>
      </c>
      <c r="B3" s="32">
        <v>1109707.8726865982</v>
      </c>
      <c r="C3" s="32">
        <v>0</v>
      </c>
      <c r="D3" s="32">
        <v>16421.12</v>
      </c>
      <c r="E3" s="32">
        <v>16421.12</v>
      </c>
    </row>
    <row r="4" spans="1:5" x14ac:dyDescent="0.35">
      <c r="A4" s="5">
        <v>45936</v>
      </c>
      <c r="B4" s="32">
        <v>1109707.8726865982</v>
      </c>
      <c r="C4" s="32">
        <v>0</v>
      </c>
      <c r="D4" s="32">
        <v>17581.471729598004</v>
      </c>
      <c r="E4" s="32">
        <v>17581.471729598004</v>
      </c>
    </row>
    <row r="5" spans="1:5" x14ac:dyDescent="0.35">
      <c r="A5" s="5">
        <v>46027</v>
      </c>
      <c r="B5" s="32">
        <v>1109707.8726865982</v>
      </c>
      <c r="C5" s="32">
        <v>0</v>
      </c>
      <c r="D5" s="32">
        <v>16325.652320341003</v>
      </c>
      <c r="E5" s="32">
        <v>16325.652320341003</v>
      </c>
    </row>
    <row r="6" spans="1:5" x14ac:dyDescent="0.35">
      <c r="A6" s="5">
        <v>46118</v>
      </c>
      <c r="B6" s="32">
        <v>1107774.2426865983</v>
      </c>
      <c r="C6" s="32">
        <v>1933.63</v>
      </c>
      <c r="D6" s="32">
        <v>16325.652320341003</v>
      </c>
      <c r="E6" s="32">
        <v>18259.282320341004</v>
      </c>
    </row>
    <row r="7" spans="1:5" x14ac:dyDescent="0.35">
      <c r="A7" s="5">
        <v>46209</v>
      </c>
      <c r="B7" s="32">
        <v>1105840.5926865984</v>
      </c>
      <c r="C7" s="32">
        <v>1933.65</v>
      </c>
      <c r="D7" s="32">
        <v>16297.205400324339</v>
      </c>
      <c r="E7" s="32">
        <v>18230.855400324341</v>
      </c>
    </row>
    <row r="8" spans="1:5" x14ac:dyDescent="0.35">
      <c r="A8" s="5">
        <v>46300</v>
      </c>
      <c r="B8" s="32">
        <v>1066346.2826865984</v>
      </c>
      <c r="C8" s="32">
        <v>39494.31</v>
      </c>
      <c r="D8" s="32">
        <v>16268.758186074341</v>
      </c>
      <c r="E8" s="32">
        <v>55763.068186074335</v>
      </c>
    </row>
    <row r="9" spans="1:5" x14ac:dyDescent="0.35">
      <c r="A9" s="5">
        <v>46392</v>
      </c>
      <c r="B9" s="32">
        <v>1026851.9726865983</v>
      </c>
      <c r="C9" s="32">
        <v>39494.31</v>
      </c>
      <c r="D9" s="32">
        <v>15860.123711158674</v>
      </c>
      <c r="E9" s="32">
        <v>55354.433711158672</v>
      </c>
    </row>
    <row r="10" spans="1:5" x14ac:dyDescent="0.35">
      <c r="A10" s="5">
        <v>46482</v>
      </c>
      <c r="B10" s="32">
        <v>987357.66268659825</v>
      </c>
      <c r="C10" s="32">
        <v>39494.31</v>
      </c>
      <c r="D10" s="32">
        <v>14940.696202590007</v>
      </c>
      <c r="E10" s="32">
        <v>54435.006202590004</v>
      </c>
    </row>
    <row r="11" spans="1:5" x14ac:dyDescent="0.35">
      <c r="A11" s="5">
        <v>46573</v>
      </c>
      <c r="B11" s="32">
        <v>947863.3526865982</v>
      </c>
      <c r="C11" s="32">
        <v>39494.31</v>
      </c>
      <c r="D11" s="32">
        <v>14525.67681422434</v>
      </c>
      <c r="E11" s="32">
        <v>54019.986814224336</v>
      </c>
    </row>
    <row r="12" spans="1:5" x14ac:dyDescent="0.35">
      <c r="A12" s="5">
        <v>46665</v>
      </c>
      <c r="B12" s="32">
        <v>908369.04268659814</v>
      </c>
      <c r="C12" s="32">
        <v>39494.31</v>
      </c>
      <c r="D12" s="32">
        <v>14097.88759895867</v>
      </c>
      <c r="E12" s="32">
        <v>53592.197598958664</v>
      </c>
    </row>
    <row r="13" spans="1:5" x14ac:dyDescent="0.35">
      <c r="A13" s="5">
        <v>46757</v>
      </c>
      <c r="B13" s="32">
        <v>868874.73268659809</v>
      </c>
      <c r="C13" s="32">
        <v>39494.31</v>
      </c>
      <c r="D13" s="32">
        <v>13510.475561558669</v>
      </c>
      <c r="E13" s="32">
        <v>53004.785561558667</v>
      </c>
    </row>
    <row r="14" spans="1:5" x14ac:dyDescent="0.35">
      <c r="A14" s="5">
        <v>46848</v>
      </c>
      <c r="B14" s="32">
        <v>829380.42268659803</v>
      </c>
      <c r="C14" s="32">
        <v>39494.31</v>
      </c>
      <c r="D14" s="32">
        <v>12782.595442374335</v>
      </c>
      <c r="E14" s="32">
        <v>52276.905442374336</v>
      </c>
    </row>
    <row r="15" spans="1:5" x14ac:dyDescent="0.35">
      <c r="A15" s="5">
        <v>46939</v>
      </c>
      <c r="B15" s="32">
        <v>789886.11268659797</v>
      </c>
      <c r="C15" s="32">
        <v>39494.31</v>
      </c>
      <c r="D15" s="32">
        <v>12201.568318424335</v>
      </c>
      <c r="E15" s="32">
        <v>51695.878318424337</v>
      </c>
    </row>
    <row r="16" spans="1:5" x14ac:dyDescent="0.35">
      <c r="A16" s="5">
        <v>47031</v>
      </c>
      <c r="B16" s="32">
        <v>750391.80268659792</v>
      </c>
      <c r="C16" s="32">
        <v>39494.31</v>
      </c>
      <c r="D16" s="32">
        <v>11748.239449358667</v>
      </c>
      <c r="E16" s="32">
        <v>51242.549449358667</v>
      </c>
    </row>
    <row r="17" spans="1:5" x14ac:dyDescent="0.35">
      <c r="A17" s="5">
        <v>47123</v>
      </c>
      <c r="B17" s="32">
        <v>710897.49268659786</v>
      </c>
      <c r="C17" s="32">
        <v>39494.31</v>
      </c>
      <c r="D17" s="32">
        <v>11160.827411958668</v>
      </c>
      <c r="E17" s="32">
        <v>50655.137411958669</v>
      </c>
    </row>
    <row r="18" spans="1:5" x14ac:dyDescent="0.35">
      <c r="A18" s="5">
        <v>47213</v>
      </c>
      <c r="B18" s="32">
        <v>671403.18268659781</v>
      </c>
      <c r="C18" s="32">
        <v>39494.31</v>
      </c>
      <c r="D18" s="32">
        <v>10343.55851859</v>
      </c>
      <c r="E18" s="32">
        <v>49837.868518589996</v>
      </c>
    </row>
    <row r="19" spans="1:5" x14ac:dyDescent="0.35">
      <c r="A19" s="5">
        <v>47304</v>
      </c>
      <c r="B19" s="32">
        <v>631908.87268659775</v>
      </c>
      <c r="C19" s="32">
        <v>39494.31</v>
      </c>
      <c r="D19" s="32">
        <v>9877.4598226243324</v>
      </c>
      <c r="E19" s="32">
        <v>49371.76982262433</v>
      </c>
    </row>
    <row r="20" spans="1:5" x14ac:dyDescent="0.35">
      <c r="A20" s="5">
        <v>47396</v>
      </c>
      <c r="B20" s="32">
        <v>592414.5626865977</v>
      </c>
      <c r="C20" s="32">
        <v>39494.31</v>
      </c>
      <c r="D20" s="32">
        <v>9398.5912997586638</v>
      </c>
      <c r="E20" s="32">
        <v>48892.901299758661</v>
      </c>
    </row>
    <row r="21" spans="1:5" x14ac:dyDescent="0.35">
      <c r="A21" s="5">
        <v>47490</v>
      </c>
      <c r="B21" s="32">
        <v>552920.25268659764</v>
      </c>
      <c r="C21" s="32">
        <v>39494.31</v>
      </c>
      <c r="D21" s="32">
        <v>9002.726637627331</v>
      </c>
      <c r="E21" s="32">
        <v>48497.03663762733</v>
      </c>
    </row>
    <row r="22" spans="1:5" x14ac:dyDescent="0.35">
      <c r="A22" s="5">
        <v>47578</v>
      </c>
      <c r="B22" s="32">
        <v>513425.94268659764</v>
      </c>
      <c r="C22" s="32">
        <v>39494.31</v>
      </c>
      <c r="D22" s="32">
        <v>7866.2121282213293</v>
      </c>
      <c r="E22" s="32">
        <v>47360.522128221324</v>
      </c>
    </row>
    <row r="23" spans="1:5" x14ac:dyDescent="0.35">
      <c r="A23" s="5">
        <v>47669</v>
      </c>
      <c r="B23" s="32">
        <v>473931.63268659764</v>
      </c>
      <c r="C23" s="32">
        <v>39494.31</v>
      </c>
      <c r="D23" s="32">
        <v>7553.3513268243287</v>
      </c>
      <c r="E23" s="32">
        <v>47047.661326824324</v>
      </c>
    </row>
    <row r="24" spans="1:5" x14ac:dyDescent="0.35">
      <c r="A24" s="5">
        <v>47763</v>
      </c>
      <c r="B24" s="32">
        <v>434437.32268659765</v>
      </c>
      <c r="C24" s="32">
        <v>39494.31</v>
      </c>
      <c r="D24" s="32">
        <v>7202.1810447273283</v>
      </c>
      <c r="E24" s="32">
        <v>46696.491044727329</v>
      </c>
    </row>
    <row r="25" spans="1:5" x14ac:dyDescent="0.35">
      <c r="A25" s="5">
        <v>47854</v>
      </c>
      <c r="B25" s="32">
        <v>394943.01268659765</v>
      </c>
      <c r="C25" s="32">
        <v>39494.31</v>
      </c>
      <c r="D25" s="32">
        <v>6391.2970789243282</v>
      </c>
      <c r="E25" s="32">
        <v>45885.607078924324</v>
      </c>
    </row>
    <row r="26" spans="1:5" x14ac:dyDescent="0.35">
      <c r="A26" s="5">
        <v>47945</v>
      </c>
      <c r="B26" s="32">
        <v>355448.70268659765</v>
      </c>
      <c r="C26" s="32">
        <v>39494.31</v>
      </c>
      <c r="D26" s="32">
        <v>5810.2699549743284</v>
      </c>
      <c r="E26" s="32">
        <v>45304.579954974324</v>
      </c>
    </row>
    <row r="27" spans="1:5" x14ac:dyDescent="0.35">
      <c r="A27" s="5">
        <v>48036</v>
      </c>
      <c r="B27" s="32">
        <v>315954.39268659765</v>
      </c>
      <c r="C27" s="32">
        <v>39494.31</v>
      </c>
      <c r="D27" s="32">
        <v>5229.2428310243286</v>
      </c>
      <c r="E27" s="32">
        <v>44723.552831024324</v>
      </c>
    </row>
    <row r="28" spans="1:5" x14ac:dyDescent="0.35">
      <c r="A28" s="5">
        <v>48127</v>
      </c>
      <c r="B28" s="32">
        <v>276460.08268659766</v>
      </c>
      <c r="C28" s="32">
        <v>39494.31</v>
      </c>
      <c r="D28" s="32">
        <v>4648.2157070743287</v>
      </c>
      <c r="E28" s="32">
        <v>44142.525707074325</v>
      </c>
    </row>
    <row r="29" spans="1:5" x14ac:dyDescent="0.35">
      <c r="A29" s="5">
        <v>48218</v>
      </c>
      <c r="B29" s="32">
        <v>236965.77268659766</v>
      </c>
      <c r="C29" s="32">
        <v>39494.31</v>
      </c>
      <c r="D29" s="32">
        <v>4067.1885831243294</v>
      </c>
      <c r="E29" s="32">
        <v>43561.498583124325</v>
      </c>
    </row>
    <row r="30" spans="1:5" x14ac:dyDescent="0.35">
      <c r="A30" s="5">
        <v>48309</v>
      </c>
      <c r="B30" s="32">
        <v>197471.46268659766</v>
      </c>
      <c r="C30" s="32">
        <v>39494.31</v>
      </c>
      <c r="D30" s="32">
        <v>3486.1614591743291</v>
      </c>
      <c r="E30" s="32">
        <v>42980.471459174325</v>
      </c>
    </row>
    <row r="31" spans="1:5" x14ac:dyDescent="0.35">
      <c r="A31" s="5">
        <v>48400</v>
      </c>
      <c r="B31" s="32">
        <v>157977.15268659766</v>
      </c>
      <c r="C31" s="32">
        <v>39494.31</v>
      </c>
      <c r="D31" s="32">
        <v>2905.1343352243293</v>
      </c>
      <c r="E31" s="32">
        <v>42399.444335224325</v>
      </c>
    </row>
    <row r="32" spans="1:5" x14ac:dyDescent="0.35">
      <c r="A32" s="5">
        <v>48492</v>
      </c>
      <c r="B32" s="32">
        <v>118482.84268659767</v>
      </c>
      <c r="C32" s="32">
        <v>39494.31</v>
      </c>
      <c r="D32" s="32">
        <v>2349.6468509586625</v>
      </c>
      <c r="E32" s="32">
        <v>41843.956850958661</v>
      </c>
    </row>
    <row r="33" spans="1:5" x14ac:dyDescent="0.35">
      <c r="A33" s="5">
        <v>48584</v>
      </c>
      <c r="B33" s="32">
        <v>78988.532686597668</v>
      </c>
      <c r="C33" s="32">
        <v>39494.31</v>
      </c>
      <c r="D33" s="32">
        <v>1762.2348135586628</v>
      </c>
      <c r="E33" s="32">
        <v>41256.544813558663</v>
      </c>
    </row>
    <row r="34" spans="1:5" x14ac:dyDescent="0.35">
      <c r="A34" s="5">
        <v>48674</v>
      </c>
      <c r="B34" s="32">
        <v>39494.22268659767</v>
      </c>
      <c r="C34" s="32">
        <v>39494.31</v>
      </c>
      <c r="D34" s="32">
        <v>1149.283150589996</v>
      </c>
      <c r="E34" s="32">
        <v>40643.593150589993</v>
      </c>
    </row>
    <row r="35" spans="1:5" x14ac:dyDescent="0.35">
      <c r="A35" s="5">
        <v>48765</v>
      </c>
      <c r="B35" s="32">
        <v>-8.73134023277089E-2</v>
      </c>
      <c r="C35" s="32">
        <v>39494.31</v>
      </c>
      <c r="D35" s="32">
        <v>581.02583942432932</v>
      </c>
      <c r="E35" s="32">
        <v>40075.335839424326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BCBDA-C8F3-4BB0-A2D1-FB5EF35EB2E0}">
  <dimension ref="A1:E40"/>
  <sheetViews>
    <sheetView workbookViewId="0">
      <selection activeCell="G8" sqref="G8"/>
    </sheetView>
  </sheetViews>
  <sheetFormatPr baseColWidth="10" defaultRowHeight="14.5" x14ac:dyDescent="0.35"/>
  <cols>
    <col min="2" max="2" width="12.453125" bestFit="1" customWidth="1"/>
  </cols>
  <sheetData>
    <row r="1" spans="1:5" ht="29" x14ac:dyDescent="0.35">
      <c r="A1" s="43" t="s">
        <v>40</v>
      </c>
      <c r="B1" s="36" t="s">
        <v>36</v>
      </c>
      <c r="C1" s="36" t="s">
        <v>41</v>
      </c>
      <c r="D1" s="36" t="s">
        <v>42</v>
      </c>
      <c r="E1" s="36" t="s">
        <v>38</v>
      </c>
    </row>
    <row r="2" spans="1:5" x14ac:dyDescent="0.35">
      <c r="A2" s="58">
        <v>45657</v>
      </c>
      <c r="B2" s="32">
        <v>2794681.5</v>
      </c>
      <c r="C2" s="56"/>
      <c r="D2" s="56"/>
      <c r="E2" s="56"/>
    </row>
    <row r="3" spans="1:5" x14ac:dyDescent="0.35">
      <c r="A3" s="5">
        <v>45721</v>
      </c>
      <c r="B3" s="32">
        <v>2794681.5</v>
      </c>
      <c r="C3" s="32">
        <v>0</v>
      </c>
      <c r="D3" s="32">
        <v>17114.156346866665</v>
      </c>
      <c r="E3" s="32">
        <v>17200.556346866666</v>
      </c>
    </row>
    <row r="4" spans="1:5" x14ac:dyDescent="0.35">
      <c r="A4" s="5">
        <v>45838</v>
      </c>
      <c r="B4" s="32">
        <v>2794681.5</v>
      </c>
      <c r="C4" s="32">
        <v>0</v>
      </c>
      <c r="D4" s="32">
        <v>38370.469999999994</v>
      </c>
      <c r="E4" s="32">
        <v>58214.95</v>
      </c>
    </row>
    <row r="5" spans="1:5" x14ac:dyDescent="0.35">
      <c r="A5" s="5">
        <v>45925</v>
      </c>
      <c r="B5" s="32">
        <v>2794681.5</v>
      </c>
      <c r="C5" s="32">
        <v>0</v>
      </c>
      <c r="D5" s="32">
        <v>17027.759999999995</v>
      </c>
      <c r="E5" s="32">
        <v>17027.759999999995</v>
      </c>
    </row>
    <row r="6" spans="1:5" x14ac:dyDescent="0.35">
      <c r="A6" s="5">
        <v>46017</v>
      </c>
      <c r="B6" s="32">
        <v>2794681.5</v>
      </c>
      <c r="C6" s="32">
        <v>0</v>
      </c>
      <c r="D6" s="32">
        <v>18006.37</v>
      </c>
      <c r="E6" s="32">
        <v>18006.37</v>
      </c>
    </row>
    <row r="7" spans="1:5" x14ac:dyDescent="0.35">
      <c r="A7" s="5">
        <v>46107</v>
      </c>
      <c r="B7" s="32">
        <v>2789681.47</v>
      </c>
      <c r="C7" s="32">
        <v>5000.03</v>
      </c>
      <c r="D7" s="32">
        <v>18235.060000000001</v>
      </c>
      <c r="E7" s="32">
        <v>23235.09</v>
      </c>
    </row>
    <row r="8" spans="1:5" x14ac:dyDescent="0.35">
      <c r="A8" s="5">
        <v>46198</v>
      </c>
      <c r="B8" s="32">
        <v>2784681.47</v>
      </c>
      <c r="C8" s="32">
        <v>5000</v>
      </c>
      <c r="D8" s="32">
        <v>18355.080000000002</v>
      </c>
      <c r="E8" s="32">
        <v>23355.08</v>
      </c>
    </row>
    <row r="9" spans="1:5" x14ac:dyDescent="0.35">
      <c r="A9" s="5">
        <v>46289</v>
      </c>
      <c r="B9" s="32">
        <v>2744464.62</v>
      </c>
      <c r="C9" s="32">
        <v>40216.85</v>
      </c>
      <c r="D9" s="32">
        <v>18279.37</v>
      </c>
      <c r="E9" s="32">
        <v>58496.22</v>
      </c>
    </row>
    <row r="10" spans="1:5" x14ac:dyDescent="0.35">
      <c r="A10" s="5">
        <v>46380</v>
      </c>
      <c r="B10" s="32">
        <v>2704247.77</v>
      </c>
      <c r="C10" s="32">
        <v>40216.85</v>
      </c>
      <c r="D10" s="32">
        <v>17670.43</v>
      </c>
      <c r="E10" s="32">
        <v>57887.28</v>
      </c>
    </row>
    <row r="11" spans="1:5" x14ac:dyDescent="0.35">
      <c r="A11" s="5">
        <v>46471</v>
      </c>
      <c r="B11" s="32">
        <v>2664030.92</v>
      </c>
      <c r="C11" s="32">
        <v>40216.85</v>
      </c>
      <c r="D11" s="32">
        <v>17061.490000000002</v>
      </c>
      <c r="E11" s="32">
        <v>57278.34</v>
      </c>
    </row>
    <row r="12" spans="1:5" x14ac:dyDescent="0.35">
      <c r="A12" s="5">
        <v>46562</v>
      </c>
      <c r="B12" s="32">
        <v>2623814.0699999998</v>
      </c>
      <c r="C12" s="32">
        <v>40216.85</v>
      </c>
      <c r="D12" s="32">
        <v>16452.55</v>
      </c>
      <c r="E12" s="32">
        <v>56669.399999999994</v>
      </c>
    </row>
    <row r="13" spans="1:5" x14ac:dyDescent="0.35">
      <c r="A13" s="5">
        <v>46653</v>
      </c>
      <c r="B13" s="32">
        <v>2583597.2199999997</v>
      </c>
      <c r="C13" s="32">
        <v>40216.85</v>
      </c>
      <c r="D13" s="32">
        <v>15843.61</v>
      </c>
      <c r="E13" s="32">
        <v>56060.46</v>
      </c>
    </row>
    <row r="14" spans="1:5" x14ac:dyDescent="0.35">
      <c r="A14" s="5">
        <v>46744</v>
      </c>
      <c r="B14" s="32">
        <v>2543380.3699999996</v>
      </c>
      <c r="C14" s="32">
        <v>40216.85</v>
      </c>
      <c r="D14" s="32">
        <v>15234.68</v>
      </c>
      <c r="E14" s="32">
        <v>55451.53</v>
      </c>
    </row>
    <row r="15" spans="1:5" x14ac:dyDescent="0.35">
      <c r="A15" s="5">
        <v>46835</v>
      </c>
      <c r="B15" s="32">
        <v>2503163.5199999996</v>
      </c>
      <c r="C15" s="32">
        <v>40216.85</v>
      </c>
      <c r="D15" s="32">
        <v>14625.74</v>
      </c>
      <c r="E15" s="32">
        <v>54842.59</v>
      </c>
    </row>
    <row r="16" spans="1:5" x14ac:dyDescent="0.35">
      <c r="A16" s="5">
        <v>46926</v>
      </c>
      <c r="B16" s="32">
        <v>2462946.6699999995</v>
      </c>
      <c r="C16" s="32">
        <v>40216.85</v>
      </c>
      <c r="D16" s="32">
        <v>14016.8</v>
      </c>
      <c r="E16" s="32">
        <v>54233.649999999994</v>
      </c>
    </row>
    <row r="17" spans="1:5" x14ac:dyDescent="0.35">
      <c r="A17" s="5">
        <v>47017</v>
      </c>
      <c r="B17" s="32">
        <v>2422729.8199999994</v>
      </c>
      <c r="C17" s="32">
        <v>40216.85</v>
      </c>
      <c r="D17" s="32">
        <v>13407.86</v>
      </c>
      <c r="E17" s="32">
        <v>53624.71</v>
      </c>
    </row>
    <row r="18" spans="1:5" x14ac:dyDescent="0.35">
      <c r="A18" s="5">
        <v>47108</v>
      </c>
      <c r="B18" s="32">
        <v>2382512.9699999993</v>
      </c>
      <c r="C18" s="32">
        <v>40216.85</v>
      </c>
      <c r="D18" s="32">
        <v>12798.92</v>
      </c>
      <c r="E18" s="32">
        <v>53015.77</v>
      </c>
    </row>
    <row r="19" spans="1:5" x14ac:dyDescent="0.35">
      <c r="A19" s="5">
        <v>47199</v>
      </c>
      <c r="B19" s="32">
        <v>2342296.1199999992</v>
      </c>
      <c r="C19" s="32">
        <v>40216.85</v>
      </c>
      <c r="D19" s="32">
        <v>12189.98</v>
      </c>
      <c r="E19" s="32">
        <v>52406.83</v>
      </c>
    </row>
    <row r="20" spans="1:5" x14ac:dyDescent="0.35">
      <c r="A20" s="5">
        <v>47291</v>
      </c>
      <c r="B20" s="32">
        <v>2302079.2699999991</v>
      </c>
      <c r="C20" s="32">
        <v>40216.85</v>
      </c>
      <c r="D20" s="32">
        <v>11701.49</v>
      </c>
      <c r="E20" s="32">
        <v>51918.34</v>
      </c>
    </row>
    <row r="21" spans="1:5" x14ac:dyDescent="0.35">
      <c r="A21" s="5">
        <v>47381</v>
      </c>
      <c r="B21" s="32">
        <v>2261862.419999999</v>
      </c>
      <c r="C21" s="32">
        <v>40216.85</v>
      </c>
      <c r="D21" s="32">
        <v>10858.34</v>
      </c>
      <c r="E21" s="32">
        <v>51075.19</v>
      </c>
    </row>
    <row r="22" spans="1:5" x14ac:dyDescent="0.35">
      <c r="A22" s="5">
        <v>47472</v>
      </c>
      <c r="B22" s="32">
        <v>2221645.5699999989</v>
      </c>
      <c r="C22" s="32">
        <v>40216.85</v>
      </c>
      <c r="D22" s="32">
        <v>10363.16</v>
      </c>
      <c r="E22" s="32">
        <v>50580.009999999995</v>
      </c>
    </row>
    <row r="23" spans="1:5" x14ac:dyDescent="0.35">
      <c r="A23" s="5">
        <v>47563</v>
      </c>
      <c r="B23" s="32">
        <v>2181428.7199999988</v>
      </c>
      <c r="C23" s="32">
        <v>40216.85</v>
      </c>
      <c r="D23" s="32">
        <v>9754.2199999999993</v>
      </c>
      <c r="E23" s="32">
        <v>49971.07</v>
      </c>
    </row>
    <row r="24" spans="1:5" x14ac:dyDescent="0.35">
      <c r="A24" s="5">
        <v>47656</v>
      </c>
      <c r="B24" s="32">
        <v>2141211.8699999987</v>
      </c>
      <c r="C24" s="32">
        <v>40216.85</v>
      </c>
      <c r="D24" s="32">
        <v>9332.65</v>
      </c>
      <c r="E24" s="32">
        <v>49549.5</v>
      </c>
    </row>
    <row r="25" spans="1:5" x14ac:dyDescent="0.35">
      <c r="A25" s="5">
        <v>47745</v>
      </c>
      <c r="B25" s="32">
        <v>2100995.0199999986</v>
      </c>
      <c r="C25" s="32">
        <v>40216.85</v>
      </c>
      <c r="D25" s="32">
        <v>8362.36</v>
      </c>
      <c r="E25" s="32">
        <v>48579.21</v>
      </c>
    </row>
    <row r="26" spans="1:5" x14ac:dyDescent="0.35">
      <c r="A26" s="5">
        <v>47836</v>
      </c>
      <c r="B26" s="32">
        <v>2060778.1699999985</v>
      </c>
      <c r="C26" s="32">
        <v>40216.85</v>
      </c>
      <c r="D26" s="32">
        <v>7927.41</v>
      </c>
      <c r="E26" s="32">
        <v>48144.259999999995</v>
      </c>
    </row>
    <row r="27" spans="1:5" x14ac:dyDescent="0.35">
      <c r="A27" s="5">
        <v>47927</v>
      </c>
      <c r="B27" s="32">
        <v>2020561.3199999984</v>
      </c>
      <c r="C27" s="32">
        <v>40216.85</v>
      </c>
      <c r="D27" s="32">
        <v>7318.47</v>
      </c>
      <c r="E27" s="32">
        <v>47535.32</v>
      </c>
    </row>
    <row r="28" spans="1:5" x14ac:dyDescent="0.35">
      <c r="A28" s="5">
        <v>48018</v>
      </c>
      <c r="B28" s="32">
        <v>1980344.4699999983</v>
      </c>
      <c r="C28" s="32">
        <v>40216.85</v>
      </c>
      <c r="D28" s="32">
        <v>6709.53</v>
      </c>
      <c r="E28" s="32">
        <v>46926.38</v>
      </c>
    </row>
    <row r="29" spans="1:5" x14ac:dyDescent="0.35">
      <c r="A29" s="5">
        <v>48109</v>
      </c>
      <c r="B29" s="32">
        <v>1940127.6199999982</v>
      </c>
      <c r="C29" s="32">
        <v>40216.85</v>
      </c>
      <c r="D29" s="32">
        <v>6100.59</v>
      </c>
      <c r="E29" s="32">
        <v>46317.440000000002</v>
      </c>
    </row>
    <row r="30" spans="1:5" x14ac:dyDescent="0.35">
      <c r="A30" s="5">
        <v>48200</v>
      </c>
      <c r="B30" s="32">
        <v>1899910.7699999982</v>
      </c>
      <c r="C30" s="32">
        <v>40216.85</v>
      </c>
      <c r="D30" s="32">
        <v>5491.65</v>
      </c>
      <c r="E30" s="32">
        <v>45708.5</v>
      </c>
    </row>
    <row r="31" spans="1:5" x14ac:dyDescent="0.35">
      <c r="A31" s="5">
        <v>48291</v>
      </c>
      <c r="B31" s="32">
        <v>1859693.9199999981</v>
      </c>
      <c r="C31" s="32">
        <v>40216.85</v>
      </c>
      <c r="D31" s="32">
        <v>4882.71</v>
      </c>
      <c r="E31" s="32">
        <v>45099.56</v>
      </c>
    </row>
    <row r="32" spans="1:5" x14ac:dyDescent="0.35">
      <c r="A32" s="5">
        <v>48382</v>
      </c>
      <c r="B32" s="32">
        <v>1819477.069999998</v>
      </c>
      <c r="C32" s="32">
        <v>40216.85</v>
      </c>
      <c r="D32" s="32">
        <v>4273.7700000000004</v>
      </c>
      <c r="E32" s="32">
        <v>44490.619999999995</v>
      </c>
    </row>
    <row r="33" spans="1:5" x14ac:dyDescent="0.35">
      <c r="A33" s="5">
        <v>48473</v>
      </c>
      <c r="B33" s="32">
        <v>1779260.2199999979</v>
      </c>
      <c r="C33" s="32">
        <v>40216.85</v>
      </c>
      <c r="D33" s="32">
        <v>3664.84</v>
      </c>
      <c r="E33" s="32">
        <v>43881.69</v>
      </c>
    </row>
    <row r="34" spans="1:5" x14ac:dyDescent="0.35">
      <c r="A34" s="5">
        <v>48564</v>
      </c>
      <c r="B34" s="32">
        <v>1739043.3699999978</v>
      </c>
      <c r="C34" s="32">
        <v>40216.85</v>
      </c>
      <c r="D34" s="32">
        <v>3055.9</v>
      </c>
      <c r="E34" s="32">
        <v>43272.75</v>
      </c>
    </row>
    <row r="35" spans="1:5" x14ac:dyDescent="0.35">
      <c r="A35" s="5">
        <v>48655</v>
      </c>
      <c r="B35" s="32">
        <v>1698826.5199999977</v>
      </c>
      <c r="C35" s="32">
        <v>40216.85</v>
      </c>
      <c r="D35" s="32">
        <v>2446.96</v>
      </c>
      <c r="E35" s="32">
        <v>42663.81</v>
      </c>
    </row>
    <row r="36" spans="1:5" x14ac:dyDescent="0.35">
      <c r="A36" s="5">
        <v>48747</v>
      </c>
      <c r="B36" s="32">
        <v>1658609.6699999976</v>
      </c>
      <c r="C36" s="32">
        <v>40216.85</v>
      </c>
      <c r="D36" s="32">
        <v>1851.4</v>
      </c>
      <c r="E36" s="32">
        <v>42068.25</v>
      </c>
    </row>
    <row r="37" spans="1:5" x14ac:dyDescent="0.35">
      <c r="A37" s="5">
        <v>48837</v>
      </c>
      <c r="B37" s="32">
        <v>1618392.7999999975</v>
      </c>
      <c r="C37" s="32">
        <v>40216.870000000003</v>
      </c>
      <c r="D37" s="32">
        <v>1222.3900000000001</v>
      </c>
      <c r="E37" s="32">
        <v>41439.26</v>
      </c>
    </row>
    <row r="38" spans="1:5" x14ac:dyDescent="0.35">
      <c r="A38" s="5">
        <v>48928</v>
      </c>
      <c r="B38" s="32">
        <v>1087389.7899999975</v>
      </c>
      <c r="C38" s="32">
        <v>531003.01</v>
      </c>
      <c r="D38" s="32">
        <v>620.14</v>
      </c>
      <c r="E38" s="32">
        <v>531623.15</v>
      </c>
    </row>
    <row r="39" spans="1:5" x14ac:dyDescent="0.35">
      <c r="A39" s="5">
        <v>49019</v>
      </c>
      <c r="B39" s="32">
        <v>548258.30999999749</v>
      </c>
      <c r="C39" s="32">
        <v>539131.48</v>
      </c>
      <c r="D39" s="7">
        <v>88653.24</v>
      </c>
      <c r="E39" s="32">
        <v>627784.72</v>
      </c>
    </row>
    <row r="40" spans="1:5" x14ac:dyDescent="0.35">
      <c r="A40" s="5">
        <v>49111</v>
      </c>
      <c r="B40" s="32">
        <v>-2.5611370801925659E-9</v>
      </c>
      <c r="C40" s="32">
        <v>548258.31000000006</v>
      </c>
      <c r="D40" s="7">
        <v>79526.41</v>
      </c>
      <c r="E40" s="32">
        <v>627784.72000000009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DB3F-4628-41A0-9D38-0F8951C02887}">
  <dimension ref="A1:E12"/>
  <sheetViews>
    <sheetView workbookViewId="0">
      <selection activeCell="H38" sqref="H38"/>
    </sheetView>
  </sheetViews>
  <sheetFormatPr baseColWidth="10" defaultRowHeight="14.5" x14ac:dyDescent="0.35"/>
  <sheetData>
    <row r="1" spans="1:5" ht="29" x14ac:dyDescent="0.35">
      <c r="A1" s="43" t="s">
        <v>40</v>
      </c>
      <c r="B1" s="36" t="s">
        <v>36</v>
      </c>
      <c r="C1" s="36" t="s">
        <v>41</v>
      </c>
      <c r="D1" s="36" t="s">
        <v>42</v>
      </c>
      <c r="E1" s="36" t="s">
        <v>38</v>
      </c>
    </row>
    <row r="2" spans="1:5" x14ac:dyDescent="0.35">
      <c r="A2" s="5">
        <v>45742</v>
      </c>
      <c r="B2" s="32">
        <v>346343.01400000002</v>
      </c>
      <c r="C2" s="56"/>
      <c r="D2" s="56"/>
      <c r="E2" s="56"/>
    </row>
    <row r="3" spans="1:5" x14ac:dyDescent="0.35">
      <c r="A3" s="5">
        <v>45832</v>
      </c>
      <c r="B3" s="32">
        <v>309433.84400000004</v>
      </c>
      <c r="C3" s="32">
        <v>36909.17</v>
      </c>
      <c r="D3" s="32">
        <v>4285.87</v>
      </c>
      <c r="E3" s="32">
        <v>41195.040000000001</v>
      </c>
    </row>
    <row r="4" spans="1:5" x14ac:dyDescent="0.35">
      <c r="A4" s="5">
        <v>45922</v>
      </c>
      <c r="B4" s="32">
        <v>271740.35400000005</v>
      </c>
      <c r="C4" s="32">
        <v>37693.49</v>
      </c>
      <c r="D4" s="32">
        <v>3732.23</v>
      </c>
      <c r="E4" s="32">
        <v>41425.72</v>
      </c>
    </row>
    <row r="5" spans="1:5" x14ac:dyDescent="0.35">
      <c r="A5" s="5">
        <v>46012</v>
      </c>
      <c r="B5" s="32">
        <v>233245.87400000004</v>
      </c>
      <c r="C5" s="32">
        <v>38494.480000000003</v>
      </c>
      <c r="D5" s="32">
        <v>3166.83</v>
      </c>
      <c r="E5" s="32">
        <v>41661.310000000005</v>
      </c>
    </row>
    <row r="6" spans="1:5" x14ac:dyDescent="0.35">
      <c r="A6" s="5">
        <v>46102</v>
      </c>
      <c r="B6" s="32">
        <v>193933.38400000005</v>
      </c>
      <c r="C6" s="32">
        <v>39312.49</v>
      </c>
      <c r="D6" s="32">
        <v>2589.41</v>
      </c>
      <c r="E6" s="32">
        <v>41901.899999999994</v>
      </c>
    </row>
    <row r="7" spans="1:5" x14ac:dyDescent="0.35">
      <c r="A7" s="5">
        <v>46192</v>
      </c>
      <c r="B7" s="32">
        <v>153785.50400000004</v>
      </c>
      <c r="C7" s="32">
        <v>40147.879999999997</v>
      </c>
      <c r="D7" s="32">
        <v>1999.73</v>
      </c>
      <c r="E7" s="32">
        <v>42147.61</v>
      </c>
    </row>
    <row r="8" spans="1:5" x14ac:dyDescent="0.35">
      <c r="A8" s="5">
        <v>46282</v>
      </c>
      <c r="B8" s="32">
        <v>112784.48400000005</v>
      </c>
      <c r="C8" s="32">
        <v>41001.019999999997</v>
      </c>
      <c r="D8" s="32">
        <v>1397.51</v>
      </c>
      <c r="E8" s="32">
        <v>42398.53</v>
      </c>
    </row>
    <row r="9" spans="1:5" x14ac:dyDescent="0.35">
      <c r="A9" s="5">
        <v>46372</v>
      </c>
      <c r="B9" s="32">
        <v>70912.10400000005</v>
      </c>
      <c r="C9" s="32">
        <v>41872.379999999997</v>
      </c>
      <c r="D9" s="32">
        <v>782.49</v>
      </c>
      <c r="E9" s="32">
        <v>42654.869999999995</v>
      </c>
    </row>
    <row r="10" spans="1:5" x14ac:dyDescent="0.35">
      <c r="A10" s="5">
        <v>46462</v>
      </c>
      <c r="B10" s="32">
        <v>41229.074000000051</v>
      </c>
      <c r="C10" s="32">
        <v>29683.03</v>
      </c>
      <c r="D10" s="32">
        <v>17605.8</v>
      </c>
      <c r="E10" s="32">
        <v>47288.83</v>
      </c>
    </row>
    <row r="11" spans="1:5" x14ac:dyDescent="0.35">
      <c r="A11" s="5">
        <v>46552</v>
      </c>
      <c r="B11" s="32">
        <v>10293.844000000052</v>
      </c>
      <c r="C11" s="32">
        <v>30935.23</v>
      </c>
      <c r="D11" s="32">
        <v>14697.99</v>
      </c>
      <c r="E11" s="32">
        <v>45633.22</v>
      </c>
    </row>
    <row r="12" spans="1:5" x14ac:dyDescent="0.35">
      <c r="A12" s="5">
        <v>46552</v>
      </c>
      <c r="B12" s="32">
        <v>4.0000000517466106E-3</v>
      </c>
      <c r="C12" s="32">
        <v>10293.84</v>
      </c>
      <c r="D12" s="32">
        <v>0</v>
      </c>
      <c r="E12" s="32">
        <v>10293.84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02A9-74BA-4AA2-BFE9-3A2034551E34}">
  <dimension ref="A1:E12"/>
  <sheetViews>
    <sheetView workbookViewId="0">
      <selection activeCell="B1" sqref="B1:B1048576"/>
    </sheetView>
  </sheetViews>
  <sheetFormatPr baseColWidth="10" defaultRowHeight="14.5" x14ac:dyDescent="0.35"/>
  <sheetData>
    <row r="1" spans="1:5" ht="29" x14ac:dyDescent="0.35">
      <c r="A1" s="43" t="s">
        <v>40</v>
      </c>
      <c r="B1" s="36" t="s">
        <v>36</v>
      </c>
      <c r="C1" s="36" t="s">
        <v>41</v>
      </c>
      <c r="D1" s="36" t="s">
        <v>42</v>
      </c>
      <c r="E1" s="36" t="s">
        <v>38</v>
      </c>
    </row>
    <row r="2" spans="1:5" x14ac:dyDescent="0.35">
      <c r="A2" s="5">
        <v>45742</v>
      </c>
      <c r="B2" s="32">
        <v>346343.01400000002</v>
      </c>
      <c r="C2" s="56"/>
      <c r="D2" s="56"/>
      <c r="E2" s="56"/>
    </row>
    <row r="3" spans="1:5" x14ac:dyDescent="0.35">
      <c r="A3" s="5">
        <v>45832</v>
      </c>
      <c r="B3" s="32">
        <v>309433.84400000004</v>
      </c>
      <c r="C3" s="32">
        <v>36909.17</v>
      </c>
      <c r="D3" s="32">
        <v>4285.87</v>
      </c>
      <c r="E3" s="32">
        <v>41195.040000000001</v>
      </c>
    </row>
    <row r="4" spans="1:5" x14ac:dyDescent="0.35">
      <c r="A4" s="5">
        <v>45922</v>
      </c>
      <c r="B4" s="32">
        <v>271740.35400000005</v>
      </c>
      <c r="C4" s="32">
        <v>37693.49</v>
      </c>
      <c r="D4" s="32">
        <v>3732.23</v>
      </c>
      <c r="E4" s="32">
        <v>41425.72</v>
      </c>
    </row>
    <row r="5" spans="1:5" x14ac:dyDescent="0.35">
      <c r="A5" s="5">
        <v>46012</v>
      </c>
      <c r="B5" s="32">
        <v>233245.87400000004</v>
      </c>
      <c r="C5" s="32">
        <v>38494.480000000003</v>
      </c>
      <c r="D5" s="32">
        <v>3166.83</v>
      </c>
      <c r="E5" s="32">
        <v>41661.310000000005</v>
      </c>
    </row>
    <row r="6" spans="1:5" x14ac:dyDescent="0.35">
      <c r="A6" s="5">
        <v>46102</v>
      </c>
      <c r="B6" s="32">
        <v>193933.38400000005</v>
      </c>
      <c r="C6" s="32">
        <v>39312.49</v>
      </c>
      <c r="D6" s="32">
        <v>2589.41</v>
      </c>
      <c r="E6" s="32">
        <v>41901.899999999994</v>
      </c>
    </row>
    <row r="7" spans="1:5" x14ac:dyDescent="0.35">
      <c r="A7" s="5">
        <v>46192</v>
      </c>
      <c r="B7" s="32">
        <v>153785.50400000004</v>
      </c>
      <c r="C7" s="32">
        <v>40147.879999999997</v>
      </c>
      <c r="D7" s="32">
        <v>1999.73</v>
      </c>
      <c r="E7" s="32">
        <v>42147.61</v>
      </c>
    </row>
    <row r="8" spans="1:5" x14ac:dyDescent="0.35">
      <c r="A8" s="5">
        <v>46282</v>
      </c>
      <c r="B8" s="32">
        <v>112784.48400000005</v>
      </c>
      <c r="C8" s="32">
        <v>41001.019999999997</v>
      </c>
      <c r="D8" s="32">
        <v>1397.51</v>
      </c>
      <c r="E8" s="32">
        <v>42398.53</v>
      </c>
    </row>
    <row r="9" spans="1:5" x14ac:dyDescent="0.35">
      <c r="A9" s="5">
        <v>46372</v>
      </c>
      <c r="B9" s="32">
        <v>70912.10400000005</v>
      </c>
      <c r="C9" s="32">
        <v>41872.379999999997</v>
      </c>
      <c r="D9" s="32">
        <v>782.49</v>
      </c>
      <c r="E9" s="32">
        <v>42654.869999999995</v>
      </c>
    </row>
    <row r="10" spans="1:5" x14ac:dyDescent="0.35">
      <c r="A10" s="5">
        <v>46462</v>
      </c>
      <c r="B10" s="32">
        <v>41229.074000000051</v>
      </c>
      <c r="C10" s="32">
        <v>29683.03</v>
      </c>
      <c r="D10" s="32">
        <v>17605.8</v>
      </c>
      <c r="E10" s="32">
        <v>47288.83</v>
      </c>
    </row>
    <row r="11" spans="1:5" x14ac:dyDescent="0.35">
      <c r="A11" s="5">
        <v>46552</v>
      </c>
      <c r="B11" s="32">
        <v>10293.844000000052</v>
      </c>
      <c r="C11" s="32">
        <v>30935.23</v>
      </c>
      <c r="D11" s="32">
        <v>14697.99</v>
      </c>
      <c r="E11" s="32">
        <v>45633.22</v>
      </c>
    </row>
    <row r="12" spans="1:5" x14ac:dyDescent="0.35">
      <c r="A12" s="5">
        <v>46552</v>
      </c>
      <c r="B12" s="32">
        <v>4.0000000517466106E-3</v>
      </c>
      <c r="C12" s="32">
        <v>10293.84</v>
      </c>
      <c r="D12" s="32">
        <v>0</v>
      </c>
      <c r="E12" s="32">
        <v>10293.84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0A532-C4EE-4923-8928-562C9F11B254}">
  <dimension ref="A1:E12"/>
  <sheetViews>
    <sheetView workbookViewId="0">
      <selection activeCell="F2" sqref="F2"/>
    </sheetView>
  </sheetViews>
  <sheetFormatPr baseColWidth="10" defaultRowHeight="14.5" x14ac:dyDescent="0.35"/>
  <sheetData>
    <row r="1" spans="1:5" ht="29" x14ac:dyDescent="0.35">
      <c r="A1" s="43" t="s">
        <v>40</v>
      </c>
      <c r="B1" s="36" t="s">
        <v>36</v>
      </c>
      <c r="C1" s="36" t="s">
        <v>41</v>
      </c>
      <c r="D1" s="36" t="s">
        <v>42</v>
      </c>
      <c r="E1" s="36" t="s">
        <v>38</v>
      </c>
    </row>
    <row r="2" spans="1:5" x14ac:dyDescent="0.35">
      <c r="A2" s="5">
        <v>45742</v>
      </c>
      <c r="B2" s="32">
        <v>346343.01400000002</v>
      </c>
      <c r="C2" s="56">
        <v>0</v>
      </c>
      <c r="D2" s="56">
        <v>0</v>
      </c>
      <c r="E2" s="56">
        <v>0</v>
      </c>
    </row>
    <row r="3" spans="1:5" x14ac:dyDescent="0.35">
      <c r="A3" s="5">
        <v>45832</v>
      </c>
      <c r="B3" s="32">
        <v>309433.84400000004</v>
      </c>
      <c r="C3" s="32">
        <v>36909.17</v>
      </c>
      <c r="D3" s="32">
        <v>4285.87</v>
      </c>
      <c r="E3" s="32">
        <v>41195.040000000001</v>
      </c>
    </row>
    <row r="4" spans="1:5" x14ac:dyDescent="0.35">
      <c r="A4" s="5">
        <v>45922</v>
      </c>
      <c r="B4" s="32">
        <v>271740.35400000005</v>
      </c>
      <c r="C4" s="32">
        <v>37693.49</v>
      </c>
      <c r="D4" s="32">
        <v>3732.23</v>
      </c>
      <c r="E4" s="32">
        <v>41425.72</v>
      </c>
    </row>
    <row r="5" spans="1:5" x14ac:dyDescent="0.35">
      <c r="A5" s="5">
        <v>46012</v>
      </c>
      <c r="B5" s="32">
        <v>233245.87400000004</v>
      </c>
      <c r="C5" s="32">
        <v>38494.480000000003</v>
      </c>
      <c r="D5" s="32">
        <v>3166.83</v>
      </c>
      <c r="E5" s="32">
        <v>41661.310000000005</v>
      </c>
    </row>
    <row r="6" spans="1:5" x14ac:dyDescent="0.35">
      <c r="A6" s="5">
        <v>46102</v>
      </c>
      <c r="B6" s="32">
        <v>193933.38400000005</v>
      </c>
      <c r="C6" s="32">
        <v>39312.49</v>
      </c>
      <c r="D6" s="32">
        <v>2589.41</v>
      </c>
      <c r="E6" s="32">
        <v>41901.899999999994</v>
      </c>
    </row>
    <row r="7" spans="1:5" x14ac:dyDescent="0.35">
      <c r="A7" s="5">
        <v>46192</v>
      </c>
      <c r="B7" s="32">
        <v>153785.50400000004</v>
      </c>
      <c r="C7" s="32">
        <v>40147.879999999997</v>
      </c>
      <c r="D7" s="32">
        <v>1999.73</v>
      </c>
      <c r="E7" s="32">
        <v>42147.61</v>
      </c>
    </row>
    <row r="8" spans="1:5" x14ac:dyDescent="0.35">
      <c r="A8" s="5">
        <v>46282</v>
      </c>
      <c r="B8" s="32">
        <v>112784.48400000005</v>
      </c>
      <c r="C8" s="32">
        <v>41001.019999999997</v>
      </c>
      <c r="D8" s="32">
        <v>1397.51</v>
      </c>
      <c r="E8" s="32">
        <v>42398.53</v>
      </c>
    </row>
    <row r="9" spans="1:5" x14ac:dyDescent="0.35">
      <c r="A9" s="5">
        <v>46372</v>
      </c>
      <c r="B9" s="32">
        <v>70912.10400000005</v>
      </c>
      <c r="C9" s="32">
        <v>41872.379999999997</v>
      </c>
      <c r="D9" s="32">
        <v>782.49</v>
      </c>
      <c r="E9" s="32">
        <v>42654.869999999995</v>
      </c>
    </row>
    <row r="10" spans="1:5" x14ac:dyDescent="0.35">
      <c r="A10" s="5">
        <v>46462</v>
      </c>
      <c r="B10" s="32">
        <v>41229.074000000051</v>
      </c>
      <c r="C10" s="32">
        <v>29683.03</v>
      </c>
      <c r="D10" s="32">
        <v>17605.8</v>
      </c>
      <c r="E10" s="32">
        <v>47288.83</v>
      </c>
    </row>
    <row r="11" spans="1:5" x14ac:dyDescent="0.35">
      <c r="A11" s="5">
        <v>46552</v>
      </c>
      <c r="B11" s="32">
        <v>10293.844000000052</v>
      </c>
      <c r="C11" s="32">
        <v>30935.23</v>
      </c>
      <c r="D11" s="32">
        <v>14697.99</v>
      </c>
      <c r="E11" s="32">
        <v>45633.22</v>
      </c>
    </row>
    <row r="12" spans="1:5" x14ac:dyDescent="0.35">
      <c r="A12" s="5">
        <v>46552</v>
      </c>
      <c r="B12" s="32">
        <v>4.0000000517466106E-3</v>
      </c>
      <c r="C12" s="32">
        <v>10293.84</v>
      </c>
      <c r="D12" s="32">
        <v>0</v>
      </c>
      <c r="E12" s="32">
        <v>10293.84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B084-6FCA-4B49-862C-CAD179AD9EEF}">
  <dimension ref="A1:E12"/>
  <sheetViews>
    <sheetView workbookViewId="0">
      <selection activeCell="G6" sqref="G6"/>
    </sheetView>
  </sheetViews>
  <sheetFormatPr baseColWidth="10" defaultRowHeight="14.5" x14ac:dyDescent="0.35"/>
  <sheetData>
    <row r="1" spans="1:5" ht="29" x14ac:dyDescent="0.35">
      <c r="A1" s="43" t="s">
        <v>40</v>
      </c>
      <c r="B1" s="36" t="s">
        <v>36</v>
      </c>
      <c r="C1" s="36" t="s">
        <v>41</v>
      </c>
      <c r="D1" s="36" t="s">
        <v>42</v>
      </c>
      <c r="E1" s="36" t="s">
        <v>38</v>
      </c>
    </row>
    <row r="2" spans="1:5" x14ac:dyDescent="0.35">
      <c r="A2" s="5">
        <v>45742</v>
      </c>
      <c r="B2" s="32">
        <v>346343.01400000002</v>
      </c>
      <c r="C2" s="56"/>
      <c r="D2" s="56"/>
      <c r="E2" s="56"/>
    </row>
    <row r="3" spans="1:5" x14ac:dyDescent="0.35">
      <c r="A3" s="5">
        <v>45832</v>
      </c>
      <c r="B3" s="32">
        <v>309433.84400000004</v>
      </c>
      <c r="C3" s="32">
        <v>36909.17</v>
      </c>
      <c r="D3" s="32">
        <v>4285.87</v>
      </c>
      <c r="E3" s="32">
        <v>41195.040000000001</v>
      </c>
    </row>
    <row r="4" spans="1:5" x14ac:dyDescent="0.35">
      <c r="A4" s="5">
        <v>45922</v>
      </c>
      <c r="B4" s="32">
        <v>271740.35400000005</v>
      </c>
      <c r="C4" s="32">
        <v>37693.49</v>
      </c>
      <c r="D4" s="32">
        <v>3732.23</v>
      </c>
      <c r="E4" s="32">
        <v>41425.72</v>
      </c>
    </row>
    <row r="5" spans="1:5" x14ac:dyDescent="0.35">
      <c r="A5" s="5">
        <v>46012</v>
      </c>
      <c r="B5" s="32">
        <v>233245.87400000004</v>
      </c>
      <c r="C5" s="32">
        <v>38494.480000000003</v>
      </c>
      <c r="D5" s="32">
        <v>3166.83</v>
      </c>
      <c r="E5" s="32">
        <v>41661.310000000005</v>
      </c>
    </row>
    <row r="6" spans="1:5" x14ac:dyDescent="0.35">
      <c r="A6" s="5">
        <v>46102</v>
      </c>
      <c r="B6" s="32">
        <v>193933.38400000005</v>
      </c>
      <c r="C6" s="32">
        <v>39312.49</v>
      </c>
      <c r="D6" s="32">
        <v>2589.41</v>
      </c>
      <c r="E6" s="32">
        <v>41901.899999999994</v>
      </c>
    </row>
    <row r="7" spans="1:5" x14ac:dyDescent="0.35">
      <c r="A7" s="5">
        <v>46192</v>
      </c>
      <c r="B7" s="32">
        <v>153785.50400000004</v>
      </c>
      <c r="C7" s="32">
        <v>40147.879999999997</v>
      </c>
      <c r="D7" s="32">
        <v>1999.73</v>
      </c>
      <c r="E7" s="32">
        <v>42147.61</v>
      </c>
    </row>
    <row r="8" spans="1:5" x14ac:dyDescent="0.35">
      <c r="A8" s="5">
        <v>46282</v>
      </c>
      <c r="B8" s="32">
        <v>112784.48400000005</v>
      </c>
      <c r="C8" s="32">
        <v>41001.019999999997</v>
      </c>
      <c r="D8" s="32">
        <v>1397.51</v>
      </c>
      <c r="E8" s="32">
        <v>42398.53</v>
      </c>
    </row>
    <row r="9" spans="1:5" x14ac:dyDescent="0.35">
      <c r="A9" s="5">
        <v>46372</v>
      </c>
      <c r="B9" s="32">
        <v>70912.10400000005</v>
      </c>
      <c r="C9" s="32">
        <v>41872.379999999997</v>
      </c>
      <c r="D9" s="32">
        <v>782.49</v>
      </c>
      <c r="E9" s="32">
        <v>42654.869999999995</v>
      </c>
    </row>
    <row r="10" spans="1:5" x14ac:dyDescent="0.35">
      <c r="A10" s="5">
        <v>46462</v>
      </c>
      <c r="B10" s="32">
        <v>41229.074000000051</v>
      </c>
      <c r="C10" s="32">
        <v>29683.03</v>
      </c>
      <c r="D10" s="32">
        <v>17605.8</v>
      </c>
      <c r="E10" s="32">
        <v>47288.83</v>
      </c>
    </row>
    <row r="11" spans="1:5" x14ac:dyDescent="0.35">
      <c r="A11" s="5">
        <v>46552</v>
      </c>
      <c r="B11" s="32">
        <v>10293.844000000052</v>
      </c>
      <c r="C11" s="32">
        <v>30935.23</v>
      </c>
      <c r="D11" s="32">
        <v>14697.99</v>
      </c>
      <c r="E11" s="32">
        <v>45633.22</v>
      </c>
    </row>
    <row r="12" spans="1:5" x14ac:dyDescent="0.35">
      <c r="A12" s="5">
        <v>46552</v>
      </c>
      <c r="B12" s="32">
        <v>4.0000000517466106E-3</v>
      </c>
      <c r="C12" s="32">
        <v>10293.84</v>
      </c>
      <c r="D12" s="32">
        <v>0</v>
      </c>
      <c r="E12" s="32">
        <v>10293.84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3E4EB-DBBC-4A82-B851-7737B9132642}">
  <dimension ref="A1:E14"/>
  <sheetViews>
    <sheetView workbookViewId="0">
      <selection activeCell="F7" sqref="F7"/>
    </sheetView>
  </sheetViews>
  <sheetFormatPr baseColWidth="10" defaultRowHeight="14.5" x14ac:dyDescent="0.35"/>
  <sheetData>
    <row r="1" spans="1:5" ht="29" x14ac:dyDescent="0.35">
      <c r="A1" s="43" t="s">
        <v>40</v>
      </c>
      <c r="B1" s="36" t="s">
        <v>36</v>
      </c>
      <c r="C1" s="36" t="s">
        <v>41</v>
      </c>
      <c r="D1" s="36" t="s">
        <v>42</v>
      </c>
      <c r="E1" s="36" t="s">
        <v>38</v>
      </c>
    </row>
    <row r="2" spans="1:5" x14ac:dyDescent="0.35">
      <c r="A2" s="5">
        <v>45724</v>
      </c>
      <c r="B2" s="32">
        <v>426409.54</v>
      </c>
      <c r="C2" s="56"/>
      <c r="D2" s="56"/>
      <c r="E2" s="56"/>
    </row>
    <row r="3" spans="1:5" x14ac:dyDescent="0.35">
      <c r="A3" s="5">
        <v>45814</v>
      </c>
      <c r="B3" s="32">
        <v>388403.55</v>
      </c>
      <c r="C3" s="32">
        <v>38005.99</v>
      </c>
      <c r="D3" s="32">
        <v>5069.1400000000003</v>
      </c>
      <c r="E3" s="32">
        <v>43075.13</v>
      </c>
    </row>
    <row r="4" spans="1:5" x14ac:dyDescent="0.35">
      <c r="A4" s="5">
        <v>45904</v>
      </c>
      <c r="B4" s="32">
        <v>349589.93</v>
      </c>
      <c r="C4" s="32">
        <v>38813.620000000003</v>
      </c>
      <c r="D4" s="32">
        <v>4499.05</v>
      </c>
      <c r="E4" s="32">
        <v>43312.670000000006</v>
      </c>
    </row>
    <row r="5" spans="1:5" x14ac:dyDescent="0.35">
      <c r="A5" s="5">
        <v>45994</v>
      </c>
      <c r="B5" s="32">
        <v>309951.52</v>
      </c>
      <c r="C5" s="32">
        <v>39638.410000000003</v>
      </c>
      <c r="D5" s="32">
        <v>3916.84</v>
      </c>
      <c r="E5" s="32">
        <v>43555.25</v>
      </c>
    </row>
    <row r="6" spans="1:5" x14ac:dyDescent="0.35">
      <c r="A6" s="5">
        <v>46084</v>
      </c>
      <c r="B6" s="32">
        <v>269470.80000000005</v>
      </c>
      <c r="C6" s="32">
        <v>40480.720000000001</v>
      </c>
      <c r="D6" s="32">
        <v>3322.26</v>
      </c>
      <c r="E6" s="32">
        <v>43802.98</v>
      </c>
    </row>
    <row r="7" spans="1:5" x14ac:dyDescent="0.35">
      <c r="A7" s="5">
        <v>46174</v>
      </c>
      <c r="B7" s="32">
        <v>228129.86000000004</v>
      </c>
      <c r="C7" s="32">
        <v>41340.94</v>
      </c>
      <c r="D7" s="32">
        <v>2715.05</v>
      </c>
      <c r="E7" s="32">
        <v>44055.990000000005</v>
      </c>
    </row>
    <row r="8" spans="1:5" x14ac:dyDescent="0.35">
      <c r="A8" s="5">
        <v>46264</v>
      </c>
      <c r="B8" s="32">
        <v>185910.43000000005</v>
      </c>
      <c r="C8" s="32">
        <v>42219.43</v>
      </c>
      <c r="D8" s="32">
        <v>2094.94</v>
      </c>
      <c r="E8" s="32">
        <v>44314.37</v>
      </c>
    </row>
    <row r="9" spans="1:5" x14ac:dyDescent="0.35">
      <c r="A9" s="5">
        <v>46354</v>
      </c>
      <c r="B9" s="32">
        <v>142793.83000000005</v>
      </c>
      <c r="C9" s="32">
        <v>43116.6</v>
      </c>
      <c r="D9" s="32">
        <v>1461.65</v>
      </c>
      <c r="E9" s="32">
        <v>44578.25</v>
      </c>
    </row>
    <row r="10" spans="1:5" x14ac:dyDescent="0.35">
      <c r="A10" s="5">
        <v>46444</v>
      </c>
      <c r="B10" s="32">
        <v>98761.040000000037</v>
      </c>
      <c r="C10" s="32">
        <v>44032.79</v>
      </c>
      <c r="D10" s="32">
        <v>814.9</v>
      </c>
      <c r="E10" s="32">
        <v>44847.69</v>
      </c>
    </row>
    <row r="11" spans="1:5" x14ac:dyDescent="0.35">
      <c r="A11" s="5">
        <v>46534</v>
      </c>
      <c r="B11" s="32">
        <v>70279.530000000042</v>
      </c>
      <c r="C11" s="32">
        <v>28481.51</v>
      </c>
      <c r="D11" s="32">
        <v>18828.900000000001</v>
      </c>
      <c r="E11" s="32">
        <v>47310.41</v>
      </c>
    </row>
    <row r="12" spans="1:5" x14ac:dyDescent="0.35">
      <c r="A12" s="5">
        <v>46624</v>
      </c>
      <c r="B12" s="32">
        <v>40596.500000000044</v>
      </c>
      <c r="C12" s="32">
        <v>29683.03</v>
      </c>
      <c r="D12" s="32">
        <v>12324.06</v>
      </c>
      <c r="E12" s="32">
        <v>42007.09</v>
      </c>
    </row>
    <row r="13" spans="1:5" x14ac:dyDescent="0.35">
      <c r="A13" s="5">
        <v>46714</v>
      </c>
      <c r="B13" s="32">
        <v>10293.840000000044</v>
      </c>
      <c r="C13" s="32">
        <v>30302.66</v>
      </c>
      <c r="D13" s="32">
        <v>16975.03</v>
      </c>
      <c r="E13" s="32">
        <v>47277.69</v>
      </c>
    </row>
    <row r="14" spans="1:5" x14ac:dyDescent="0.35">
      <c r="A14" s="5">
        <v>46714</v>
      </c>
      <c r="B14" s="32">
        <v>4.3655745685100555E-11</v>
      </c>
      <c r="C14" s="32">
        <v>10293.84</v>
      </c>
      <c r="D14" s="32"/>
      <c r="E14" s="32">
        <v>10293.84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8F5DA-A8D6-47D1-A892-8A0C6027C9D0}">
  <dimension ref="A1:E14"/>
  <sheetViews>
    <sheetView workbookViewId="0">
      <selection activeCell="K29" sqref="K29"/>
    </sheetView>
  </sheetViews>
  <sheetFormatPr baseColWidth="10" defaultRowHeight="14.5" x14ac:dyDescent="0.35"/>
  <sheetData>
    <row r="1" spans="1:5" ht="29" x14ac:dyDescent="0.35">
      <c r="A1" s="43" t="s">
        <v>40</v>
      </c>
      <c r="B1" s="36" t="s">
        <v>36</v>
      </c>
      <c r="C1" s="36" t="s">
        <v>41</v>
      </c>
      <c r="D1" s="36" t="s">
        <v>42</v>
      </c>
      <c r="E1" s="36" t="s">
        <v>38</v>
      </c>
    </row>
    <row r="2" spans="1:5" x14ac:dyDescent="0.35">
      <c r="A2" s="5">
        <v>45724</v>
      </c>
      <c r="B2" s="32">
        <v>426409.54</v>
      </c>
      <c r="C2" s="56"/>
      <c r="D2" s="56"/>
      <c r="E2" s="56"/>
    </row>
    <row r="3" spans="1:5" x14ac:dyDescent="0.35">
      <c r="A3" s="5">
        <v>45814</v>
      </c>
      <c r="B3" s="32">
        <v>388403.55</v>
      </c>
      <c r="C3" s="32">
        <v>38005.99</v>
      </c>
      <c r="D3" s="32">
        <v>5069.1400000000003</v>
      </c>
      <c r="E3" s="32">
        <v>43075.13</v>
      </c>
    </row>
    <row r="4" spans="1:5" x14ac:dyDescent="0.35">
      <c r="A4" s="5">
        <v>45904</v>
      </c>
      <c r="B4" s="32">
        <v>349589.93</v>
      </c>
      <c r="C4" s="32">
        <v>38813.620000000003</v>
      </c>
      <c r="D4" s="32">
        <v>4499.05</v>
      </c>
      <c r="E4" s="32">
        <v>43312.670000000006</v>
      </c>
    </row>
    <row r="5" spans="1:5" x14ac:dyDescent="0.35">
      <c r="A5" s="5">
        <v>45994</v>
      </c>
      <c r="B5" s="32">
        <v>309951.52</v>
      </c>
      <c r="C5" s="32">
        <v>39638.410000000003</v>
      </c>
      <c r="D5" s="32">
        <v>3916.84</v>
      </c>
      <c r="E5" s="32">
        <v>43555.25</v>
      </c>
    </row>
    <row r="6" spans="1:5" x14ac:dyDescent="0.35">
      <c r="A6" s="5">
        <v>46084</v>
      </c>
      <c r="B6" s="32">
        <v>269470.80000000005</v>
      </c>
      <c r="C6" s="32">
        <v>40480.720000000001</v>
      </c>
      <c r="D6" s="32">
        <v>3322.26</v>
      </c>
      <c r="E6" s="32">
        <v>43802.98</v>
      </c>
    </row>
    <row r="7" spans="1:5" x14ac:dyDescent="0.35">
      <c r="A7" s="5">
        <v>46174</v>
      </c>
      <c r="B7" s="32">
        <v>228129.86000000004</v>
      </c>
      <c r="C7" s="32">
        <v>41340.94</v>
      </c>
      <c r="D7" s="32">
        <v>2715.05</v>
      </c>
      <c r="E7" s="32">
        <v>44055.990000000005</v>
      </c>
    </row>
    <row r="8" spans="1:5" x14ac:dyDescent="0.35">
      <c r="A8" s="5">
        <v>46264</v>
      </c>
      <c r="B8" s="32">
        <v>185910.43000000005</v>
      </c>
      <c r="C8" s="32">
        <v>42219.43</v>
      </c>
      <c r="D8" s="32">
        <v>2094.94</v>
      </c>
      <c r="E8" s="32">
        <v>44314.37</v>
      </c>
    </row>
    <row r="9" spans="1:5" x14ac:dyDescent="0.35">
      <c r="A9" s="5">
        <v>46354</v>
      </c>
      <c r="B9" s="32">
        <v>142793.83000000005</v>
      </c>
      <c r="C9" s="32">
        <v>43116.6</v>
      </c>
      <c r="D9" s="32">
        <v>1461.65</v>
      </c>
      <c r="E9" s="32">
        <v>44578.25</v>
      </c>
    </row>
    <row r="10" spans="1:5" x14ac:dyDescent="0.35">
      <c r="A10" s="5">
        <v>46444</v>
      </c>
      <c r="B10" s="32">
        <v>98761.040000000037</v>
      </c>
      <c r="C10" s="32">
        <v>44032.79</v>
      </c>
      <c r="D10" s="32">
        <v>814.9</v>
      </c>
      <c r="E10" s="32">
        <v>44847.69</v>
      </c>
    </row>
    <row r="11" spans="1:5" x14ac:dyDescent="0.35">
      <c r="A11" s="5">
        <v>46534</v>
      </c>
      <c r="B11" s="32">
        <v>70279.530000000042</v>
      </c>
      <c r="C11" s="32">
        <v>28481.51</v>
      </c>
      <c r="D11" s="32">
        <v>18828.900000000001</v>
      </c>
      <c r="E11" s="32">
        <v>47310.41</v>
      </c>
    </row>
    <row r="12" spans="1:5" x14ac:dyDescent="0.35">
      <c r="A12" s="5">
        <v>46624</v>
      </c>
      <c r="B12" s="32">
        <v>40596.500000000044</v>
      </c>
      <c r="C12" s="32">
        <v>29683.03</v>
      </c>
      <c r="D12" s="32">
        <v>12324.06</v>
      </c>
      <c r="E12" s="32">
        <v>42007.09</v>
      </c>
    </row>
    <row r="13" spans="1:5" x14ac:dyDescent="0.35">
      <c r="A13" s="5">
        <v>46714</v>
      </c>
      <c r="B13" s="32">
        <v>10293.840000000044</v>
      </c>
      <c r="C13" s="32">
        <v>30302.66</v>
      </c>
      <c r="D13" s="32">
        <v>16975.03</v>
      </c>
      <c r="E13" s="32">
        <v>47277.69</v>
      </c>
    </row>
    <row r="14" spans="1:5" x14ac:dyDescent="0.35">
      <c r="A14" s="5">
        <v>46714</v>
      </c>
      <c r="B14" s="32">
        <v>4.3655745685100555E-11</v>
      </c>
      <c r="C14" s="32">
        <v>10293.84</v>
      </c>
      <c r="D14" s="32"/>
      <c r="E14" s="32">
        <v>10293.84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BECD6-8EA3-46D6-8977-35AAB1729419}">
  <dimension ref="A1:T9"/>
  <sheetViews>
    <sheetView workbookViewId="0"/>
  </sheetViews>
  <sheetFormatPr baseColWidth="10" defaultColWidth="11.54296875" defaultRowHeight="14" x14ac:dyDescent="0.35"/>
  <cols>
    <col min="1" max="1" width="11.453125" style="121" customWidth="1"/>
    <col min="2" max="2" width="27.6328125" style="121" bestFit="1" customWidth="1"/>
    <col min="3" max="3" width="22.1796875" style="121" bestFit="1" customWidth="1"/>
    <col min="4" max="10" width="22.1796875" style="121" hidden="1" customWidth="1"/>
    <col min="11" max="11" width="13.90625" style="121" customWidth="1"/>
    <col min="12" max="12" width="28.08984375" style="121" customWidth="1"/>
    <col min="13" max="13" width="17" style="121" customWidth="1"/>
    <col min="14" max="14" width="31.81640625" style="121" customWidth="1"/>
    <col min="15" max="15" width="18.36328125" style="121" customWidth="1"/>
    <col min="16" max="16" width="28.08984375" style="121" customWidth="1"/>
    <col min="17" max="17" width="108.54296875" style="121" customWidth="1"/>
    <col min="18" max="18" width="16.36328125" style="121" bestFit="1" customWidth="1"/>
    <col min="19" max="16384" width="11.54296875" style="121"/>
  </cols>
  <sheetData>
    <row r="1" spans="1:20" ht="42" x14ac:dyDescent="0.35">
      <c r="A1" s="120" t="s">
        <v>94</v>
      </c>
      <c r="B1" s="120" t="s">
        <v>97</v>
      </c>
      <c r="C1" s="120" t="s">
        <v>93</v>
      </c>
      <c r="D1" s="140" t="str">
        <f>+Caracteristicas!D1</f>
        <v>Moneda</v>
      </c>
      <c r="E1" s="140" t="str">
        <f>+Caracteristicas!E1</f>
        <v>Tasa</v>
      </c>
      <c r="F1" s="140" t="str">
        <f>+Caracteristicas!F1</f>
        <v>Periodicidad</v>
      </c>
      <c r="G1" s="140" t="str">
        <f>+Caracteristicas!H1</f>
        <v>vencimiento</v>
      </c>
      <c r="H1" s="140" t="str">
        <f>+Caracteristicas!K1</f>
        <v>Saldo a capital</v>
      </c>
      <c r="I1" s="140" t="str">
        <f>+Caracteristicas!L1</f>
        <v>% adeudado por Cemento</v>
      </c>
      <c r="J1" s="140" t="str">
        <f>+Caracteristicas!M1</f>
        <v>Saldo a capital Cemento</v>
      </c>
      <c r="K1" s="118" t="s">
        <v>80</v>
      </c>
      <c r="L1" s="118" t="s">
        <v>83</v>
      </c>
      <c r="M1" s="118" t="s">
        <v>86</v>
      </c>
      <c r="N1" s="118" t="s">
        <v>87</v>
      </c>
      <c r="O1" s="118" t="s">
        <v>85</v>
      </c>
      <c r="P1" s="118" t="s">
        <v>88</v>
      </c>
      <c r="Q1" s="118" t="s">
        <v>84</v>
      </c>
      <c r="R1" s="119" t="s">
        <v>81</v>
      </c>
      <c r="S1" s="120"/>
      <c r="T1" s="120"/>
    </row>
    <row r="2" spans="1:20" ht="112" x14ac:dyDescent="0.35">
      <c r="A2" s="122">
        <f>+Caracteristicas!A2</f>
        <v>3167401</v>
      </c>
      <c r="B2" s="147" t="str">
        <f>+Caracteristicas!B2</f>
        <v>Fideicomiso - Banco Unión</v>
      </c>
      <c r="C2" s="146" t="s">
        <v>92</v>
      </c>
      <c r="D2" s="146"/>
      <c r="E2" s="146"/>
      <c r="F2" s="146"/>
      <c r="G2" s="146"/>
      <c r="H2" s="146"/>
      <c r="I2" s="146"/>
      <c r="J2" s="146"/>
      <c r="K2" s="123">
        <v>840000</v>
      </c>
      <c r="L2" s="117" t="s">
        <v>82</v>
      </c>
      <c r="M2" s="123">
        <v>236789820.91999999</v>
      </c>
      <c r="N2" s="144" t="s">
        <v>89</v>
      </c>
      <c r="O2" s="123"/>
      <c r="P2" s="117"/>
      <c r="Q2" s="145" t="s">
        <v>78</v>
      </c>
      <c r="R2" s="123">
        <f>+SUM(K2:Q2)</f>
        <v>237629820.91999999</v>
      </c>
    </row>
    <row r="3" spans="1:20" ht="84" x14ac:dyDescent="0.35">
      <c r="A3" s="122" t="e">
        <f>+Caracteristicas!#REF!</f>
        <v>#REF!</v>
      </c>
      <c r="B3" s="147" t="e">
        <f>+Caracteristicas!#REF!</f>
        <v>#REF!</v>
      </c>
      <c r="C3" s="146" t="s">
        <v>91</v>
      </c>
      <c r="D3" s="146"/>
      <c r="E3" s="146"/>
      <c r="F3" s="146"/>
      <c r="G3" s="146"/>
      <c r="H3" s="146"/>
      <c r="I3" s="146"/>
      <c r="J3" s="146"/>
      <c r="K3" s="123"/>
      <c r="L3" s="117"/>
      <c r="M3" s="123"/>
      <c r="N3" s="144" t="s">
        <v>90</v>
      </c>
      <c r="O3" s="123"/>
      <c r="P3" s="144" t="s">
        <v>95</v>
      </c>
      <c r="Q3" s="145"/>
      <c r="R3" s="123"/>
    </row>
    <row r="4" spans="1:20" x14ac:dyDescent="0.35">
      <c r="K4" s="123"/>
      <c r="L4" s="123"/>
      <c r="M4" s="123"/>
      <c r="N4" s="123"/>
      <c r="O4" s="123"/>
      <c r="P4" s="123"/>
      <c r="Q4" s="123"/>
      <c r="R4" s="123"/>
    </row>
    <row r="5" spans="1:20" x14ac:dyDescent="0.35">
      <c r="K5" s="123"/>
      <c r="L5" s="123"/>
      <c r="M5" s="123"/>
      <c r="N5" s="123"/>
      <c r="O5" s="123"/>
      <c r="P5" s="123"/>
      <c r="Q5" s="123"/>
      <c r="R5" s="123"/>
    </row>
    <row r="6" spans="1:20" x14ac:dyDescent="0.35">
      <c r="K6" s="123"/>
      <c r="L6" s="123"/>
      <c r="M6" s="123"/>
      <c r="N6" s="123"/>
      <c r="O6" s="123"/>
      <c r="P6" s="123"/>
      <c r="Q6" s="123"/>
      <c r="R6" s="123"/>
    </row>
    <row r="7" spans="1:20" x14ac:dyDescent="0.35">
      <c r="K7" s="123"/>
      <c r="L7" s="123"/>
      <c r="M7" s="123"/>
      <c r="N7" s="123"/>
      <c r="O7" s="123"/>
      <c r="P7" s="123"/>
      <c r="Q7" s="123"/>
      <c r="R7" s="123"/>
    </row>
    <row r="8" spans="1:20" x14ac:dyDescent="0.35">
      <c r="K8" s="123"/>
      <c r="L8" s="123"/>
      <c r="M8" s="123"/>
      <c r="N8" s="123"/>
      <c r="O8" s="123"/>
      <c r="P8" s="123"/>
      <c r="Q8" s="123"/>
      <c r="R8" s="123"/>
    </row>
    <row r="9" spans="1:20" x14ac:dyDescent="0.35">
      <c r="K9" s="123"/>
      <c r="L9" s="123"/>
      <c r="M9" s="123"/>
      <c r="N9" s="123"/>
      <c r="O9" s="123"/>
      <c r="P9" s="123"/>
      <c r="Q9" s="123"/>
      <c r="R9" s="12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0F7E-F4AA-4ED3-B118-DC7DCDCB7155}">
  <dimension ref="A1:HI390"/>
  <sheetViews>
    <sheetView workbookViewId="0"/>
  </sheetViews>
  <sheetFormatPr baseColWidth="10" defaultColWidth="11.54296875" defaultRowHeight="14.5" x14ac:dyDescent="0.35"/>
  <cols>
    <col min="1" max="1" width="4.36328125" style="7" bestFit="1" customWidth="1"/>
    <col min="2" max="2" width="7.6328125" style="6" bestFit="1" customWidth="1"/>
    <col min="3" max="3" width="12.54296875" style="7" customWidth="1"/>
    <col min="4" max="4" width="21.1796875" style="7" customWidth="1"/>
    <col min="5" max="5" width="17.90625" style="7" customWidth="1"/>
    <col min="6" max="7" width="20.6328125" style="7" bestFit="1" customWidth="1"/>
    <col min="8" max="8" width="17.453125" style="7" bestFit="1" customWidth="1"/>
    <col min="9" max="9" width="17.453125" style="11" customWidth="1"/>
    <col min="10" max="10" width="14.08984375" style="11" customWidth="1"/>
    <col min="11" max="11" width="14.08984375" style="7" customWidth="1"/>
    <col min="12" max="12" width="14.08984375" customWidth="1"/>
    <col min="13" max="13" width="3.36328125" style="7" customWidth="1"/>
    <col min="14" max="14" width="10.6328125" style="10" customWidth="1"/>
    <col min="15" max="15" width="10.6328125" style="31" customWidth="1"/>
    <col min="16" max="16" width="16.1796875" style="7" bestFit="1" customWidth="1"/>
    <col min="17" max="17" width="16.90625" style="7" customWidth="1"/>
    <col min="18" max="18" width="18.90625" style="7" bestFit="1" customWidth="1"/>
    <col min="19" max="19" width="13.453125" style="7" customWidth="1"/>
    <col min="20" max="20" width="15.6328125" style="7" customWidth="1"/>
    <col min="21" max="21" width="14.90625" style="7" bestFit="1" customWidth="1"/>
    <col min="22" max="22" width="16.08984375" style="11" customWidth="1"/>
    <col min="23" max="27" width="15.6328125" style="11" customWidth="1"/>
    <col min="28" max="28" width="15.6328125" style="7" customWidth="1"/>
    <col min="29" max="29" width="3.36328125" style="90" customWidth="1"/>
    <col min="30" max="30" width="12.54296875" style="7" customWidth="1"/>
    <col min="31" max="31" width="17.6328125" style="6" customWidth="1"/>
    <col min="32" max="32" width="17.6328125" style="7" customWidth="1"/>
    <col min="33" max="33" width="15.90625" style="7" customWidth="1"/>
    <col min="34" max="34" width="16.36328125" style="7" customWidth="1"/>
    <col min="35" max="35" width="16.08984375" style="7" customWidth="1"/>
    <col min="36" max="36" width="14.1796875" style="7" customWidth="1"/>
    <col min="37" max="37" width="16.08984375" style="11" customWidth="1"/>
    <col min="38" max="41" width="15.6328125" style="11" customWidth="1"/>
    <col min="42" max="42" width="14.1796875" style="7" customWidth="1"/>
    <col min="43" max="43" width="11.6328125" style="7" bestFit="1" customWidth="1"/>
    <col min="44" max="44" width="3.36328125" style="7" customWidth="1"/>
    <col min="45" max="45" width="12.54296875" style="7" customWidth="1"/>
    <col min="46" max="46" width="17.6328125" style="6" customWidth="1"/>
    <col min="47" max="47" width="17.6328125" style="7" customWidth="1"/>
    <col min="48" max="48" width="15.90625" style="7" customWidth="1"/>
    <col min="49" max="49" width="16.36328125" style="7" customWidth="1"/>
    <col min="50" max="50" width="16.08984375" style="7" customWidth="1"/>
    <col min="51" max="51" width="14.08984375" style="7" customWidth="1"/>
    <col min="52" max="52" width="11.90625" style="11" customWidth="1"/>
    <col min="53" max="53" width="13.08984375" style="11" customWidth="1"/>
    <col min="54" max="54" width="11.81640625" style="11" customWidth="1"/>
    <col min="55" max="55" width="10.36328125" style="11" customWidth="1"/>
    <col min="56" max="56" width="13.90625" style="11" customWidth="1"/>
    <col min="57" max="57" width="15" style="11" customWidth="1"/>
    <col min="58" max="58" width="15.6328125" style="7" customWidth="1"/>
    <col min="59" max="59" width="3.36328125" style="7" customWidth="1"/>
    <col min="60" max="60" width="12.54296875" style="7" customWidth="1"/>
    <col min="61" max="61" width="17.6328125" style="6" customWidth="1"/>
    <col min="62" max="62" width="17.6328125" style="7" customWidth="1"/>
    <col min="63" max="63" width="15.90625" style="7" customWidth="1"/>
    <col min="64" max="64" width="16.36328125" style="7" customWidth="1"/>
    <col min="65" max="65" width="16.08984375" style="7" customWidth="1"/>
    <col min="66" max="66" width="17.1796875" style="7" customWidth="1"/>
    <col min="67" max="67" width="14.08984375" style="7" customWidth="1"/>
    <col min="68" max="68" width="11.90625" style="99" bestFit="1" customWidth="1"/>
    <col min="69" max="70" width="11.08984375" style="11" customWidth="1"/>
    <col min="71" max="71" width="11.6328125" style="11" customWidth="1"/>
    <col min="72" max="73" width="15.6328125" style="11" customWidth="1"/>
    <col min="74" max="74" width="11.54296875" style="7"/>
    <col min="75" max="75" width="3.36328125" style="7" customWidth="1"/>
    <col min="76" max="76" width="12.54296875" style="7" customWidth="1"/>
    <col min="77" max="77" width="17.6328125" style="6" customWidth="1"/>
    <col min="78" max="78" width="17.6328125" style="7" customWidth="1"/>
    <col min="79" max="79" width="15.90625" style="7" customWidth="1"/>
    <col min="80" max="81" width="16.36328125" style="7" customWidth="1"/>
    <col min="82" max="83" width="16.08984375" style="7" customWidth="1"/>
    <col min="84" max="84" width="14.08984375" style="7" customWidth="1"/>
    <col min="85" max="85" width="9.90625" style="99" customWidth="1"/>
    <col min="86" max="87" width="11.08984375" style="11" customWidth="1"/>
    <col min="88" max="88" width="14.1796875" style="11" customWidth="1"/>
    <col min="89" max="89" width="14" style="11" customWidth="1"/>
    <col min="90" max="90" width="13.453125" style="11" customWidth="1"/>
    <col min="91" max="91" width="11.54296875" style="7"/>
    <col min="92" max="92" width="3.36328125" style="7" customWidth="1"/>
    <col min="93" max="93" width="12.54296875" style="7" customWidth="1"/>
    <col min="94" max="94" width="17.6328125" style="6" customWidth="1"/>
    <col min="95" max="95" width="17.6328125" style="7" customWidth="1"/>
    <col min="96" max="96" width="15.90625" style="7" customWidth="1"/>
    <col min="97" max="97" width="16.36328125" style="7" customWidth="1"/>
    <col min="98" max="98" width="16.08984375" style="7" customWidth="1"/>
    <col min="99" max="99" width="14.08984375" style="7" customWidth="1"/>
    <col min="100" max="100" width="11.54296875" style="7"/>
    <col min="101" max="101" width="3.36328125" style="7" customWidth="1"/>
    <col min="102" max="102" width="12.54296875" style="7" customWidth="1"/>
    <col min="103" max="103" width="17.6328125" style="6" customWidth="1"/>
    <col min="104" max="104" width="17.6328125" style="7" customWidth="1"/>
    <col min="105" max="105" width="15.90625" style="7" customWidth="1"/>
    <col min="106" max="106" width="16.36328125" style="7" customWidth="1"/>
    <col min="107" max="107" width="16.08984375" style="7" customWidth="1"/>
    <col min="108" max="108" width="14.08984375" style="7" customWidth="1"/>
    <col min="109" max="109" width="9.90625" style="99" customWidth="1"/>
    <col min="110" max="111" width="11.08984375" style="11" customWidth="1"/>
    <col min="112" max="112" width="14.1796875" style="11" customWidth="1"/>
    <col min="113" max="113" width="14" style="11" customWidth="1"/>
    <col min="114" max="114" width="13.453125" style="11" customWidth="1"/>
    <col min="115" max="115" width="11.54296875" style="7"/>
    <col min="116" max="116" width="3.36328125" style="7" customWidth="1"/>
    <col min="117" max="117" width="12.54296875" style="7" customWidth="1"/>
    <col min="118" max="118" width="17.6328125" style="6" customWidth="1"/>
    <col min="119" max="119" width="17.6328125" style="7" customWidth="1"/>
    <col min="120" max="120" width="20.08984375" style="7" customWidth="1"/>
    <col min="121" max="121" width="16.36328125" style="7" customWidth="1"/>
    <col min="122" max="122" width="16.08984375" style="7" customWidth="1"/>
    <col min="123" max="123" width="14.08984375" style="7" customWidth="1"/>
    <col min="124" max="124" width="9.90625" style="99" customWidth="1"/>
    <col min="125" max="126" width="11.08984375" style="11" customWidth="1"/>
    <col min="127" max="127" width="14.1796875" style="11" customWidth="1"/>
    <col min="128" max="128" width="14" style="11" customWidth="1"/>
    <col min="129" max="129" width="13.453125" style="11" customWidth="1"/>
    <col min="130" max="130" width="11.54296875" style="7"/>
    <col min="131" max="131" width="3.36328125" style="7" customWidth="1"/>
    <col min="132" max="132" width="12.54296875" style="7" customWidth="1"/>
    <col min="133" max="133" width="17.6328125" style="6" customWidth="1"/>
    <col min="134" max="134" width="17.6328125" style="7" customWidth="1"/>
    <col min="135" max="135" width="20.453125" style="7" customWidth="1"/>
    <col min="136" max="136" width="16.36328125" style="7" customWidth="1"/>
    <col min="137" max="137" width="16.08984375" style="7" customWidth="1"/>
    <col min="138" max="138" width="14.08984375" style="7" customWidth="1"/>
    <col min="139" max="139" width="12.6328125" style="99" bestFit="1" customWidth="1"/>
    <col min="140" max="141" width="11.08984375" style="11" customWidth="1"/>
    <col min="142" max="142" width="14.1796875" style="11" customWidth="1"/>
    <col min="143" max="143" width="14" style="11" customWidth="1"/>
    <col min="144" max="144" width="13.453125" style="11" customWidth="1"/>
    <col min="145" max="145" width="12.81640625" style="7" customWidth="1"/>
    <col min="146" max="146" width="3.36328125" style="7" hidden="1" customWidth="1"/>
    <col min="147" max="147" width="12.54296875" style="7" hidden="1" customWidth="1"/>
    <col min="148" max="148" width="17.6328125" style="6" hidden="1" customWidth="1"/>
    <col min="149" max="149" width="17.6328125" style="7" hidden="1" customWidth="1"/>
    <col min="150" max="150" width="18.36328125" style="7" hidden="1" customWidth="1"/>
    <col min="151" max="151" width="16.36328125" style="7" hidden="1" customWidth="1"/>
    <col min="152" max="152" width="16.08984375" style="7" hidden="1" customWidth="1"/>
    <col min="153" max="153" width="14.08984375" style="7" hidden="1" customWidth="1"/>
    <col min="154" max="154" width="11.54296875" style="7"/>
    <col min="155" max="155" width="3.36328125" style="7" customWidth="1"/>
    <col min="156" max="156" width="12.54296875" style="7" customWidth="1"/>
    <col min="157" max="157" width="17.6328125" style="6" customWidth="1"/>
    <col min="158" max="158" width="17.6328125" style="7" customWidth="1"/>
    <col min="159" max="159" width="17.54296875" style="7" customWidth="1"/>
    <col min="160" max="160" width="16.36328125" style="7" customWidth="1"/>
    <col min="161" max="162" width="16.08984375" style="7" customWidth="1"/>
    <col min="163" max="163" width="14.08984375" style="7" customWidth="1"/>
    <col min="164" max="164" width="11.54296875" style="7"/>
    <col min="165" max="165" width="3.36328125" style="7" customWidth="1"/>
    <col min="166" max="166" width="12.54296875" style="7" customWidth="1"/>
    <col min="167" max="167" width="17.6328125" style="6" customWidth="1"/>
    <col min="168" max="168" width="17.6328125" style="7" customWidth="1"/>
    <col min="169" max="169" width="15.90625" style="7" customWidth="1"/>
    <col min="170" max="170" width="16.36328125" style="7" customWidth="1"/>
    <col min="171" max="171" width="16.08984375" style="7" customWidth="1"/>
    <col min="172" max="172" width="14.08984375" style="7" customWidth="1"/>
    <col min="173" max="173" width="11.54296875" style="7"/>
    <col min="174" max="174" width="3.36328125" style="7" customWidth="1"/>
    <col min="175" max="175" width="12.54296875" style="7" customWidth="1"/>
    <col min="176" max="176" width="17.6328125" style="6" customWidth="1"/>
    <col min="177" max="177" width="17.6328125" style="7" customWidth="1"/>
    <col min="178" max="178" width="15.90625" style="7" customWidth="1"/>
    <col min="179" max="179" width="16.36328125" style="7" customWidth="1"/>
    <col min="180" max="180" width="16.08984375" style="7" customWidth="1"/>
    <col min="181" max="181" width="14.08984375" style="7" customWidth="1"/>
    <col min="182" max="182" width="11.54296875" style="7"/>
    <col min="183" max="183" width="3.36328125" style="7" customWidth="1"/>
    <col min="184" max="184" width="12.54296875" style="7" customWidth="1"/>
    <col min="185" max="185" width="17.6328125" style="6" customWidth="1"/>
    <col min="186" max="186" width="17.6328125" style="7" customWidth="1"/>
    <col min="187" max="187" width="15.90625" style="7" customWidth="1"/>
    <col min="188" max="188" width="16.36328125" style="7" customWidth="1"/>
    <col min="189" max="189" width="16.08984375" style="7" customWidth="1"/>
    <col min="190" max="190" width="14.08984375" style="7" customWidth="1"/>
    <col min="191" max="191" width="11.54296875" style="7"/>
    <col min="192" max="192" width="3.36328125" style="7" customWidth="1"/>
    <col min="193" max="193" width="12.54296875" style="7" customWidth="1"/>
    <col min="194" max="194" width="17.6328125" style="6" customWidth="1"/>
    <col min="195" max="195" width="17.6328125" style="7" customWidth="1"/>
    <col min="196" max="196" width="15.90625" style="7" customWidth="1"/>
    <col min="197" max="197" width="16.36328125" style="7" customWidth="1"/>
    <col min="198" max="198" width="16.08984375" style="7" customWidth="1"/>
    <col min="199" max="199" width="14.08984375" style="7" customWidth="1"/>
    <col min="200" max="200" width="11.54296875" style="7"/>
    <col min="201" max="201" width="3.36328125" style="7" customWidth="1"/>
    <col min="202" max="202" width="12.54296875" style="7" customWidth="1"/>
    <col min="203" max="203" width="17.6328125" style="6" customWidth="1"/>
    <col min="204" max="204" width="17.6328125" style="7" customWidth="1"/>
    <col min="205" max="205" width="15.90625" style="7" customWidth="1"/>
    <col min="206" max="206" width="16.36328125" style="7" customWidth="1"/>
    <col min="207" max="207" width="16.08984375" style="7" customWidth="1"/>
    <col min="208" max="208" width="14.08984375" style="7" customWidth="1"/>
    <col min="209" max="209" width="11.54296875" style="7"/>
    <col min="210" max="210" width="3.36328125" style="7" customWidth="1"/>
    <col min="211" max="211" width="12.54296875" style="7" customWidth="1"/>
    <col min="212" max="212" width="17.6328125" style="6" customWidth="1"/>
    <col min="213" max="213" width="17.6328125" style="7" customWidth="1"/>
    <col min="214" max="214" width="15.90625" style="7" customWidth="1"/>
    <col min="215" max="215" width="16.36328125" style="7" customWidth="1"/>
    <col min="216" max="216" width="16.08984375" style="7" customWidth="1"/>
    <col min="217" max="217" width="14.08984375" style="7" customWidth="1"/>
    <col min="218" max="16384" width="11.54296875" style="7"/>
  </cols>
  <sheetData>
    <row r="1" spans="1:217" x14ac:dyDescent="0.35">
      <c r="A1"/>
      <c r="B1"/>
      <c r="C1"/>
      <c r="D1"/>
      <c r="E1"/>
      <c r="F1"/>
      <c r="G1"/>
      <c r="H1"/>
      <c r="I1" s="15"/>
      <c r="J1" s="15"/>
      <c r="K1"/>
      <c r="N1" s="9" t="s">
        <v>17</v>
      </c>
      <c r="O1" s="10"/>
      <c r="Q1" s="3">
        <v>3167401</v>
      </c>
      <c r="V1" s="7"/>
      <c r="W1" s="7"/>
      <c r="X1" s="7"/>
      <c r="Y1" s="7"/>
      <c r="Z1" s="7"/>
      <c r="AE1" s="12" t="s">
        <v>17</v>
      </c>
      <c r="AG1" s="3">
        <v>2767412</v>
      </c>
      <c r="AT1" s="12" t="s">
        <v>17</v>
      </c>
      <c r="AV1" s="3">
        <v>2764418</v>
      </c>
      <c r="BI1" s="12" t="s">
        <v>17</v>
      </c>
      <c r="BK1" s="3">
        <v>1271559</v>
      </c>
      <c r="BY1" s="12" t="s">
        <v>17</v>
      </c>
      <c r="CA1" s="3">
        <v>1358960</v>
      </c>
      <c r="CP1" s="12" t="s">
        <v>17</v>
      </c>
      <c r="CR1" s="3">
        <v>1295150</v>
      </c>
      <c r="CY1" s="12" t="s">
        <v>17</v>
      </c>
      <c r="DA1" s="3">
        <v>101243178</v>
      </c>
      <c r="DN1" s="12" t="s">
        <v>17</v>
      </c>
      <c r="DP1" s="3">
        <v>315101121500077</v>
      </c>
      <c r="EC1" s="12" t="s">
        <v>17</v>
      </c>
      <c r="EE1" s="3" t="s">
        <v>101</v>
      </c>
      <c r="ER1" s="12"/>
      <c r="ET1" s="3"/>
      <c r="FA1" s="12" t="s">
        <v>17</v>
      </c>
      <c r="FC1" s="3">
        <v>315101121500021</v>
      </c>
      <c r="FK1" s="12" t="s">
        <v>17</v>
      </c>
      <c r="FM1" s="3">
        <v>2010014418</v>
      </c>
      <c r="FT1" s="12" t="s">
        <v>17</v>
      </c>
      <c r="FV1" s="3">
        <v>2010014118</v>
      </c>
      <c r="GC1" s="12" t="s">
        <v>17</v>
      </c>
      <c r="GE1" s="3">
        <v>2010013918</v>
      </c>
      <c r="GL1" s="12" t="s">
        <v>17</v>
      </c>
      <c r="GN1" s="3">
        <v>2010014218</v>
      </c>
      <c r="GU1" s="12" t="s">
        <v>17</v>
      </c>
      <c r="GW1" s="3">
        <v>2010014318</v>
      </c>
      <c r="HD1" s="12" t="s">
        <v>17</v>
      </c>
      <c r="HF1" s="3">
        <v>2010014018</v>
      </c>
    </row>
    <row r="2" spans="1:217" x14ac:dyDescent="0.35">
      <c r="E2" s="14"/>
      <c r="N2" s="9" t="s">
        <v>14</v>
      </c>
      <c r="O2" s="10"/>
      <c r="Q2" s="2" t="s">
        <v>1</v>
      </c>
      <c r="V2" s="7"/>
      <c r="W2" s="7"/>
      <c r="X2" s="7"/>
      <c r="Y2" s="7"/>
      <c r="Z2" s="7"/>
      <c r="AE2" s="12" t="s">
        <v>14</v>
      </c>
      <c r="AG2" s="2" t="s">
        <v>5</v>
      </c>
      <c r="AT2" s="12" t="s">
        <v>14</v>
      </c>
      <c r="AV2" s="2" t="s">
        <v>5</v>
      </c>
      <c r="BI2" s="12" t="s">
        <v>14</v>
      </c>
      <c r="BK2" s="2" t="s">
        <v>7</v>
      </c>
      <c r="BY2" s="12" t="s">
        <v>14</v>
      </c>
      <c r="CA2" s="2" t="s">
        <v>7</v>
      </c>
      <c r="CP2" s="12" t="s">
        <v>14</v>
      </c>
      <c r="CR2" s="2" t="s">
        <v>7</v>
      </c>
      <c r="CY2" s="12" t="s">
        <v>14</v>
      </c>
      <c r="DA2" s="2" t="s">
        <v>9</v>
      </c>
      <c r="DN2" s="12" t="s">
        <v>14</v>
      </c>
      <c r="DP2" s="2" t="s">
        <v>15</v>
      </c>
      <c r="EC2" s="12" t="s">
        <v>14</v>
      </c>
      <c r="EE2" s="2" t="s">
        <v>15</v>
      </c>
      <c r="ER2" s="12"/>
      <c r="ET2" s="2"/>
      <c r="FA2" s="12" t="s">
        <v>14</v>
      </c>
      <c r="FC2" s="2" t="s">
        <v>15</v>
      </c>
      <c r="FK2" s="12" t="s">
        <v>14</v>
      </c>
      <c r="FM2" s="2" t="s">
        <v>16</v>
      </c>
      <c r="FT2" s="12" t="s">
        <v>14</v>
      </c>
      <c r="FV2" s="2" t="s">
        <v>16</v>
      </c>
      <c r="GC2" s="12" t="s">
        <v>14</v>
      </c>
      <c r="GE2" s="2" t="s">
        <v>16</v>
      </c>
      <c r="GL2" s="12" t="s">
        <v>14</v>
      </c>
      <c r="GN2" s="2" t="s">
        <v>16</v>
      </c>
      <c r="GU2" s="12" t="s">
        <v>14</v>
      </c>
      <c r="GW2" s="2" t="s">
        <v>16</v>
      </c>
      <c r="HD2" s="12" t="s">
        <v>14</v>
      </c>
      <c r="HF2" s="2" t="s">
        <v>16</v>
      </c>
    </row>
    <row r="3" spans="1:217" x14ac:dyDescent="0.35">
      <c r="E3" s="8"/>
      <c r="N3" s="9" t="s">
        <v>11</v>
      </c>
      <c r="O3" s="10"/>
      <c r="Q3" s="71" t="s">
        <v>0</v>
      </c>
      <c r="V3" s="7"/>
      <c r="W3" s="7"/>
      <c r="X3" s="7"/>
      <c r="Y3" s="7"/>
      <c r="Z3" s="7"/>
      <c r="AE3" s="12" t="s">
        <v>11</v>
      </c>
      <c r="AG3" t="s">
        <v>4</v>
      </c>
      <c r="AT3" s="12" t="s">
        <v>11</v>
      </c>
      <c r="AV3" t="s">
        <v>4</v>
      </c>
      <c r="BI3" s="12" t="s">
        <v>11</v>
      </c>
      <c r="BK3" t="s">
        <v>6</v>
      </c>
      <c r="BY3" s="12" t="s">
        <v>11</v>
      </c>
      <c r="CA3" t="s">
        <v>6</v>
      </c>
      <c r="CP3" s="12" t="s">
        <v>11</v>
      </c>
      <c r="CR3" t="s">
        <v>6</v>
      </c>
      <c r="CY3" s="12" t="s">
        <v>11</v>
      </c>
      <c r="DA3" s="13" t="s">
        <v>8</v>
      </c>
      <c r="DN3" s="12" t="s">
        <v>11</v>
      </c>
      <c r="DP3" s="13" t="s">
        <v>12</v>
      </c>
      <c r="EC3" s="12" t="s">
        <v>11</v>
      </c>
      <c r="EE3" s="13" t="s">
        <v>12</v>
      </c>
      <c r="ER3" s="12"/>
      <c r="ET3" s="13"/>
      <c r="FA3" s="12" t="s">
        <v>11</v>
      </c>
      <c r="FC3" s="13" t="s">
        <v>12</v>
      </c>
      <c r="FK3" s="12" t="s">
        <v>11</v>
      </c>
      <c r="FM3" t="s">
        <v>13</v>
      </c>
      <c r="FT3" s="12" t="s">
        <v>11</v>
      </c>
      <c r="FV3" t="s">
        <v>13</v>
      </c>
      <c r="GC3" s="12" t="s">
        <v>11</v>
      </c>
      <c r="GE3" t="s">
        <v>13</v>
      </c>
      <c r="GL3" s="12" t="s">
        <v>11</v>
      </c>
      <c r="GN3" t="s">
        <v>13</v>
      </c>
      <c r="GU3" s="12" t="s">
        <v>11</v>
      </c>
      <c r="GW3" t="s">
        <v>13</v>
      </c>
      <c r="HD3" s="12" t="s">
        <v>11</v>
      </c>
      <c r="HF3" t="s">
        <v>13</v>
      </c>
    </row>
    <row r="4" spans="1:217" x14ac:dyDescent="0.35">
      <c r="A4"/>
      <c r="B4"/>
      <c r="C4"/>
      <c r="D4"/>
      <c r="E4"/>
      <c r="F4"/>
      <c r="G4"/>
      <c r="H4"/>
      <c r="I4" s="15"/>
      <c r="J4" s="15"/>
      <c r="K4"/>
      <c r="N4" s="9" t="s">
        <v>18</v>
      </c>
      <c r="O4" s="10"/>
      <c r="Q4" s="2" t="s">
        <v>2</v>
      </c>
      <c r="V4" s="7"/>
      <c r="W4" s="7"/>
      <c r="X4" s="7"/>
      <c r="Y4" s="7"/>
      <c r="Z4" s="7"/>
      <c r="AE4" s="12" t="s">
        <v>18</v>
      </c>
      <c r="AG4" s="2" t="s">
        <v>2</v>
      </c>
      <c r="AT4" s="12" t="s">
        <v>18</v>
      </c>
      <c r="AV4" s="2" t="s">
        <v>2</v>
      </c>
      <c r="BI4" s="12" t="s">
        <v>18</v>
      </c>
      <c r="BK4" s="2" t="s">
        <v>2</v>
      </c>
      <c r="BY4" s="12" t="s">
        <v>18</v>
      </c>
      <c r="CA4" s="2" t="s">
        <v>2</v>
      </c>
      <c r="CP4" s="12" t="s">
        <v>18</v>
      </c>
      <c r="CR4" s="2" t="s">
        <v>2</v>
      </c>
      <c r="CY4" s="12" t="s">
        <v>18</v>
      </c>
      <c r="DA4" s="2" t="s">
        <v>2</v>
      </c>
      <c r="DN4" s="12" t="s">
        <v>18</v>
      </c>
      <c r="DP4" s="2" t="s">
        <v>2</v>
      </c>
      <c r="EC4" s="12" t="s">
        <v>18</v>
      </c>
      <c r="EE4" s="2" t="s">
        <v>2</v>
      </c>
      <c r="ER4" s="12"/>
      <c r="ET4" s="2"/>
      <c r="FA4" s="12" t="s">
        <v>18</v>
      </c>
      <c r="FC4" s="2" t="s">
        <v>2</v>
      </c>
      <c r="FK4" s="12" t="s">
        <v>18</v>
      </c>
      <c r="FM4" s="2" t="s">
        <v>2</v>
      </c>
      <c r="FT4" s="12" t="s">
        <v>18</v>
      </c>
      <c r="FV4" s="2" t="s">
        <v>2</v>
      </c>
      <c r="GC4" s="12" t="s">
        <v>18</v>
      </c>
      <c r="GE4" s="2" t="s">
        <v>2</v>
      </c>
      <c r="GL4" s="12" t="s">
        <v>18</v>
      </c>
      <c r="GN4" s="2" t="s">
        <v>2</v>
      </c>
      <c r="GU4" s="12" t="s">
        <v>18</v>
      </c>
      <c r="GW4" s="2" t="s">
        <v>2</v>
      </c>
      <c r="HD4" s="12" t="s">
        <v>18</v>
      </c>
      <c r="HF4" s="2" t="s">
        <v>2</v>
      </c>
    </row>
    <row r="5" spans="1:217" ht="15.5" x14ac:dyDescent="0.35">
      <c r="A5"/>
      <c r="B5"/>
      <c r="C5"/>
      <c r="D5"/>
      <c r="E5"/>
      <c r="F5"/>
      <c r="G5"/>
      <c r="H5"/>
      <c r="I5" s="15"/>
      <c r="J5" s="15"/>
      <c r="K5"/>
      <c r="N5" s="9" t="s">
        <v>19</v>
      </c>
      <c r="O5" s="10"/>
      <c r="Q5" s="160">
        <v>0.06</v>
      </c>
      <c r="V5" s="7"/>
      <c r="W5" s="7"/>
      <c r="X5" s="7"/>
      <c r="Y5" s="7"/>
      <c r="Z5" s="7"/>
      <c r="AE5" s="12" t="s">
        <v>19</v>
      </c>
      <c r="AG5" s="4">
        <v>5.5E-2</v>
      </c>
      <c r="AT5" s="12" t="s">
        <v>19</v>
      </c>
      <c r="AV5" s="4">
        <v>0.06</v>
      </c>
      <c r="BI5" s="12" t="s">
        <v>19</v>
      </c>
      <c r="BK5" s="98">
        <v>0.06</v>
      </c>
      <c r="BY5" s="12" t="s">
        <v>19</v>
      </c>
      <c r="CA5" s="4">
        <v>0.06</v>
      </c>
      <c r="CP5" s="12" t="s">
        <v>19</v>
      </c>
      <c r="CR5" s="4">
        <v>0.06</v>
      </c>
      <c r="CY5" s="12" t="s">
        <v>19</v>
      </c>
      <c r="DA5" s="4">
        <v>0.06</v>
      </c>
      <c r="DN5" s="12" t="s">
        <v>19</v>
      </c>
      <c r="DP5" s="4">
        <v>5.8000000000000003E-2</v>
      </c>
      <c r="EC5" s="12" t="s">
        <v>19</v>
      </c>
      <c r="EE5" s="4">
        <v>5.8200000000000002E-2</v>
      </c>
      <c r="ER5" s="12"/>
      <c r="ET5" s="4"/>
      <c r="FA5" s="12" t="s">
        <v>19</v>
      </c>
      <c r="FC5" s="4">
        <v>5.9900000000000002E-2</v>
      </c>
      <c r="FK5" s="12" t="s">
        <v>19</v>
      </c>
      <c r="FM5" s="4">
        <v>0.06</v>
      </c>
      <c r="FT5" s="12" t="s">
        <v>19</v>
      </c>
      <c r="FV5" s="4">
        <v>0.06</v>
      </c>
      <c r="GC5" s="12" t="s">
        <v>19</v>
      </c>
      <c r="GE5" s="4">
        <v>0.06</v>
      </c>
      <c r="GL5" s="12" t="s">
        <v>19</v>
      </c>
      <c r="GN5" s="4">
        <v>0.06</v>
      </c>
      <c r="GU5" s="12" t="s">
        <v>19</v>
      </c>
      <c r="GW5" s="4">
        <v>0.06</v>
      </c>
      <c r="HD5" s="12" t="s">
        <v>19</v>
      </c>
      <c r="HF5" s="4">
        <v>0.06</v>
      </c>
    </row>
    <row r="6" spans="1:217" x14ac:dyDescent="0.35">
      <c r="A6"/>
      <c r="B6"/>
      <c r="C6"/>
      <c r="D6"/>
      <c r="E6"/>
      <c r="F6"/>
      <c r="G6"/>
      <c r="H6"/>
      <c r="I6" s="15"/>
      <c r="J6" s="15"/>
      <c r="K6"/>
      <c r="N6" s="9" t="s">
        <v>20</v>
      </c>
      <c r="O6" s="10"/>
      <c r="Q6" s="6" t="s">
        <v>3</v>
      </c>
      <c r="V6" s="7"/>
      <c r="W6" s="7"/>
      <c r="X6" s="7"/>
      <c r="Y6" s="7"/>
      <c r="Z6" s="7"/>
      <c r="AA6" s="15"/>
      <c r="AB6"/>
      <c r="AE6" s="12" t="s">
        <v>20</v>
      </c>
      <c r="AG6" s="2" t="s">
        <v>3</v>
      </c>
      <c r="AJ6"/>
      <c r="AL6" s="15"/>
      <c r="AM6" s="15"/>
      <c r="AN6" s="15"/>
      <c r="AO6" s="15"/>
      <c r="AP6"/>
      <c r="AT6" s="12" t="s">
        <v>20</v>
      </c>
      <c r="AV6" s="2" t="s">
        <v>3</v>
      </c>
      <c r="BA6" s="15"/>
      <c r="BB6" s="15"/>
      <c r="BC6" s="15"/>
      <c r="BD6" s="15"/>
      <c r="BE6" s="15"/>
      <c r="BI6" s="12" t="s">
        <v>20</v>
      </c>
      <c r="BK6" s="2" t="s">
        <v>3</v>
      </c>
      <c r="BQ6" s="15"/>
      <c r="BR6" s="15"/>
      <c r="BS6" s="15"/>
      <c r="BT6" s="15"/>
      <c r="BU6" s="15"/>
      <c r="BY6" s="12" t="s">
        <v>20</v>
      </c>
      <c r="CA6" s="2" t="s">
        <v>3</v>
      </c>
      <c r="CH6" s="15"/>
      <c r="CI6" s="15"/>
      <c r="CJ6" s="15"/>
      <c r="CK6" s="15"/>
      <c r="CL6" s="15"/>
      <c r="CP6" s="12" t="s">
        <v>20</v>
      </c>
      <c r="CR6" s="2" t="s">
        <v>3</v>
      </c>
      <c r="CY6" s="12" t="s">
        <v>20</v>
      </c>
      <c r="DA6" s="2" t="s">
        <v>65</v>
      </c>
      <c r="DF6" s="15"/>
      <c r="DG6" s="15"/>
      <c r="DH6" s="15"/>
      <c r="DI6" s="15"/>
      <c r="DJ6" s="15"/>
      <c r="DN6" s="12" t="s">
        <v>20</v>
      </c>
      <c r="DP6" s="2" t="s">
        <v>3</v>
      </c>
      <c r="DU6" s="15"/>
      <c r="DV6" s="15"/>
      <c r="DW6" s="15"/>
      <c r="DX6" s="15"/>
      <c r="DY6" s="15"/>
      <c r="EC6" s="12" t="s">
        <v>20</v>
      </c>
      <c r="EE6" s="2" t="s">
        <v>3</v>
      </c>
      <c r="EJ6" s="15"/>
      <c r="EK6" s="15"/>
      <c r="EL6" s="15"/>
      <c r="EM6" s="15"/>
      <c r="EN6" s="15"/>
      <c r="ER6" s="12"/>
      <c r="ET6" s="2"/>
      <c r="FA6" s="12" t="s">
        <v>20</v>
      </c>
      <c r="FC6" s="2" t="s">
        <v>3</v>
      </c>
      <c r="FK6" s="12" t="s">
        <v>20</v>
      </c>
      <c r="FM6" s="2" t="s">
        <v>3</v>
      </c>
      <c r="FT6" s="12" t="s">
        <v>20</v>
      </c>
      <c r="FV6" s="2" t="s">
        <v>3</v>
      </c>
      <c r="GC6" s="12" t="s">
        <v>20</v>
      </c>
      <c r="GE6" s="2" t="s">
        <v>3</v>
      </c>
      <c r="GL6" s="12" t="s">
        <v>20</v>
      </c>
      <c r="GN6" s="2" t="s">
        <v>3</v>
      </c>
      <c r="GU6" s="12" t="s">
        <v>20</v>
      </c>
      <c r="GW6" s="2" t="s">
        <v>3</v>
      </c>
      <c r="HD6" s="12" t="s">
        <v>20</v>
      </c>
      <c r="HF6" s="2" t="s">
        <v>3</v>
      </c>
    </row>
    <row r="7" spans="1:217" x14ac:dyDescent="0.35">
      <c r="A7"/>
      <c r="B7"/>
      <c r="C7"/>
      <c r="D7"/>
      <c r="E7"/>
      <c r="F7"/>
      <c r="G7"/>
      <c r="H7"/>
      <c r="I7" s="15"/>
      <c r="J7" s="15"/>
      <c r="K7"/>
      <c r="N7" s="9" t="s">
        <v>71</v>
      </c>
      <c r="O7" s="10"/>
      <c r="Q7" s="6"/>
      <c r="V7" s="7"/>
      <c r="W7" s="7"/>
      <c r="X7" s="7"/>
      <c r="Y7" s="7"/>
      <c r="Z7" s="7"/>
      <c r="AA7" s="15"/>
      <c r="AB7"/>
      <c r="AE7" s="12"/>
      <c r="AG7" s="2"/>
      <c r="AJ7"/>
      <c r="AL7" s="15"/>
      <c r="AM7" s="15"/>
      <c r="AN7" s="15"/>
      <c r="AO7" s="15"/>
      <c r="AP7"/>
      <c r="AT7" s="12"/>
      <c r="AV7" s="2"/>
      <c r="BA7" s="15"/>
      <c r="BB7" s="15"/>
      <c r="BC7" s="15"/>
      <c r="BD7" s="15"/>
      <c r="BE7" s="15"/>
      <c r="BI7" s="12"/>
      <c r="BK7" s="2"/>
      <c r="BQ7" s="15"/>
      <c r="BR7" s="15"/>
      <c r="BS7" s="15"/>
      <c r="BT7" s="15"/>
      <c r="BU7" s="15"/>
      <c r="BY7" s="12"/>
      <c r="CA7" s="2"/>
      <c r="CH7" s="15"/>
      <c r="CI7" s="15"/>
      <c r="CJ7" s="15"/>
      <c r="CK7" s="15"/>
      <c r="CL7" s="15"/>
      <c r="CP7" s="12"/>
      <c r="CR7" s="2"/>
      <c r="CY7" s="12"/>
      <c r="DA7" s="2"/>
      <c r="DF7" s="15"/>
      <c r="DG7" s="15"/>
      <c r="DH7" s="15"/>
      <c r="DI7" s="15"/>
      <c r="DJ7" s="15"/>
      <c r="DN7" s="12"/>
      <c r="DP7" s="2"/>
      <c r="DU7" s="15"/>
      <c r="DV7" s="15"/>
      <c r="DW7" s="15"/>
      <c r="DX7" s="15"/>
      <c r="DY7" s="15"/>
      <c r="EC7" s="12"/>
      <c r="EE7" s="2"/>
      <c r="EJ7" s="15"/>
      <c r="EK7" s="15"/>
      <c r="EL7" s="15"/>
      <c r="EM7" s="15"/>
      <c r="EN7" s="15"/>
      <c r="ER7" s="12"/>
      <c r="ET7" s="2"/>
      <c r="FA7" s="12"/>
      <c r="FC7" s="2"/>
      <c r="FK7" s="12"/>
      <c r="FM7" s="2"/>
      <c r="FT7" s="12"/>
      <c r="FV7" s="2"/>
      <c r="GC7" s="12"/>
      <c r="GE7" s="2"/>
      <c r="GL7" s="12"/>
      <c r="GN7" s="2"/>
      <c r="GU7" s="12"/>
      <c r="GW7" s="2"/>
      <c r="HD7" s="12"/>
      <c r="HF7" s="2"/>
    </row>
    <row r="8" spans="1:217" x14ac:dyDescent="0.35">
      <c r="A8"/>
      <c r="B8"/>
      <c r="C8"/>
      <c r="D8"/>
      <c r="E8"/>
      <c r="F8"/>
      <c r="G8"/>
      <c r="H8"/>
      <c r="I8" s="15"/>
      <c r="J8" s="15"/>
      <c r="K8"/>
      <c r="N8" s="12" t="s">
        <v>10</v>
      </c>
      <c r="O8" s="7"/>
      <c r="Q8" s="5">
        <f>+MAX(O25:O822)</f>
        <v>48248</v>
      </c>
      <c r="T8"/>
      <c r="U8"/>
      <c r="W8" s="15"/>
      <c r="X8" s="15"/>
      <c r="Y8" s="15"/>
      <c r="Z8" s="15"/>
      <c r="AA8" s="15"/>
      <c r="AB8"/>
      <c r="AE8" s="12" t="s">
        <v>10</v>
      </c>
      <c r="AG8" s="5">
        <f>+MAX(AE25:AE822)</f>
        <v>48058</v>
      </c>
      <c r="AJ8"/>
      <c r="AL8" s="15"/>
      <c r="AM8" s="15"/>
      <c r="AN8" s="15"/>
      <c r="AO8" s="15"/>
      <c r="AP8"/>
      <c r="AT8" s="12" t="s">
        <v>10</v>
      </c>
      <c r="AV8" s="5">
        <f>+MAX(AT25:AT822)</f>
        <v>48997</v>
      </c>
      <c r="BA8" s="15"/>
      <c r="BB8" s="15"/>
      <c r="BC8" s="15"/>
      <c r="BD8" s="15"/>
      <c r="BE8" s="15"/>
      <c r="BI8" s="12" t="s">
        <v>10</v>
      </c>
      <c r="BK8" s="5">
        <f>+MAX(BI25:BI822)</f>
        <v>47107</v>
      </c>
      <c r="BQ8" s="15"/>
      <c r="BR8" s="15"/>
      <c r="BS8" s="15"/>
      <c r="BT8" s="15"/>
      <c r="BU8" s="15"/>
      <c r="BY8" s="12" t="s">
        <v>10</v>
      </c>
      <c r="CA8" s="5">
        <f>+MAX(BY25:BY822)</f>
        <v>47398</v>
      </c>
      <c r="CC8" s="7">
        <f>4596722.94+169631.13+115779.85</f>
        <v>4882133.92</v>
      </c>
      <c r="CH8" s="15"/>
      <c r="CI8" s="15"/>
      <c r="CJ8" s="15"/>
      <c r="CK8" s="15"/>
      <c r="CL8" s="15"/>
      <c r="CP8" s="12" t="s">
        <v>10</v>
      </c>
      <c r="CR8" s="5">
        <f>+MAX(CP25:CP822)</f>
        <v>47375</v>
      </c>
      <c r="CY8" s="12" t="s">
        <v>10</v>
      </c>
      <c r="DA8" s="5">
        <f>+MAX(CY25:CY822)</f>
        <v>46609</v>
      </c>
      <c r="DF8" s="15"/>
      <c r="DG8" s="15"/>
      <c r="DH8" s="15"/>
      <c r="DI8" s="15"/>
      <c r="DJ8" s="15"/>
      <c r="DN8" s="12" t="s">
        <v>10</v>
      </c>
      <c r="DP8" s="5">
        <f>+MAX(DN25:DN822)</f>
        <v>49111</v>
      </c>
      <c r="DU8" s="15"/>
      <c r="DV8" s="15"/>
      <c r="DW8" s="15"/>
      <c r="DX8" s="15"/>
      <c r="DY8" s="15"/>
      <c r="EC8" s="12" t="s">
        <v>10</v>
      </c>
      <c r="EE8" s="5">
        <f>+MAX(EC25:EC822)</f>
        <v>48765</v>
      </c>
      <c r="EJ8" s="15"/>
      <c r="EK8" s="15"/>
      <c r="EL8" s="15"/>
      <c r="EM8" s="15"/>
      <c r="EN8" s="15"/>
      <c r="ER8" s="12"/>
      <c r="ET8" s="5"/>
      <c r="FA8" s="12" t="s">
        <v>10</v>
      </c>
      <c r="FC8" s="5">
        <f>+MAX(FA25:FA822)</f>
        <v>49111</v>
      </c>
      <c r="FK8" s="12" t="s">
        <v>10</v>
      </c>
      <c r="FM8" s="5">
        <f>+MAX(FK25:FK822)</f>
        <v>46552</v>
      </c>
      <c r="FT8" s="12" t="s">
        <v>10</v>
      </c>
      <c r="FV8" s="5">
        <f>+MAX(FT25:FT822)</f>
        <v>46552</v>
      </c>
      <c r="GC8" s="12" t="s">
        <v>10</v>
      </c>
      <c r="GE8" s="5">
        <f>+MAX(GC25:GC822)</f>
        <v>46552</v>
      </c>
      <c r="GL8" s="12" t="s">
        <v>10</v>
      </c>
      <c r="GN8" s="5">
        <f>+MAX(GL25:GL822)</f>
        <v>46552</v>
      </c>
      <c r="GU8" s="12" t="s">
        <v>10</v>
      </c>
      <c r="GW8" s="5">
        <f>+MAX(GU25:GU822)</f>
        <v>46714</v>
      </c>
      <c r="HD8" s="12" t="s">
        <v>10</v>
      </c>
      <c r="HF8" s="5">
        <f>+MAX(HD25:HD822)</f>
        <v>46714</v>
      </c>
    </row>
    <row r="9" spans="1:217" x14ac:dyDescent="0.35">
      <c r="A9"/>
      <c r="B9"/>
      <c r="C9"/>
      <c r="D9"/>
      <c r="E9"/>
      <c r="F9"/>
      <c r="G9"/>
      <c r="H9"/>
      <c r="I9" s="15"/>
      <c r="J9" s="15"/>
      <c r="K9"/>
      <c r="N9" s="12" t="s">
        <v>72</v>
      </c>
      <c r="O9" s="7"/>
      <c r="Q9" s="149">
        <f>+Q8-[1]Caracteristicas!$B$19</f>
        <v>2348</v>
      </c>
      <c r="T9"/>
      <c r="U9"/>
      <c r="W9" s="15"/>
      <c r="X9" s="15"/>
      <c r="Y9" s="15"/>
      <c r="Z9" s="15"/>
      <c r="AA9" s="15"/>
      <c r="AB9"/>
      <c r="AE9" s="12"/>
      <c r="AG9" s="149">
        <f>+AG8-[1]Caracteristicas!$B$19</f>
        <v>2158</v>
      </c>
      <c r="AJ9"/>
      <c r="AL9" s="15"/>
      <c r="AM9" s="15"/>
      <c r="AN9" s="15"/>
      <c r="AO9" s="15"/>
      <c r="AP9"/>
      <c r="AT9" s="12"/>
      <c r="AV9" s="149">
        <f>+AV8-[1]Caracteristicas!$B$19</f>
        <v>3097</v>
      </c>
      <c r="BA9" s="15"/>
      <c r="BB9" s="15"/>
      <c r="BC9" s="15"/>
      <c r="BD9" s="15"/>
      <c r="BE9" s="15"/>
      <c r="BI9" s="12"/>
      <c r="BK9" s="149">
        <f>+BK8-[1]Caracteristicas!$B$19</f>
        <v>1207</v>
      </c>
      <c r="BQ9" s="15"/>
      <c r="BR9" s="15"/>
      <c r="BS9" s="15"/>
      <c r="BT9" s="15"/>
      <c r="BU9" s="15"/>
      <c r="BY9" s="12"/>
      <c r="CA9" s="149">
        <f>+CA8-[1]Caracteristicas!$B$19</f>
        <v>1498</v>
      </c>
      <c r="CH9" s="15"/>
      <c r="CI9" s="15"/>
      <c r="CJ9" s="15"/>
      <c r="CK9" s="15"/>
      <c r="CL9" s="15"/>
      <c r="CP9" s="12"/>
      <c r="CR9" s="149">
        <f>+CR8-[1]Caracteristicas!$B$19</f>
        <v>1475</v>
      </c>
      <c r="CY9" s="12"/>
      <c r="DA9" s="149">
        <f>+DA8-[1]Caracteristicas!$B$19</f>
        <v>709</v>
      </c>
      <c r="DF9" s="15"/>
      <c r="DG9" s="15"/>
      <c r="DH9" s="15"/>
      <c r="DI9" s="15"/>
      <c r="DJ9" s="15"/>
      <c r="DN9" s="12"/>
      <c r="DP9" s="149">
        <f>+DP8-[1]Caracteristicas!$B$19</f>
        <v>3211</v>
      </c>
      <c r="DU9" s="15"/>
      <c r="DV9" s="15"/>
      <c r="DW9" s="15"/>
      <c r="DX9" s="15"/>
      <c r="DY9" s="15"/>
      <c r="EC9" s="12"/>
      <c r="EE9" s="149">
        <f>+EE8-[1]Caracteristicas!$B$19</f>
        <v>2865</v>
      </c>
      <c r="EJ9" s="15"/>
      <c r="EK9" s="15"/>
      <c r="EL9" s="15"/>
      <c r="EM9" s="15"/>
      <c r="EN9" s="15"/>
      <c r="ER9" s="12"/>
      <c r="ET9" s="5"/>
      <c r="FA9" s="12"/>
      <c r="FC9" s="149">
        <f>+FC8-[1]Caracteristicas!$B$19</f>
        <v>3211</v>
      </c>
      <c r="FK9" s="12"/>
      <c r="FM9" s="149">
        <f>+FM8-[1]Caracteristicas!$B$19</f>
        <v>652</v>
      </c>
      <c r="FT9" s="12"/>
      <c r="FV9" s="149">
        <f>+FV8-[1]Caracteristicas!$B$19</f>
        <v>652</v>
      </c>
      <c r="GC9" s="12"/>
      <c r="GE9" s="149">
        <f>+GE8-[1]Caracteristicas!$B$19</f>
        <v>652</v>
      </c>
      <c r="GL9" s="12"/>
      <c r="GN9" s="149">
        <f>+GN8-[1]Caracteristicas!$B$19</f>
        <v>652</v>
      </c>
      <c r="GU9" s="12"/>
      <c r="GW9" s="149">
        <f>+GW8-[1]Caracteristicas!$B$19</f>
        <v>814</v>
      </c>
      <c r="HD9" s="12"/>
      <c r="HF9" s="149">
        <f>+HF8-[1]Caracteristicas!$B$19</f>
        <v>814</v>
      </c>
    </row>
    <row r="10" spans="1:217" x14ac:dyDescent="0.35">
      <c r="A10"/>
      <c r="B10"/>
      <c r="C10"/>
      <c r="D10"/>
      <c r="E10"/>
      <c r="F10"/>
      <c r="G10"/>
      <c r="H10"/>
      <c r="I10" s="15"/>
      <c r="J10" s="15"/>
      <c r="K10"/>
      <c r="N10" s="12" t="s">
        <v>74</v>
      </c>
      <c r="O10" s="7"/>
      <c r="Q10" s="5"/>
      <c r="T10"/>
      <c r="U10"/>
      <c r="W10" s="15"/>
      <c r="X10" s="15"/>
      <c r="Y10" s="15"/>
      <c r="Z10" s="15"/>
      <c r="AA10" s="15"/>
      <c r="AB10"/>
      <c r="AE10" s="12"/>
      <c r="AG10" s="5"/>
      <c r="AJ10"/>
      <c r="AL10" s="15"/>
      <c r="AM10" s="15"/>
      <c r="AN10" s="15"/>
      <c r="AO10" s="15"/>
      <c r="AP10"/>
      <c r="AT10" s="12"/>
      <c r="AV10" s="5"/>
      <c r="BA10" s="15"/>
      <c r="BB10" s="15"/>
      <c r="BC10" s="15"/>
      <c r="BD10" s="15"/>
      <c r="BE10" s="15"/>
      <c r="BI10" s="12"/>
      <c r="BK10" s="5"/>
      <c r="BQ10" s="15"/>
      <c r="BR10" s="15"/>
      <c r="BS10" s="15"/>
      <c r="BT10" s="15"/>
      <c r="BU10" s="15"/>
      <c r="BY10" s="12"/>
      <c r="CA10" s="5"/>
      <c r="CH10" s="15"/>
      <c r="CI10" s="15"/>
      <c r="CJ10" s="15"/>
      <c r="CK10" s="15"/>
      <c r="CL10" s="15"/>
      <c r="CP10" s="12"/>
      <c r="CR10" s="5"/>
      <c r="CY10" s="12"/>
      <c r="DA10" s="5"/>
      <c r="DF10" s="15"/>
      <c r="DG10" s="15"/>
      <c r="DH10" s="15"/>
      <c r="DI10" s="15"/>
      <c r="DJ10" s="15"/>
      <c r="DN10" s="12"/>
      <c r="DP10" s="5"/>
      <c r="DU10" s="15"/>
      <c r="DV10" s="15"/>
      <c r="DW10" s="15"/>
      <c r="DX10" s="15"/>
      <c r="DY10" s="15"/>
      <c r="EC10" s="12"/>
      <c r="EE10" s="5"/>
      <c r="EJ10" s="15"/>
      <c r="EK10" s="15"/>
      <c r="EL10" s="15"/>
      <c r="EM10" s="15"/>
      <c r="EN10" s="15"/>
      <c r="ER10" s="12"/>
      <c r="ET10" s="5"/>
      <c r="FA10" s="12"/>
      <c r="FC10" s="5"/>
      <c r="FK10" s="12"/>
      <c r="FM10" s="5"/>
      <c r="FT10" s="12"/>
      <c r="FV10" s="5"/>
      <c r="GC10" s="12"/>
      <c r="GE10" s="5"/>
      <c r="GL10" s="12"/>
      <c r="GN10" s="5"/>
      <c r="GU10" s="12"/>
      <c r="GW10" s="5"/>
      <c r="HD10" s="12"/>
      <c r="HF10" s="5"/>
    </row>
    <row r="11" spans="1:217" x14ac:dyDescent="0.35">
      <c r="A11"/>
      <c r="B11"/>
      <c r="C11"/>
      <c r="D11"/>
      <c r="E11"/>
      <c r="F11"/>
      <c r="G11"/>
      <c r="H11"/>
      <c r="I11" s="15"/>
      <c r="J11" s="15"/>
      <c r="K11"/>
      <c r="N11" s="17" t="s">
        <v>73</v>
      </c>
      <c r="O11" s="7"/>
      <c r="Q11" s="115">
        <f>+Q13/Q12</f>
        <v>230343292.43000001</v>
      </c>
      <c r="T11"/>
      <c r="U11"/>
      <c r="W11" s="15"/>
      <c r="X11" s="15"/>
      <c r="Y11" s="15"/>
      <c r="Z11" s="15"/>
      <c r="AA11" s="15"/>
      <c r="AB11"/>
      <c r="AE11" s="12"/>
      <c r="AG11" s="115">
        <f>+AG13/AG12</f>
        <v>1241907.93</v>
      </c>
      <c r="AJ11"/>
      <c r="AL11" s="15"/>
      <c r="AM11" s="15"/>
      <c r="AN11" s="15"/>
      <c r="AO11" s="15"/>
      <c r="AP11"/>
      <c r="AT11" s="12"/>
      <c r="AV11" s="115">
        <f>+AV13/AV12</f>
        <v>51796167.540000007</v>
      </c>
      <c r="BA11" s="15"/>
      <c r="BB11" s="15"/>
      <c r="BC11" s="15"/>
      <c r="BD11" s="15"/>
      <c r="BE11" s="15"/>
      <c r="BI11" s="12"/>
      <c r="BK11" s="115">
        <f>+BK13/BK12</f>
        <v>53476614.030000001</v>
      </c>
      <c r="BQ11" s="15"/>
      <c r="BR11" s="15"/>
      <c r="BS11" s="15"/>
      <c r="BT11" s="15"/>
      <c r="BU11" s="15"/>
      <c r="BY11" s="12"/>
      <c r="CA11" s="115">
        <f>+CA13/CA12</f>
        <v>4571867.7990000034</v>
      </c>
      <c r="CH11" s="15"/>
      <c r="CI11" s="15"/>
      <c r="CJ11" s="15"/>
      <c r="CK11" s="15"/>
      <c r="CL11" s="15"/>
      <c r="CP11" s="12"/>
      <c r="CR11" s="115">
        <f>+CR13/CR12</f>
        <v>1669085.8500000003</v>
      </c>
      <c r="CY11" s="12"/>
      <c r="DA11" s="115">
        <f>+DA13/DA12</f>
        <v>29810000.000000004</v>
      </c>
      <c r="DF11" s="15"/>
      <c r="DG11" s="15"/>
      <c r="DH11" s="15"/>
      <c r="DI11" s="15"/>
      <c r="DJ11" s="15"/>
      <c r="DN11" s="12"/>
      <c r="DP11" s="115">
        <f>+DP13/DP12</f>
        <v>9174681.5399999991</v>
      </c>
      <c r="DU11" s="15"/>
      <c r="DV11" s="15"/>
      <c r="DW11" s="15"/>
      <c r="DX11" s="15"/>
      <c r="DY11" s="15"/>
      <c r="EC11" s="12"/>
      <c r="EE11" s="115">
        <f>+EE13/EE12</f>
        <v>8467854.9770951178</v>
      </c>
      <c r="EJ11" s="15"/>
      <c r="EK11" s="15"/>
      <c r="EL11" s="15"/>
      <c r="EM11" s="15"/>
      <c r="EN11" s="15"/>
      <c r="ER11" s="12"/>
      <c r="ET11" s="115"/>
      <c r="FA11" s="12"/>
      <c r="FC11" s="115">
        <f>+FC13/FC12</f>
        <v>2794681.5</v>
      </c>
      <c r="FK11" s="12"/>
      <c r="FM11" s="115">
        <f>+FM13/FM12</f>
        <v>309433.84400000004</v>
      </c>
      <c r="FT11" s="12"/>
      <c r="FV11" s="115">
        <f>+FV13/FV12</f>
        <v>309433.84400000004</v>
      </c>
      <c r="GC11" s="12"/>
      <c r="GE11" s="115">
        <f>+GE13/GE12</f>
        <v>309433.84400000004</v>
      </c>
      <c r="GL11" s="12"/>
      <c r="GN11" s="115">
        <f>+GN13/GN12</f>
        <v>309433.84400000004</v>
      </c>
      <c r="GU11" s="12"/>
      <c r="GW11" s="115">
        <f>+GW13/GW12</f>
        <v>388403.55</v>
      </c>
      <c r="HD11" s="12"/>
      <c r="HF11" s="115">
        <f>+HF13/HF12</f>
        <v>388403.55</v>
      </c>
    </row>
    <row r="12" spans="1:217" x14ac:dyDescent="0.35">
      <c r="D12" s="110"/>
      <c r="E12" s="72"/>
      <c r="F12" s="73"/>
      <c r="G12" s="111"/>
      <c r="H12" s="114"/>
      <c r="I12" s="15"/>
      <c r="J12" s="15"/>
      <c r="K12"/>
      <c r="N12" s="17" t="s">
        <v>23</v>
      </c>
      <c r="O12" s="10"/>
      <c r="P12" s="110"/>
      <c r="Q12" s="150">
        <v>0.57390184900285557</v>
      </c>
      <c r="T12"/>
      <c r="U12"/>
      <c r="W12" s="15"/>
      <c r="X12" s="15"/>
      <c r="Y12" s="15"/>
      <c r="Z12" s="15"/>
      <c r="AA12" s="15"/>
      <c r="AB12"/>
      <c r="AE12" s="19" t="s">
        <v>23</v>
      </c>
      <c r="AF12" s="110"/>
      <c r="AG12" s="23">
        <v>1</v>
      </c>
      <c r="AJ12"/>
      <c r="AL12" s="15"/>
      <c r="AM12" s="15"/>
      <c r="AN12" s="15"/>
      <c r="AO12" s="15"/>
      <c r="AP12"/>
      <c r="AT12" s="19" t="s">
        <v>23</v>
      </c>
      <c r="AU12" s="110"/>
      <c r="AV12" s="75">
        <f>+AV13/AV15</f>
        <v>0.30883590084398976</v>
      </c>
      <c r="AY12"/>
      <c r="BA12" s="15"/>
      <c r="BB12" s="15"/>
      <c r="BC12" s="15"/>
      <c r="BD12" s="15"/>
      <c r="BE12" s="15"/>
      <c r="BI12" s="19" t="s">
        <v>23</v>
      </c>
      <c r="BJ12" s="110"/>
      <c r="BK12" s="150">
        <v>1</v>
      </c>
      <c r="BO12"/>
      <c r="BQ12" s="15"/>
      <c r="BR12" s="15"/>
      <c r="BS12" s="15"/>
      <c r="BT12" s="15"/>
      <c r="BU12" s="15"/>
      <c r="BY12" s="19" t="s">
        <v>23</v>
      </c>
      <c r="BZ12" s="110"/>
      <c r="CA12" s="112">
        <f>+CB27/254312.71</f>
        <v>0.22702943184608065</v>
      </c>
      <c r="CF12"/>
      <c r="CH12" s="15"/>
      <c r="CI12" s="15"/>
      <c r="CJ12" s="15"/>
      <c r="CK12" s="15"/>
      <c r="CL12" s="15"/>
      <c r="CP12" s="19" t="s">
        <v>23</v>
      </c>
      <c r="CQ12" s="110"/>
      <c r="CR12" s="23">
        <v>1</v>
      </c>
      <c r="CU12"/>
      <c r="CY12" s="19" t="s">
        <v>23</v>
      </c>
      <c r="CZ12" s="110"/>
      <c r="DA12" s="23">
        <f>++DA13/DA15</f>
        <v>0.86082017741707817</v>
      </c>
      <c r="DD12"/>
      <c r="DF12" s="15"/>
      <c r="DG12" s="15"/>
      <c r="DH12" s="15"/>
      <c r="DI12" s="15"/>
      <c r="DJ12" s="15"/>
      <c r="DN12" s="19" t="s">
        <v>23</v>
      </c>
      <c r="DO12" s="110"/>
      <c r="DP12" s="112">
        <v>0.99370811936295955</v>
      </c>
      <c r="DS12"/>
      <c r="DU12" s="15"/>
      <c r="DV12" s="15"/>
      <c r="DW12" s="15"/>
      <c r="DX12" s="15"/>
      <c r="DY12" s="15"/>
      <c r="EC12" s="19" t="s">
        <v>23</v>
      </c>
      <c r="ED12" s="110"/>
      <c r="EE12" s="112">
        <f>+EE13/EE15</f>
        <v>0.13104946597317393</v>
      </c>
      <c r="EF12" s="7" t="s">
        <v>102</v>
      </c>
      <c r="EH12" s="23">
        <v>0.38897015820116093</v>
      </c>
      <c r="EJ12" s="15"/>
      <c r="EK12" s="15"/>
      <c r="EL12" s="15"/>
      <c r="EM12" s="15"/>
      <c r="EN12" s="15"/>
      <c r="ER12" s="19"/>
      <c r="ES12" s="110"/>
      <c r="ET12" s="24"/>
      <c r="EW12"/>
      <c r="FA12" s="19" t="s">
        <v>23</v>
      </c>
      <c r="FB12" s="110"/>
      <c r="FC12" s="23">
        <v>1</v>
      </c>
      <c r="FG12"/>
      <c r="FK12" s="19" t="s">
        <v>23</v>
      </c>
      <c r="FL12" s="110"/>
      <c r="FM12" s="25">
        <v>1</v>
      </c>
      <c r="FP12"/>
      <c r="FT12" s="19" t="s">
        <v>23</v>
      </c>
      <c r="FU12" s="110"/>
      <c r="FV12" s="25">
        <v>1</v>
      </c>
      <c r="FY12"/>
      <c r="GC12" s="19" t="s">
        <v>23</v>
      </c>
      <c r="GD12" s="110"/>
      <c r="GE12" s="25">
        <v>1</v>
      </c>
      <c r="GH12"/>
      <c r="GL12" s="19" t="s">
        <v>23</v>
      </c>
      <c r="GM12" s="110"/>
      <c r="GN12" s="25">
        <v>1</v>
      </c>
      <c r="GQ12"/>
      <c r="GU12" s="19" t="s">
        <v>23</v>
      </c>
      <c r="GV12" s="110"/>
      <c r="GW12" s="25">
        <v>1</v>
      </c>
      <c r="GY12" s="61">
        <v>100</v>
      </c>
      <c r="GZ12"/>
      <c r="HD12" s="19" t="s">
        <v>23</v>
      </c>
      <c r="HE12" s="110"/>
      <c r="HF12" s="25">
        <v>1</v>
      </c>
      <c r="HI12"/>
    </row>
    <row r="13" spans="1:217" x14ac:dyDescent="0.35">
      <c r="E13" s="14"/>
      <c r="G13" s="76"/>
      <c r="H13" s="113"/>
      <c r="I13" s="15"/>
      <c r="J13" s="15"/>
      <c r="K13"/>
      <c r="N13" s="17" t="s">
        <v>24</v>
      </c>
      <c r="O13" s="10"/>
      <c r="Q13" s="26">
        <f>+Q29</f>
        <v>132194441.43098247</v>
      </c>
      <c r="T13"/>
      <c r="U13"/>
      <c r="W13" s="15"/>
      <c r="X13" s="15"/>
      <c r="Y13" s="15"/>
      <c r="Z13" s="15"/>
      <c r="AA13" s="15"/>
      <c r="AB13"/>
      <c r="AE13" s="19" t="s">
        <v>24</v>
      </c>
      <c r="AG13" s="20">
        <f>+AG27</f>
        <v>1241907.93</v>
      </c>
      <c r="AJ13"/>
      <c r="AL13" s="15"/>
      <c r="AM13" s="15"/>
      <c r="AN13" s="15"/>
      <c r="AO13" s="15"/>
      <c r="AP13"/>
      <c r="AT13" s="19" t="s">
        <v>24</v>
      </c>
      <c r="AV13" s="20">
        <f>+AV28</f>
        <v>15996516.062482124</v>
      </c>
      <c r="AY13"/>
      <c r="BA13" s="15"/>
      <c r="BB13" s="15"/>
      <c r="BC13" s="15"/>
      <c r="BD13" s="15"/>
      <c r="BE13" s="15"/>
      <c r="BI13" s="19" t="s">
        <v>24</v>
      </c>
      <c r="BK13" s="20">
        <f>+BK26</f>
        <v>53476614.030000001</v>
      </c>
      <c r="BO13"/>
      <c r="BQ13" s="15"/>
      <c r="BR13" s="15"/>
      <c r="BS13" s="15"/>
      <c r="BT13" s="15"/>
      <c r="BU13" s="15"/>
      <c r="BY13" s="19" t="s">
        <v>24</v>
      </c>
      <c r="CA13" s="20">
        <f>+CA28+CC24</f>
        <v>1037948.5488823621</v>
      </c>
      <c r="CF13"/>
      <c r="CH13" s="15"/>
      <c r="CI13" s="15"/>
      <c r="CJ13" s="15"/>
      <c r="CK13" s="15"/>
      <c r="CL13" s="15"/>
      <c r="CP13" s="19" t="s">
        <v>24</v>
      </c>
      <c r="CR13" s="20">
        <f>+CR26</f>
        <v>1669085.8500000003</v>
      </c>
      <c r="CU13"/>
      <c r="CY13" s="19" t="s">
        <v>24</v>
      </c>
      <c r="DA13" s="20">
        <f>+DA26</f>
        <v>25661049.488803104</v>
      </c>
      <c r="DD13"/>
      <c r="DF13" s="15"/>
      <c r="DG13" s="15"/>
      <c r="DH13" s="15"/>
      <c r="DI13" s="15"/>
      <c r="DJ13" s="15"/>
      <c r="DN13" s="19" t="s">
        <v>24</v>
      </c>
      <c r="DP13" s="20">
        <f>+DP26</f>
        <v>9116955.5388674606</v>
      </c>
      <c r="DS13"/>
      <c r="DU13" s="15"/>
      <c r="DV13" s="15"/>
      <c r="DW13" s="15"/>
      <c r="DX13" s="15"/>
      <c r="DY13" s="15"/>
      <c r="EC13" s="19" t="s">
        <v>24</v>
      </c>
      <c r="EE13" s="20">
        <f>+EE25</f>
        <v>1109707.8726865982</v>
      </c>
      <c r="EF13" s="7" t="s">
        <v>103</v>
      </c>
      <c r="EH13" s="76">
        <f>+EH12*EE11</f>
        <v>3293742.8900651759</v>
      </c>
      <c r="EI13" s="148">
        <f>+EH13-EE13</f>
        <v>2184035.017378578</v>
      </c>
      <c r="EJ13" s="15"/>
      <c r="EK13" s="15"/>
      <c r="EL13" s="15"/>
      <c r="EM13" s="15"/>
      <c r="EN13" s="15"/>
      <c r="ER13" s="19"/>
      <c r="ET13" s="20"/>
      <c r="EW13"/>
      <c r="FA13" s="19" t="s">
        <v>24</v>
      </c>
      <c r="FC13" s="20">
        <f>+FC27</f>
        <v>2794681.5</v>
      </c>
      <c r="FG13"/>
      <c r="FK13" s="19" t="s">
        <v>24</v>
      </c>
      <c r="FM13" s="20">
        <f>+FM26</f>
        <v>309433.84400000004</v>
      </c>
      <c r="FP13"/>
      <c r="FT13" s="19" t="s">
        <v>24</v>
      </c>
      <c r="FV13" s="20">
        <f>+FV26</f>
        <v>309433.84400000004</v>
      </c>
      <c r="FY13"/>
      <c r="GC13" s="19" t="s">
        <v>24</v>
      </c>
      <c r="GE13" s="20">
        <f>+GE26</f>
        <v>309433.84400000004</v>
      </c>
      <c r="GH13"/>
      <c r="GL13" s="19" t="s">
        <v>24</v>
      </c>
      <c r="GN13" s="20">
        <f>+GN26</f>
        <v>309433.84400000004</v>
      </c>
      <c r="GQ13"/>
      <c r="GU13" s="19" t="s">
        <v>24</v>
      </c>
      <c r="GW13" s="20">
        <f>+GW26</f>
        <v>388403.55</v>
      </c>
      <c r="GY13" s="61">
        <f>+GY12/13.8</f>
        <v>7.2463768115942022</v>
      </c>
      <c r="GZ13"/>
      <c r="HD13" s="19" t="s">
        <v>24</v>
      </c>
      <c r="HF13" s="20">
        <f>+HF26</f>
        <v>388403.55</v>
      </c>
      <c r="HI13"/>
    </row>
    <row r="14" spans="1:217" hidden="1" x14ac:dyDescent="0.35">
      <c r="A14"/>
      <c r="B14"/>
      <c r="C14"/>
      <c r="D14"/>
      <c r="E14"/>
      <c r="F14"/>
      <c r="G14"/>
      <c r="H14" s="113"/>
      <c r="I14" s="15"/>
      <c r="J14" s="15"/>
      <c r="K14"/>
      <c r="N14" s="9" t="s">
        <v>64</v>
      </c>
      <c r="O14" s="10"/>
      <c r="Q14" s="27"/>
      <c r="T14"/>
      <c r="U14"/>
      <c r="W14" s="15"/>
      <c r="X14" s="15"/>
      <c r="Y14" s="15"/>
      <c r="Z14" s="15"/>
      <c r="AA14" s="15"/>
      <c r="AB14"/>
      <c r="AE14" s="7"/>
      <c r="AG14" s="16"/>
      <c r="AJ14"/>
      <c r="AL14" s="15"/>
      <c r="AM14" s="15"/>
      <c r="AN14" s="15"/>
      <c r="AO14" s="15"/>
      <c r="AP14"/>
      <c r="AT14" s="7"/>
      <c r="AV14" s="16"/>
      <c r="BA14" s="15"/>
      <c r="BB14" s="15"/>
      <c r="BC14" s="15"/>
      <c r="BD14" s="15"/>
      <c r="BE14" s="15"/>
      <c r="BI14" s="7"/>
      <c r="BK14" s="16"/>
      <c r="BQ14" s="15"/>
      <c r="BR14" s="15"/>
      <c r="BS14" s="15"/>
      <c r="BT14" s="15"/>
      <c r="BU14" s="15"/>
      <c r="BY14" s="7"/>
      <c r="CA14" s="16"/>
      <c r="CH14" s="15"/>
      <c r="CI14" s="15"/>
      <c r="CJ14" s="15"/>
      <c r="CK14" s="15"/>
      <c r="CL14" s="15"/>
      <c r="CP14" s="7"/>
      <c r="CR14" s="16"/>
      <c r="CY14" s="7"/>
      <c r="DA14" s="16"/>
      <c r="DF14" s="15"/>
      <c r="DG14" s="15"/>
      <c r="DH14" s="15"/>
      <c r="DI14" s="15"/>
      <c r="DJ14" s="15"/>
      <c r="DN14" s="7"/>
      <c r="DP14" s="16"/>
      <c r="DU14" s="15"/>
      <c r="DV14" s="15"/>
      <c r="DW14" s="15"/>
      <c r="DX14" s="15"/>
      <c r="DY14" s="15"/>
      <c r="EC14" s="7"/>
      <c r="EE14" s="16"/>
      <c r="EJ14" s="15"/>
      <c r="EK14" s="15"/>
      <c r="EL14" s="15"/>
      <c r="EM14" s="15"/>
      <c r="EN14" s="15"/>
      <c r="ER14" s="7"/>
      <c r="ET14" s="16"/>
      <c r="FA14" s="7"/>
      <c r="FC14" s="16"/>
      <c r="FK14" s="7"/>
      <c r="FM14" s="16"/>
      <c r="FT14" s="7"/>
      <c r="FV14" s="16"/>
      <c r="GC14" s="7"/>
      <c r="GE14" s="16"/>
      <c r="GL14" s="7"/>
      <c r="GN14" s="16"/>
      <c r="GU14" s="7"/>
      <c r="GW14" s="16"/>
      <c r="HD14" s="7"/>
      <c r="HF14" s="16"/>
    </row>
    <row r="15" spans="1:217" hidden="1" x14ac:dyDescent="0.35">
      <c r="E15" s="72"/>
      <c r="F15" s="73"/>
      <c r="J15" s="106"/>
      <c r="K15" s="74"/>
      <c r="N15" s="17" t="s">
        <v>21</v>
      </c>
      <c r="O15" s="10"/>
      <c r="Q15" s="18">
        <v>230617692.43000001</v>
      </c>
      <c r="T15"/>
      <c r="U15"/>
      <c r="W15" s="15"/>
      <c r="X15" s="15"/>
      <c r="Y15" s="15"/>
      <c r="Z15" s="15"/>
      <c r="AA15" s="15"/>
      <c r="AB15"/>
      <c r="AE15" s="19" t="s">
        <v>21</v>
      </c>
      <c r="AG15" s="20">
        <f>+AG12*AG13</f>
        <v>1241907.93</v>
      </c>
      <c r="AJ15"/>
      <c r="AL15" s="15"/>
      <c r="AM15" s="15"/>
      <c r="AN15" s="15"/>
      <c r="AO15" s="15"/>
      <c r="AP15"/>
      <c r="AT15" s="19" t="s">
        <v>21</v>
      </c>
      <c r="AV15" s="20">
        <f>+SUM([2]Consolidado1!$C$241:$C$245)</f>
        <v>51796167.540000007</v>
      </c>
      <c r="AY15" s="7">
        <f>187920.41+6784.89+626.79</f>
        <v>195332.09000000003</v>
      </c>
      <c r="BA15" s="15"/>
      <c r="BB15" s="15"/>
      <c r="BC15" s="15"/>
      <c r="BD15" s="15"/>
      <c r="BE15" s="15"/>
      <c r="BI15" s="19" t="s">
        <v>21</v>
      </c>
      <c r="BK15" s="20">
        <f>+BK25</f>
        <v>53476614.030000001</v>
      </c>
      <c r="BQ15" s="15"/>
      <c r="BR15" s="15"/>
      <c r="BS15" s="15"/>
      <c r="BT15" s="15"/>
      <c r="BU15" s="15"/>
      <c r="BY15" s="19" t="s">
        <v>21</v>
      </c>
      <c r="CA15" s="20">
        <f>+CA13/CA12</f>
        <v>4571867.7990000034</v>
      </c>
      <c r="CH15" s="15"/>
      <c r="CI15" s="15"/>
      <c r="CJ15" s="15"/>
      <c r="CK15" s="15"/>
      <c r="CL15" s="15"/>
      <c r="CP15" s="19" t="s">
        <v>21</v>
      </c>
      <c r="CR15" s="20">
        <v>1460450.15</v>
      </c>
      <c r="CY15" s="19" t="s">
        <v>21</v>
      </c>
      <c r="DA15" s="21">
        <f>+SUM([2]Consolidado1!$C$323:$C$328)</f>
        <v>29810000.000000004</v>
      </c>
      <c r="DF15" s="15"/>
      <c r="DG15" s="15"/>
      <c r="DH15" s="15"/>
      <c r="DI15" s="15"/>
      <c r="DJ15" s="15"/>
      <c r="DN15" s="19" t="s">
        <v>21</v>
      </c>
      <c r="DP15" s="20">
        <f>+DP13/DP12</f>
        <v>9174681.5399999991</v>
      </c>
      <c r="DU15" s="15"/>
      <c r="DV15" s="15"/>
      <c r="DW15" s="15"/>
      <c r="DX15" s="15"/>
      <c r="DY15" s="15"/>
      <c r="EC15" s="19" t="s">
        <v>21</v>
      </c>
      <c r="EE15" s="20">
        <f>+SUM([2]Consolidado1!$C$315:$C$319)</f>
        <v>8467854.9770951178</v>
      </c>
      <c r="EJ15" s="15"/>
      <c r="EK15" s="15"/>
      <c r="EL15" s="15"/>
      <c r="EM15" s="15"/>
      <c r="EN15" s="15"/>
      <c r="ER15" s="19"/>
      <c r="ET15" s="20"/>
      <c r="FA15" s="19" t="s">
        <v>21</v>
      </c>
      <c r="FC15" s="20"/>
      <c r="FK15" s="19" t="s">
        <v>21</v>
      </c>
      <c r="FM15" s="20">
        <v>346343.01400000002</v>
      </c>
      <c r="FT15" s="19" t="s">
        <v>21</v>
      </c>
      <c r="FV15" s="20">
        <v>346343.01400000002</v>
      </c>
      <c r="GC15" s="19" t="s">
        <v>21</v>
      </c>
      <c r="GE15" s="20">
        <v>346343.01400000002</v>
      </c>
      <c r="GL15" s="19" t="s">
        <v>21</v>
      </c>
      <c r="GN15" s="20">
        <v>346343.01400000002</v>
      </c>
      <c r="GU15" s="19" t="s">
        <v>21</v>
      </c>
      <c r="GW15" s="20">
        <v>426409.54</v>
      </c>
      <c r="HD15" s="19" t="s">
        <v>21</v>
      </c>
      <c r="HF15" s="20">
        <v>426409.54</v>
      </c>
    </row>
    <row r="16" spans="1:217" ht="14.4" hidden="1" customHeight="1" x14ac:dyDescent="0.35">
      <c r="E16" s="14"/>
      <c r="G16" s="61"/>
      <c r="H16"/>
      <c r="I16" s="15"/>
      <c r="J16" s="15"/>
      <c r="K16"/>
      <c r="N16" s="17" t="s">
        <v>22</v>
      </c>
      <c r="O16" s="10"/>
      <c r="Q16" s="18">
        <v>16433142.600000007</v>
      </c>
      <c r="T16"/>
      <c r="U16"/>
      <c r="W16" s="15"/>
      <c r="X16" s="15"/>
      <c r="Y16" s="15"/>
      <c r="Z16" s="15"/>
      <c r="AA16" s="15"/>
      <c r="AB16"/>
      <c r="AE16" s="19" t="s">
        <v>22</v>
      </c>
      <c r="AG16" s="22"/>
      <c r="AJ16"/>
      <c r="AL16" s="15"/>
      <c r="AM16" s="15"/>
      <c r="AN16" s="15"/>
      <c r="AO16" s="15"/>
      <c r="AP16"/>
      <c r="AT16" s="19" t="s">
        <v>22</v>
      </c>
      <c r="AV16" s="22"/>
      <c r="AY16"/>
      <c r="BA16" s="15"/>
      <c r="BB16" s="15"/>
      <c r="BC16" s="15"/>
      <c r="BD16" s="15"/>
      <c r="BE16" s="15"/>
      <c r="BI16" s="19" t="s">
        <v>22</v>
      </c>
      <c r="BK16" s="22"/>
      <c r="BO16"/>
      <c r="BQ16" s="15"/>
      <c r="BR16" s="15"/>
      <c r="BS16" s="15"/>
      <c r="BT16" s="15"/>
      <c r="BU16" s="15"/>
      <c r="BY16" s="19" t="s">
        <v>22</v>
      </c>
      <c r="CA16" s="22"/>
      <c r="CF16"/>
      <c r="CH16" s="15"/>
      <c r="CI16" s="15"/>
      <c r="CJ16" s="15"/>
      <c r="CK16" s="15"/>
      <c r="CL16" s="15"/>
      <c r="CP16" s="19" t="s">
        <v>22</v>
      </c>
      <c r="CR16" s="22"/>
      <c r="CU16"/>
      <c r="CY16" s="19" t="s">
        <v>22</v>
      </c>
      <c r="DA16" s="22"/>
      <c r="DD16"/>
      <c r="DF16" s="15"/>
      <c r="DG16" s="15"/>
      <c r="DH16" s="15"/>
      <c r="DI16" s="15"/>
      <c r="DJ16" s="15"/>
      <c r="DN16" s="19" t="s">
        <v>22</v>
      </c>
      <c r="DP16" s="22"/>
      <c r="DS16"/>
      <c r="DU16" s="15"/>
      <c r="DV16" s="15"/>
      <c r="DW16" s="15"/>
      <c r="DX16" s="15"/>
      <c r="DY16" s="15"/>
      <c r="EC16" s="19" t="s">
        <v>22</v>
      </c>
      <c r="EE16" s="22"/>
      <c r="EH16"/>
      <c r="EJ16" s="15"/>
      <c r="EK16" s="15"/>
      <c r="EL16" s="15"/>
      <c r="EM16" s="15"/>
      <c r="EN16" s="15"/>
      <c r="ER16" s="19"/>
      <c r="ET16" s="22"/>
      <c r="EW16"/>
      <c r="FA16" s="19" t="s">
        <v>22</v>
      </c>
      <c r="FC16" s="22"/>
      <c r="FG16"/>
      <c r="FK16" s="19" t="s">
        <v>22</v>
      </c>
      <c r="FP16"/>
      <c r="FT16" s="19" t="s">
        <v>22</v>
      </c>
      <c r="FY16"/>
      <c r="GC16" s="19" t="s">
        <v>22</v>
      </c>
      <c r="GH16"/>
      <c r="GL16" s="19" t="s">
        <v>22</v>
      </c>
      <c r="GQ16"/>
      <c r="GU16" s="19" t="s">
        <v>22</v>
      </c>
      <c r="GZ16"/>
      <c r="HD16" s="19" t="s">
        <v>22</v>
      </c>
      <c r="HI16"/>
    </row>
    <row r="17" spans="1:217" hidden="1" x14ac:dyDescent="0.35">
      <c r="E17" s="72"/>
      <c r="F17" s="73"/>
      <c r="H17"/>
      <c r="I17" s="15"/>
      <c r="J17" s="15"/>
      <c r="K17"/>
      <c r="N17" s="17" t="s">
        <v>25</v>
      </c>
      <c r="O17" s="10"/>
      <c r="Q17" s="26">
        <f>+Q16*Q12</f>
        <v>9431010.9230675977</v>
      </c>
      <c r="T17"/>
      <c r="U17"/>
      <c r="W17" s="15"/>
      <c r="X17" s="15"/>
      <c r="Y17" s="15"/>
      <c r="Z17" s="15"/>
      <c r="AA17" s="15"/>
      <c r="AB17"/>
      <c r="AE17" s="19" t="s">
        <v>25</v>
      </c>
      <c r="AG17" s="20"/>
      <c r="AJ17"/>
      <c r="AL17" s="15"/>
      <c r="AM17" s="15"/>
      <c r="AN17" s="15"/>
      <c r="AO17" s="15"/>
      <c r="AP17"/>
      <c r="AT17" s="19" t="s">
        <v>25</v>
      </c>
      <c r="AV17" s="20"/>
      <c r="AY17"/>
      <c r="BA17" s="15"/>
      <c r="BB17" s="15"/>
      <c r="BC17" s="15"/>
      <c r="BD17" s="15"/>
      <c r="BE17" s="15"/>
      <c r="BI17" s="19" t="s">
        <v>25</v>
      </c>
      <c r="BK17" s="20"/>
      <c r="BO17"/>
      <c r="BQ17" s="15"/>
      <c r="BR17" s="15"/>
      <c r="BS17" s="15"/>
      <c r="BT17" s="15"/>
      <c r="BU17" s="15"/>
      <c r="BY17" s="19" t="s">
        <v>25</v>
      </c>
      <c r="CA17" s="20"/>
      <c r="CF17"/>
      <c r="CH17" s="15"/>
      <c r="CI17" s="15"/>
      <c r="CJ17" s="15"/>
      <c r="CK17" s="15"/>
      <c r="CL17" s="15"/>
      <c r="CP17" s="19" t="s">
        <v>25</v>
      </c>
      <c r="CR17" s="20"/>
      <c r="CU17"/>
      <c r="CY17" s="19" t="s">
        <v>25</v>
      </c>
      <c r="DA17" s="20"/>
      <c r="DD17"/>
      <c r="DF17" s="15"/>
      <c r="DG17" s="15"/>
      <c r="DH17" s="15"/>
      <c r="DI17" s="15"/>
      <c r="DJ17" s="15"/>
      <c r="DN17" s="19" t="s">
        <v>25</v>
      </c>
      <c r="DP17" s="20"/>
      <c r="DS17"/>
      <c r="DU17" s="15"/>
      <c r="DV17" s="15"/>
      <c r="DW17" s="15"/>
      <c r="DX17" s="15"/>
      <c r="DY17" s="15"/>
      <c r="EC17" s="19" t="s">
        <v>25</v>
      </c>
      <c r="EE17" s="20"/>
      <c r="EH17"/>
      <c r="EJ17" s="15"/>
      <c r="EK17" s="15"/>
      <c r="EL17" s="15"/>
      <c r="EM17" s="15"/>
      <c r="EN17" s="15"/>
      <c r="ER17" s="19"/>
      <c r="ET17" s="20"/>
      <c r="EW17"/>
      <c r="FA17" s="19" t="s">
        <v>25</v>
      </c>
      <c r="FC17" s="20"/>
      <c r="FG17"/>
      <c r="FK17" s="19" t="s">
        <v>25</v>
      </c>
      <c r="FM17" s="20"/>
      <c r="FP17"/>
      <c r="FT17" s="19" t="s">
        <v>25</v>
      </c>
      <c r="FV17" s="20"/>
      <c r="FY17"/>
      <c r="GC17" s="19" t="s">
        <v>25</v>
      </c>
      <c r="GE17" s="20"/>
      <c r="GH17"/>
      <c r="GL17" s="19" t="s">
        <v>25</v>
      </c>
      <c r="GN17" s="20"/>
      <c r="GQ17"/>
      <c r="GU17" s="19" t="s">
        <v>25</v>
      </c>
      <c r="GW17" s="20"/>
      <c r="GZ17"/>
      <c r="HD17" s="19" t="s">
        <v>25</v>
      </c>
      <c r="HF17" s="20"/>
      <c r="HI17"/>
    </row>
    <row r="18" spans="1:217" hidden="1" x14ac:dyDescent="0.35">
      <c r="E18" s="77"/>
      <c r="H18"/>
      <c r="I18" s="15"/>
      <c r="J18" s="15"/>
      <c r="K18"/>
      <c r="N18" s="17" t="s">
        <v>26</v>
      </c>
      <c r="O18" s="10"/>
      <c r="Q18" s="27">
        <v>20</v>
      </c>
      <c r="T18"/>
      <c r="U18"/>
      <c r="W18" s="15"/>
      <c r="X18" s="15"/>
      <c r="Y18" s="15"/>
      <c r="Z18" s="15"/>
      <c r="AA18" s="15"/>
      <c r="AB18"/>
      <c r="AE18" s="19" t="s">
        <v>26</v>
      </c>
      <c r="AG18" s="28"/>
      <c r="AJ18"/>
      <c r="AL18" s="15"/>
      <c r="AM18" s="15"/>
      <c r="AN18" s="15"/>
      <c r="AO18" s="15"/>
      <c r="AP18"/>
      <c r="AT18" s="19" t="s">
        <v>26</v>
      </c>
      <c r="AV18" s="28"/>
      <c r="AY18"/>
      <c r="BA18" s="15"/>
      <c r="BB18" s="15"/>
      <c r="BC18" s="15"/>
      <c r="BD18" s="15"/>
      <c r="BE18" s="15"/>
      <c r="BI18" s="19" t="s">
        <v>26</v>
      </c>
      <c r="BK18" s="28"/>
      <c r="BO18"/>
      <c r="BQ18" s="15"/>
      <c r="BR18" s="15"/>
      <c r="BS18" s="15"/>
      <c r="BT18" s="15"/>
      <c r="BU18" s="15"/>
      <c r="BY18" s="19" t="s">
        <v>26</v>
      </c>
      <c r="CA18" s="28"/>
      <c r="CF18"/>
      <c r="CH18" s="15"/>
      <c r="CI18" s="15"/>
      <c r="CJ18" s="15"/>
      <c r="CK18" s="15"/>
      <c r="CL18" s="15"/>
      <c r="CP18" s="19" t="s">
        <v>26</v>
      </c>
      <c r="CR18" s="28"/>
      <c r="CU18"/>
      <c r="CY18" s="19" t="s">
        <v>26</v>
      </c>
      <c r="DA18" s="28"/>
      <c r="DD18"/>
      <c r="DF18" s="15"/>
      <c r="DG18" s="15"/>
      <c r="DH18" s="15"/>
      <c r="DI18" s="15"/>
      <c r="DJ18" s="15"/>
      <c r="DN18" s="19" t="s">
        <v>26</v>
      </c>
      <c r="DP18" s="28"/>
      <c r="DS18"/>
      <c r="DU18" s="15"/>
      <c r="DV18" s="15"/>
      <c r="DW18" s="15"/>
      <c r="DX18" s="15"/>
      <c r="DY18" s="15"/>
      <c r="EC18" s="19" t="s">
        <v>26</v>
      </c>
      <c r="EE18" s="28"/>
      <c r="EH18"/>
      <c r="EJ18" s="15"/>
      <c r="EK18" s="15"/>
      <c r="EL18" s="15"/>
      <c r="EM18" s="15"/>
      <c r="EN18" s="15"/>
      <c r="ER18" s="19"/>
      <c r="ET18" s="28"/>
      <c r="EW18"/>
      <c r="FA18" s="19" t="s">
        <v>26</v>
      </c>
      <c r="FC18" s="28"/>
      <c r="FG18"/>
      <c r="FK18" s="19" t="s">
        <v>26</v>
      </c>
      <c r="FM18" s="28"/>
      <c r="FP18"/>
      <c r="FT18" s="19" t="s">
        <v>26</v>
      </c>
      <c r="FV18" s="28"/>
      <c r="FY18"/>
      <c r="GC18" s="19" t="s">
        <v>26</v>
      </c>
      <c r="GE18" s="28"/>
      <c r="GH18"/>
      <c r="GL18" s="19" t="s">
        <v>26</v>
      </c>
      <c r="GN18" s="28"/>
      <c r="GQ18"/>
      <c r="GU18" s="19" t="s">
        <v>26</v>
      </c>
      <c r="GW18" s="28"/>
      <c r="GZ18"/>
      <c r="HD18" s="19" t="s">
        <v>26</v>
      </c>
      <c r="HF18" s="28"/>
      <c r="HI18"/>
    </row>
    <row r="19" spans="1:217" hidden="1" x14ac:dyDescent="0.35">
      <c r="E19" s="78"/>
      <c r="H19"/>
      <c r="I19" s="15"/>
      <c r="J19" s="15"/>
      <c r="K19"/>
      <c r="N19" s="17" t="s">
        <v>27</v>
      </c>
      <c r="O19" s="10"/>
      <c r="Q19" s="26">
        <v>68600</v>
      </c>
      <c r="T19"/>
      <c r="U19"/>
      <c r="W19" s="15"/>
      <c r="X19" s="15"/>
      <c r="Y19" s="15"/>
      <c r="Z19" s="15"/>
      <c r="AA19" s="15"/>
      <c r="AB19"/>
      <c r="AE19" s="19" t="s">
        <v>28</v>
      </c>
      <c r="AG19" s="20">
        <v>51840.79</v>
      </c>
      <c r="AJ19"/>
      <c r="AL19" s="15"/>
      <c r="AM19" s="15"/>
      <c r="AN19" s="15"/>
      <c r="AO19" s="15"/>
      <c r="AP19"/>
      <c r="AT19" s="19" t="s">
        <v>28</v>
      </c>
      <c r="AV19" s="20">
        <v>51840.79</v>
      </c>
      <c r="AY19"/>
      <c r="BA19" s="15"/>
      <c r="BB19" s="15"/>
      <c r="BC19" s="15"/>
      <c r="BD19" s="15"/>
      <c r="BE19" s="15"/>
      <c r="BI19" s="19" t="s">
        <v>28</v>
      </c>
      <c r="BK19" s="20">
        <v>51840.79</v>
      </c>
      <c r="BO19"/>
      <c r="BQ19" s="15"/>
      <c r="BR19" s="15"/>
      <c r="BS19" s="15"/>
      <c r="BT19" s="15"/>
      <c r="BU19" s="15"/>
      <c r="BY19" s="19" t="s">
        <v>28</v>
      </c>
      <c r="CA19" s="20">
        <f>+CB26</f>
        <v>57736.470062537075</v>
      </c>
      <c r="CF19"/>
      <c r="CH19" s="15"/>
      <c r="CI19" s="15"/>
      <c r="CJ19" s="15"/>
      <c r="CK19" s="15"/>
      <c r="CL19" s="15"/>
      <c r="CP19" s="19" t="s">
        <v>28</v>
      </c>
      <c r="CR19" s="20"/>
      <c r="CU19"/>
      <c r="CY19" s="19" t="s">
        <v>28</v>
      </c>
      <c r="DA19" s="20"/>
      <c r="DD19"/>
      <c r="DF19" s="15"/>
      <c r="DG19" s="15"/>
      <c r="DH19" s="15"/>
      <c r="DI19" s="15"/>
      <c r="DJ19" s="15"/>
      <c r="DN19" s="19" t="s">
        <v>28</v>
      </c>
      <c r="DP19" s="20"/>
      <c r="DS19"/>
      <c r="DU19" s="15"/>
      <c r="DV19" s="15"/>
      <c r="DW19" s="15"/>
      <c r="DX19" s="15"/>
      <c r="DY19" s="15"/>
      <c r="EC19" s="19" t="s">
        <v>28</v>
      </c>
      <c r="EE19" s="20"/>
      <c r="EH19"/>
      <c r="EJ19" s="15"/>
      <c r="EK19" s="15"/>
      <c r="EL19" s="15"/>
      <c r="EM19" s="15"/>
      <c r="EN19" s="15"/>
      <c r="ER19" s="19"/>
      <c r="ET19" s="20"/>
      <c r="EW19"/>
      <c r="FA19" s="19" t="s">
        <v>28</v>
      </c>
      <c r="FC19" s="20"/>
      <c r="FG19"/>
      <c r="FK19" s="19" t="s">
        <v>28</v>
      </c>
      <c r="FM19" s="20"/>
      <c r="FP19"/>
      <c r="FT19" s="19" t="s">
        <v>28</v>
      </c>
      <c r="FV19" s="20"/>
      <c r="FY19"/>
      <c r="GC19" s="19" t="s">
        <v>28</v>
      </c>
      <c r="GE19" s="20"/>
      <c r="GH19"/>
      <c r="GL19" s="19" t="s">
        <v>28</v>
      </c>
      <c r="GN19" s="20"/>
      <c r="GQ19"/>
      <c r="GU19" s="19" t="s">
        <v>28</v>
      </c>
      <c r="GW19" s="20"/>
      <c r="GZ19"/>
      <c r="HD19" s="19" t="s">
        <v>28</v>
      </c>
      <c r="HF19" s="20"/>
      <c r="HI19"/>
    </row>
    <row r="20" spans="1:217" ht="14.4" hidden="1" customHeight="1" x14ac:dyDescent="0.35">
      <c r="E20" s="78"/>
      <c r="F20" s="29"/>
      <c r="H20"/>
      <c r="I20" s="15"/>
      <c r="J20" s="15"/>
      <c r="K20"/>
      <c r="N20" s="17" t="s">
        <v>29</v>
      </c>
      <c r="O20" s="10"/>
      <c r="Q20" s="26">
        <f>+Q19*Q12</f>
        <v>39369.666841595892</v>
      </c>
      <c r="T20"/>
      <c r="U20"/>
      <c r="W20" s="15"/>
      <c r="X20" s="15"/>
      <c r="Y20" s="15"/>
      <c r="Z20" s="15"/>
      <c r="AA20" s="15"/>
      <c r="AB20"/>
      <c r="AE20" s="19"/>
      <c r="AG20" s="26"/>
      <c r="AJ20"/>
      <c r="AL20" s="15"/>
      <c r="AM20" s="15"/>
      <c r="AN20" s="15"/>
      <c r="AO20" s="15"/>
      <c r="AP20"/>
      <c r="AT20" s="19"/>
      <c r="AV20" s="26"/>
      <c r="AY20"/>
      <c r="BA20" s="15"/>
      <c r="BB20" s="15"/>
      <c r="BC20" s="15"/>
      <c r="BD20" s="15"/>
      <c r="BE20" s="15"/>
      <c r="BI20" s="19"/>
      <c r="BK20" s="26"/>
      <c r="BO20"/>
      <c r="BQ20" s="15"/>
      <c r="BR20" s="15"/>
      <c r="BS20" s="15"/>
      <c r="BT20" s="15"/>
      <c r="BU20" s="15"/>
      <c r="BY20" s="19"/>
      <c r="CA20" s="26"/>
      <c r="CF20"/>
      <c r="CH20" s="15"/>
      <c r="CI20" s="15"/>
      <c r="CJ20" s="15"/>
      <c r="CK20" s="15"/>
      <c r="CL20" s="15"/>
      <c r="CP20" s="19"/>
      <c r="CR20" s="26"/>
      <c r="CU20"/>
      <c r="CY20" s="19"/>
      <c r="DA20" s="26"/>
      <c r="DD20"/>
      <c r="DF20" s="15"/>
      <c r="DG20" s="15"/>
      <c r="DH20" s="15"/>
      <c r="DI20" s="15"/>
      <c r="DJ20" s="15"/>
      <c r="DN20" s="19"/>
      <c r="DP20" s="26"/>
      <c r="DS20"/>
      <c r="DU20" s="15"/>
      <c r="DV20" s="15"/>
      <c r="DW20" s="15"/>
      <c r="DX20" s="15"/>
      <c r="DY20" s="15"/>
      <c r="EC20" s="19"/>
      <c r="EE20" s="26"/>
      <c r="EH20"/>
      <c r="EJ20" s="15"/>
      <c r="EK20" s="15"/>
      <c r="EL20" s="15"/>
      <c r="EM20" s="15"/>
      <c r="EN20" s="15"/>
      <c r="ER20" s="19"/>
      <c r="ET20" s="26"/>
      <c r="EW20"/>
      <c r="FA20" s="19"/>
      <c r="FC20" s="26"/>
      <c r="FG20"/>
      <c r="FK20" s="19"/>
      <c r="FM20" s="26"/>
      <c r="FP20"/>
      <c r="FT20" s="19"/>
      <c r="FV20" s="26"/>
      <c r="FY20"/>
      <c r="GC20" s="19"/>
      <c r="GE20" s="26"/>
      <c r="GH20"/>
      <c r="GL20" s="19"/>
      <c r="GN20" s="26"/>
      <c r="GQ20"/>
      <c r="GU20" s="19"/>
      <c r="GW20" s="26"/>
      <c r="GZ20"/>
      <c r="HD20" s="19"/>
      <c r="HF20" s="26"/>
      <c r="HI20"/>
    </row>
    <row r="21" spans="1:217" hidden="1" x14ac:dyDescent="0.35">
      <c r="E21" s="8"/>
      <c r="H21"/>
      <c r="I21" s="15"/>
      <c r="J21" s="15"/>
      <c r="K21"/>
      <c r="N21" s="17" t="s">
        <v>31</v>
      </c>
      <c r="O21" s="10"/>
      <c r="Q21" s="30">
        <v>30369494.399999999</v>
      </c>
      <c r="T21"/>
      <c r="U21"/>
      <c r="W21" s="15"/>
      <c r="X21" s="15"/>
      <c r="Y21" s="15"/>
      <c r="Z21" s="15"/>
      <c r="AA21" s="15"/>
      <c r="AB21"/>
      <c r="AE21" s="19"/>
      <c r="AG21" s="30"/>
      <c r="AJ21"/>
      <c r="AL21" s="15"/>
      <c r="AM21" s="15"/>
      <c r="AN21" s="15"/>
      <c r="AO21" s="15"/>
      <c r="AP21"/>
      <c r="AT21" s="19"/>
      <c r="AV21" s="30"/>
      <c r="AY21"/>
      <c r="BA21" s="15"/>
      <c r="BB21" s="15"/>
      <c r="BC21" s="15"/>
      <c r="BD21" s="15"/>
      <c r="BE21" s="15"/>
      <c r="BI21" s="19"/>
      <c r="BK21" s="30"/>
      <c r="BO21"/>
      <c r="BQ21" s="15"/>
      <c r="BR21" s="15"/>
      <c r="BS21" s="15"/>
      <c r="BT21" s="15"/>
      <c r="BU21" s="15"/>
      <c r="BY21" s="19"/>
      <c r="CA21" s="30"/>
      <c r="CF21"/>
      <c r="CH21" s="15"/>
      <c r="CI21" s="15"/>
      <c r="CJ21" s="15"/>
      <c r="CK21" s="15"/>
      <c r="CL21" s="15"/>
      <c r="CP21" s="19"/>
      <c r="CR21" s="30"/>
      <c r="CU21"/>
      <c r="CY21" s="19"/>
      <c r="DA21" s="30"/>
      <c r="DD21"/>
      <c r="DF21" s="15"/>
      <c r="DG21" s="15"/>
      <c r="DH21" s="15"/>
      <c r="DI21" s="15"/>
      <c r="DJ21" s="15"/>
      <c r="DN21" s="19"/>
      <c r="DP21" s="30"/>
      <c r="DS21"/>
      <c r="DU21" s="15"/>
      <c r="DV21" s="15"/>
      <c r="DW21" s="15"/>
      <c r="DX21" s="15"/>
      <c r="DY21" s="15"/>
      <c r="EC21" s="19"/>
      <c r="EE21" s="30"/>
      <c r="EH21"/>
      <c r="EJ21" s="15"/>
      <c r="EK21" s="15"/>
      <c r="EL21" s="15"/>
      <c r="EM21" s="15"/>
      <c r="EN21" s="15"/>
      <c r="ER21" s="19"/>
      <c r="ET21" s="30"/>
      <c r="EW21"/>
      <c r="FA21" s="19"/>
      <c r="FC21" s="30"/>
      <c r="FG21"/>
      <c r="FK21" s="19"/>
      <c r="FM21" s="30"/>
      <c r="FP21"/>
      <c r="FT21" s="19"/>
      <c r="FV21" s="30"/>
      <c r="FY21"/>
      <c r="GC21" s="19"/>
      <c r="GE21" s="30"/>
      <c r="GH21"/>
      <c r="GL21" s="19"/>
      <c r="GN21" s="30"/>
      <c r="GQ21"/>
      <c r="GU21" s="19"/>
      <c r="GW21" s="30"/>
      <c r="GZ21"/>
      <c r="HD21" s="19"/>
      <c r="HF21" s="30"/>
      <c r="HI21"/>
    </row>
    <row r="22" spans="1:217" x14ac:dyDescent="0.35">
      <c r="D22"/>
      <c r="E22"/>
      <c r="F22"/>
      <c r="G22"/>
      <c r="H22"/>
      <c r="I22" s="15"/>
      <c r="J22" s="15"/>
      <c r="K22"/>
      <c r="O22" s="33"/>
      <c r="P22"/>
      <c r="Q22"/>
      <c r="R22"/>
      <c r="S22"/>
      <c r="T22"/>
      <c r="U22"/>
      <c r="V22" s="15"/>
      <c r="W22" s="15"/>
      <c r="X22" s="15"/>
      <c r="Y22" s="15"/>
      <c r="Z22" s="15"/>
      <c r="AA22" s="15"/>
      <c r="AE22"/>
      <c r="AF22"/>
      <c r="AG22"/>
      <c r="AH22"/>
      <c r="AI22"/>
      <c r="AJ22"/>
      <c r="AK22" s="15"/>
      <c r="AL22" s="15"/>
      <c r="AM22" s="15"/>
      <c r="AN22" s="15"/>
      <c r="AO22" s="15"/>
      <c r="AP22"/>
      <c r="AT22"/>
      <c r="AU22"/>
      <c r="AV22"/>
      <c r="AW22"/>
      <c r="AX22"/>
      <c r="AY22"/>
      <c r="AZ22" s="15"/>
      <c r="BA22" s="15"/>
      <c r="BB22" s="15"/>
      <c r="BC22" s="15"/>
      <c r="BD22" s="15"/>
      <c r="BE22" s="15"/>
      <c r="BI22"/>
      <c r="BJ22"/>
      <c r="BK22"/>
      <c r="BL22"/>
      <c r="BM22"/>
      <c r="BN22"/>
      <c r="BO22"/>
      <c r="BP22" s="100"/>
      <c r="BQ22" s="15"/>
      <c r="BR22" s="15"/>
      <c r="BS22" s="15"/>
      <c r="BT22" s="15"/>
      <c r="BU22" s="15"/>
      <c r="BY22"/>
      <c r="BZ22"/>
      <c r="CA22"/>
      <c r="CB22"/>
      <c r="CC22"/>
      <c r="CD22"/>
      <c r="CE22"/>
      <c r="CF22"/>
      <c r="CG22" s="100"/>
      <c r="CH22" s="15"/>
      <c r="CI22" s="15"/>
      <c r="CJ22" s="15"/>
      <c r="CK22" s="15"/>
      <c r="CL22" s="15"/>
      <c r="CP22"/>
      <c r="CQ22"/>
      <c r="CR22"/>
      <c r="CS22"/>
      <c r="CT22"/>
      <c r="CU22"/>
      <c r="CY22"/>
      <c r="CZ22"/>
      <c r="DA22"/>
      <c r="DB22"/>
      <c r="DC22"/>
      <c r="DD22"/>
      <c r="DE22" s="100"/>
      <c r="DF22" s="15"/>
      <c r="DG22" s="15"/>
      <c r="DH22" s="15"/>
      <c r="DI22" s="15"/>
      <c r="DJ22" s="15"/>
      <c r="DN22"/>
      <c r="DO22"/>
      <c r="DP22"/>
      <c r="DQ22"/>
      <c r="DR22"/>
      <c r="DS22"/>
      <c r="DT22" s="100"/>
      <c r="DU22" s="15"/>
      <c r="DV22" s="15"/>
      <c r="DW22" s="15"/>
      <c r="DX22" s="15"/>
      <c r="DY22" s="15"/>
      <c r="EC22"/>
      <c r="ED22"/>
      <c r="EE22"/>
      <c r="EF22"/>
      <c r="EG22"/>
      <c r="EH22"/>
      <c r="EI22" s="100"/>
      <c r="EJ22" s="15"/>
      <c r="EK22" s="15"/>
      <c r="EL22" s="15"/>
      <c r="EM22" s="15"/>
      <c r="EN22" s="15"/>
      <c r="ER22"/>
      <c r="ES22"/>
      <c r="ET22"/>
      <c r="EU22"/>
      <c r="EV22"/>
      <c r="EW22"/>
      <c r="FA22"/>
      <c r="FB22"/>
      <c r="FC22"/>
      <c r="FD22"/>
      <c r="FE22"/>
      <c r="FF22"/>
      <c r="FG22"/>
      <c r="FK22"/>
      <c r="FL22"/>
      <c r="FM22"/>
      <c r="FN22"/>
      <c r="FO22"/>
      <c r="FP22"/>
      <c r="FT22"/>
      <c r="FU22"/>
      <c r="FV22"/>
      <c r="FW22"/>
      <c r="FX22"/>
      <c r="FY22"/>
      <c r="GC22"/>
      <c r="GD22"/>
      <c r="GE22"/>
      <c r="GF22"/>
      <c r="GG22"/>
      <c r="GH22"/>
      <c r="GL22"/>
      <c r="GM22"/>
      <c r="GN22"/>
      <c r="GO22"/>
      <c r="GP22"/>
      <c r="GQ22"/>
      <c r="GU22"/>
      <c r="GV22"/>
      <c r="GW22"/>
      <c r="GX22"/>
      <c r="GY22"/>
      <c r="GZ22"/>
      <c r="HD22"/>
      <c r="HE22"/>
      <c r="HF22"/>
      <c r="HG22"/>
      <c r="HH22"/>
      <c r="HI22"/>
    </row>
    <row r="23" spans="1:217" s="42" customFormat="1" ht="29.4" customHeight="1" x14ac:dyDescent="0.35">
      <c r="A23" s="34" t="s">
        <v>32</v>
      </c>
      <c r="B23" s="34" t="s">
        <v>33</v>
      </c>
      <c r="C23" s="34" t="s">
        <v>34</v>
      </c>
      <c r="D23" s="43" t="s">
        <v>35</v>
      </c>
      <c r="E23" s="43" t="s">
        <v>36</v>
      </c>
      <c r="F23" s="43" t="s">
        <v>37</v>
      </c>
      <c r="G23" s="43" t="s">
        <v>30</v>
      </c>
      <c r="H23" s="43" t="s">
        <v>38</v>
      </c>
      <c r="I23" s="107" t="s">
        <v>51</v>
      </c>
      <c r="J23" s="107" t="s">
        <v>14</v>
      </c>
      <c r="K23" s="37"/>
      <c r="L23" s="38"/>
      <c r="M23" s="34" t="s">
        <v>32</v>
      </c>
      <c r="N23" s="39" t="s">
        <v>39</v>
      </c>
      <c r="O23" s="40" t="s">
        <v>40</v>
      </c>
      <c r="P23" s="35" t="s">
        <v>35</v>
      </c>
      <c r="Q23" s="36" t="s">
        <v>36</v>
      </c>
      <c r="R23" s="36" t="s">
        <v>41</v>
      </c>
      <c r="S23" s="36" t="s">
        <v>42</v>
      </c>
      <c r="T23" s="36" t="s">
        <v>43</v>
      </c>
      <c r="U23" s="36" t="s">
        <v>38</v>
      </c>
      <c r="V23" s="41" t="s">
        <v>44</v>
      </c>
      <c r="W23" s="41" t="s">
        <v>59</v>
      </c>
      <c r="X23" s="41" t="s">
        <v>100</v>
      </c>
      <c r="Y23" s="41" t="s">
        <v>45</v>
      </c>
      <c r="Z23" s="41" t="s">
        <v>60</v>
      </c>
      <c r="AA23" s="41" t="s">
        <v>46</v>
      </c>
      <c r="AC23" s="34" t="s">
        <v>32</v>
      </c>
      <c r="AD23" s="34" t="s">
        <v>39</v>
      </c>
      <c r="AE23" s="43" t="s">
        <v>40</v>
      </c>
      <c r="AF23" s="35" t="s">
        <v>35</v>
      </c>
      <c r="AG23" s="36" t="s">
        <v>36</v>
      </c>
      <c r="AH23" s="36" t="s">
        <v>41</v>
      </c>
      <c r="AI23" s="36" t="s">
        <v>42</v>
      </c>
      <c r="AJ23" s="36" t="s">
        <v>38</v>
      </c>
      <c r="AK23" s="41" t="s">
        <v>44</v>
      </c>
      <c r="AL23" s="41" t="s">
        <v>59</v>
      </c>
      <c r="AM23" s="41" t="s">
        <v>45</v>
      </c>
      <c r="AN23" s="41" t="s">
        <v>60</v>
      </c>
      <c r="AO23" s="41" t="s">
        <v>46</v>
      </c>
      <c r="AP23" s="37"/>
      <c r="AR23" s="34" t="s">
        <v>32</v>
      </c>
      <c r="AS23" s="34" t="s">
        <v>39</v>
      </c>
      <c r="AT23" s="43" t="s">
        <v>40</v>
      </c>
      <c r="AU23" s="35" t="s">
        <v>35</v>
      </c>
      <c r="AV23" s="36" t="s">
        <v>36</v>
      </c>
      <c r="AW23" s="36" t="s">
        <v>41</v>
      </c>
      <c r="AX23" s="36" t="s">
        <v>42</v>
      </c>
      <c r="AY23" s="36" t="s">
        <v>38</v>
      </c>
      <c r="AZ23" s="41" t="s">
        <v>44</v>
      </c>
      <c r="BA23" s="41" t="s">
        <v>59</v>
      </c>
      <c r="BB23" s="41" t="s">
        <v>100</v>
      </c>
      <c r="BC23" s="41" t="s">
        <v>45</v>
      </c>
      <c r="BD23" s="41" t="s">
        <v>60</v>
      </c>
      <c r="BE23" s="41" t="s">
        <v>46</v>
      </c>
      <c r="BG23" s="34" t="s">
        <v>32</v>
      </c>
      <c r="BH23" s="34" t="s">
        <v>39</v>
      </c>
      <c r="BI23" s="43" t="s">
        <v>40</v>
      </c>
      <c r="BJ23" s="35" t="s">
        <v>35</v>
      </c>
      <c r="BK23" s="36" t="s">
        <v>36</v>
      </c>
      <c r="BL23" s="36" t="s">
        <v>41</v>
      </c>
      <c r="BM23" s="36" t="s">
        <v>42</v>
      </c>
      <c r="BN23" s="36" t="s">
        <v>61</v>
      </c>
      <c r="BO23" s="36" t="s">
        <v>38</v>
      </c>
      <c r="BP23" s="101" t="s">
        <v>44</v>
      </c>
      <c r="BQ23" s="41" t="s">
        <v>59</v>
      </c>
      <c r="BR23" s="41" t="s">
        <v>100</v>
      </c>
      <c r="BS23" s="41" t="s">
        <v>45</v>
      </c>
      <c r="BT23" s="41" t="s">
        <v>60</v>
      </c>
      <c r="BU23" s="41" t="s">
        <v>46</v>
      </c>
      <c r="BW23" s="34" t="s">
        <v>32</v>
      </c>
      <c r="BX23" s="34" t="s">
        <v>39</v>
      </c>
      <c r="BY23" s="43" t="s">
        <v>40</v>
      </c>
      <c r="BZ23" s="35" t="s">
        <v>35</v>
      </c>
      <c r="CA23" s="36" t="s">
        <v>36</v>
      </c>
      <c r="CB23" s="36" t="s">
        <v>41</v>
      </c>
      <c r="CC23" s="36" t="s">
        <v>47</v>
      </c>
      <c r="CD23" s="36" t="s">
        <v>42</v>
      </c>
      <c r="CE23" s="36" t="s">
        <v>48</v>
      </c>
      <c r="CF23" s="36" t="s">
        <v>38</v>
      </c>
      <c r="CG23" s="101" t="s">
        <v>44</v>
      </c>
      <c r="CH23" s="41" t="s">
        <v>59</v>
      </c>
      <c r="CI23" s="41" t="s">
        <v>100</v>
      </c>
      <c r="CJ23" s="41" t="s">
        <v>45</v>
      </c>
      <c r="CK23" s="41" t="s">
        <v>60</v>
      </c>
      <c r="CL23" s="41" t="s">
        <v>46</v>
      </c>
      <c r="CN23" s="34" t="s">
        <v>32</v>
      </c>
      <c r="CO23" s="34" t="s">
        <v>39</v>
      </c>
      <c r="CP23" s="43" t="s">
        <v>40</v>
      </c>
      <c r="CQ23" s="35" t="s">
        <v>35</v>
      </c>
      <c r="CR23" s="151" t="s">
        <v>36</v>
      </c>
      <c r="CS23" s="36" t="s">
        <v>41</v>
      </c>
      <c r="CT23" s="36" t="s">
        <v>42</v>
      </c>
      <c r="CU23" s="36" t="s">
        <v>38</v>
      </c>
      <c r="CW23" s="34" t="s">
        <v>32</v>
      </c>
      <c r="CX23" s="34" t="s">
        <v>39</v>
      </c>
      <c r="CY23" s="43" t="s">
        <v>40</v>
      </c>
      <c r="CZ23" s="35" t="s">
        <v>35</v>
      </c>
      <c r="DA23" s="36" t="s">
        <v>36</v>
      </c>
      <c r="DB23" s="36" t="s">
        <v>41</v>
      </c>
      <c r="DC23" s="36" t="s">
        <v>42</v>
      </c>
      <c r="DD23" s="36" t="s">
        <v>38</v>
      </c>
      <c r="DE23" s="101" t="s">
        <v>44</v>
      </c>
      <c r="DF23" s="41" t="s">
        <v>59</v>
      </c>
      <c r="DG23" s="41" t="s">
        <v>100</v>
      </c>
      <c r="DH23" s="41" t="s">
        <v>45</v>
      </c>
      <c r="DI23" s="41" t="s">
        <v>60</v>
      </c>
      <c r="DJ23" s="41" t="s">
        <v>46</v>
      </c>
      <c r="DL23" s="34" t="s">
        <v>32</v>
      </c>
      <c r="DM23" s="34" t="s">
        <v>39</v>
      </c>
      <c r="DN23" s="43" t="s">
        <v>40</v>
      </c>
      <c r="DO23" s="35" t="s">
        <v>35</v>
      </c>
      <c r="DP23" s="36" t="s">
        <v>36</v>
      </c>
      <c r="DQ23" s="36" t="s">
        <v>41</v>
      </c>
      <c r="DR23" s="36" t="s">
        <v>42</v>
      </c>
      <c r="DS23" s="36" t="s">
        <v>38</v>
      </c>
      <c r="DT23" s="101" t="s">
        <v>44</v>
      </c>
      <c r="DU23" s="41" t="s">
        <v>59</v>
      </c>
      <c r="DV23" s="41" t="s">
        <v>100</v>
      </c>
      <c r="DW23" s="41" t="s">
        <v>45</v>
      </c>
      <c r="DX23" s="41" t="s">
        <v>60</v>
      </c>
      <c r="DY23" s="41" t="s">
        <v>46</v>
      </c>
      <c r="EA23" s="34" t="s">
        <v>32</v>
      </c>
      <c r="EB23" s="34" t="s">
        <v>39</v>
      </c>
      <c r="EC23" s="43" t="s">
        <v>40</v>
      </c>
      <c r="ED23" s="35" t="s">
        <v>35</v>
      </c>
      <c r="EE23" s="36" t="s">
        <v>36</v>
      </c>
      <c r="EF23" s="36" t="s">
        <v>41</v>
      </c>
      <c r="EG23" s="36" t="s">
        <v>42</v>
      </c>
      <c r="EH23" s="36" t="s">
        <v>38</v>
      </c>
      <c r="EI23" s="101" t="s">
        <v>44</v>
      </c>
      <c r="EJ23" s="41" t="s">
        <v>59</v>
      </c>
      <c r="EK23" s="41" t="s">
        <v>100</v>
      </c>
      <c r="EL23" s="41" t="s">
        <v>45</v>
      </c>
      <c r="EM23" s="41" t="s">
        <v>60</v>
      </c>
      <c r="EN23" s="41" t="s">
        <v>46</v>
      </c>
      <c r="EP23" s="34"/>
      <c r="EQ23" s="34"/>
      <c r="ER23" s="43"/>
      <c r="ES23" s="35"/>
      <c r="ET23" s="36"/>
      <c r="EU23" s="36"/>
      <c r="EV23" s="36"/>
      <c r="EW23" s="36"/>
      <c r="EY23" s="34" t="s">
        <v>32</v>
      </c>
      <c r="EZ23" s="34" t="s">
        <v>39</v>
      </c>
      <c r="FA23" s="43" t="s">
        <v>40</v>
      </c>
      <c r="FB23" s="35" t="s">
        <v>35</v>
      </c>
      <c r="FC23" s="36" t="s">
        <v>36</v>
      </c>
      <c r="FD23" s="36" t="s">
        <v>41</v>
      </c>
      <c r="FE23" s="36" t="s">
        <v>42</v>
      </c>
      <c r="FF23" s="36" t="s">
        <v>48</v>
      </c>
      <c r="FG23" s="36" t="s">
        <v>38</v>
      </c>
      <c r="FI23" s="34" t="s">
        <v>32</v>
      </c>
      <c r="FJ23" s="34" t="s">
        <v>39</v>
      </c>
      <c r="FK23" s="43" t="s">
        <v>40</v>
      </c>
      <c r="FL23" s="35" t="s">
        <v>35</v>
      </c>
      <c r="FM23" s="36" t="s">
        <v>36</v>
      </c>
      <c r="FN23" s="36" t="s">
        <v>41</v>
      </c>
      <c r="FO23" s="36" t="s">
        <v>42</v>
      </c>
      <c r="FP23" s="36" t="s">
        <v>38</v>
      </c>
      <c r="FR23" s="34" t="s">
        <v>32</v>
      </c>
      <c r="FS23" s="34" t="s">
        <v>39</v>
      </c>
      <c r="FT23" s="43" t="s">
        <v>40</v>
      </c>
      <c r="FU23" s="35" t="s">
        <v>35</v>
      </c>
      <c r="FV23" s="36" t="s">
        <v>36</v>
      </c>
      <c r="FW23" s="36" t="s">
        <v>41</v>
      </c>
      <c r="FX23" s="36" t="s">
        <v>42</v>
      </c>
      <c r="FY23" s="36" t="s">
        <v>38</v>
      </c>
      <c r="GA23" s="34" t="s">
        <v>32</v>
      </c>
      <c r="GB23" s="34" t="s">
        <v>39</v>
      </c>
      <c r="GC23" s="43" t="s">
        <v>40</v>
      </c>
      <c r="GD23" s="35" t="s">
        <v>35</v>
      </c>
      <c r="GE23" s="36" t="s">
        <v>36</v>
      </c>
      <c r="GF23" s="36" t="s">
        <v>41</v>
      </c>
      <c r="GG23" s="36" t="s">
        <v>42</v>
      </c>
      <c r="GH23" s="36" t="s">
        <v>38</v>
      </c>
      <c r="GJ23" s="34" t="s">
        <v>32</v>
      </c>
      <c r="GK23" s="34" t="s">
        <v>39</v>
      </c>
      <c r="GL23" s="43" t="s">
        <v>40</v>
      </c>
      <c r="GM23" s="35" t="s">
        <v>35</v>
      </c>
      <c r="GN23" s="36" t="s">
        <v>36</v>
      </c>
      <c r="GO23" s="36" t="s">
        <v>41</v>
      </c>
      <c r="GP23" s="36" t="s">
        <v>42</v>
      </c>
      <c r="GQ23" s="36" t="s">
        <v>38</v>
      </c>
      <c r="GS23" s="34" t="s">
        <v>32</v>
      </c>
      <c r="GT23" s="34" t="s">
        <v>39</v>
      </c>
      <c r="GU23" s="43" t="s">
        <v>40</v>
      </c>
      <c r="GV23" s="35" t="s">
        <v>35</v>
      </c>
      <c r="GW23" s="36" t="s">
        <v>36</v>
      </c>
      <c r="GX23" s="36" t="s">
        <v>41</v>
      </c>
      <c r="GY23" s="36" t="s">
        <v>42</v>
      </c>
      <c r="GZ23" s="36" t="s">
        <v>38</v>
      </c>
      <c r="HB23" s="34" t="s">
        <v>32</v>
      </c>
      <c r="HC23" s="34" t="s">
        <v>39</v>
      </c>
      <c r="HD23" s="43" t="s">
        <v>40</v>
      </c>
      <c r="HE23" s="35" t="s">
        <v>35</v>
      </c>
      <c r="HF23" s="36" t="s">
        <v>36</v>
      </c>
      <c r="HG23" s="36" t="s">
        <v>41</v>
      </c>
      <c r="HH23" s="36" t="s">
        <v>42</v>
      </c>
      <c r="HI23" s="36" t="s">
        <v>38</v>
      </c>
    </row>
    <row r="24" spans="1:217" s="42" customFormat="1" x14ac:dyDescent="0.35">
      <c r="A24" s="44"/>
      <c r="B24" s="44"/>
      <c r="C24" s="44"/>
      <c r="D24" s="45"/>
      <c r="E24" s="46"/>
      <c r="F24" s="47">
        <f>+SUM(F26:F1150)</f>
        <v>58844181.307762735</v>
      </c>
      <c r="G24" s="47">
        <f>+SUM(G26:G1150)</f>
        <v>22585088.100407522</v>
      </c>
      <c r="H24" s="46"/>
      <c r="I24" s="51"/>
      <c r="J24" s="51"/>
      <c r="K24" s="48"/>
      <c r="L24"/>
      <c r="M24" s="44"/>
      <c r="N24" s="49"/>
      <c r="O24" s="50"/>
      <c r="P24" s="45"/>
      <c r="Q24" s="46"/>
      <c r="R24" s="152">
        <f>+SUM(R30:R1150)</f>
        <v>132194441.43098238</v>
      </c>
      <c r="S24" s="46"/>
      <c r="T24" s="46"/>
      <c r="U24" s="46"/>
      <c r="V24" s="51"/>
      <c r="W24" s="51"/>
      <c r="X24" s="51"/>
      <c r="Y24" s="51"/>
      <c r="Z24" s="51"/>
      <c r="AA24" s="51"/>
      <c r="AC24" s="44"/>
      <c r="AD24" s="44"/>
      <c r="AE24" s="46"/>
      <c r="AF24" s="45"/>
      <c r="AG24" s="153"/>
      <c r="AH24" s="153">
        <f>+SUM(AH28:AH1150)</f>
        <v>1241907.9300000004</v>
      </c>
      <c r="AI24" s="46"/>
      <c r="AJ24" s="46"/>
      <c r="AK24" s="51"/>
      <c r="AL24" s="51"/>
      <c r="AM24" s="51"/>
      <c r="AN24" s="51"/>
      <c r="AO24" s="51"/>
      <c r="AP24" s="48"/>
      <c r="AR24" s="44"/>
      <c r="AS24" s="44"/>
      <c r="AT24" s="46"/>
      <c r="AU24" s="45"/>
      <c r="AV24" s="46"/>
      <c r="AW24" s="153">
        <f>+SUM(AW29:AW1150)</f>
        <v>15996516.062482132</v>
      </c>
      <c r="AX24" s="46"/>
      <c r="AY24" s="46"/>
      <c r="AZ24" s="51"/>
      <c r="BA24" s="51"/>
      <c r="BB24" s="51"/>
      <c r="BC24" s="51"/>
      <c r="BD24" s="51"/>
      <c r="BE24" s="51"/>
      <c r="BG24" s="44"/>
      <c r="BH24" s="44"/>
      <c r="BI24" s="46"/>
      <c r="BJ24" s="45"/>
      <c r="BK24" s="46"/>
      <c r="BL24" s="153">
        <f>+SUM(BL29:BL1150)</f>
        <v>42476614.029999994</v>
      </c>
      <c r="BM24" s="46"/>
      <c r="BN24" s="46"/>
      <c r="BO24" s="46"/>
      <c r="BP24" s="102"/>
      <c r="BQ24" s="51"/>
      <c r="BR24" s="51"/>
      <c r="BS24" s="51"/>
      <c r="BT24" s="51"/>
      <c r="BU24" s="51"/>
      <c r="BW24" s="44"/>
      <c r="BX24" s="44"/>
      <c r="BY24" s="46"/>
      <c r="BZ24" s="45"/>
      <c r="CA24" s="46"/>
      <c r="CB24" s="153">
        <f>+SUM(CB28:CB1150)</f>
        <v>1039256.4429633131</v>
      </c>
      <c r="CC24" s="153">
        <f>+SUM(CC29:CC1150)</f>
        <v>56428.570305849775</v>
      </c>
      <c r="CD24" s="46"/>
      <c r="CE24" s="46"/>
      <c r="CF24" s="46"/>
      <c r="CG24" s="102"/>
      <c r="CH24" s="51"/>
      <c r="CI24" s="51"/>
      <c r="CJ24" s="51"/>
      <c r="CK24" s="51"/>
      <c r="CL24" s="51"/>
      <c r="CN24" s="44"/>
      <c r="CO24" s="44"/>
      <c r="CP24" s="46"/>
      <c r="CQ24" s="45"/>
      <c r="CR24" s="154"/>
      <c r="CS24" s="153">
        <f>+SUM(CS28:CS1150)</f>
        <v>1669085.8500000003</v>
      </c>
      <c r="CT24" s="46"/>
      <c r="CU24" s="46"/>
      <c r="CW24" s="44"/>
      <c r="CX24" s="44"/>
      <c r="CY24" s="46"/>
      <c r="CZ24" s="45"/>
      <c r="DA24" s="46"/>
      <c r="DB24" s="153">
        <f>+SUM(DB27:DB1150)</f>
        <v>25661049.419999991</v>
      </c>
      <c r="DC24" s="46"/>
      <c r="DD24" s="46"/>
      <c r="DE24" s="102"/>
      <c r="DF24" s="51"/>
      <c r="DG24" s="51"/>
      <c r="DH24" s="51"/>
      <c r="DI24" s="51"/>
      <c r="DJ24" s="51"/>
      <c r="DL24" s="44"/>
      <c r="DM24" s="44"/>
      <c r="DN24" s="46"/>
      <c r="DO24" s="45"/>
      <c r="DP24" s="46"/>
      <c r="DQ24" s="153">
        <f>+SUM(DQ27:DQ1150)</f>
        <v>9116955.5000000019</v>
      </c>
      <c r="DR24" s="46"/>
      <c r="DS24" s="46"/>
      <c r="DT24" s="102"/>
      <c r="DU24" s="51"/>
      <c r="DV24" s="51"/>
      <c r="DW24" s="51"/>
      <c r="DX24" s="51"/>
      <c r="DY24" s="51"/>
      <c r="EA24" s="44"/>
      <c r="EB24" s="44"/>
      <c r="EC24" s="46"/>
      <c r="ED24" s="45"/>
      <c r="EE24" s="46"/>
      <c r="EF24" s="153">
        <f>+SUM(EF27:EF1150)</f>
        <v>1109707.9600000007</v>
      </c>
      <c r="EG24" s="46"/>
      <c r="EH24" s="46"/>
      <c r="EI24" s="102"/>
      <c r="EJ24" s="51"/>
      <c r="EK24" s="51"/>
      <c r="EL24" s="51"/>
      <c r="EM24" s="51"/>
      <c r="EN24" s="51"/>
      <c r="EP24" s="44"/>
      <c r="EQ24" s="44"/>
      <c r="ER24" s="46"/>
      <c r="ES24" s="45"/>
      <c r="ET24" s="46"/>
      <c r="EU24" s="46"/>
      <c r="EV24" s="46"/>
      <c r="EW24" s="46"/>
      <c r="EY24" s="44"/>
      <c r="EZ24" s="44"/>
      <c r="FA24" s="46"/>
      <c r="FB24" s="45"/>
      <c r="FC24" s="46"/>
      <c r="FD24" s="153">
        <f>+SUM(FD27:FD1150)</f>
        <v>2794681.5</v>
      </c>
      <c r="FE24" s="46"/>
      <c r="FF24" s="46"/>
      <c r="FG24" s="46"/>
      <c r="FI24" s="44"/>
      <c r="FJ24" s="44"/>
      <c r="FK24" s="46"/>
      <c r="FL24" s="45"/>
      <c r="FM24" s="46"/>
      <c r="FN24" s="153">
        <f>+SUM(FN27:FN1150)</f>
        <v>309433.84000000003</v>
      </c>
      <c r="FO24" s="46"/>
      <c r="FP24" s="46"/>
      <c r="FR24" s="44"/>
      <c r="FS24" s="44"/>
      <c r="FT24" s="46"/>
      <c r="FU24" s="45"/>
      <c r="FV24" s="46"/>
      <c r="FW24" s="153">
        <f>+SUM(FW27:FW1150)</f>
        <v>309433.84000000003</v>
      </c>
      <c r="FX24" s="46"/>
      <c r="FY24" s="46"/>
      <c r="GA24" s="44"/>
      <c r="GB24" s="44"/>
      <c r="GC24" s="46"/>
      <c r="GD24" s="45"/>
      <c r="GE24" s="46"/>
      <c r="GF24" s="153">
        <f>+SUM(GF27:GF1150)</f>
        <v>309433.84000000003</v>
      </c>
      <c r="GG24" s="46"/>
      <c r="GH24" s="46"/>
      <c r="GJ24" s="44"/>
      <c r="GK24" s="44"/>
      <c r="GL24" s="46"/>
      <c r="GM24" s="45"/>
      <c r="GN24" s="46"/>
      <c r="GO24" s="153">
        <f>+SUM(GO27:GO1150)</f>
        <v>309433.84000000003</v>
      </c>
      <c r="GP24" s="46"/>
      <c r="GQ24" s="46"/>
      <c r="GS24" s="44"/>
      <c r="GT24" s="44"/>
      <c r="GU24" s="46"/>
      <c r="GV24" s="45"/>
      <c r="GW24" s="46"/>
      <c r="GX24" s="153">
        <f>+SUM(GX27:GX1150)</f>
        <v>388403.55000000005</v>
      </c>
      <c r="GY24" s="46"/>
      <c r="GZ24" s="46"/>
      <c r="HB24" s="44"/>
      <c r="HC24" s="44"/>
      <c r="HD24" s="46"/>
      <c r="HE24" s="45"/>
      <c r="HF24" s="46"/>
      <c r="HG24" s="153">
        <f>+SUM(HG27:HG1150)</f>
        <v>388403.55000000005</v>
      </c>
      <c r="HH24" s="46"/>
      <c r="HI24" s="46"/>
    </row>
    <row r="25" spans="1:217" x14ac:dyDescent="0.35">
      <c r="A25" s="52">
        <v>0</v>
      </c>
      <c r="B25" s="53">
        <f>+WEEKNUM(C25,2)</f>
        <v>14</v>
      </c>
      <c r="C25" s="54">
        <v>45747</v>
      </c>
      <c r="D25" s="55"/>
      <c r="E25" s="32">
        <f>+SUM(F26:F1150)</f>
        <v>58844181.307762735</v>
      </c>
      <c r="F25" s="56"/>
      <c r="G25" s="56"/>
      <c r="H25" s="56"/>
      <c r="I25" s="60"/>
      <c r="J25" s="60"/>
      <c r="K25" s="32"/>
      <c r="M25" s="79">
        <v>0</v>
      </c>
      <c r="N25" s="80">
        <f>+EOMONTH(O25,0)</f>
        <v>45535</v>
      </c>
      <c r="O25" s="80">
        <v>45505.999999935608</v>
      </c>
      <c r="P25" s="81">
        <f>+Q13</f>
        <v>132194441.43098247</v>
      </c>
      <c r="Q25" s="82">
        <v>132351920.09834886</v>
      </c>
      <c r="R25" s="82"/>
      <c r="S25" s="82"/>
      <c r="T25" s="82"/>
      <c r="U25" s="82"/>
      <c r="V25" s="57"/>
      <c r="W25" s="57"/>
      <c r="X25" s="57"/>
      <c r="Y25" s="57"/>
      <c r="Z25" s="57"/>
      <c r="AA25" s="57"/>
      <c r="AC25" s="91">
        <v>0</v>
      </c>
      <c r="AD25" s="54">
        <f>+EOMONTH(AE25,0)</f>
        <v>45716</v>
      </c>
      <c r="AE25" s="58">
        <v>45712</v>
      </c>
      <c r="AF25" s="55"/>
      <c r="AG25" s="56">
        <v>1345589.51</v>
      </c>
      <c r="AH25" s="56"/>
      <c r="AI25" s="56"/>
      <c r="AJ25" s="56"/>
      <c r="AK25" s="57"/>
      <c r="AL25" s="57"/>
      <c r="AM25" s="57"/>
      <c r="AN25" s="57"/>
      <c r="AO25" s="57"/>
      <c r="AP25" s="32"/>
      <c r="AR25" s="52">
        <v>0</v>
      </c>
      <c r="AS25" s="54">
        <f>+EOMONTH(AT25,0)</f>
        <v>45657</v>
      </c>
      <c r="AT25" s="58">
        <v>45656</v>
      </c>
      <c r="AU25" s="55"/>
      <c r="AV25" s="32">
        <v>15996516.062482124</v>
      </c>
      <c r="AW25" s="56"/>
      <c r="AX25" s="56"/>
      <c r="AY25" s="56"/>
      <c r="AZ25" s="57"/>
      <c r="BA25" s="57"/>
      <c r="BB25" s="57"/>
      <c r="BC25" s="57"/>
      <c r="BD25" s="57"/>
      <c r="BE25" s="57"/>
      <c r="BG25" s="52">
        <v>0</v>
      </c>
      <c r="BH25" s="54">
        <f>+EOMONTH(BI25,0)</f>
        <v>45747</v>
      </c>
      <c r="BI25" s="58">
        <v>45736</v>
      </c>
      <c r="BJ25" s="55"/>
      <c r="BK25" s="32">
        <v>53476614.030000001</v>
      </c>
      <c r="BL25" s="56"/>
      <c r="BM25" s="56"/>
      <c r="BN25" s="56"/>
      <c r="BO25" s="56"/>
      <c r="BP25" s="103"/>
      <c r="BQ25" s="57"/>
      <c r="BR25" s="57"/>
      <c r="BS25" s="57"/>
      <c r="BT25" s="57"/>
      <c r="BU25" s="57"/>
      <c r="BW25" s="52">
        <v>0</v>
      </c>
      <c r="BX25" s="54">
        <f>+EOMONTH(BY25,0)</f>
        <v>45688</v>
      </c>
      <c r="BY25" s="58">
        <v>45677</v>
      </c>
      <c r="BZ25" s="55"/>
      <c r="CA25" s="32">
        <v>1154729.3887641237</v>
      </c>
      <c r="CB25" s="56"/>
      <c r="CC25" s="56"/>
      <c r="CD25" s="56"/>
      <c r="CE25" s="56"/>
      <c r="CF25" s="56"/>
      <c r="CG25" s="103"/>
      <c r="CH25" s="57"/>
      <c r="CI25" s="57"/>
      <c r="CJ25" s="57"/>
      <c r="CK25" s="57"/>
      <c r="CL25" s="57"/>
      <c r="CN25" s="52">
        <v>0</v>
      </c>
      <c r="CO25" s="54">
        <f>+EOMONTH(CP25,0)</f>
        <v>45716</v>
      </c>
      <c r="CP25" s="58">
        <v>45700</v>
      </c>
      <c r="CQ25" s="55"/>
      <c r="CR25" s="32">
        <v>1669085.8500000003</v>
      </c>
      <c r="CS25" s="56"/>
      <c r="CT25" s="56"/>
      <c r="CU25" s="56"/>
      <c r="CW25" s="52">
        <v>0</v>
      </c>
      <c r="CX25" s="54">
        <f>+EOMONTH(CY25,0)</f>
        <v>45869</v>
      </c>
      <c r="CY25" s="5">
        <v>45848</v>
      </c>
      <c r="CZ25" s="55"/>
      <c r="DA25" s="32">
        <v>26010060.698803104</v>
      </c>
      <c r="DB25" s="56"/>
      <c r="DC25" s="56"/>
      <c r="DD25" s="56"/>
      <c r="DE25" s="103"/>
      <c r="DF25" s="57"/>
      <c r="DG25" s="57"/>
      <c r="DH25" s="57"/>
      <c r="DI25" s="57"/>
      <c r="DJ25" s="57"/>
      <c r="DK25" s="76"/>
      <c r="DL25" s="52">
        <v>0</v>
      </c>
      <c r="DM25" s="54">
        <f>+EOMONTH(DN25,0)</f>
        <v>45747</v>
      </c>
      <c r="DN25" s="5">
        <v>45721</v>
      </c>
      <c r="DO25" s="55"/>
      <c r="DP25" s="32">
        <v>9116955.5388674606</v>
      </c>
      <c r="DQ25" s="56"/>
      <c r="DR25" s="56"/>
      <c r="DS25" s="56"/>
      <c r="DT25" s="103"/>
      <c r="DU25" s="57"/>
      <c r="DV25" s="57"/>
      <c r="DW25" s="57"/>
      <c r="DX25" s="57"/>
      <c r="DY25" s="57"/>
      <c r="EA25" s="52">
        <v>0</v>
      </c>
      <c r="EB25" s="54">
        <f t="shared" ref="EB25:EB58" si="0">+EOMONTH(EC25,0)</f>
        <v>45747</v>
      </c>
      <c r="EC25" s="5">
        <v>45721</v>
      </c>
      <c r="ED25" s="55"/>
      <c r="EE25" s="32">
        <v>1109707.8726865982</v>
      </c>
      <c r="EF25" s="56"/>
      <c r="EG25" s="56"/>
      <c r="EH25" s="56"/>
      <c r="EI25" s="103"/>
      <c r="EJ25" s="57"/>
      <c r="EK25" s="57"/>
      <c r="EL25" s="57"/>
      <c r="EM25" s="57"/>
      <c r="EN25" s="57"/>
      <c r="EP25" s="52"/>
      <c r="EQ25" s="54"/>
      <c r="ER25" s="5"/>
      <c r="ES25" s="55"/>
      <c r="ET25" s="32"/>
      <c r="EU25" s="56"/>
      <c r="EV25" s="56"/>
      <c r="EW25" s="56"/>
      <c r="EY25" s="52">
        <v>0</v>
      </c>
      <c r="EZ25" s="54">
        <f>+EOMONTH(FA25,0)</f>
        <v>45657</v>
      </c>
      <c r="FA25" s="58">
        <v>45657</v>
      </c>
      <c r="FB25" s="55"/>
      <c r="FC25" s="32">
        <v>2794681.5</v>
      </c>
      <c r="FD25" s="56"/>
      <c r="FE25" s="56"/>
      <c r="FF25" s="56"/>
      <c r="FG25" s="56"/>
      <c r="FI25" s="52">
        <v>0</v>
      </c>
      <c r="FJ25" s="54">
        <f>+EOMONTH(FK25,0)</f>
        <v>45747</v>
      </c>
      <c r="FK25" s="5">
        <f>+FK26-90</f>
        <v>45742</v>
      </c>
      <c r="FL25" s="55"/>
      <c r="FM25" s="32">
        <v>346343.01400000002</v>
      </c>
      <c r="FN25" s="56"/>
      <c r="FO25" s="56"/>
      <c r="FP25" s="56"/>
      <c r="FR25" s="52">
        <v>0</v>
      </c>
      <c r="FS25" s="54">
        <f>+EOMONTH(FT25,0)</f>
        <v>45747</v>
      </c>
      <c r="FT25" s="5">
        <f>+FT26-90</f>
        <v>45742</v>
      </c>
      <c r="FU25" s="55"/>
      <c r="FV25" s="32">
        <v>346343.01400000002</v>
      </c>
      <c r="FW25" s="56"/>
      <c r="FX25" s="56"/>
      <c r="FY25" s="56"/>
      <c r="GA25" s="52">
        <v>0</v>
      </c>
      <c r="GB25" s="54">
        <f>+EOMONTH(GC25,0)</f>
        <v>45747</v>
      </c>
      <c r="GC25" s="5">
        <f>+GC26-90</f>
        <v>45742</v>
      </c>
      <c r="GD25" s="55"/>
      <c r="GE25" s="32">
        <v>346343.01400000002</v>
      </c>
      <c r="GF25" s="56"/>
      <c r="GG25" s="56"/>
      <c r="GH25" s="56"/>
      <c r="GJ25" s="52">
        <v>0</v>
      </c>
      <c r="GK25" s="54">
        <f>+EOMONTH(GL25,0)</f>
        <v>45747</v>
      </c>
      <c r="GL25" s="5">
        <f>+GL26-90</f>
        <v>45742</v>
      </c>
      <c r="GM25" s="55"/>
      <c r="GN25" s="32">
        <v>346343.01400000002</v>
      </c>
      <c r="GO25" s="56"/>
      <c r="GP25" s="56"/>
      <c r="GQ25" s="56"/>
      <c r="GS25" s="52">
        <v>0</v>
      </c>
      <c r="GT25" s="54">
        <f>+EOMONTH(GU25,0)</f>
        <v>45747</v>
      </c>
      <c r="GU25" s="5">
        <f>+GU26-90</f>
        <v>45724</v>
      </c>
      <c r="GV25" s="55"/>
      <c r="GW25" s="32">
        <v>426409.54</v>
      </c>
      <c r="GX25" s="56"/>
      <c r="GY25" s="56"/>
      <c r="GZ25" s="56"/>
      <c r="HB25" s="52">
        <v>0</v>
      </c>
      <c r="HC25" s="54">
        <f>+EOMONTH(HD25,0)</f>
        <v>45747</v>
      </c>
      <c r="HD25" s="5">
        <v>45724</v>
      </c>
      <c r="HE25" s="55"/>
      <c r="HF25" s="32">
        <v>426409.54</v>
      </c>
      <c r="HG25" s="56"/>
      <c r="HH25" s="56"/>
      <c r="HI25" s="56"/>
    </row>
    <row r="26" spans="1:217" x14ac:dyDescent="0.35">
      <c r="A26" s="7">
        <v>1</v>
      </c>
      <c r="B26" s="6">
        <f t="shared" ref="B26:B89" si="1">+WEEKNUM(C26,2)</f>
        <v>18</v>
      </c>
      <c r="C26" s="5">
        <f t="shared" ref="C26:C31" si="2">+EOMONTH(C25,1)</f>
        <v>45777</v>
      </c>
      <c r="D26" s="29"/>
      <c r="E26" s="32">
        <f>+E25+D26-F26</f>
        <v>58844181.307762735</v>
      </c>
      <c r="F26" s="159">
        <f>+SUMIF(N:N,C26,R:R)+SUMIF(AD:AD,C26,AH:AH)+SUMIF(AS:AS,C26,AW:AW)+SUMIF(BH:BH,C26,BL:BL)+SUMIF(BX:BX,C26,CB:CB)+SUMIF(BX:BX,C26,CC:CC)+SUMIF(CO:CO,C26,CS:CS)+SUMIF(CX:CX,C26,DB:DB)+SUMIF(DM:DM,C26,DQ:DQ)+SUMIF(EB:EB,C26,EF:EF)+SUMIF(EQ:EQ,C26,EU:EU)+SUMIF(EZ:EZ,C26,FD:FD)+SUMIF(FJ:FJ,C26,FN:FN)+SUMIF(FS:FS,C26,FW:FW)+SUMIF(GB:GB,C26,GF:GF)+SUMIF(GK:GK,C26,GO:GO)+SUMIF(GT:GT,C26,GX:GX)+SUMIF(HC:HC,C26,HG:HG)</f>
        <v>0</v>
      </c>
      <c r="G26" s="159">
        <f>+SUMIF(N:N,C26,T:T)+SUMIF(N:N,C26,S:S)+SUMIF(AD:AD,C26,AI:AI)+SUMIF(AS:AS,C26,AX:AX)+SUMIF(BH:BH,C26,BN:BN)+SUMIF(BH:BH,C26,BM:BM)+SUMIF(BX:BX,C26,CD:CD)+SUMIF(BX:BX,C26,CE:CE)+SUMIF(CO:CO,C26,CT:CT)+SUMIF(CX:CX,C26,DC:DC)+SUMIF(DM:DM,C26,DR:DR)+SUMIF(EB:EB,C26,EG:EG)+SUMIF(EQ:EQ,C26,EV:EV)+SUMIF(EZ:EZ,C26,FE:FE)+SUMIF(FJ:FJ,C26,FO:FO)+SUMIF(FS:FS,C26,FX:FX)+SUMIF(GB:GB,C26,GG:GG)+SUMIF(GK:GK,C26,GP:GP)+SUMIF(GT:GT,C26,GY:GY)+SUMIF(HC:HC,C26,HH:HH)</f>
        <v>0</v>
      </c>
      <c r="H26" s="32">
        <f>+SUM(F26:G26)</f>
        <v>0</v>
      </c>
      <c r="I26" s="60"/>
      <c r="J26" s="60"/>
      <c r="K26" s="32"/>
      <c r="M26" s="83">
        <v>1</v>
      </c>
      <c r="N26" s="84">
        <f t="shared" ref="N26:N55" si="3">+EOMONTH(O26,0)</f>
        <v>45626</v>
      </c>
      <c r="O26" s="84">
        <v>45611</v>
      </c>
      <c r="P26" s="85"/>
      <c r="Q26" s="86">
        <f t="shared" ref="Q26:Q55" si="4">+Q25-R26</f>
        <v>132312550.43150726</v>
      </c>
      <c r="R26" s="86">
        <f>+$Q$20</f>
        <v>39369.666841595892</v>
      </c>
      <c r="S26" s="86">
        <f>+Q25*Q$5*(O26-O25)/360</f>
        <v>2316158.6031415104</v>
      </c>
      <c r="T26" s="86">
        <f>+$Q$17/$Q$18</f>
        <v>471550.5461533799</v>
      </c>
      <c r="U26" s="86">
        <f>+SUM(R26:T26)</f>
        <v>2827078.8161364864</v>
      </c>
      <c r="V26" s="60"/>
      <c r="W26" s="60"/>
      <c r="X26" s="60"/>
      <c r="Y26" s="60"/>
      <c r="Z26" s="60"/>
      <c r="AA26" s="60"/>
      <c r="AC26" s="90">
        <v>1</v>
      </c>
      <c r="AD26" s="5">
        <f t="shared" ref="AD26:AD50" si="5">+EOMONTH(AE26,0)</f>
        <v>45808</v>
      </c>
      <c r="AE26" s="5">
        <v>45779</v>
      </c>
      <c r="AF26" s="29"/>
      <c r="AG26" s="32">
        <f>+AG25+AF26-AH26</f>
        <v>1293748.72</v>
      </c>
      <c r="AH26" s="32">
        <f>+AG19</f>
        <v>51840.79</v>
      </c>
      <c r="AI26" s="32">
        <f>+AG25*AG$5*(AE26-AE25)/360</f>
        <v>13773.603734305556</v>
      </c>
      <c r="AJ26" s="32">
        <f>+SUM(AH26:AI26)</f>
        <v>65614.393734305559</v>
      </c>
      <c r="AK26" s="60">
        <v>1</v>
      </c>
      <c r="AL26" s="87">
        <v>45796</v>
      </c>
      <c r="AM26" s="60">
        <f>+AH26</f>
        <v>51840.79</v>
      </c>
      <c r="AN26" s="60">
        <f>+AG25*AG$5*(AL26-AE25)/360</f>
        <v>17268.398711666665</v>
      </c>
      <c r="AO26" s="60">
        <f>+AN26+AM26</f>
        <v>69109.188711666662</v>
      </c>
      <c r="AP26" s="32"/>
      <c r="AR26" s="7">
        <v>1</v>
      </c>
      <c r="AS26" s="5">
        <f t="shared" ref="AS26:AS62" si="6">+EOMONTH(AT26,0)</f>
        <v>45716</v>
      </c>
      <c r="AT26" s="58">
        <v>45708</v>
      </c>
      <c r="AU26" s="32"/>
      <c r="AV26" s="32">
        <v>15996516.062482124</v>
      </c>
      <c r="AW26" s="32">
        <v>0</v>
      </c>
      <c r="AX26" s="32">
        <f>+AV25*AV$5*(AT26-AT25)/360</f>
        <v>138636.47254151173</v>
      </c>
      <c r="AY26" s="32">
        <f t="shared" ref="AY26:AY52" si="7">+SUM(AW26:AX26)</f>
        <v>138636.47254151173</v>
      </c>
      <c r="AZ26" s="155">
        <v>1</v>
      </c>
      <c r="BA26" s="87">
        <v>45744</v>
      </c>
      <c r="BB26" s="99">
        <f>+BA26-AT26</f>
        <v>36</v>
      </c>
      <c r="BC26" s="60">
        <f>+AW26</f>
        <v>0</v>
      </c>
      <c r="BD26" s="60">
        <f>+AV25*AV$5*(BA26-AT25)/360</f>
        <v>234615.5689164045</v>
      </c>
      <c r="BE26" s="60">
        <f>+BD26+BC26</f>
        <v>234615.5689164045</v>
      </c>
      <c r="BG26" s="7">
        <v>1</v>
      </c>
      <c r="BH26" s="5">
        <f t="shared" ref="BH26:BH40" si="8">+EOMONTH(BI26,0)</f>
        <v>45838</v>
      </c>
      <c r="BI26" s="5">
        <v>45828</v>
      </c>
      <c r="BJ26" s="29"/>
      <c r="BK26" s="32">
        <f>+BK25+BJ26-BL26</f>
        <v>53476614.030000001</v>
      </c>
      <c r="BL26" s="32">
        <v>0</v>
      </c>
      <c r="BM26" s="32">
        <f>+BK25*BK$5*(BI26-BI25)/360</f>
        <v>819974.74846000015</v>
      </c>
      <c r="BN26" s="32">
        <v>82616.23</v>
      </c>
      <c r="BO26" s="32">
        <f>+SUM(BL26:BN26)</f>
        <v>902590.97846000013</v>
      </c>
      <c r="BP26" s="104">
        <v>1</v>
      </c>
      <c r="BQ26" s="87">
        <v>45828</v>
      </c>
      <c r="BR26" s="87"/>
      <c r="BS26" s="60">
        <f>+BL26</f>
        <v>0</v>
      </c>
      <c r="BT26" s="60">
        <f>+BK25*BK$5*(BQ26-BI25)/360</f>
        <v>819974.74846000015</v>
      </c>
      <c r="BU26" s="60">
        <f>+BT26+BS26+BN26</f>
        <v>902590.97846000013</v>
      </c>
      <c r="BW26" s="7">
        <v>1</v>
      </c>
      <c r="BX26" s="5">
        <f t="shared" ref="BX26:BX44" si="9">+EOMONTH(BY26,0)</f>
        <v>45716</v>
      </c>
      <c r="BY26" s="5">
        <v>45702</v>
      </c>
      <c r="BZ26" s="29"/>
      <c r="CA26" s="32">
        <f>+CA25+BZ26-CB26</f>
        <v>1096992.9187015865</v>
      </c>
      <c r="CB26" s="32">
        <v>57736.470062537075</v>
      </c>
      <c r="CC26" s="32">
        <v>0</v>
      </c>
      <c r="CD26" s="32">
        <f>+CA25*CA$5*(BY26-BY25)/360</f>
        <v>4811.3724531838488</v>
      </c>
      <c r="CE26" s="32">
        <v>1642.8394559018825</v>
      </c>
      <c r="CF26" s="32">
        <f>+SUM(CB26:CE26)</f>
        <v>64190.681971622813</v>
      </c>
      <c r="CG26" s="104">
        <v>1</v>
      </c>
      <c r="CH26" s="87">
        <v>45702</v>
      </c>
      <c r="CI26" s="87"/>
      <c r="CJ26" s="60">
        <f>+CB26</f>
        <v>57736.470062537075</v>
      </c>
      <c r="CK26" s="60">
        <f>+CA25*CA$5*(CH26-BY25)/360</f>
        <v>4811.3724531838488</v>
      </c>
      <c r="CL26" s="60">
        <f>+CK26+CJ26+CE26</f>
        <v>64190.681971622813</v>
      </c>
      <c r="CN26" s="7">
        <v>1</v>
      </c>
      <c r="CO26" s="5">
        <f t="shared" ref="CO26:CO43" si="10">+EOMONTH(CP26,0)</f>
        <v>45838</v>
      </c>
      <c r="CP26" s="5">
        <v>45822</v>
      </c>
      <c r="CQ26" s="29"/>
      <c r="CR26" s="32">
        <f>+CR25+CQ26-CS26</f>
        <v>1669085.8500000003</v>
      </c>
      <c r="CS26" s="32">
        <v>0</v>
      </c>
      <c r="CT26" s="32">
        <v>29209.003000000001</v>
      </c>
      <c r="CU26" s="32">
        <f t="shared" ref="CU26:CU43" si="11">+SUM(CS26:CT26)</f>
        <v>29209.003000000001</v>
      </c>
      <c r="CW26" s="7">
        <v>1</v>
      </c>
      <c r="CX26" s="5">
        <f t="shared" ref="CX26:CX50" si="12">+EOMONTH(CY26,0)</f>
        <v>45900</v>
      </c>
      <c r="CY26" s="62">
        <v>45879</v>
      </c>
      <c r="CZ26" s="96"/>
      <c r="DA26" s="63">
        <f>+DA25+CZ26-DB26</f>
        <v>25661049.488803104</v>
      </c>
      <c r="DB26" s="63">
        <v>349011.21</v>
      </c>
      <c r="DC26" s="63">
        <f>+DA25*DA$5*(CY26-CY25)/360</f>
        <v>134385.3136104827</v>
      </c>
      <c r="DD26" s="63">
        <f t="shared" ref="DD26:DD50" si="13">+SUM(DB26:DC26)</f>
        <v>483396.52361048269</v>
      </c>
      <c r="DE26" s="104">
        <v>1</v>
      </c>
      <c r="DF26" s="87">
        <f>+CY26</f>
        <v>45879</v>
      </c>
      <c r="DG26" s="87"/>
      <c r="DH26" s="60">
        <f>+CZ26</f>
        <v>0</v>
      </c>
      <c r="DI26" s="60" t="e">
        <f>+CY25*CY$5*(DF26-CW25)/360</f>
        <v>#VALUE!</v>
      </c>
      <c r="DJ26" s="60" t="e">
        <f>+DI26+DH26+DC26</f>
        <v>#VALUE!</v>
      </c>
      <c r="DL26" s="7">
        <v>1</v>
      </c>
      <c r="DM26" s="5">
        <f t="shared" ref="DM26:DM57" si="14">+EOMONTH(DN26,0)</f>
        <v>45838</v>
      </c>
      <c r="DN26" s="5">
        <v>45838</v>
      </c>
      <c r="DO26" s="29"/>
      <c r="DP26" s="32">
        <f>+DP25+DO26-DQ26</f>
        <v>9116955.5388674606</v>
      </c>
      <c r="DQ26" s="32">
        <v>0</v>
      </c>
      <c r="DR26" s="32">
        <v>138152.48000000001</v>
      </c>
      <c r="DS26" s="32">
        <f t="shared" ref="DS26:DS51" si="15">+SUM(DQ26:DR26)</f>
        <v>138152.48000000001</v>
      </c>
      <c r="DT26" s="104">
        <v>1</v>
      </c>
      <c r="DU26" s="87">
        <f>+DN26</f>
        <v>45838</v>
      </c>
      <c r="DV26" s="87"/>
      <c r="DW26" s="60">
        <f>+DO26</f>
        <v>0</v>
      </c>
      <c r="DX26" s="60" t="e">
        <f>+DN25*DN$5*(DU26-DL25)/360</f>
        <v>#VALUE!</v>
      </c>
      <c r="DY26" s="60" t="e">
        <f>+DX26+DW26+DR26</f>
        <v>#VALUE!</v>
      </c>
      <c r="EA26" s="7">
        <v>1</v>
      </c>
      <c r="EB26" s="5">
        <f t="shared" si="0"/>
        <v>45838</v>
      </c>
      <c r="EC26" s="5">
        <v>45838</v>
      </c>
      <c r="ED26" s="29"/>
      <c r="EE26" s="32">
        <f>+EE25-EF26</f>
        <v>1109707.8726865982</v>
      </c>
      <c r="EF26" s="32">
        <v>0</v>
      </c>
      <c r="EG26" s="32">
        <v>16421.12</v>
      </c>
      <c r="EH26" s="32">
        <f t="shared" ref="EH26:EH58" si="16">+SUM(EF26:EG26)</f>
        <v>16421.12</v>
      </c>
      <c r="EI26" s="104">
        <v>1</v>
      </c>
      <c r="EJ26" s="87">
        <f>+EC26</f>
        <v>45838</v>
      </c>
      <c r="EK26" s="87"/>
      <c r="EL26" s="60">
        <f>+ED26</f>
        <v>0</v>
      </c>
      <c r="EM26" s="60">
        <f>+EG26</f>
        <v>16421.12</v>
      </c>
      <c r="EN26" s="60">
        <f>+EM26+EL26+EG26</f>
        <v>32842.239999999998</v>
      </c>
      <c r="EQ26" s="5"/>
      <c r="ER26" s="5"/>
      <c r="ES26" s="29"/>
      <c r="ET26" s="32"/>
      <c r="EU26" s="32"/>
      <c r="EV26" s="32"/>
      <c r="EW26" s="32"/>
      <c r="EY26" s="7">
        <v>1</v>
      </c>
      <c r="EZ26" s="5">
        <f t="shared" ref="EZ26:EZ63" si="17">+EOMONTH(FA26,0)</f>
        <v>45747</v>
      </c>
      <c r="FA26" s="5">
        <v>45721</v>
      </c>
      <c r="FB26" s="29"/>
      <c r="FC26" s="32">
        <f>+FC25+FB26-FD26</f>
        <v>2794681.5</v>
      </c>
      <c r="FD26" s="32">
        <v>0</v>
      </c>
      <c r="FE26" s="32">
        <v>17114.156346866665</v>
      </c>
      <c r="FF26" s="32">
        <v>86.4</v>
      </c>
      <c r="FG26" s="32">
        <f>+SUM(FD26:FF26)</f>
        <v>17200.556346866666</v>
      </c>
      <c r="FH26" s="29"/>
      <c r="FI26" s="7">
        <v>1</v>
      </c>
      <c r="FJ26" s="5">
        <f t="shared" ref="FJ26:FJ35" si="18">+EOMONTH(FK26,0)</f>
        <v>45838</v>
      </c>
      <c r="FK26" s="5">
        <v>45832</v>
      </c>
      <c r="FL26" s="32"/>
      <c r="FM26" s="32">
        <f>+FM25-FN26</f>
        <v>309433.84400000004</v>
      </c>
      <c r="FN26" s="32">
        <v>36909.17</v>
      </c>
      <c r="FO26" s="32">
        <v>4285.87</v>
      </c>
      <c r="FP26" s="32">
        <f t="shared" ref="FP26:FP35" si="19">+SUM(FN26:FO26)</f>
        <v>41195.040000000001</v>
      </c>
      <c r="FR26" s="7">
        <v>1</v>
      </c>
      <c r="FS26" s="5">
        <f t="shared" ref="FS26:FS35" si="20">+EOMONTH(FT26,0)</f>
        <v>45838</v>
      </c>
      <c r="FT26" s="5">
        <v>45832</v>
      </c>
      <c r="FU26" s="32"/>
      <c r="FV26" s="32">
        <f>+FV25-FW26</f>
        <v>309433.84400000004</v>
      </c>
      <c r="FW26" s="32">
        <v>36909.17</v>
      </c>
      <c r="FX26" s="32">
        <v>4285.87</v>
      </c>
      <c r="FY26" s="32">
        <f t="shared" ref="FY26:FY35" si="21">+SUM(FW26:FX26)</f>
        <v>41195.040000000001</v>
      </c>
      <c r="GA26" s="7">
        <v>1</v>
      </c>
      <c r="GB26" s="5">
        <f t="shared" ref="GB26:GB35" si="22">+EOMONTH(GC26,0)</f>
        <v>45838</v>
      </c>
      <c r="GC26" s="5">
        <v>45832</v>
      </c>
      <c r="GD26" s="32"/>
      <c r="GE26" s="32">
        <f>+GE25-GF26</f>
        <v>309433.84400000004</v>
      </c>
      <c r="GF26" s="32">
        <v>36909.17</v>
      </c>
      <c r="GG26" s="32">
        <v>4285.87</v>
      </c>
      <c r="GH26" s="32">
        <f t="shared" ref="GH26:GH35" si="23">+SUM(GF26:GG26)</f>
        <v>41195.040000000001</v>
      </c>
      <c r="GJ26" s="7">
        <v>1</v>
      </c>
      <c r="GK26" s="5">
        <f t="shared" ref="GK26:GK35" si="24">+EOMONTH(GL26,0)</f>
        <v>45838</v>
      </c>
      <c r="GL26" s="5">
        <v>45832</v>
      </c>
      <c r="GM26" s="32"/>
      <c r="GN26" s="32">
        <f>+GN25-GO26</f>
        <v>309433.84400000004</v>
      </c>
      <c r="GO26" s="32">
        <v>36909.17</v>
      </c>
      <c r="GP26" s="32">
        <v>4285.87</v>
      </c>
      <c r="GQ26" s="32">
        <f t="shared" ref="GQ26:GQ35" si="25">+SUM(GO26:GP26)</f>
        <v>41195.040000000001</v>
      </c>
      <c r="GS26" s="7">
        <v>1</v>
      </c>
      <c r="GT26" s="5">
        <f t="shared" ref="GT26:GT37" si="26">+EOMONTH(GU26,0)</f>
        <v>45838</v>
      </c>
      <c r="GU26" s="5">
        <v>45814</v>
      </c>
      <c r="GV26" s="29"/>
      <c r="GW26" s="32">
        <f>+GW25-GX26</f>
        <v>388403.55</v>
      </c>
      <c r="GX26" s="32">
        <v>38005.99</v>
      </c>
      <c r="GY26" s="32">
        <v>5069.1400000000003</v>
      </c>
      <c r="GZ26" s="32">
        <f t="shared" ref="GZ26:GZ37" si="27">+SUM(GX26:GY26)</f>
        <v>43075.13</v>
      </c>
      <c r="HB26" s="7">
        <v>1</v>
      </c>
      <c r="HC26" s="5">
        <f t="shared" ref="HC26:HC37" si="28">+EOMONTH(HD26,0)</f>
        <v>45838</v>
      </c>
      <c r="HD26" s="5">
        <v>45814</v>
      </c>
      <c r="HE26" s="29"/>
      <c r="HF26" s="32">
        <v>388403.55</v>
      </c>
      <c r="HG26" s="32">
        <v>38005.99</v>
      </c>
      <c r="HH26" s="32">
        <v>5069.1400000000003</v>
      </c>
      <c r="HI26" s="32">
        <v>43075.13</v>
      </c>
    </row>
    <row r="27" spans="1:217" x14ac:dyDescent="0.35">
      <c r="A27" s="7">
        <v>2</v>
      </c>
      <c r="B27" s="6">
        <f t="shared" si="1"/>
        <v>22</v>
      </c>
      <c r="C27" s="5">
        <f t="shared" si="2"/>
        <v>45808</v>
      </c>
      <c r="D27" s="29"/>
      <c r="E27" s="32">
        <f t="shared" ref="E27:E90" si="29">+E26+D27-F27</f>
        <v>58752970.850921139</v>
      </c>
      <c r="F27" s="159">
        <f t="shared" ref="F27:F31" si="30">+SUMIF(N:N,C27,R:R)+SUMIF(AD:AD,C27,AH:AH)+SUMIF(AS:AS,C27,AW:AW)+SUMIF(BH:BH,C27,BL:BL)+SUMIF(BX:BX,C27,CB:CB)+SUMIF(BX:BX,C27,CC:CC)+SUMIF(CO:CO,C27,CS:CS)+SUMIF(CX:CX,C27,DB:DB)+SUMIF(DM:DM,C27,DQ:DQ)+SUMIF(EB:EB,C27,EF:EF)+SUMIF(EQ:EQ,C27,EU:EU)+SUMIF(EZ:EZ,C27,FD:FD)+SUMIF(FJ:FJ,C27,FN:FN)+SUMIF(FS:FS,C27,FW:FW)+SUMIF(GB:GB,C27,GF:GF)+SUMIF(GK:GK,C27,GO:GO)+SUMIF(GT:GT,C27,GX:GX)+SUMIF(HC:HC,C27,HG:HG)</f>
        <v>91210.456841595893</v>
      </c>
      <c r="G27" s="159">
        <f t="shared" ref="G27:G31" si="31">+SUMIF(N:N,C27,T:T)+SUMIF(N:N,C27,S:S)+SUMIF(AD:AD,C27,AI:AI)+SUMIF(AS:AS,C27,AX:AX)+SUMIF(BH:BH,C27,BN:BN)+SUMIF(BH:BH,C27,BM:BM)+SUMIF(BX:BX,C27,CD:CD)+SUMIF(BX:BX,C27,CE:CE)+SUMIF(CO:CO,C27,CT:CT)+SUMIF(CX:CX,C27,DC:DC)+SUMIF(DM:DM,C27,DR:DR)+SUMIF(EB:EB,C27,EG:EG)+SUMIF(EQ:EQ,C27,EV:EV)+SUMIF(EZ:EZ,C27,FE:FE)+SUMIF(FJ:FJ,C27,FO:FO)+SUMIF(FS:FS,C27,FX:FX)+SUMIF(GB:GB,C27,GG:GG)+SUMIF(GK:GK,C27,GP:GP)+SUMIF(GT:GT,C27,GY:GY)+SUMIF(HC:HC,C27,HH:HH)</f>
        <v>2684657.9861570443</v>
      </c>
      <c r="H27" s="32">
        <f t="shared" ref="H27:H90" si="32">+SUM(F27:G27)</f>
        <v>2775868.4429986402</v>
      </c>
      <c r="I27" s="60"/>
      <c r="J27" s="60"/>
      <c r="K27" s="32"/>
      <c r="M27" s="83">
        <v>2</v>
      </c>
      <c r="N27" s="84">
        <f t="shared" si="3"/>
        <v>45716</v>
      </c>
      <c r="O27" s="84">
        <v>45703</v>
      </c>
      <c r="P27" s="85"/>
      <c r="Q27" s="86">
        <f t="shared" si="4"/>
        <v>132273180.76466566</v>
      </c>
      <c r="R27" s="86">
        <f>+$Q$20</f>
        <v>39369.666841595892</v>
      </c>
      <c r="S27" s="86">
        <f t="shared" ref="S27:S55" si="33">+Q26*Q$5*(O27-O26)/360</f>
        <v>2028792.4399497777</v>
      </c>
      <c r="T27" s="86">
        <f t="shared" ref="T27:T45" si="34">+$Q$17/$Q$18</f>
        <v>471550.5461533799</v>
      </c>
      <c r="U27" s="86">
        <f t="shared" ref="U27:U55" si="35">+SUM(R27:T27)</f>
        <v>2539712.6529447534</v>
      </c>
      <c r="V27" s="60"/>
      <c r="W27" s="87">
        <v>45703</v>
      </c>
      <c r="X27" s="60"/>
      <c r="Y27" s="60"/>
      <c r="Z27" s="60"/>
      <c r="AA27" s="60"/>
      <c r="AC27" s="90">
        <v>2</v>
      </c>
      <c r="AD27" s="5">
        <f t="shared" si="5"/>
        <v>45900</v>
      </c>
      <c r="AE27" s="62">
        <v>45871</v>
      </c>
      <c r="AF27" s="96"/>
      <c r="AG27" s="63">
        <f t="shared" ref="AG27:AG50" si="36">+AG26+AF27-AH27</f>
        <v>1241907.93</v>
      </c>
      <c r="AH27" s="63">
        <f>+AH26</f>
        <v>51840.79</v>
      </c>
      <c r="AI27" s="63">
        <f t="shared" ref="AI27:AI50" si="37">+AG26*AG$5*(AE27-AE26)/360</f>
        <v>18184.357008888892</v>
      </c>
      <c r="AJ27" s="63">
        <f t="shared" ref="AJ27:AJ51" si="38">+SUM(AH27:AI27)</f>
        <v>70025.147008888889</v>
      </c>
      <c r="AK27" s="60">
        <v>2</v>
      </c>
      <c r="AL27" s="87">
        <f ca="1">+TODAY()</f>
        <v>46007</v>
      </c>
      <c r="AM27" s="60">
        <f>+AH27</f>
        <v>51840.79</v>
      </c>
      <c r="AN27" s="60">
        <f ca="1">+AG26*AG$5*(AL27-AL26)/360</f>
        <v>41705.427487777779</v>
      </c>
      <c r="AO27" s="60">
        <f ca="1">+AN27+AM27</f>
        <v>93546.217487777787</v>
      </c>
      <c r="AP27" s="32"/>
      <c r="AQ27" s="61"/>
      <c r="AR27" s="7">
        <v>2</v>
      </c>
      <c r="AS27" s="5">
        <f t="shared" si="6"/>
        <v>45808</v>
      </c>
      <c r="AT27" s="5">
        <v>45797</v>
      </c>
      <c r="AU27" s="29"/>
      <c r="AV27" s="32">
        <f>+AV26+AU27-AW27</f>
        <v>15996516.062482124</v>
      </c>
      <c r="AW27" s="32">
        <v>0</v>
      </c>
      <c r="AX27" s="32">
        <f>+AV26*AV$5*(AT27-AT26)/360</f>
        <v>237281.65492681818</v>
      </c>
      <c r="AY27" s="32">
        <f t="shared" si="7"/>
        <v>237281.65492681818</v>
      </c>
      <c r="AZ27" s="155">
        <v>2</v>
      </c>
      <c r="BA27" s="87">
        <v>45838</v>
      </c>
      <c r="BB27" s="99">
        <f>+BA27-AT27</f>
        <v>41</v>
      </c>
      <c r="BC27" s="60">
        <f>+AW27</f>
        <v>0</v>
      </c>
      <c r="BD27" s="60">
        <f>+AV26*AV$5*(BA27-BA26)/360</f>
        <v>250612.08497888662</v>
      </c>
      <c r="BE27" s="60">
        <f>+BD27+BC27</f>
        <v>250612.08497888662</v>
      </c>
      <c r="BF27" s="97"/>
      <c r="BG27" s="7">
        <v>2</v>
      </c>
      <c r="BH27" s="5">
        <f t="shared" si="8"/>
        <v>45930</v>
      </c>
      <c r="BI27" s="5">
        <v>45920</v>
      </c>
      <c r="BJ27" s="29"/>
      <c r="BK27" s="32">
        <f>+BK26+BJ27-BL27-11000000</f>
        <v>42476614.030000001</v>
      </c>
      <c r="BL27" s="32">
        <v>0</v>
      </c>
      <c r="BM27" s="32">
        <f t="shared" ref="BM27:BM40" si="39">+BK26*BK$5*(BI27-BI26)/360</f>
        <v>819974.74846000015</v>
      </c>
      <c r="BN27" s="32">
        <v>82616.23</v>
      </c>
      <c r="BO27" s="63">
        <f t="shared" ref="BO27:BO40" si="40">+SUM(BL27:BN27)</f>
        <v>902590.97846000013</v>
      </c>
      <c r="BP27" s="104">
        <v>2</v>
      </c>
      <c r="BQ27" s="87">
        <v>45930</v>
      </c>
      <c r="BR27" s="87"/>
      <c r="BS27" s="60">
        <f>+BL27</f>
        <v>0</v>
      </c>
      <c r="BT27" s="60">
        <f>+BK26*BK$5*(BQ27-BQ26)/360</f>
        <v>909102.43851000001</v>
      </c>
      <c r="BU27" s="60">
        <f>+BT27+BS27+BN27</f>
        <v>991718.66850999999</v>
      </c>
      <c r="BW27" s="7">
        <v>2</v>
      </c>
      <c r="BX27" s="5">
        <f t="shared" si="9"/>
        <v>45869</v>
      </c>
      <c r="BY27" s="5">
        <v>45858</v>
      </c>
      <c r="BZ27" s="29"/>
      <c r="CA27" s="32">
        <f t="shared" ref="CA27:CA44" si="41">+CA26+BZ27-CB27</f>
        <v>1039256.4486390494</v>
      </c>
      <c r="CB27" s="32">
        <v>57736.470062537075</v>
      </c>
      <c r="CC27" s="32">
        <v>2821.4284698866022</v>
      </c>
      <c r="CD27" s="32">
        <f t="shared" ref="CD27:CD44" si="42">+CA26*CA$5*(BY27-BY26)/360</f>
        <v>28521.815886241249</v>
      </c>
      <c r="CE27" s="32">
        <v>1642.8394559018825</v>
      </c>
      <c r="CF27" s="32">
        <f t="shared" ref="CF27:CF44" si="43">+SUM(CB27:CE27)</f>
        <v>90722.553874566802</v>
      </c>
      <c r="CG27" s="104">
        <v>2</v>
      </c>
      <c r="CH27" s="87">
        <v>45866</v>
      </c>
      <c r="CI27" s="87"/>
      <c r="CJ27" s="60">
        <f>+CB27</f>
        <v>57736.470062537075</v>
      </c>
      <c r="CK27" s="60">
        <f>+CA26*CA$5*(CH27-CH26)/360</f>
        <v>29984.473111176696</v>
      </c>
      <c r="CL27" s="60">
        <f>+CK27+CJ27+CE27</f>
        <v>89363.782629615656</v>
      </c>
      <c r="CN27" s="7">
        <v>2</v>
      </c>
      <c r="CO27" s="5">
        <f t="shared" si="10"/>
        <v>45930</v>
      </c>
      <c r="CP27" s="5">
        <v>45914</v>
      </c>
      <c r="CQ27" s="29"/>
      <c r="CR27" s="32">
        <f t="shared" ref="CR27:CR43" si="44">+CR26+CQ27-CS27</f>
        <v>1669085.8500000003</v>
      </c>
      <c r="CS27" s="32">
        <v>0</v>
      </c>
      <c r="CT27" s="32">
        <v>22393.568966666662</v>
      </c>
      <c r="CU27" s="32">
        <f t="shared" si="11"/>
        <v>22393.568966666662</v>
      </c>
      <c r="CW27" s="7">
        <v>2</v>
      </c>
      <c r="CX27" s="5">
        <f t="shared" si="12"/>
        <v>45930</v>
      </c>
      <c r="CY27" s="5">
        <v>45910</v>
      </c>
      <c r="CZ27" s="29"/>
      <c r="DA27" s="32">
        <f t="shared" ref="DA27:DA50" si="45">+DA26+CZ27-DB27</f>
        <v>25312038.278803103</v>
      </c>
      <c r="DB27" s="32">
        <v>349011.21</v>
      </c>
      <c r="DC27" s="32">
        <f t="shared" ref="DC27:DC50" si="46">+DA26*DA$5*(CY27-CY26)/360</f>
        <v>132582.08902548271</v>
      </c>
      <c r="DD27" s="32">
        <f t="shared" si="13"/>
        <v>481593.29902548273</v>
      </c>
      <c r="DE27" s="104">
        <v>2</v>
      </c>
      <c r="DF27" s="87">
        <v>45911</v>
      </c>
      <c r="DG27" s="87"/>
      <c r="DH27" s="60">
        <f>+CZ27</f>
        <v>0</v>
      </c>
      <c r="DI27" s="60">
        <f>+DA26*DA$5*(DF27-DF26)/360</f>
        <v>136858.9306069499</v>
      </c>
      <c r="DJ27" s="60">
        <f>+DI27+DH27</f>
        <v>136858.9306069499</v>
      </c>
      <c r="DL27" s="7">
        <v>2</v>
      </c>
      <c r="DM27" s="5">
        <f t="shared" si="14"/>
        <v>45930</v>
      </c>
      <c r="DN27" s="5">
        <v>45925</v>
      </c>
      <c r="DO27" s="29"/>
      <c r="DP27" s="32">
        <f t="shared" ref="DP27:DP62" si="47">+DP26+DO27-DQ27</f>
        <v>9116955.5388674606</v>
      </c>
      <c r="DQ27" s="32">
        <v>0</v>
      </c>
      <c r="DR27" s="32">
        <v>127789.32000000002</v>
      </c>
      <c r="DS27" s="32">
        <f t="shared" si="15"/>
        <v>127789.32000000002</v>
      </c>
      <c r="DT27" s="104">
        <v>2</v>
      </c>
      <c r="DU27" s="87">
        <v>45939</v>
      </c>
      <c r="DV27" s="87"/>
      <c r="DW27" s="60">
        <f>+DO27</f>
        <v>0</v>
      </c>
      <c r="DX27" s="60">
        <f>+DP26*DP$5*(DU27-DU26)/360</f>
        <v>148353.12651857108</v>
      </c>
      <c r="DY27" s="60">
        <f>+DX27+DW27</f>
        <v>148353.12651857108</v>
      </c>
      <c r="DZ27" s="64"/>
      <c r="EA27" s="7">
        <v>2</v>
      </c>
      <c r="EB27" s="5">
        <f t="shared" si="0"/>
        <v>45961</v>
      </c>
      <c r="EC27" s="5">
        <v>45936</v>
      </c>
      <c r="ED27" s="29"/>
      <c r="EE27" s="32">
        <f t="shared" ref="EE27:EE58" si="48">+EE26-EF27</f>
        <v>1109707.8726865982</v>
      </c>
      <c r="EF27" s="32">
        <v>0</v>
      </c>
      <c r="EG27" s="32">
        <f>+EE26*(EC27-EC26)*$EE$5/360</f>
        <v>17581.471729598004</v>
      </c>
      <c r="EH27" s="32">
        <f t="shared" si="16"/>
        <v>17581.471729598004</v>
      </c>
      <c r="EI27" s="104">
        <v>2</v>
      </c>
      <c r="EJ27" s="87">
        <v>45939</v>
      </c>
      <c r="EK27" s="87"/>
      <c r="EL27" s="60">
        <f>+ED27</f>
        <v>0</v>
      </c>
      <c r="EM27" s="60">
        <f>+EE26*EE$5*(EJ27-EJ26)/360</f>
        <v>18119.680047851005</v>
      </c>
      <c r="EN27" s="60">
        <f>+EM27+EL27</f>
        <v>18119.680047851005</v>
      </c>
      <c r="EQ27" s="5"/>
      <c r="ER27" s="5"/>
      <c r="ES27" s="29"/>
      <c r="ET27" s="32"/>
      <c r="EU27" s="32"/>
      <c r="EV27" s="32"/>
      <c r="EW27" s="32"/>
      <c r="EY27" s="7">
        <v>2</v>
      </c>
      <c r="EZ27" s="5">
        <f t="shared" si="17"/>
        <v>45838</v>
      </c>
      <c r="FA27" s="5">
        <v>45838</v>
      </c>
      <c r="FB27" s="29"/>
      <c r="FC27" s="32">
        <f t="shared" ref="FC27:FC63" si="49">+FC26+FB27-FD27</f>
        <v>2794681.5</v>
      </c>
      <c r="FD27" s="32">
        <v>0</v>
      </c>
      <c r="FE27" s="32">
        <v>38370.469999999994</v>
      </c>
      <c r="FF27" s="32">
        <v>19844.48</v>
      </c>
      <c r="FG27" s="32">
        <f t="shared" ref="FG27:FG63" si="50">+SUM(FD27:FF27)</f>
        <v>58214.95</v>
      </c>
      <c r="FH27" s="29"/>
      <c r="FI27" s="7">
        <v>2</v>
      </c>
      <c r="FJ27" s="5">
        <f t="shared" si="18"/>
        <v>45930</v>
      </c>
      <c r="FK27" s="5">
        <v>45922</v>
      </c>
      <c r="FL27" s="32"/>
      <c r="FM27" s="32">
        <f t="shared" ref="FM27:FM35" si="51">+FM26-FN27</f>
        <v>271740.35400000005</v>
      </c>
      <c r="FN27" s="32">
        <v>37693.49</v>
      </c>
      <c r="FO27" s="32">
        <v>3732.23</v>
      </c>
      <c r="FP27" s="32">
        <f t="shared" si="19"/>
        <v>41425.72</v>
      </c>
      <c r="FR27" s="7">
        <v>2</v>
      </c>
      <c r="FS27" s="5">
        <f t="shared" si="20"/>
        <v>45930</v>
      </c>
      <c r="FT27" s="5">
        <v>45922</v>
      </c>
      <c r="FU27" s="32"/>
      <c r="FV27" s="32">
        <f t="shared" ref="FV27:FV35" si="52">+FV26-FW27</f>
        <v>271740.35400000005</v>
      </c>
      <c r="FW27" s="32">
        <v>37693.49</v>
      </c>
      <c r="FX27" s="32">
        <v>3732.23</v>
      </c>
      <c r="FY27" s="32">
        <f t="shared" si="21"/>
        <v>41425.72</v>
      </c>
      <c r="GA27" s="7">
        <v>2</v>
      </c>
      <c r="GB27" s="5">
        <f t="shared" si="22"/>
        <v>45930</v>
      </c>
      <c r="GC27" s="5">
        <v>45922</v>
      </c>
      <c r="GD27" s="32"/>
      <c r="GE27" s="32">
        <f t="shared" ref="GE27:GE35" si="53">+GE26-GF27</f>
        <v>271740.35400000005</v>
      </c>
      <c r="GF27" s="32">
        <v>37693.49</v>
      </c>
      <c r="GG27" s="32">
        <v>3732.23</v>
      </c>
      <c r="GH27" s="32">
        <f t="shared" si="23"/>
        <v>41425.72</v>
      </c>
      <c r="GJ27" s="7">
        <v>2</v>
      </c>
      <c r="GK27" s="5">
        <f t="shared" si="24"/>
        <v>45930</v>
      </c>
      <c r="GL27" s="5">
        <v>45922</v>
      </c>
      <c r="GM27" s="32"/>
      <c r="GN27" s="32">
        <f t="shared" ref="GN27:GN35" si="54">+GN26-GO27</f>
        <v>271740.35400000005</v>
      </c>
      <c r="GO27" s="32">
        <v>37693.49</v>
      </c>
      <c r="GP27" s="32">
        <v>3732.23</v>
      </c>
      <c r="GQ27" s="32">
        <f t="shared" si="25"/>
        <v>41425.72</v>
      </c>
      <c r="GS27" s="7">
        <v>2</v>
      </c>
      <c r="GT27" s="5">
        <f t="shared" si="26"/>
        <v>45930</v>
      </c>
      <c r="GU27" s="5">
        <v>45904</v>
      </c>
      <c r="GV27" s="29"/>
      <c r="GW27" s="32">
        <f t="shared" ref="GW27:GW37" si="55">+GW26-GX27</f>
        <v>349589.93</v>
      </c>
      <c r="GX27" s="32">
        <v>38813.620000000003</v>
      </c>
      <c r="GY27" s="32">
        <v>4499.05</v>
      </c>
      <c r="GZ27" s="32">
        <f t="shared" si="27"/>
        <v>43312.670000000006</v>
      </c>
      <c r="HB27" s="7">
        <v>2</v>
      </c>
      <c r="HC27" s="5">
        <f t="shared" si="28"/>
        <v>45930</v>
      </c>
      <c r="HD27" s="5">
        <v>45904</v>
      </c>
      <c r="HE27" s="29"/>
      <c r="HF27" s="32">
        <v>349589.93</v>
      </c>
      <c r="HG27" s="32">
        <v>38813.620000000003</v>
      </c>
      <c r="HH27" s="32">
        <v>4499.05</v>
      </c>
      <c r="HI27" s="32">
        <v>43312.670000000006</v>
      </c>
    </row>
    <row r="28" spans="1:217" x14ac:dyDescent="0.35">
      <c r="A28" s="7">
        <v>3</v>
      </c>
      <c r="B28" s="6">
        <f t="shared" si="1"/>
        <v>27</v>
      </c>
      <c r="C28" s="5">
        <f t="shared" si="2"/>
        <v>45838</v>
      </c>
      <c r="D28" s="29"/>
      <c r="E28" s="32">
        <f t="shared" si="29"/>
        <v>58529322.190921143</v>
      </c>
      <c r="F28" s="159">
        <f t="shared" si="30"/>
        <v>223648.65999999997</v>
      </c>
      <c r="G28" s="159">
        <f t="shared" si="31"/>
        <v>1152025.8114600005</v>
      </c>
      <c r="H28" s="32">
        <f t="shared" si="32"/>
        <v>1375674.4714600004</v>
      </c>
      <c r="I28" s="60">
        <f ca="1">+AA28</f>
        <v>7212761.3717380343</v>
      </c>
      <c r="J28" s="60" t="s">
        <v>52</v>
      </c>
      <c r="K28" s="32"/>
      <c r="M28" s="7">
        <v>3</v>
      </c>
      <c r="N28" s="59">
        <f t="shared" si="3"/>
        <v>45808</v>
      </c>
      <c r="O28" s="59">
        <v>45792</v>
      </c>
      <c r="P28" s="29"/>
      <c r="Q28" s="32">
        <f t="shared" si="4"/>
        <v>132233811.09782407</v>
      </c>
      <c r="R28" s="32">
        <f>+$Q$20</f>
        <v>39369.666841595892</v>
      </c>
      <c r="S28" s="32">
        <f>+Q27*Q$5*(O28-O27)/360</f>
        <v>1962052.1813425405</v>
      </c>
      <c r="T28" s="32">
        <f t="shared" si="34"/>
        <v>471550.5461533799</v>
      </c>
      <c r="U28" s="63">
        <f t="shared" si="35"/>
        <v>2472972.3943375163</v>
      </c>
      <c r="V28" s="156">
        <v>3</v>
      </c>
      <c r="W28" s="87">
        <f ca="1">+TODAY()</f>
        <v>46007</v>
      </c>
      <c r="X28" s="157">
        <f ca="1">+W28-W27</f>
        <v>304</v>
      </c>
      <c r="Y28" s="60">
        <f>+R28</f>
        <v>39369.666841595892</v>
      </c>
      <c r="Z28" s="60">
        <f ca="1">+Q27*Q$5*(W28-O27)/360</f>
        <v>6701841.1587430593</v>
      </c>
      <c r="AA28" s="60">
        <f ca="1">+Z28+Y28+T28</f>
        <v>7212761.3717380343</v>
      </c>
      <c r="AC28" s="90">
        <v>3</v>
      </c>
      <c r="AD28" s="5">
        <f t="shared" si="5"/>
        <v>45991</v>
      </c>
      <c r="AE28" s="5">
        <v>45963</v>
      </c>
      <c r="AF28" s="29"/>
      <c r="AG28" s="32">
        <f t="shared" si="36"/>
        <v>1190067.1399999999</v>
      </c>
      <c r="AH28" s="32">
        <f t="shared" ref="AH28:AH50" si="56">+AH27</f>
        <v>51840.79</v>
      </c>
      <c r="AI28" s="32">
        <f t="shared" si="37"/>
        <v>17455.705904999999</v>
      </c>
      <c r="AJ28" s="32">
        <f t="shared" si="38"/>
        <v>69296.495905000003</v>
      </c>
      <c r="AK28" s="60"/>
      <c r="AL28" s="87"/>
      <c r="AM28" s="60"/>
      <c r="AN28" s="60"/>
      <c r="AO28" s="60"/>
      <c r="AP28" s="32"/>
      <c r="AR28" s="7">
        <v>3</v>
      </c>
      <c r="AS28" s="5">
        <f t="shared" si="6"/>
        <v>45900</v>
      </c>
      <c r="AT28" s="5">
        <v>45889</v>
      </c>
      <c r="AU28" s="29"/>
      <c r="AV28" s="32">
        <f t="shared" ref="AV28:AV62" si="57">+AV27+AU28-AW28</f>
        <v>15996516.062482124</v>
      </c>
      <c r="AW28" s="32">
        <v>0</v>
      </c>
      <c r="AX28" s="32">
        <f t="shared" ref="AX28:AX62" si="58">+AV27*AV$5*(AT28-AT27)/360</f>
        <v>245279.91295805926</v>
      </c>
      <c r="AY28" s="32">
        <f t="shared" si="7"/>
        <v>245279.91295805926</v>
      </c>
      <c r="AZ28" s="155">
        <v>3</v>
      </c>
      <c r="BA28" s="87">
        <f ca="1">+TODAY()</f>
        <v>46007</v>
      </c>
      <c r="BB28" s="99">
        <f ca="1">+BA28-AT28</f>
        <v>118</v>
      </c>
      <c r="BC28" s="60">
        <f>+AW28</f>
        <v>0</v>
      </c>
      <c r="BD28" s="60">
        <f ca="1">+AV27*AV$5*(BA28-BA27)/360</f>
        <v>450568.53575991315</v>
      </c>
      <c r="BE28" s="60">
        <f ca="1">+BD28+BC28</f>
        <v>450568.53575991315</v>
      </c>
      <c r="BG28" s="7">
        <v>3</v>
      </c>
      <c r="BH28" s="5">
        <f t="shared" si="8"/>
        <v>46022</v>
      </c>
      <c r="BI28" s="5">
        <v>46011</v>
      </c>
      <c r="BJ28" s="29"/>
      <c r="BK28" s="32">
        <f t="shared" ref="BK28:BK40" si="59">+BK27+BJ28-BL28</f>
        <v>42476614.030000001</v>
      </c>
      <c r="BL28" s="32">
        <v>0</v>
      </c>
      <c r="BM28" s="32">
        <f t="shared" si="39"/>
        <v>644228.64612166665</v>
      </c>
      <c r="BN28" s="32">
        <v>82616.23</v>
      </c>
      <c r="BO28" s="32">
        <f t="shared" si="40"/>
        <v>726844.87612166663</v>
      </c>
      <c r="BP28" s="104"/>
      <c r="BQ28" s="87"/>
      <c r="BR28" s="87"/>
      <c r="BS28" s="60"/>
      <c r="BT28" s="60"/>
      <c r="BU28" s="60"/>
      <c r="BW28" s="7">
        <v>3</v>
      </c>
      <c r="BX28" s="5">
        <f t="shared" si="9"/>
        <v>45961</v>
      </c>
      <c r="BY28" s="5">
        <v>45950</v>
      </c>
      <c r="BZ28" s="29"/>
      <c r="CA28" s="63">
        <f t="shared" si="41"/>
        <v>981519.97857651231</v>
      </c>
      <c r="CB28" s="63">
        <v>57736.470062537075</v>
      </c>
      <c r="CC28" s="63">
        <v>2821.4284698866022</v>
      </c>
      <c r="CD28" s="63">
        <f t="shared" si="42"/>
        <v>15935.265545798758</v>
      </c>
      <c r="CE28" s="63">
        <v>1642.8394559018825</v>
      </c>
      <c r="CF28" s="63">
        <f t="shared" si="43"/>
        <v>78136.00353412432</v>
      </c>
      <c r="CG28" s="104">
        <v>3</v>
      </c>
      <c r="CH28" s="87">
        <v>45950</v>
      </c>
      <c r="CI28" s="87"/>
      <c r="CJ28" s="60">
        <f>+CB28</f>
        <v>57736.470062537075</v>
      </c>
      <c r="CK28" s="60">
        <f>+CA27*CA$5*(CH28-CH27)/360</f>
        <v>14549.590280946692</v>
      </c>
      <c r="CL28" s="60">
        <f>+CK28+CJ28+CE28</f>
        <v>73928.899799385646</v>
      </c>
      <c r="CM28" s="76">
        <f>(+CK28)/CA12</f>
        <v>64086.802150000047</v>
      </c>
      <c r="CN28" s="7">
        <v>3</v>
      </c>
      <c r="CO28" s="5">
        <f t="shared" si="10"/>
        <v>46022</v>
      </c>
      <c r="CP28" s="5">
        <v>46005</v>
      </c>
      <c r="CQ28" s="29"/>
      <c r="CR28" s="32">
        <f t="shared" si="44"/>
        <v>1564767.9900000002</v>
      </c>
      <c r="CS28" s="32">
        <v>104317.86</v>
      </c>
      <c r="CT28" s="32">
        <v>22150.160608333328</v>
      </c>
      <c r="CU28" s="32">
        <f t="shared" si="11"/>
        <v>126468.02060833333</v>
      </c>
      <c r="CW28" s="7">
        <v>3</v>
      </c>
      <c r="CX28" s="5">
        <f t="shared" si="12"/>
        <v>45961</v>
      </c>
      <c r="CY28" s="5">
        <v>45940</v>
      </c>
      <c r="CZ28" s="29"/>
      <c r="DA28" s="32">
        <f t="shared" si="45"/>
        <v>24963027.068803102</v>
      </c>
      <c r="DB28" s="32">
        <v>349011.21</v>
      </c>
      <c r="DC28" s="32">
        <f t="shared" si="46"/>
        <v>126560.19139401551</v>
      </c>
      <c r="DD28" s="32">
        <f t="shared" si="13"/>
        <v>475571.40139401553</v>
      </c>
      <c r="DE28" s="104">
        <v>3</v>
      </c>
      <c r="DF28" s="87">
        <v>45940</v>
      </c>
      <c r="DG28" s="87"/>
      <c r="DH28" s="60">
        <f>+DB28</f>
        <v>349011.21</v>
      </c>
      <c r="DI28" s="60">
        <f>+DA27*DA$5*(DF28-DF27)/360</f>
        <v>122341.51834754832</v>
      </c>
      <c r="DJ28" s="60">
        <f>+DI28+DH28</f>
        <v>471352.72834754834</v>
      </c>
      <c r="DL28" s="7">
        <v>3</v>
      </c>
      <c r="DM28" s="5">
        <f t="shared" si="14"/>
        <v>46022</v>
      </c>
      <c r="DN28" s="5">
        <v>46017</v>
      </c>
      <c r="DO28" s="29"/>
      <c r="DP28" s="32">
        <f t="shared" si="47"/>
        <v>9116955.5388674606</v>
      </c>
      <c r="DQ28" s="32">
        <v>0</v>
      </c>
      <c r="DR28" s="32">
        <v>135133.54</v>
      </c>
      <c r="DS28" s="32">
        <f t="shared" si="15"/>
        <v>135133.54</v>
      </c>
      <c r="DT28" s="104"/>
      <c r="DU28" s="87"/>
      <c r="DV28" s="87"/>
      <c r="DW28" s="60"/>
      <c r="DX28" s="60"/>
      <c r="DY28" s="60"/>
      <c r="DZ28" s="64"/>
      <c r="EA28" s="7">
        <v>3</v>
      </c>
      <c r="EB28" s="5">
        <f t="shared" si="0"/>
        <v>46053</v>
      </c>
      <c r="EC28" s="5">
        <v>46027</v>
      </c>
      <c r="ED28" s="29"/>
      <c r="EE28" s="32">
        <f t="shared" si="48"/>
        <v>1109707.8726865982</v>
      </c>
      <c r="EF28" s="32">
        <v>0</v>
      </c>
      <c r="EG28" s="32">
        <f t="shared" ref="EG28:EG58" si="60">+EE27*(EC28-EC27)*$EE$5/360</f>
        <v>16325.652320341003</v>
      </c>
      <c r="EH28" s="32">
        <f t="shared" si="16"/>
        <v>16325.652320341003</v>
      </c>
      <c r="EI28" s="104"/>
      <c r="EJ28" s="87"/>
      <c r="EK28" s="87"/>
      <c r="EL28" s="60"/>
      <c r="EM28" s="60"/>
      <c r="EN28" s="60"/>
      <c r="EQ28" s="5"/>
      <c r="ER28" s="5"/>
      <c r="ES28" s="29"/>
      <c r="ET28" s="32"/>
      <c r="EU28" s="32"/>
      <c r="EV28" s="32"/>
      <c r="EW28" s="32"/>
      <c r="EY28" s="7">
        <v>3</v>
      </c>
      <c r="EZ28" s="5">
        <f t="shared" si="17"/>
        <v>45930</v>
      </c>
      <c r="FA28" s="5">
        <v>45925</v>
      </c>
      <c r="FB28" s="29"/>
      <c r="FC28" s="32">
        <f t="shared" si="49"/>
        <v>2794681.5</v>
      </c>
      <c r="FD28" s="32">
        <v>0</v>
      </c>
      <c r="FE28" s="32">
        <v>17027.759999999995</v>
      </c>
      <c r="FF28" s="32"/>
      <c r="FG28" s="32">
        <f t="shared" si="50"/>
        <v>17027.759999999995</v>
      </c>
      <c r="FI28" s="7">
        <v>3</v>
      </c>
      <c r="FJ28" s="5">
        <f t="shared" si="18"/>
        <v>46022</v>
      </c>
      <c r="FK28" s="5">
        <v>46012</v>
      </c>
      <c r="FL28" s="32"/>
      <c r="FM28" s="32">
        <f t="shared" si="51"/>
        <v>233245.87400000004</v>
      </c>
      <c r="FN28" s="32">
        <v>38494.480000000003</v>
      </c>
      <c r="FO28" s="32">
        <v>3166.83</v>
      </c>
      <c r="FP28" s="32">
        <f t="shared" si="19"/>
        <v>41661.310000000005</v>
      </c>
      <c r="FR28" s="7">
        <v>3</v>
      </c>
      <c r="FS28" s="5">
        <f t="shared" si="20"/>
        <v>46022</v>
      </c>
      <c r="FT28" s="5">
        <v>46012</v>
      </c>
      <c r="FU28" s="32"/>
      <c r="FV28" s="32">
        <f t="shared" si="52"/>
        <v>233245.87400000004</v>
      </c>
      <c r="FW28" s="32">
        <v>38494.480000000003</v>
      </c>
      <c r="FX28" s="32">
        <v>3166.83</v>
      </c>
      <c r="FY28" s="32">
        <f t="shared" si="21"/>
        <v>41661.310000000005</v>
      </c>
      <c r="GA28" s="7">
        <v>3</v>
      </c>
      <c r="GB28" s="5">
        <f t="shared" si="22"/>
        <v>46022</v>
      </c>
      <c r="GC28" s="5">
        <v>46012</v>
      </c>
      <c r="GD28" s="32"/>
      <c r="GE28" s="32">
        <f t="shared" si="53"/>
        <v>233245.87400000004</v>
      </c>
      <c r="GF28" s="32">
        <v>38494.480000000003</v>
      </c>
      <c r="GG28" s="32">
        <v>3166.83</v>
      </c>
      <c r="GH28" s="32">
        <f t="shared" si="23"/>
        <v>41661.310000000005</v>
      </c>
      <c r="GJ28" s="7">
        <v>3</v>
      </c>
      <c r="GK28" s="5">
        <f t="shared" si="24"/>
        <v>46022</v>
      </c>
      <c r="GL28" s="5">
        <v>46012</v>
      </c>
      <c r="GM28" s="32"/>
      <c r="GN28" s="32">
        <f t="shared" si="54"/>
        <v>233245.87400000004</v>
      </c>
      <c r="GO28" s="32">
        <v>38494.480000000003</v>
      </c>
      <c r="GP28" s="32">
        <v>3166.83</v>
      </c>
      <c r="GQ28" s="32">
        <f t="shared" si="25"/>
        <v>41661.310000000005</v>
      </c>
      <c r="GS28" s="7">
        <v>3</v>
      </c>
      <c r="GT28" s="5">
        <f t="shared" si="26"/>
        <v>46022</v>
      </c>
      <c r="GU28" s="5">
        <v>45994</v>
      </c>
      <c r="GV28" s="29"/>
      <c r="GW28" s="32">
        <f t="shared" si="55"/>
        <v>309951.52</v>
      </c>
      <c r="GX28" s="32">
        <v>39638.410000000003</v>
      </c>
      <c r="GY28" s="32">
        <v>3916.84</v>
      </c>
      <c r="GZ28" s="32">
        <f t="shared" si="27"/>
        <v>43555.25</v>
      </c>
      <c r="HB28" s="7">
        <v>3</v>
      </c>
      <c r="HC28" s="5">
        <f t="shared" si="28"/>
        <v>46022</v>
      </c>
      <c r="HD28" s="5">
        <v>45994</v>
      </c>
      <c r="HE28" s="29"/>
      <c r="HF28" s="32">
        <v>309951.52</v>
      </c>
      <c r="HG28" s="32">
        <v>39638.410000000003</v>
      </c>
      <c r="HH28" s="32">
        <v>3916.84</v>
      </c>
      <c r="HI28" s="32">
        <v>43555.25</v>
      </c>
    </row>
    <row r="29" spans="1:217" x14ac:dyDescent="0.35">
      <c r="A29" s="7">
        <v>4</v>
      </c>
      <c r="B29" s="6">
        <f t="shared" si="1"/>
        <v>31</v>
      </c>
      <c r="C29" s="5">
        <f t="shared" si="2"/>
        <v>45869</v>
      </c>
      <c r="D29" s="29"/>
      <c r="E29" s="32">
        <f t="shared" si="29"/>
        <v>58468764.292388722</v>
      </c>
      <c r="F29" s="159">
        <f t="shared" si="30"/>
        <v>60557.898532423678</v>
      </c>
      <c r="G29" s="159">
        <f t="shared" si="31"/>
        <v>30164.655342143131</v>
      </c>
      <c r="H29" s="32">
        <f t="shared" si="32"/>
        <v>90722.553874566802</v>
      </c>
      <c r="I29" s="60"/>
      <c r="J29" s="60"/>
      <c r="K29" s="32"/>
      <c r="M29" s="7">
        <v>4</v>
      </c>
      <c r="N29" s="59">
        <f t="shared" si="3"/>
        <v>45900</v>
      </c>
      <c r="O29" s="59">
        <v>45884</v>
      </c>
      <c r="P29" s="29"/>
      <c r="Q29" s="32">
        <f t="shared" si="4"/>
        <v>132194441.43098247</v>
      </c>
      <c r="R29" s="32">
        <f>+$Q$20</f>
        <v>39369.666841595892</v>
      </c>
      <c r="S29" s="32">
        <f t="shared" si="33"/>
        <v>2027585.1034999688</v>
      </c>
      <c r="T29" s="32">
        <f t="shared" si="34"/>
        <v>471550.5461533799</v>
      </c>
      <c r="U29" s="32">
        <f t="shared" si="35"/>
        <v>2538505.3164949445</v>
      </c>
      <c r="V29" s="156">
        <v>4</v>
      </c>
      <c r="W29" s="87">
        <f ca="1">+TODAY()</f>
        <v>46007</v>
      </c>
      <c r="X29" s="60"/>
      <c r="Y29" s="60">
        <f>+R29</f>
        <v>39369.666841595892</v>
      </c>
      <c r="Z29" s="60"/>
      <c r="AA29" s="60">
        <f>+Y29</f>
        <v>39369.666841595892</v>
      </c>
      <c r="AC29" s="90">
        <v>4</v>
      </c>
      <c r="AD29" s="5">
        <f t="shared" si="5"/>
        <v>46081</v>
      </c>
      <c r="AE29" s="5">
        <v>46055</v>
      </c>
      <c r="AF29" s="29"/>
      <c r="AG29" s="32">
        <f t="shared" si="36"/>
        <v>1138226.3499999999</v>
      </c>
      <c r="AH29" s="32">
        <f t="shared" si="56"/>
        <v>51840.79</v>
      </c>
      <c r="AI29" s="32">
        <f t="shared" si="37"/>
        <v>16727.05480111111</v>
      </c>
      <c r="AJ29" s="32">
        <f t="shared" si="38"/>
        <v>68567.844801111118</v>
      </c>
      <c r="AK29" s="60"/>
      <c r="AL29" s="87"/>
      <c r="AM29" s="60"/>
      <c r="AN29" s="60"/>
      <c r="AO29" s="60"/>
      <c r="AP29" s="32"/>
      <c r="AR29" s="7">
        <v>4</v>
      </c>
      <c r="AS29" s="5">
        <f t="shared" si="6"/>
        <v>45991</v>
      </c>
      <c r="AT29" s="5">
        <v>45981</v>
      </c>
      <c r="AU29" s="29"/>
      <c r="AV29" s="32">
        <f t="shared" si="57"/>
        <v>15996516.062482124</v>
      </c>
      <c r="AW29" s="32">
        <v>0</v>
      </c>
      <c r="AX29" s="32">
        <f t="shared" si="58"/>
        <v>245279.91295805926</v>
      </c>
      <c r="AY29" s="32">
        <f t="shared" si="7"/>
        <v>245279.91295805926</v>
      </c>
      <c r="AZ29" s="60"/>
      <c r="BA29" s="87"/>
      <c r="BB29" s="87"/>
      <c r="BC29" s="60"/>
      <c r="BD29" s="60"/>
      <c r="BE29" s="60"/>
      <c r="BG29" s="7">
        <v>4</v>
      </c>
      <c r="BH29" s="5">
        <f t="shared" si="8"/>
        <v>46112</v>
      </c>
      <c r="BI29" s="5">
        <v>46101</v>
      </c>
      <c r="BJ29" s="29"/>
      <c r="BK29" s="32">
        <f t="shared" si="59"/>
        <v>42476614.030000001</v>
      </c>
      <c r="BL29" s="32">
        <v>0</v>
      </c>
      <c r="BM29" s="32">
        <f t="shared" si="39"/>
        <v>637149.21045000001</v>
      </c>
      <c r="BN29" s="32">
        <v>82616.23</v>
      </c>
      <c r="BO29" s="32">
        <f t="shared" si="40"/>
        <v>719765.44044999999</v>
      </c>
      <c r="BP29" s="104"/>
      <c r="BQ29" s="87"/>
      <c r="BR29" s="87"/>
      <c r="BS29" s="60"/>
      <c r="BT29" s="60"/>
      <c r="BU29" s="60"/>
      <c r="BW29" s="7">
        <v>4</v>
      </c>
      <c r="BX29" s="5">
        <f t="shared" si="9"/>
        <v>46053</v>
      </c>
      <c r="BY29" s="5">
        <v>46042</v>
      </c>
      <c r="BZ29" s="29"/>
      <c r="CA29" s="32">
        <f t="shared" si="41"/>
        <v>923783.50851397519</v>
      </c>
      <c r="CB29" s="32">
        <v>57736.470062537075</v>
      </c>
      <c r="CC29" s="32">
        <v>2821.4284698866022</v>
      </c>
      <c r="CD29" s="32">
        <f t="shared" si="42"/>
        <v>15049.973004839854</v>
      </c>
      <c r="CE29" s="32">
        <v>1642.8394559018825</v>
      </c>
      <c r="CF29" s="32">
        <f t="shared" si="43"/>
        <v>77250.710993165412</v>
      </c>
      <c r="CG29" s="104"/>
      <c r="CH29" s="87"/>
      <c r="CI29" s="87"/>
      <c r="CJ29" s="60"/>
      <c r="CK29" s="60"/>
      <c r="CL29" s="60"/>
      <c r="CM29" s="76">
        <f>+CM28+CE28</f>
        <v>65729.641605901925</v>
      </c>
      <c r="CN29" s="7">
        <v>4</v>
      </c>
      <c r="CO29" s="5">
        <f t="shared" si="10"/>
        <v>46112</v>
      </c>
      <c r="CP29" s="5">
        <v>46095</v>
      </c>
      <c r="CQ29" s="29"/>
      <c r="CR29" s="32">
        <f t="shared" si="44"/>
        <v>1460450.1300000001</v>
      </c>
      <c r="CS29" s="32">
        <v>104317.86</v>
      </c>
      <c r="CT29" s="32">
        <v>20341.984349999992</v>
      </c>
      <c r="CU29" s="32">
        <f t="shared" si="11"/>
        <v>124659.84435</v>
      </c>
      <c r="CW29" s="7">
        <v>4</v>
      </c>
      <c r="CX29" s="5">
        <f t="shared" si="12"/>
        <v>45991</v>
      </c>
      <c r="CY29" s="5">
        <v>45971</v>
      </c>
      <c r="CZ29" s="29"/>
      <c r="DA29" s="32">
        <f t="shared" si="45"/>
        <v>24614015.858803101</v>
      </c>
      <c r="DB29" s="32">
        <v>349011.21</v>
      </c>
      <c r="DC29" s="32">
        <f>+DA28*DA$5*(CY29-CY28)/360</f>
        <v>128975.6398554827</v>
      </c>
      <c r="DD29" s="32">
        <f t="shared" si="13"/>
        <v>477986.84985548269</v>
      </c>
      <c r="DE29" s="104"/>
      <c r="DF29" s="87"/>
      <c r="DG29" s="87"/>
      <c r="DH29" s="60"/>
      <c r="DI29" s="60"/>
      <c r="DJ29" s="60"/>
      <c r="DL29" s="7">
        <v>4</v>
      </c>
      <c r="DM29" s="5">
        <f t="shared" si="14"/>
        <v>46112</v>
      </c>
      <c r="DN29" s="5">
        <v>46107</v>
      </c>
      <c r="DO29" s="29"/>
      <c r="DP29" s="32">
        <f t="shared" si="47"/>
        <v>9102049.97886746</v>
      </c>
      <c r="DQ29" s="32">
        <v>14905.56</v>
      </c>
      <c r="DR29" s="32">
        <v>132195.85</v>
      </c>
      <c r="DS29" s="32">
        <f t="shared" si="15"/>
        <v>147101.41</v>
      </c>
      <c r="DT29" s="104"/>
      <c r="DU29" s="87"/>
      <c r="DV29" s="87"/>
      <c r="DW29" s="60"/>
      <c r="DX29" s="60"/>
      <c r="DY29" s="60"/>
      <c r="DZ29" s="64"/>
      <c r="EA29" s="7">
        <v>4</v>
      </c>
      <c r="EB29" s="5">
        <f t="shared" si="0"/>
        <v>46142</v>
      </c>
      <c r="EC29" s="5">
        <v>46118</v>
      </c>
      <c r="ED29" s="29"/>
      <c r="EE29" s="32">
        <f t="shared" si="48"/>
        <v>1107774.2426865983</v>
      </c>
      <c r="EF29" s="32">
        <v>1933.63</v>
      </c>
      <c r="EG29" s="32">
        <f t="shared" si="60"/>
        <v>16325.652320341003</v>
      </c>
      <c r="EH29" s="32">
        <f t="shared" si="16"/>
        <v>18259.282320341004</v>
      </c>
      <c r="EI29" s="104"/>
      <c r="EJ29" s="87"/>
      <c r="EK29" s="87"/>
      <c r="EL29" s="60"/>
      <c r="EM29" s="60"/>
      <c r="EN29" s="60"/>
      <c r="EQ29" s="5"/>
      <c r="ER29" s="5"/>
      <c r="ES29" s="29"/>
      <c r="ET29" s="32"/>
      <c r="EU29" s="32"/>
      <c r="EV29" s="32"/>
      <c r="EW29" s="32"/>
      <c r="EY29" s="7">
        <v>4</v>
      </c>
      <c r="EZ29" s="5">
        <f t="shared" si="17"/>
        <v>46022</v>
      </c>
      <c r="FA29" s="5">
        <v>46017</v>
      </c>
      <c r="FB29" s="29"/>
      <c r="FC29" s="32">
        <f t="shared" si="49"/>
        <v>2794681.5</v>
      </c>
      <c r="FD29" s="32">
        <v>0</v>
      </c>
      <c r="FE29" s="32">
        <v>18006.37</v>
      </c>
      <c r="FF29" s="32">
        <v>0</v>
      </c>
      <c r="FG29" s="32">
        <f t="shared" si="50"/>
        <v>18006.37</v>
      </c>
      <c r="FI29" s="7">
        <v>4</v>
      </c>
      <c r="FJ29" s="5">
        <f t="shared" si="18"/>
        <v>46112</v>
      </c>
      <c r="FK29" s="5">
        <v>46102</v>
      </c>
      <c r="FL29" s="32"/>
      <c r="FM29" s="32">
        <f t="shared" si="51"/>
        <v>193933.38400000005</v>
      </c>
      <c r="FN29" s="32">
        <v>39312.49</v>
      </c>
      <c r="FO29" s="32">
        <v>2589.41</v>
      </c>
      <c r="FP29" s="32">
        <f t="shared" si="19"/>
        <v>41901.899999999994</v>
      </c>
      <c r="FR29" s="7">
        <v>4</v>
      </c>
      <c r="FS29" s="5">
        <f t="shared" si="20"/>
        <v>46112</v>
      </c>
      <c r="FT29" s="5">
        <v>46102</v>
      </c>
      <c r="FU29" s="32"/>
      <c r="FV29" s="32">
        <f t="shared" si="52"/>
        <v>193933.38400000005</v>
      </c>
      <c r="FW29" s="32">
        <v>39312.49</v>
      </c>
      <c r="FX29" s="32">
        <v>2589.41</v>
      </c>
      <c r="FY29" s="32">
        <f t="shared" si="21"/>
        <v>41901.899999999994</v>
      </c>
      <c r="GA29" s="7">
        <v>4</v>
      </c>
      <c r="GB29" s="5">
        <f t="shared" si="22"/>
        <v>46112</v>
      </c>
      <c r="GC29" s="5">
        <v>46102</v>
      </c>
      <c r="GD29" s="32"/>
      <c r="GE29" s="32">
        <f t="shared" si="53"/>
        <v>193933.38400000005</v>
      </c>
      <c r="GF29" s="32">
        <v>39312.49</v>
      </c>
      <c r="GG29" s="32">
        <v>2589.41</v>
      </c>
      <c r="GH29" s="32">
        <f t="shared" si="23"/>
        <v>41901.899999999994</v>
      </c>
      <c r="GJ29" s="7">
        <v>4</v>
      </c>
      <c r="GK29" s="5">
        <f t="shared" si="24"/>
        <v>46112</v>
      </c>
      <c r="GL29" s="5">
        <v>46102</v>
      </c>
      <c r="GM29" s="32"/>
      <c r="GN29" s="32">
        <f t="shared" si="54"/>
        <v>193933.38400000005</v>
      </c>
      <c r="GO29" s="32">
        <v>39312.49</v>
      </c>
      <c r="GP29" s="32">
        <v>2589.41</v>
      </c>
      <c r="GQ29" s="32">
        <f t="shared" si="25"/>
        <v>41901.899999999994</v>
      </c>
      <c r="GS29" s="7">
        <v>4</v>
      </c>
      <c r="GT29" s="5">
        <f t="shared" si="26"/>
        <v>46112</v>
      </c>
      <c r="GU29" s="5">
        <v>46084</v>
      </c>
      <c r="GV29" s="29"/>
      <c r="GW29" s="32">
        <f t="shared" si="55"/>
        <v>269470.80000000005</v>
      </c>
      <c r="GX29" s="32">
        <v>40480.720000000001</v>
      </c>
      <c r="GY29" s="32">
        <v>3322.26</v>
      </c>
      <c r="GZ29" s="32">
        <f t="shared" si="27"/>
        <v>43802.98</v>
      </c>
      <c r="HB29" s="7">
        <v>4</v>
      </c>
      <c r="HC29" s="5">
        <f t="shared" si="28"/>
        <v>46112</v>
      </c>
      <c r="HD29" s="5">
        <v>46084</v>
      </c>
      <c r="HE29" s="29"/>
      <c r="HF29" s="32">
        <v>269470.80000000005</v>
      </c>
      <c r="HG29" s="32">
        <v>40480.720000000001</v>
      </c>
      <c r="HH29" s="32">
        <v>3322.26</v>
      </c>
      <c r="HI29" s="32">
        <v>43802.98</v>
      </c>
    </row>
    <row r="30" spans="1:217" x14ac:dyDescent="0.35">
      <c r="A30" s="7">
        <v>5</v>
      </c>
      <c r="B30" s="6">
        <f t="shared" si="1"/>
        <v>35</v>
      </c>
      <c r="C30" s="5">
        <f t="shared" si="2"/>
        <v>45900</v>
      </c>
      <c r="D30" s="29"/>
      <c r="E30" s="32">
        <f t="shared" si="29"/>
        <v>58028542.625547126</v>
      </c>
      <c r="F30" s="159">
        <f t="shared" si="30"/>
        <v>440221.6668415959</v>
      </c>
      <c r="G30" s="159">
        <f t="shared" si="31"/>
        <v>2896985.2332307794</v>
      </c>
      <c r="H30" s="32">
        <f t="shared" si="32"/>
        <v>3337206.9000723753</v>
      </c>
      <c r="I30" s="60">
        <f>+F30</f>
        <v>440221.6668415959</v>
      </c>
      <c r="J30" s="60" t="s">
        <v>99</v>
      </c>
      <c r="K30" s="32"/>
      <c r="M30" s="7">
        <v>5</v>
      </c>
      <c r="N30" s="59">
        <f t="shared" si="3"/>
        <v>45991</v>
      </c>
      <c r="O30" s="59">
        <f t="shared" ref="O30:O54" si="61">+DATE(YEAR(O29),MONTH(O29)+3,DAY(O29))</f>
        <v>45976</v>
      </c>
      <c r="P30" s="29"/>
      <c r="Q30" s="32">
        <f t="shared" si="4"/>
        <v>101824947.03098246</v>
      </c>
      <c r="R30" s="63">
        <f>+Q21</f>
        <v>30369494.399999999</v>
      </c>
      <c r="S30" s="32">
        <f t="shared" si="33"/>
        <v>2026981.4352750645</v>
      </c>
      <c r="T30" s="32">
        <f t="shared" si="34"/>
        <v>471550.5461533799</v>
      </c>
      <c r="U30" s="32">
        <f t="shared" si="35"/>
        <v>32868026.381428443</v>
      </c>
      <c r="V30" s="60"/>
      <c r="W30" s="60"/>
      <c r="X30" s="60"/>
      <c r="Y30" s="60"/>
      <c r="Z30" s="60"/>
      <c r="AA30" s="60"/>
      <c r="AC30" s="90">
        <v>5</v>
      </c>
      <c r="AD30" s="5">
        <f t="shared" si="5"/>
        <v>46173</v>
      </c>
      <c r="AE30" s="5">
        <v>46144</v>
      </c>
      <c r="AF30" s="29"/>
      <c r="AG30" s="32">
        <f t="shared" si="36"/>
        <v>1086385.5599999998</v>
      </c>
      <c r="AH30" s="32">
        <f t="shared" si="56"/>
        <v>51840.79</v>
      </c>
      <c r="AI30" s="32">
        <f t="shared" si="37"/>
        <v>15476.716620138888</v>
      </c>
      <c r="AJ30" s="32">
        <f t="shared" si="38"/>
        <v>67317.506620138884</v>
      </c>
      <c r="AK30" s="60"/>
      <c r="AL30" s="87"/>
      <c r="AM30" s="60"/>
      <c r="AN30" s="60"/>
      <c r="AO30" s="60"/>
      <c r="AP30" s="32"/>
      <c r="AR30" s="7">
        <v>5</v>
      </c>
      <c r="AS30" s="5">
        <f t="shared" si="6"/>
        <v>46081</v>
      </c>
      <c r="AT30" s="5">
        <v>46073</v>
      </c>
      <c r="AU30" s="29"/>
      <c r="AV30" s="32">
        <f t="shared" si="57"/>
        <v>15996516.062482124</v>
      </c>
      <c r="AW30" s="32">
        <v>0</v>
      </c>
      <c r="AX30" s="32">
        <f t="shared" si="58"/>
        <v>245279.91295805926</v>
      </c>
      <c r="AY30" s="32">
        <f t="shared" si="7"/>
        <v>245279.91295805926</v>
      </c>
      <c r="AZ30" s="60"/>
      <c r="BA30" s="87"/>
      <c r="BB30" s="87"/>
      <c r="BC30" s="60"/>
      <c r="BD30" s="60"/>
      <c r="BE30" s="60"/>
      <c r="BG30" s="7">
        <v>5</v>
      </c>
      <c r="BH30" s="5">
        <f t="shared" si="8"/>
        <v>46203</v>
      </c>
      <c r="BI30" s="5">
        <v>46193</v>
      </c>
      <c r="BJ30" s="29"/>
      <c r="BK30" s="32">
        <f t="shared" si="59"/>
        <v>42476614.030000001</v>
      </c>
      <c r="BL30" s="32">
        <v>0</v>
      </c>
      <c r="BM30" s="32">
        <f t="shared" si="39"/>
        <v>651308.08179333329</v>
      </c>
      <c r="BN30" s="32">
        <v>82616.23</v>
      </c>
      <c r="BO30" s="32">
        <f t="shared" si="40"/>
        <v>733924.31179333327</v>
      </c>
      <c r="BP30" s="104"/>
      <c r="BQ30" s="87"/>
      <c r="BR30" s="87"/>
      <c r="BS30" s="60"/>
      <c r="BT30" s="60"/>
      <c r="BU30" s="60"/>
      <c r="BW30" s="7">
        <v>5</v>
      </c>
      <c r="BX30" s="5">
        <f t="shared" si="9"/>
        <v>46142</v>
      </c>
      <c r="BY30" s="5">
        <v>46132</v>
      </c>
      <c r="BZ30" s="29"/>
      <c r="CA30" s="32">
        <f t="shared" si="41"/>
        <v>866047.03845143807</v>
      </c>
      <c r="CB30" s="32">
        <v>57736.470062537075</v>
      </c>
      <c r="CC30" s="32">
        <v>2821.4284698866022</v>
      </c>
      <c r="CD30" s="32">
        <f t="shared" si="42"/>
        <v>13856.752627709628</v>
      </c>
      <c r="CE30" s="32">
        <v>1642.8394559018825</v>
      </c>
      <c r="CF30" s="32">
        <f t="shared" si="43"/>
        <v>76057.490616035182</v>
      </c>
      <c r="CG30" s="104"/>
      <c r="CH30" s="87"/>
      <c r="CI30" s="87"/>
      <c r="CJ30" s="60"/>
      <c r="CK30" s="60"/>
      <c r="CL30" s="60"/>
      <c r="CN30" s="7">
        <v>5</v>
      </c>
      <c r="CO30" s="5">
        <f t="shared" si="10"/>
        <v>46203</v>
      </c>
      <c r="CP30" s="5">
        <v>46187</v>
      </c>
      <c r="CQ30" s="29"/>
      <c r="CR30" s="32">
        <f t="shared" si="44"/>
        <v>1356132.27</v>
      </c>
      <c r="CS30" s="32">
        <v>104317.86</v>
      </c>
      <c r="CT30" s="32">
        <v>19194.487926666658</v>
      </c>
      <c r="CU30" s="32">
        <f t="shared" si="11"/>
        <v>123512.34792666665</v>
      </c>
      <c r="CW30" s="7">
        <v>5</v>
      </c>
      <c r="CX30" s="5">
        <f t="shared" si="12"/>
        <v>46022</v>
      </c>
      <c r="CY30" s="5">
        <v>46001</v>
      </c>
      <c r="CZ30" s="29"/>
      <c r="DA30" s="32">
        <f t="shared" si="45"/>
        <v>24265004.6488031</v>
      </c>
      <c r="DB30" s="32">
        <v>349011.21</v>
      </c>
      <c r="DC30" s="32">
        <f t="shared" si="46"/>
        <v>123070.07929401551</v>
      </c>
      <c r="DD30" s="32">
        <f t="shared" si="13"/>
        <v>472081.2892940155</v>
      </c>
      <c r="DE30" s="104"/>
      <c r="DF30" s="87"/>
      <c r="DG30" s="87"/>
      <c r="DH30" s="60"/>
      <c r="DI30" s="60"/>
      <c r="DJ30" s="60"/>
      <c r="DL30" s="7">
        <v>5</v>
      </c>
      <c r="DM30" s="5">
        <f t="shared" si="14"/>
        <v>46203</v>
      </c>
      <c r="DN30" s="5">
        <v>46198</v>
      </c>
      <c r="DO30" s="29"/>
      <c r="DP30" s="32">
        <f t="shared" si="47"/>
        <v>9087144.3588674609</v>
      </c>
      <c r="DQ30" s="32">
        <v>14905.62</v>
      </c>
      <c r="DR30" s="32">
        <v>133446.17000000001</v>
      </c>
      <c r="DS30" s="32">
        <f t="shared" si="15"/>
        <v>148351.79</v>
      </c>
      <c r="DT30" s="104"/>
      <c r="DU30" s="87"/>
      <c r="DV30" s="87"/>
      <c r="DW30" s="60"/>
      <c r="DX30" s="60"/>
      <c r="DY30" s="60"/>
      <c r="DZ30" s="64"/>
      <c r="EA30" s="7">
        <v>5</v>
      </c>
      <c r="EB30" s="5">
        <f t="shared" si="0"/>
        <v>46234</v>
      </c>
      <c r="EC30" s="5">
        <v>46209</v>
      </c>
      <c r="ED30" s="29"/>
      <c r="EE30" s="32">
        <f t="shared" si="48"/>
        <v>1105840.5926865984</v>
      </c>
      <c r="EF30" s="32">
        <v>1933.65</v>
      </c>
      <c r="EG30" s="32">
        <f t="shared" si="60"/>
        <v>16297.205400324339</v>
      </c>
      <c r="EH30" s="32">
        <f t="shared" si="16"/>
        <v>18230.855400324341</v>
      </c>
      <c r="EI30" s="104"/>
      <c r="EJ30" s="87"/>
      <c r="EK30" s="87"/>
      <c r="EL30" s="60"/>
      <c r="EM30" s="60"/>
      <c r="EN30" s="60"/>
      <c r="EQ30" s="5"/>
      <c r="ER30" s="5"/>
      <c r="ES30" s="29"/>
      <c r="ET30" s="32"/>
      <c r="EU30" s="32"/>
      <c r="EV30" s="32"/>
      <c r="EW30" s="32"/>
      <c r="EY30" s="7">
        <v>5</v>
      </c>
      <c r="EZ30" s="5">
        <f t="shared" si="17"/>
        <v>46112</v>
      </c>
      <c r="FA30" s="5">
        <v>46107</v>
      </c>
      <c r="FB30" s="29"/>
      <c r="FC30" s="32">
        <f t="shared" si="49"/>
        <v>2789681.47</v>
      </c>
      <c r="FD30" s="32">
        <v>5000.03</v>
      </c>
      <c r="FE30" s="32">
        <v>18235.060000000001</v>
      </c>
      <c r="FF30" s="32"/>
      <c r="FG30" s="32">
        <f t="shared" si="50"/>
        <v>23235.09</v>
      </c>
      <c r="FI30" s="7">
        <v>5</v>
      </c>
      <c r="FJ30" s="5">
        <f t="shared" si="18"/>
        <v>46203</v>
      </c>
      <c r="FK30" s="5">
        <v>46192</v>
      </c>
      <c r="FL30" s="32"/>
      <c r="FM30" s="32">
        <f t="shared" si="51"/>
        <v>153785.50400000004</v>
      </c>
      <c r="FN30" s="32">
        <v>40147.879999999997</v>
      </c>
      <c r="FO30" s="32">
        <v>1999.73</v>
      </c>
      <c r="FP30" s="32">
        <f t="shared" si="19"/>
        <v>42147.61</v>
      </c>
      <c r="FR30" s="7">
        <v>5</v>
      </c>
      <c r="FS30" s="5">
        <f t="shared" si="20"/>
        <v>46203</v>
      </c>
      <c r="FT30" s="5">
        <v>46192</v>
      </c>
      <c r="FU30" s="32"/>
      <c r="FV30" s="32">
        <f t="shared" si="52"/>
        <v>153785.50400000004</v>
      </c>
      <c r="FW30" s="32">
        <v>40147.879999999997</v>
      </c>
      <c r="FX30" s="32">
        <v>1999.73</v>
      </c>
      <c r="FY30" s="32">
        <f t="shared" si="21"/>
        <v>42147.61</v>
      </c>
      <c r="GA30" s="7">
        <v>5</v>
      </c>
      <c r="GB30" s="5">
        <f t="shared" si="22"/>
        <v>46203</v>
      </c>
      <c r="GC30" s="5">
        <v>46192</v>
      </c>
      <c r="GD30" s="32"/>
      <c r="GE30" s="32">
        <f t="shared" si="53"/>
        <v>153785.50400000004</v>
      </c>
      <c r="GF30" s="32">
        <v>40147.879999999997</v>
      </c>
      <c r="GG30" s="32">
        <v>1999.73</v>
      </c>
      <c r="GH30" s="32">
        <f t="shared" si="23"/>
        <v>42147.61</v>
      </c>
      <c r="GJ30" s="7">
        <v>5</v>
      </c>
      <c r="GK30" s="5">
        <f t="shared" si="24"/>
        <v>46203</v>
      </c>
      <c r="GL30" s="5">
        <v>46192</v>
      </c>
      <c r="GM30" s="32"/>
      <c r="GN30" s="32">
        <f t="shared" si="54"/>
        <v>153785.50400000004</v>
      </c>
      <c r="GO30" s="32">
        <v>40147.879999999997</v>
      </c>
      <c r="GP30" s="32">
        <v>1999.73</v>
      </c>
      <c r="GQ30" s="32">
        <f t="shared" si="25"/>
        <v>42147.61</v>
      </c>
      <c r="GS30" s="7">
        <v>5</v>
      </c>
      <c r="GT30" s="5">
        <f t="shared" si="26"/>
        <v>46203</v>
      </c>
      <c r="GU30" s="5">
        <v>46174</v>
      </c>
      <c r="GV30" s="29"/>
      <c r="GW30" s="32">
        <f t="shared" si="55"/>
        <v>228129.86000000004</v>
      </c>
      <c r="GX30" s="32">
        <v>41340.94</v>
      </c>
      <c r="GY30" s="32">
        <v>2715.05</v>
      </c>
      <c r="GZ30" s="32">
        <f t="shared" si="27"/>
        <v>44055.990000000005</v>
      </c>
      <c r="HB30" s="7">
        <v>5</v>
      </c>
      <c r="HC30" s="5">
        <f t="shared" si="28"/>
        <v>46203</v>
      </c>
      <c r="HD30" s="5">
        <v>46174</v>
      </c>
      <c r="HE30" s="29"/>
      <c r="HF30" s="32">
        <v>228129.86000000004</v>
      </c>
      <c r="HG30" s="32">
        <v>41340.94</v>
      </c>
      <c r="HH30" s="32">
        <v>2715.05</v>
      </c>
      <c r="HI30" s="32">
        <v>44055.990000000005</v>
      </c>
    </row>
    <row r="31" spans="1:217" x14ac:dyDescent="0.35">
      <c r="A31" s="7">
        <v>6</v>
      </c>
      <c r="B31" s="6">
        <f t="shared" si="1"/>
        <v>40</v>
      </c>
      <c r="C31" s="5">
        <f t="shared" si="2"/>
        <v>45930</v>
      </c>
      <c r="D31" s="29"/>
      <c r="E31" s="32">
        <f t="shared" si="29"/>
        <v>57451130.21554713</v>
      </c>
      <c r="F31" s="159">
        <f t="shared" si="30"/>
        <v>577412.41</v>
      </c>
      <c r="G31" s="159">
        <f t="shared" si="31"/>
        <v>1226310.7364521497</v>
      </c>
      <c r="H31" s="32">
        <f t="shared" si="32"/>
        <v>1803723.1464521498</v>
      </c>
      <c r="I31" s="60"/>
      <c r="J31" s="60"/>
      <c r="K31" s="32"/>
      <c r="M31" s="7">
        <v>6</v>
      </c>
      <c r="N31" s="59">
        <f t="shared" si="3"/>
        <v>46081</v>
      </c>
      <c r="O31" s="59">
        <f t="shared" si="61"/>
        <v>46068</v>
      </c>
      <c r="P31" s="29"/>
      <c r="Q31" s="32">
        <f t="shared" si="4"/>
        <v>97751949.14974317</v>
      </c>
      <c r="R31" s="32">
        <f t="shared" ref="R31:R55" si="62">+$Q$30/25</f>
        <v>4072997.8812392987</v>
      </c>
      <c r="S31" s="32">
        <f t="shared" si="33"/>
        <v>1561315.8544750644</v>
      </c>
      <c r="T31" s="32">
        <f t="shared" si="34"/>
        <v>471550.5461533799</v>
      </c>
      <c r="U31" s="158">
        <f t="shared" si="35"/>
        <v>6105864.2818677425</v>
      </c>
      <c r="V31" s="60"/>
      <c r="W31" s="60"/>
      <c r="X31" s="60"/>
      <c r="Y31" s="60"/>
      <c r="Z31" s="60"/>
      <c r="AA31" s="60"/>
      <c r="AC31" s="90">
        <v>6</v>
      </c>
      <c r="AD31" s="5">
        <f t="shared" si="5"/>
        <v>46265</v>
      </c>
      <c r="AE31" s="5">
        <v>46236</v>
      </c>
      <c r="AF31" s="29"/>
      <c r="AG31" s="32">
        <f t="shared" si="36"/>
        <v>1034544.7699999998</v>
      </c>
      <c r="AH31" s="32">
        <f t="shared" si="56"/>
        <v>51840.79</v>
      </c>
      <c r="AI31" s="32">
        <f t="shared" si="37"/>
        <v>15269.752593333331</v>
      </c>
      <c r="AJ31" s="32">
        <f t="shared" si="38"/>
        <v>67110.542593333332</v>
      </c>
      <c r="AK31" s="60"/>
      <c r="AL31" s="87"/>
      <c r="AM31" s="60"/>
      <c r="AN31" s="60"/>
      <c r="AO31" s="60"/>
      <c r="AP31" s="32"/>
      <c r="AR31" s="7">
        <v>6</v>
      </c>
      <c r="AS31" s="5">
        <f t="shared" si="6"/>
        <v>46173</v>
      </c>
      <c r="AT31" s="5">
        <v>46162</v>
      </c>
      <c r="AU31" s="29"/>
      <c r="AV31" s="32">
        <f t="shared" si="57"/>
        <v>15996516.062482124</v>
      </c>
      <c r="AW31" s="32">
        <v>0</v>
      </c>
      <c r="AX31" s="32">
        <f t="shared" si="58"/>
        <v>237281.65492681818</v>
      </c>
      <c r="AY31" s="32">
        <f t="shared" si="7"/>
        <v>237281.65492681818</v>
      </c>
      <c r="AZ31" s="60"/>
      <c r="BA31" s="87"/>
      <c r="BB31" s="87"/>
      <c r="BC31" s="60"/>
      <c r="BD31" s="60"/>
      <c r="BE31" s="60"/>
      <c r="BG31" s="7">
        <v>6</v>
      </c>
      <c r="BH31" s="5">
        <f t="shared" si="8"/>
        <v>46295</v>
      </c>
      <c r="BI31" s="5">
        <v>46285</v>
      </c>
      <c r="BJ31" s="29"/>
      <c r="BK31" s="32">
        <f t="shared" si="59"/>
        <v>38228952.627000004</v>
      </c>
      <c r="BL31" s="32">
        <f>+BK28/10</f>
        <v>4247661.4029999999</v>
      </c>
      <c r="BM31" s="32">
        <f t="shared" si="39"/>
        <v>651308.08179333329</v>
      </c>
      <c r="BN31" s="32">
        <v>82616.23</v>
      </c>
      <c r="BO31" s="158">
        <f t="shared" si="40"/>
        <v>4981585.7147933338</v>
      </c>
      <c r="BP31" s="104"/>
      <c r="BQ31" s="87"/>
      <c r="BR31" s="87"/>
      <c r="BS31" s="60"/>
      <c r="BT31" s="60"/>
      <c r="BU31" s="60"/>
      <c r="BW31" s="7">
        <v>6</v>
      </c>
      <c r="BX31" s="5">
        <f t="shared" si="9"/>
        <v>46234</v>
      </c>
      <c r="BY31" s="5">
        <v>46223</v>
      </c>
      <c r="BZ31" s="29"/>
      <c r="CA31" s="32">
        <f t="shared" si="41"/>
        <v>808310.56838890095</v>
      </c>
      <c r="CB31" s="32">
        <v>57736.470062537075</v>
      </c>
      <c r="CC31" s="32">
        <v>2821.4284698866022</v>
      </c>
      <c r="CD31" s="32">
        <f t="shared" si="42"/>
        <v>13135.04674984681</v>
      </c>
      <c r="CE31" s="32">
        <v>1642.8394559018825</v>
      </c>
      <c r="CF31" s="32">
        <f t="shared" si="43"/>
        <v>75335.78473817237</v>
      </c>
      <c r="CG31" s="104"/>
      <c r="CH31" s="87"/>
      <c r="CI31" s="87"/>
      <c r="CJ31" s="60"/>
      <c r="CK31" s="60"/>
      <c r="CL31" s="60"/>
      <c r="CN31" s="7">
        <v>6</v>
      </c>
      <c r="CO31" s="5">
        <f t="shared" si="10"/>
        <v>46295</v>
      </c>
      <c r="CP31" s="5">
        <v>46279</v>
      </c>
      <c r="CQ31" s="29"/>
      <c r="CR31" s="32">
        <f t="shared" si="44"/>
        <v>1251814.4099999999</v>
      </c>
      <c r="CS31" s="32">
        <v>104317.86</v>
      </c>
      <c r="CT31" s="32">
        <v>17594.947406666655</v>
      </c>
      <c r="CU31" s="32">
        <f t="shared" si="11"/>
        <v>121912.80740666666</v>
      </c>
      <c r="CW31" s="7">
        <v>6</v>
      </c>
      <c r="CX31" s="5">
        <f t="shared" si="12"/>
        <v>46053</v>
      </c>
      <c r="CY31" s="5">
        <v>46032</v>
      </c>
      <c r="CZ31" s="29"/>
      <c r="DA31" s="32">
        <f t="shared" si="45"/>
        <v>23915993.438803099</v>
      </c>
      <c r="DB31" s="32">
        <v>349011.21</v>
      </c>
      <c r="DC31" s="32">
        <f t="shared" si="46"/>
        <v>125369.1906854827</v>
      </c>
      <c r="DD31" s="32">
        <f t="shared" si="13"/>
        <v>474380.40068548272</v>
      </c>
      <c r="DE31" s="104"/>
      <c r="DF31" s="87"/>
      <c r="DG31" s="87"/>
      <c r="DH31" s="60"/>
      <c r="DI31" s="60"/>
      <c r="DJ31" s="60"/>
      <c r="DL31" s="7">
        <v>6</v>
      </c>
      <c r="DM31" s="5">
        <f t="shared" si="14"/>
        <v>46295</v>
      </c>
      <c r="DN31" s="5">
        <v>46289</v>
      </c>
      <c r="DO31" s="29"/>
      <c r="DP31" s="32">
        <f t="shared" si="47"/>
        <v>8803171.0988674611</v>
      </c>
      <c r="DQ31" s="32">
        <v>283973.26</v>
      </c>
      <c r="DR31" s="32">
        <v>133227.63</v>
      </c>
      <c r="DS31" s="32">
        <f t="shared" si="15"/>
        <v>417200.89</v>
      </c>
      <c r="DT31" s="104"/>
      <c r="DU31" s="87"/>
      <c r="DV31" s="87"/>
      <c r="DW31" s="60"/>
      <c r="DX31" s="60"/>
      <c r="DY31" s="60"/>
      <c r="DZ31" s="64"/>
      <c r="EA31" s="7">
        <v>6</v>
      </c>
      <c r="EB31" s="5">
        <f t="shared" si="0"/>
        <v>46326</v>
      </c>
      <c r="EC31" s="5">
        <v>46300</v>
      </c>
      <c r="ED31" s="29"/>
      <c r="EE31" s="32">
        <f t="shared" si="48"/>
        <v>1066346.2826865984</v>
      </c>
      <c r="EF31" s="32">
        <v>39494.31</v>
      </c>
      <c r="EG31" s="32">
        <f t="shared" si="60"/>
        <v>16268.758186074341</v>
      </c>
      <c r="EH31" s="32">
        <f t="shared" si="16"/>
        <v>55763.068186074335</v>
      </c>
      <c r="EI31" s="104"/>
      <c r="EJ31" s="87"/>
      <c r="EK31" s="87"/>
      <c r="EL31" s="60"/>
      <c r="EM31" s="60"/>
      <c r="EN31" s="60"/>
      <c r="EQ31" s="5"/>
      <c r="ER31" s="5"/>
      <c r="ES31" s="29"/>
      <c r="ET31" s="32"/>
      <c r="EU31" s="32"/>
      <c r="EV31" s="32"/>
      <c r="EW31" s="32"/>
      <c r="EY31" s="7">
        <v>6</v>
      </c>
      <c r="EZ31" s="5">
        <f t="shared" si="17"/>
        <v>46203</v>
      </c>
      <c r="FA31" s="5">
        <v>46198</v>
      </c>
      <c r="FB31" s="29"/>
      <c r="FC31" s="32">
        <f t="shared" si="49"/>
        <v>2784681.47</v>
      </c>
      <c r="FD31" s="32">
        <v>5000</v>
      </c>
      <c r="FE31" s="32">
        <v>18355.080000000002</v>
      </c>
      <c r="FF31" s="32"/>
      <c r="FG31" s="32">
        <f t="shared" si="50"/>
        <v>23355.08</v>
      </c>
      <c r="FI31" s="7">
        <v>6</v>
      </c>
      <c r="FJ31" s="5">
        <f t="shared" si="18"/>
        <v>46295</v>
      </c>
      <c r="FK31" s="5">
        <v>46282</v>
      </c>
      <c r="FL31" s="32"/>
      <c r="FM31" s="32">
        <f t="shared" si="51"/>
        <v>112784.48400000005</v>
      </c>
      <c r="FN31" s="32">
        <v>41001.019999999997</v>
      </c>
      <c r="FO31" s="32">
        <v>1397.51</v>
      </c>
      <c r="FP31" s="32">
        <f t="shared" si="19"/>
        <v>42398.53</v>
      </c>
      <c r="FR31" s="7">
        <v>6</v>
      </c>
      <c r="FS31" s="5">
        <f t="shared" si="20"/>
        <v>46295</v>
      </c>
      <c r="FT31" s="5">
        <v>46282</v>
      </c>
      <c r="FU31" s="32"/>
      <c r="FV31" s="32">
        <f t="shared" si="52"/>
        <v>112784.48400000005</v>
      </c>
      <c r="FW31" s="32">
        <v>41001.019999999997</v>
      </c>
      <c r="FX31" s="32">
        <v>1397.51</v>
      </c>
      <c r="FY31" s="32">
        <f t="shared" si="21"/>
        <v>42398.53</v>
      </c>
      <c r="GA31" s="7">
        <v>6</v>
      </c>
      <c r="GB31" s="5">
        <f t="shared" si="22"/>
        <v>46295</v>
      </c>
      <c r="GC31" s="5">
        <v>46282</v>
      </c>
      <c r="GD31" s="32"/>
      <c r="GE31" s="32">
        <f t="shared" si="53"/>
        <v>112784.48400000005</v>
      </c>
      <c r="GF31" s="32">
        <v>41001.019999999997</v>
      </c>
      <c r="GG31" s="32">
        <v>1397.51</v>
      </c>
      <c r="GH31" s="32">
        <f t="shared" si="23"/>
        <v>42398.53</v>
      </c>
      <c r="GJ31" s="7">
        <v>6</v>
      </c>
      <c r="GK31" s="5">
        <f t="shared" si="24"/>
        <v>46295</v>
      </c>
      <c r="GL31" s="5">
        <v>46282</v>
      </c>
      <c r="GM31" s="32"/>
      <c r="GN31" s="32">
        <f t="shared" si="54"/>
        <v>112784.48400000005</v>
      </c>
      <c r="GO31" s="32">
        <v>41001.019999999997</v>
      </c>
      <c r="GP31" s="32">
        <v>1397.51</v>
      </c>
      <c r="GQ31" s="32">
        <f t="shared" si="25"/>
        <v>42398.53</v>
      </c>
      <c r="GS31" s="7">
        <v>6</v>
      </c>
      <c r="GT31" s="5">
        <f t="shared" si="26"/>
        <v>46265</v>
      </c>
      <c r="GU31" s="5">
        <v>46264</v>
      </c>
      <c r="GV31" s="29"/>
      <c r="GW31" s="32">
        <f t="shared" si="55"/>
        <v>185910.43000000005</v>
      </c>
      <c r="GX31" s="32">
        <v>42219.43</v>
      </c>
      <c r="GY31" s="32">
        <v>2094.94</v>
      </c>
      <c r="GZ31" s="32">
        <f t="shared" si="27"/>
        <v>44314.37</v>
      </c>
      <c r="HB31" s="7">
        <v>6</v>
      </c>
      <c r="HC31" s="5">
        <f t="shared" si="28"/>
        <v>46265</v>
      </c>
      <c r="HD31" s="5">
        <v>46264</v>
      </c>
      <c r="HE31" s="29"/>
      <c r="HF31" s="32">
        <v>185910.43000000005</v>
      </c>
      <c r="HG31" s="32">
        <v>42219.43</v>
      </c>
      <c r="HH31" s="32">
        <v>2094.94</v>
      </c>
      <c r="HI31" s="32">
        <v>44314.37</v>
      </c>
    </row>
    <row r="32" spans="1:217" x14ac:dyDescent="0.35">
      <c r="A32" s="7">
        <v>7</v>
      </c>
      <c r="B32" s="6">
        <f t="shared" si="1"/>
        <v>40</v>
      </c>
      <c r="C32" s="5">
        <f>+C31+1</f>
        <v>45931</v>
      </c>
      <c r="D32" s="29"/>
      <c r="E32" s="32">
        <f t="shared" si="29"/>
        <v>57451130.21554713</v>
      </c>
      <c r="F32" s="32">
        <f t="shared" ref="F32" si="63">+SUMIF(O:O,C32,R:R)+SUMIF(AE:AE,C32,AH:AH)+SUMIF(AT:AT,C32,AW:AW)+SUMIF(BI:BI,C32,BL:BL)+SUMIF(BY:BY,C32,CB:CB)+SUMIF(BY:BY,C32,CC:CC)+SUMIF(CP:CP,C32,CS:CS)+SUMIF(CY:CY,C32,DB:DB)+SUMIF(DN:DN,C32,DQ:DQ)+SUMIF(EC:EC,C32,EF:EF)+SUMIF(ER:ER,C32,EU:EU)+SUMIF(FA:FA,C32,FD:FD)+SUMIF(FK:FK,C32,FN:FN)+SUMIF(FT:FT,C32,FW:FW)+SUMIF(GC:GC,C32,GF:GF)+SUMIF(GL:GL,C32,GO:GO)+SUMIF(GU:GU,C32,GX:GX)+SUMIF(HD:HD,C32,HG:HG)</f>
        <v>0</v>
      </c>
      <c r="G32" s="32">
        <f t="shared" ref="G32" si="64">+SUMIF(O:O,C32,T:T)+SUMIF(O:O,C32,S:S)+SUMIF(AE:AE,C32,AI:AI)+SUMIF(AT:AT,C32,AX:AX)+SUMIF(BI:BI,C32,BN:BN)+SUMIF(BI:BI,C32,BM:BM)+SUMIF(BY:BY,C32,CD:CD)+SUMIF(BY:BY,C32,CE:CE)+SUMIF(CP:CP,C32,CT:CT)+SUMIF(CY:CY,C32,DC:DC)+SUMIF(DN:DN,C32,DR:DR)+SUMIF(EC:EC,C32,EG:EG)+SUMIF(ER:ER,C32,EV:EV)+SUMIF(FA:FA,C32,FE:FE)+SUMIF(FK:FK,C32,FO:FO)+SUMIF(FT:FT,C32,FX:FX)+SUMIF(GC:GC,C32,GG:GG)+SUMIF(GL:GL,C32,GP:GP)+SUMIF(GU:GU,C32,GY:GY)+SUMIF(HD:HD,C32,HH:HH)</f>
        <v>0</v>
      </c>
      <c r="H32" s="32">
        <f t="shared" si="32"/>
        <v>0</v>
      </c>
      <c r="I32" s="60"/>
      <c r="J32" s="60"/>
      <c r="K32" s="32"/>
      <c r="M32" s="7">
        <v>7</v>
      </c>
      <c r="N32" s="59">
        <f t="shared" si="3"/>
        <v>46173</v>
      </c>
      <c r="O32" s="59">
        <f t="shared" si="61"/>
        <v>46157</v>
      </c>
      <c r="P32" s="29"/>
      <c r="Q32" s="32">
        <f t="shared" si="4"/>
        <v>93678951.268503875</v>
      </c>
      <c r="R32" s="32">
        <f t="shared" si="62"/>
        <v>4072997.8812392987</v>
      </c>
      <c r="S32" s="32">
        <f t="shared" si="33"/>
        <v>1449987.2457211902</v>
      </c>
      <c r="T32" s="32">
        <f t="shared" si="34"/>
        <v>471550.5461533799</v>
      </c>
      <c r="U32" s="158">
        <f t="shared" si="35"/>
        <v>5994535.6731138686</v>
      </c>
      <c r="V32" s="60"/>
      <c r="W32" s="60"/>
      <c r="X32" s="60"/>
      <c r="Y32" s="60"/>
      <c r="Z32" s="60"/>
      <c r="AA32" s="60"/>
      <c r="AC32" s="90">
        <v>7</v>
      </c>
      <c r="AD32" s="5">
        <f t="shared" si="5"/>
        <v>46356</v>
      </c>
      <c r="AE32" s="5">
        <v>46328</v>
      </c>
      <c r="AF32" s="29"/>
      <c r="AG32" s="32">
        <f t="shared" si="36"/>
        <v>982703.97999999975</v>
      </c>
      <c r="AH32" s="32">
        <f t="shared" si="56"/>
        <v>51840.79</v>
      </c>
      <c r="AI32" s="32">
        <f t="shared" si="37"/>
        <v>14541.101489444442</v>
      </c>
      <c r="AJ32" s="32">
        <f t="shared" si="38"/>
        <v>66381.891489444446</v>
      </c>
      <c r="AK32" s="60"/>
      <c r="AL32" s="87"/>
      <c r="AM32" s="60"/>
      <c r="AN32" s="60"/>
      <c r="AO32" s="60"/>
      <c r="AP32" s="32"/>
      <c r="AR32" s="7">
        <v>7</v>
      </c>
      <c r="AS32" s="5">
        <f t="shared" si="6"/>
        <v>46265</v>
      </c>
      <c r="AT32" s="5">
        <v>46254</v>
      </c>
      <c r="AU32" s="29"/>
      <c r="AV32" s="32">
        <f t="shared" si="57"/>
        <v>15471468.597782588</v>
      </c>
      <c r="AW32" s="32">
        <v>525047.46469953598</v>
      </c>
      <c r="AX32" s="32">
        <f t="shared" si="58"/>
        <v>245279.91295805926</v>
      </c>
      <c r="AY32" s="32">
        <f t="shared" si="7"/>
        <v>770327.37765759521</v>
      </c>
      <c r="AZ32" s="60"/>
      <c r="BA32" s="87"/>
      <c r="BB32" s="87"/>
      <c r="BC32" s="60"/>
      <c r="BD32" s="60"/>
      <c r="BE32" s="60"/>
      <c r="BG32" s="7">
        <v>7</v>
      </c>
      <c r="BH32" s="5">
        <f t="shared" si="8"/>
        <v>46387</v>
      </c>
      <c r="BI32" s="5">
        <v>46376</v>
      </c>
      <c r="BJ32" s="29"/>
      <c r="BK32" s="32">
        <f t="shared" si="59"/>
        <v>33981291.224000007</v>
      </c>
      <c r="BL32" s="32">
        <f>+BL31</f>
        <v>4247661.4029999999</v>
      </c>
      <c r="BM32" s="32">
        <f t="shared" si="39"/>
        <v>579805.78150950011</v>
      </c>
      <c r="BN32" s="32">
        <v>82616.23</v>
      </c>
      <c r="BO32" s="158">
        <f t="shared" si="40"/>
        <v>4910083.4145095004</v>
      </c>
      <c r="BP32" s="104"/>
      <c r="BQ32" s="87"/>
      <c r="BR32" s="87"/>
      <c r="BS32" s="60"/>
      <c r="BT32" s="60"/>
      <c r="BU32" s="60"/>
      <c r="BW32" s="7">
        <v>7</v>
      </c>
      <c r="BX32" s="5">
        <f t="shared" si="9"/>
        <v>46326</v>
      </c>
      <c r="BY32" s="5">
        <v>46315</v>
      </c>
      <c r="BZ32" s="29"/>
      <c r="CA32" s="32">
        <f t="shared" si="41"/>
        <v>750574.09832636383</v>
      </c>
      <c r="CB32" s="32">
        <v>57736.470062537075</v>
      </c>
      <c r="CC32" s="32">
        <v>2821.4284698866022</v>
      </c>
      <c r="CD32" s="32">
        <f t="shared" si="42"/>
        <v>12394.095381963147</v>
      </c>
      <c r="CE32" s="32">
        <v>1642.8394559018825</v>
      </c>
      <c r="CF32" s="32">
        <f t="shared" si="43"/>
        <v>74594.833370288703</v>
      </c>
      <c r="CG32" s="104"/>
      <c r="CH32" s="87"/>
      <c r="CI32" s="87"/>
      <c r="CJ32" s="60"/>
      <c r="CK32" s="60"/>
      <c r="CL32" s="60"/>
      <c r="CN32" s="7">
        <v>7</v>
      </c>
      <c r="CO32" s="5">
        <f t="shared" si="10"/>
        <v>46387</v>
      </c>
      <c r="CP32" s="5">
        <v>46370</v>
      </c>
      <c r="CQ32" s="29"/>
      <c r="CR32" s="32">
        <f t="shared" si="44"/>
        <v>1147496.5499999998</v>
      </c>
      <c r="CS32" s="32">
        <v>104317.86</v>
      </c>
      <c r="CT32" s="32">
        <v>15821.543768333322</v>
      </c>
      <c r="CU32" s="32">
        <f t="shared" si="11"/>
        <v>120139.40376833332</v>
      </c>
      <c r="CW32" s="7">
        <v>7</v>
      </c>
      <c r="CX32" s="5">
        <f t="shared" si="12"/>
        <v>46081</v>
      </c>
      <c r="CY32" s="5">
        <v>46063</v>
      </c>
      <c r="CZ32" s="29"/>
      <c r="DA32" s="32">
        <f t="shared" si="45"/>
        <v>23566982.228803098</v>
      </c>
      <c r="DB32" s="32">
        <v>349011.21</v>
      </c>
      <c r="DC32" s="32">
        <f t="shared" si="46"/>
        <v>123565.96610048266</v>
      </c>
      <c r="DD32" s="32">
        <f t="shared" si="13"/>
        <v>472577.1761004827</v>
      </c>
      <c r="DE32" s="104"/>
      <c r="DF32" s="87"/>
      <c r="DG32" s="87"/>
      <c r="DH32" s="60"/>
      <c r="DI32" s="60"/>
      <c r="DJ32" s="60"/>
      <c r="DL32" s="7">
        <v>7</v>
      </c>
      <c r="DM32" s="5">
        <f t="shared" si="14"/>
        <v>46387</v>
      </c>
      <c r="DN32" s="5">
        <v>46380</v>
      </c>
      <c r="DO32" s="29"/>
      <c r="DP32" s="32">
        <f t="shared" si="47"/>
        <v>8519197.8388674613</v>
      </c>
      <c r="DQ32" s="32">
        <v>283973.26</v>
      </c>
      <c r="DR32" s="32">
        <v>129064.27000000002</v>
      </c>
      <c r="DS32" s="32">
        <f t="shared" si="15"/>
        <v>413037.53</v>
      </c>
      <c r="DT32" s="104"/>
      <c r="DU32" s="87"/>
      <c r="DV32" s="87"/>
      <c r="DW32" s="60"/>
      <c r="DX32" s="60"/>
      <c r="DY32" s="60"/>
      <c r="DZ32" s="64"/>
      <c r="EA32" s="7">
        <v>7</v>
      </c>
      <c r="EB32" s="5">
        <f t="shared" si="0"/>
        <v>46418</v>
      </c>
      <c r="EC32" s="5">
        <v>46392</v>
      </c>
      <c r="ED32" s="29"/>
      <c r="EE32" s="32">
        <f t="shared" si="48"/>
        <v>1026851.9726865983</v>
      </c>
      <c r="EF32" s="32">
        <v>39494.31</v>
      </c>
      <c r="EG32" s="32">
        <f t="shared" si="60"/>
        <v>15860.123711158674</v>
      </c>
      <c r="EH32" s="32">
        <f t="shared" si="16"/>
        <v>55354.433711158672</v>
      </c>
      <c r="EI32" s="104"/>
      <c r="EJ32" s="87"/>
      <c r="EK32" s="87"/>
      <c r="EL32" s="60"/>
      <c r="EM32" s="60"/>
      <c r="EN32" s="60"/>
      <c r="EQ32" s="5"/>
      <c r="ER32" s="5"/>
      <c r="ES32" s="29"/>
      <c r="ET32" s="32"/>
      <c r="EU32" s="32"/>
      <c r="EV32" s="32"/>
      <c r="EW32" s="32"/>
      <c r="EY32" s="7">
        <v>7</v>
      </c>
      <c r="EZ32" s="5">
        <f t="shared" si="17"/>
        <v>46295</v>
      </c>
      <c r="FA32" s="5">
        <v>46289</v>
      </c>
      <c r="FB32" s="29"/>
      <c r="FC32" s="32">
        <f t="shared" si="49"/>
        <v>2744464.62</v>
      </c>
      <c r="FD32" s="32">
        <v>40216.85</v>
      </c>
      <c r="FE32" s="32">
        <v>18279.37</v>
      </c>
      <c r="FF32" s="32"/>
      <c r="FG32" s="32">
        <f t="shared" si="50"/>
        <v>58496.22</v>
      </c>
      <c r="FI32" s="7">
        <v>7</v>
      </c>
      <c r="FJ32" s="5">
        <f t="shared" si="18"/>
        <v>46387</v>
      </c>
      <c r="FK32" s="5">
        <v>46372</v>
      </c>
      <c r="FL32" s="32"/>
      <c r="FM32" s="32">
        <f t="shared" si="51"/>
        <v>70912.10400000005</v>
      </c>
      <c r="FN32" s="32">
        <v>41872.379999999997</v>
      </c>
      <c r="FO32" s="32">
        <v>782.49</v>
      </c>
      <c r="FP32" s="32">
        <f t="shared" si="19"/>
        <v>42654.869999999995</v>
      </c>
      <c r="FR32" s="7">
        <v>7</v>
      </c>
      <c r="FS32" s="5">
        <f t="shared" si="20"/>
        <v>46387</v>
      </c>
      <c r="FT32" s="5">
        <v>46372</v>
      </c>
      <c r="FU32" s="32"/>
      <c r="FV32" s="32">
        <f t="shared" si="52"/>
        <v>70912.10400000005</v>
      </c>
      <c r="FW32" s="32">
        <v>41872.379999999997</v>
      </c>
      <c r="FX32" s="32">
        <v>782.49</v>
      </c>
      <c r="FY32" s="32">
        <f t="shared" si="21"/>
        <v>42654.869999999995</v>
      </c>
      <c r="GA32" s="7">
        <v>7</v>
      </c>
      <c r="GB32" s="5">
        <f t="shared" si="22"/>
        <v>46387</v>
      </c>
      <c r="GC32" s="5">
        <v>46372</v>
      </c>
      <c r="GD32" s="32"/>
      <c r="GE32" s="32">
        <f t="shared" si="53"/>
        <v>70912.10400000005</v>
      </c>
      <c r="GF32" s="32">
        <v>41872.379999999997</v>
      </c>
      <c r="GG32" s="32">
        <v>782.49</v>
      </c>
      <c r="GH32" s="32">
        <f t="shared" si="23"/>
        <v>42654.869999999995</v>
      </c>
      <c r="GJ32" s="7">
        <v>7</v>
      </c>
      <c r="GK32" s="5">
        <f t="shared" si="24"/>
        <v>46387</v>
      </c>
      <c r="GL32" s="5">
        <v>46372</v>
      </c>
      <c r="GM32" s="32"/>
      <c r="GN32" s="32">
        <f t="shared" si="54"/>
        <v>70912.10400000005</v>
      </c>
      <c r="GO32" s="32">
        <v>41872.379999999997</v>
      </c>
      <c r="GP32" s="32">
        <v>782.49</v>
      </c>
      <c r="GQ32" s="32">
        <f t="shared" si="25"/>
        <v>42654.869999999995</v>
      </c>
      <c r="GS32" s="7">
        <v>7</v>
      </c>
      <c r="GT32" s="5">
        <f t="shared" si="26"/>
        <v>46356</v>
      </c>
      <c r="GU32" s="5">
        <v>46354</v>
      </c>
      <c r="GV32" s="29"/>
      <c r="GW32" s="32">
        <f t="shared" si="55"/>
        <v>142793.83000000005</v>
      </c>
      <c r="GX32" s="32">
        <v>43116.6</v>
      </c>
      <c r="GY32" s="32">
        <v>1461.65</v>
      </c>
      <c r="GZ32" s="32">
        <f t="shared" si="27"/>
        <v>44578.25</v>
      </c>
      <c r="HB32" s="7">
        <v>7</v>
      </c>
      <c r="HC32" s="5">
        <f t="shared" si="28"/>
        <v>46356</v>
      </c>
      <c r="HD32" s="5">
        <v>46354</v>
      </c>
      <c r="HE32" s="29"/>
      <c r="HF32" s="32">
        <v>142793.83000000005</v>
      </c>
      <c r="HG32" s="32">
        <v>43116.6</v>
      </c>
      <c r="HH32" s="32">
        <v>1461.65</v>
      </c>
      <c r="HI32" s="32">
        <v>44578.25</v>
      </c>
    </row>
    <row r="33" spans="1:217" x14ac:dyDescent="0.35">
      <c r="A33" s="7">
        <v>8</v>
      </c>
      <c r="B33" s="6">
        <f t="shared" si="1"/>
        <v>40</v>
      </c>
      <c r="C33" s="5">
        <f t="shared" ref="C33:C96" si="65">+C32+1</f>
        <v>45932</v>
      </c>
      <c r="D33" s="29"/>
      <c r="E33" s="32">
        <f t="shared" si="29"/>
        <v>57451130.21554713</v>
      </c>
      <c r="F33" s="32">
        <f t="shared" ref="F33:F96" si="66">+SUMIF(O:O,C33,R:R)+SUMIF(AE:AE,C33,AH:AH)+SUMIF(AT:AT,C33,AW:AW)+SUMIF(BI:BI,C33,BL:BL)+SUMIF(BY:BY,C33,CB:CB)+SUMIF(BY:BY,C33,CC:CC)+SUMIF(CP:CP,C33,CS:CS)+SUMIF(CY:CY,C33,DB:DB)+SUMIF(DN:DN,C33,DQ:DQ)+SUMIF(EC:EC,C33,EF:EF)+SUMIF(ER:ER,C33,EU:EU)+SUMIF(FA:FA,C33,FD:FD)+SUMIF(FK:FK,C33,FN:FN)+SUMIF(FT:FT,C33,FW:FW)+SUMIF(GC:GC,C33,GF:GF)+SUMIF(GL:GL,C33,GO:GO)+SUMIF(GU:GU,C33,GX:GX)+SUMIF(HD:HD,C33,HG:HG)</f>
        <v>0</v>
      </c>
      <c r="G33" s="32">
        <f t="shared" ref="G33:G96" si="67">+SUMIF(O:O,C33,T:T)+SUMIF(O:O,C33,S:S)+SUMIF(AE:AE,C33,AI:AI)+SUMIF(AT:AT,C33,AX:AX)+SUMIF(BI:BI,C33,BN:BN)+SUMIF(BI:BI,C33,BM:BM)+SUMIF(BY:BY,C33,CD:CD)+SUMIF(BY:BY,C33,CE:CE)+SUMIF(CP:CP,C33,CT:CT)+SUMIF(CY:CY,C33,DC:DC)+SUMIF(DN:DN,C33,DR:DR)+SUMIF(EC:EC,C33,EG:EG)+SUMIF(ER:ER,C33,EV:EV)+SUMIF(FA:FA,C33,FE:FE)+SUMIF(FK:FK,C33,FO:FO)+SUMIF(FT:FT,C33,FX:FX)+SUMIF(GC:GC,C33,GG:GG)+SUMIF(GL:GL,C33,GP:GP)+SUMIF(GU:GU,C33,GY:GY)+SUMIF(HD:HD,C33,HH:HH)</f>
        <v>0</v>
      </c>
      <c r="H33" s="32">
        <f t="shared" si="32"/>
        <v>0</v>
      </c>
      <c r="I33" s="60"/>
      <c r="J33" s="60"/>
      <c r="K33" s="32"/>
      <c r="M33" s="7">
        <v>8</v>
      </c>
      <c r="N33" s="59">
        <f t="shared" si="3"/>
        <v>46265</v>
      </c>
      <c r="O33" s="59">
        <f t="shared" si="61"/>
        <v>46249</v>
      </c>
      <c r="P33" s="29"/>
      <c r="Q33" s="32">
        <f t="shared" si="4"/>
        <v>89605953.38726458</v>
      </c>
      <c r="R33" s="32">
        <f t="shared" si="62"/>
        <v>4072997.8812392987</v>
      </c>
      <c r="S33" s="32">
        <f t="shared" si="33"/>
        <v>1436410.5861170595</v>
      </c>
      <c r="T33" s="32">
        <f t="shared" si="34"/>
        <v>471550.5461533799</v>
      </c>
      <c r="U33" s="158">
        <f t="shared" si="35"/>
        <v>5980959.0135097373</v>
      </c>
      <c r="V33" s="60"/>
      <c r="W33" s="60"/>
      <c r="X33" s="60"/>
      <c r="Y33" s="60"/>
      <c r="Z33" s="60"/>
      <c r="AA33" s="60"/>
      <c r="AC33" s="90">
        <v>8</v>
      </c>
      <c r="AD33" s="5">
        <f t="shared" si="5"/>
        <v>46446</v>
      </c>
      <c r="AE33" s="5">
        <v>46420</v>
      </c>
      <c r="AF33" s="29"/>
      <c r="AG33" s="32">
        <f t="shared" si="36"/>
        <v>930863.18999999971</v>
      </c>
      <c r="AH33" s="32">
        <f t="shared" si="56"/>
        <v>51840.79</v>
      </c>
      <c r="AI33" s="32">
        <f t="shared" si="37"/>
        <v>13812.450385555552</v>
      </c>
      <c r="AJ33" s="32">
        <f t="shared" si="38"/>
        <v>65653.240385555546</v>
      </c>
      <c r="AK33" s="60"/>
      <c r="AL33" s="87"/>
      <c r="AM33" s="60"/>
      <c r="AN33" s="60"/>
      <c r="AO33" s="60"/>
      <c r="AP33" s="32"/>
      <c r="AR33" s="7">
        <v>8</v>
      </c>
      <c r="AS33" s="5">
        <f t="shared" si="6"/>
        <v>46356</v>
      </c>
      <c r="AT33" s="5">
        <v>46346</v>
      </c>
      <c r="AU33" s="29"/>
      <c r="AV33" s="32">
        <f t="shared" si="57"/>
        <v>14946421.133083051</v>
      </c>
      <c r="AW33" s="32">
        <v>525047.46469953598</v>
      </c>
      <c r="AX33" s="32">
        <f t="shared" si="58"/>
        <v>237229.18516599966</v>
      </c>
      <c r="AY33" s="32">
        <f t="shared" si="7"/>
        <v>762276.64986553567</v>
      </c>
      <c r="AZ33" s="60"/>
      <c r="BA33" s="87"/>
      <c r="BB33" s="87"/>
      <c r="BC33" s="60"/>
      <c r="BD33" s="60"/>
      <c r="BE33" s="60"/>
      <c r="BG33" s="7">
        <v>8</v>
      </c>
      <c r="BH33" s="5">
        <f t="shared" si="8"/>
        <v>46477</v>
      </c>
      <c r="BI33" s="5">
        <v>46466</v>
      </c>
      <c r="BJ33" s="29"/>
      <c r="BK33" s="32">
        <f t="shared" si="59"/>
        <v>29733629.821000006</v>
      </c>
      <c r="BL33" s="32">
        <f t="shared" ref="BL33:BL40" si="68">+BL32</f>
        <v>4247661.4029999999</v>
      </c>
      <c r="BM33" s="32">
        <f t="shared" si="39"/>
        <v>509719.36836000008</v>
      </c>
      <c r="BN33" s="32">
        <v>82616.23</v>
      </c>
      <c r="BO33" s="158">
        <f t="shared" si="40"/>
        <v>4839997.0013600001</v>
      </c>
      <c r="BP33" s="104"/>
      <c r="BQ33" s="87"/>
      <c r="BR33" s="87"/>
      <c r="BS33" s="60"/>
      <c r="BT33" s="60"/>
      <c r="BU33" s="60"/>
      <c r="BW33" s="7">
        <v>8</v>
      </c>
      <c r="BX33" s="5">
        <f t="shared" si="9"/>
        <v>46418</v>
      </c>
      <c r="BY33" s="5">
        <v>46407</v>
      </c>
      <c r="BZ33" s="29"/>
      <c r="CA33" s="32">
        <f t="shared" si="41"/>
        <v>692837.62826382671</v>
      </c>
      <c r="CB33" s="32">
        <v>57736.470062537075</v>
      </c>
      <c r="CC33" s="32">
        <v>2821.4284698866022</v>
      </c>
      <c r="CD33" s="32">
        <f t="shared" si="42"/>
        <v>11508.802841004246</v>
      </c>
      <c r="CE33" s="32">
        <v>1642.8394559018825</v>
      </c>
      <c r="CF33" s="32">
        <f t="shared" si="43"/>
        <v>73709.54082932981</v>
      </c>
      <c r="CG33" s="104"/>
      <c r="CH33" s="87"/>
      <c r="CI33" s="87"/>
      <c r="CJ33" s="60"/>
      <c r="CK33" s="60"/>
      <c r="CL33" s="60"/>
      <c r="CN33" s="7">
        <v>8</v>
      </c>
      <c r="CO33" s="5">
        <f t="shared" si="10"/>
        <v>46477</v>
      </c>
      <c r="CP33" s="5">
        <v>46460</v>
      </c>
      <c r="CQ33" s="29"/>
      <c r="CR33" s="32">
        <f t="shared" si="44"/>
        <v>1043178.6899999998</v>
      </c>
      <c r="CS33" s="32">
        <v>104317.86</v>
      </c>
      <c r="CT33" s="32">
        <v>14082.912749999989</v>
      </c>
      <c r="CU33" s="32">
        <f t="shared" si="11"/>
        <v>118400.77274999999</v>
      </c>
      <c r="CW33" s="7">
        <v>8</v>
      </c>
      <c r="CX33" s="5">
        <f t="shared" si="12"/>
        <v>46112</v>
      </c>
      <c r="CY33" s="5">
        <v>46091</v>
      </c>
      <c r="CZ33" s="29"/>
      <c r="DA33" s="32">
        <f t="shared" si="45"/>
        <v>23217971.018803097</v>
      </c>
      <c r="DB33" s="32">
        <v>349011.21</v>
      </c>
      <c r="DC33" s="32">
        <f t="shared" si="46"/>
        <v>109979.25040108112</v>
      </c>
      <c r="DD33" s="32">
        <f t="shared" si="13"/>
        <v>458990.46040108113</v>
      </c>
      <c r="DE33" s="104"/>
      <c r="DF33" s="87"/>
      <c r="DG33" s="87"/>
      <c r="DH33" s="60"/>
      <c r="DI33" s="60"/>
      <c r="DJ33" s="60"/>
      <c r="DL33" s="7">
        <v>8</v>
      </c>
      <c r="DM33" s="5">
        <f t="shared" si="14"/>
        <v>46477</v>
      </c>
      <c r="DN33" s="5">
        <v>46471</v>
      </c>
      <c r="DO33" s="29"/>
      <c r="DP33" s="32">
        <f t="shared" si="47"/>
        <v>8235224.5788674615</v>
      </c>
      <c r="DQ33" s="32">
        <v>283973.26</v>
      </c>
      <c r="DR33" s="32">
        <v>124900.9</v>
      </c>
      <c r="DS33" s="32">
        <f t="shared" si="15"/>
        <v>408874.16000000003</v>
      </c>
      <c r="DT33" s="104"/>
      <c r="DU33" s="87"/>
      <c r="DV33" s="87"/>
      <c r="DW33" s="60"/>
      <c r="DX33" s="60"/>
      <c r="DY33" s="60"/>
      <c r="DZ33" s="64"/>
      <c r="EA33" s="7">
        <v>8</v>
      </c>
      <c r="EB33" s="5">
        <f t="shared" si="0"/>
        <v>46507</v>
      </c>
      <c r="EC33" s="5">
        <v>46482</v>
      </c>
      <c r="ED33" s="29"/>
      <c r="EE33" s="32">
        <f t="shared" si="48"/>
        <v>987357.66268659825</v>
      </c>
      <c r="EF33" s="32">
        <v>39494.31</v>
      </c>
      <c r="EG33" s="32">
        <f t="shared" si="60"/>
        <v>14940.696202590007</v>
      </c>
      <c r="EH33" s="32">
        <f t="shared" si="16"/>
        <v>54435.006202590004</v>
      </c>
      <c r="EI33" s="104"/>
      <c r="EJ33" s="87"/>
      <c r="EK33" s="87"/>
      <c r="EL33" s="60"/>
      <c r="EM33" s="60"/>
      <c r="EN33" s="60"/>
      <c r="EQ33" s="5"/>
      <c r="ER33" s="5"/>
      <c r="ES33" s="29"/>
      <c r="ET33" s="32"/>
      <c r="EU33" s="32"/>
      <c r="EV33" s="32"/>
      <c r="EW33" s="32"/>
      <c r="EY33" s="7">
        <v>8</v>
      </c>
      <c r="EZ33" s="5">
        <f t="shared" si="17"/>
        <v>46387</v>
      </c>
      <c r="FA33" s="5">
        <v>46380</v>
      </c>
      <c r="FB33" s="29"/>
      <c r="FC33" s="32">
        <f t="shared" si="49"/>
        <v>2704247.77</v>
      </c>
      <c r="FD33" s="32">
        <v>40216.85</v>
      </c>
      <c r="FE33" s="32">
        <v>17670.43</v>
      </c>
      <c r="FF33" s="32"/>
      <c r="FG33" s="32">
        <f t="shared" si="50"/>
        <v>57887.28</v>
      </c>
      <c r="FI33" s="7">
        <v>8</v>
      </c>
      <c r="FJ33" s="5">
        <f t="shared" si="18"/>
        <v>46477</v>
      </c>
      <c r="FK33" s="5">
        <v>46462</v>
      </c>
      <c r="FL33" s="32"/>
      <c r="FM33" s="32">
        <f t="shared" si="51"/>
        <v>41229.074000000051</v>
      </c>
      <c r="FN33" s="32">
        <v>29683.03</v>
      </c>
      <c r="FO33" s="32">
        <v>17605.8</v>
      </c>
      <c r="FP33" s="32">
        <f t="shared" si="19"/>
        <v>47288.83</v>
      </c>
      <c r="FR33" s="7">
        <v>8</v>
      </c>
      <c r="FS33" s="5">
        <f t="shared" si="20"/>
        <v>46477</v>
      </c>
      <c r="FT33" s="5">
        <v>46462</v>
      </c>
      <c r="FU33" s="32"/>
      <c r="FV33" s="32">
        <f t="shared" si="52"/>
        <v>41229.074000000051</v>
      </c>
      <c r="FW33" s="32">
        <v>29683.03</v>
      </c>
      <c r="FX33" s="32">
        <v>17605.8</v>
      </c>
      <c r="FY33" s="32">
        <f t="shared" si="21"/>
        <v>47288.83</v>
      </c>
      <c r="GA33" s="7">
        <v>8</v>
      </c>
      <c r="GB33" s="5">
        <f t="shared" si="22"/>
        <v>46477</v>
      </c>
      <c r="GC33" s="5">
        <v>46462</v>
      </c>
      <c r="GD33" s="32"/>
      <c r="GE33" s="32">
        <f t="shared" si="53"/>
        <v>41229.074000000051</v>
      </c>
      <c r="GF33" s="32">
        <v>29683.03</v>
      </c>
      <c r="GG33" s="32">
        <v>17605.8</v>
      </c>
      <c r="GH33" s="32">
        <f t="shared" si="23"/>
        <v>47288.83</v>
      </c>
      <c r="GJ33" s="7">
        <v>8</v>
      </c>
      <c r="GK33" s="5">
        <f t="shared" si="24"/>
        <v>46477</v>
      </c>
      <c r="GL33" s="5">
        <v>46462</v>
      </c>
      <c r="GM33" s="32"/>
      <c r="GN33" s="32">
        <f t="shared" si="54"/>
        <v>41229.074000000051</v>
      </c>
      <c r="GO33" s="32">
        <v>29683.03</v>
      </c>
      <c r="GP33" s="32">
        <v>17605.8</v>
      </c>
      <c r="GQ33" s="32">
        <f t="shared" si="25"/>
        <v>47288.83</v>
      </c>
      <c r="GS33" s="7">
        <v>8</v>
      </c>
      <c r="GT33" s="5">
        <f t="shared" si="26"/>
        <v>46446</v>
      </c>
      <c r="GU33" s="5">
        <v>46444</v>
      </c>
      <c r="GV33" s="29"/>
      <c r="GW33" s="32">
        <f t="shared" si="55"/>
        <v>98761.040000000037</v>
      </c>
      <c r="GX33" s="32">
        <v>44032.79</v>
      </c>
      <c r="GY33" s="32">
        <v>814.9</v>
      </c>
      <c r="GZ33" s="32">
        <f t="shared" si="27"/>
        <v>44847.69</v>
      </c>
      <c r="HB33" s="7">
        <v>8</v>
      </c>
      <c r="HC33" s="5">
        <f t="shared" si="28"/>
        <v>46446</v>
      </c>
      <c r="HD33" s="5">
        <v>46444</v>
      </c>
      <c r="HE33" s="29"/>
      <c r="HF33" s="32">
        <v>98761.040000000037</v>
      </c>
      <c r="HG33" s="32">
        <v>44032.79</v>
      </c>
      <c r="HH33" s="32">
        <v>814.9</v>
      </c>
      <c r="HI33" s="32">
        <v>44847.69</v>
      </c>
    </row>
    <row r="34" spans="1:217" x14ac:dyDescent="0.35">
      <c r="A34" s="7">
        <v>9</v>
      </c>
      <c r="B34" s="6">
        <f t="shared" si="1"/>
        <v>40</v>
      </c>
      <c r="C34" s="5">
        <f t="shared" si="65"/>
        <v>45933</v>
      </c>
      <c r="D34" s="29"/>
      <c r="E34" s="32">
        <f t="shared" si="29"/>
        <v>57451130.21554713</v>
      </c>
      <c r="F34" s="32">
        <f t="shared" si="66"/>
        <v>0</v>
      </c>
      <c r="G34" s="32">
        <f t="shared" si="67"/>
        <v>0</v>
      </c>
      <c r="H34" s="32">
        <f t="shared" si="32"/>
        <v>0</v>
      </c>
      <c r="I34" s="60"/>
      <c r="J34" s="60"/>
      <c r="K34" s="32"/>
      <c r="M34" s="7">
        <v>9</v>
      </c>
      <c r="N34" s="59">
        <f t="shared" si="3"/>
        <v>46356</v>
      </c>
      <c r="O34" s="59">
        <f t="shared" si="61"/>
        <v>46341</v>
      </c>
      <c r="P34" s="29"/>
      <c r="Q34" s="32">
        <f t="shared" si="4"/>
        <v>85532955.506025285</v>
      </c>
      <c r="R34" s="32">
        <f t="shared" si="62"/>
        <v>4072997.8812392987</v>
      </c>
      <c r="S34" s="32">
        <f t="shared" si="33"/>
        <v>1373957.9519380569</v>
      </c>
      <c r="T34" s="32">
        <f t="shared" si="34"/>
        <v>471550.5461533799</v>
      </c>
      <c r="U34" s="158">
        <f t="shared" si="35"/>
        <v>5918506.3793307357</v>
      </c>
      <c r="V34" s="60"/>
      <c r="W34" s="60"/>
      <c r="X34" s="60"/>
      <c r="Y34" s="60"/>
      <c r="Z34" s="60"/>
      <c r="AA34" s="60"/>
      <c r="AC34" s="90">
        <v>9</v>
      </c>
      <c r="AD34" s="5">
        <f t="shared" si="5"/>
        <v>46538</v>
      </c>
      <c r="AE34" s="5">
        <v>46509</v>
      </c>
      <c r="AF34" s="29"/>
      <c r="AG34" s="32">
        <f t="shared" si="36"/>
        <v>879022.39999999967</v>
      </c>
      <c r="AH34" s="32">
        <f t="shared" si="56"/>
        <v>51840.79</v>
      </c>
      <c r="AI34" s="32">
        <f t="shared" si="37"/>
        <v>12657.153652916662</v>
      </c>
      <c r="AJ34" s="32">
        <f t="shared" si="38"/>
        <v>64497.943652916663</v>
      </c>
      <c r="AK34" s="60"/>
      <c r="AL34" s="87"/>
      <c r="AM34" s="60"/>
      <c r="AN34" s="60"/>
      <c r="AO34" s="60"/>
      <c r="AP34" s="32"/>
      <c r="AR34" s="7">
        <v>9</v>
      </c>
      <c r="AS34" s="5">
        <f t="shared" si="6"/>
        <v>46446</v>
      </c>
      <c r="AT34" s="5">
        <v>46438</v>
      </c>
      <c r="AU34" s="29"/>
      <c r="AV34" s="32">
        <f t="shared" si="57"/>
        <v>14421373.668383515</v>
      </c>
      <c r="AW34" s="32">
        <v>525047.46469953598</v>
      </c>
      <c r="AX34" s="32">
        <f t="shared" si="58"/>
        <v>229178.45737394012</v>
      </c>
      <c r="AY34" s="32">
        <f t="shared" si="7"/>
        <v>754225.92207347613</v>
      </c>
      <c r="AZ34" s="60"/>
      <c r="BA34" s="87"/>
      <c r="BB34" s="87"/>
      <c r="BC34" s="60"/>
      <c r="BD34" s="60"/>
      <c r="BE34" s="60"/>
      <c r="BG34" s="7">
        <v>9</v>
      </c>
      <c r="BH34" s="5">
        <f t="shared" si="8"/>
        <v>46568</v>
      </c>
      <c r="BI34" s="5">
        <v>46558</v>
      </c>
      <c r="BJ34" s="29"/>
      <c r="BK34" s="32">
        <f t="shared" si="59"/>
        <v>25485968.418000005</v>
      </c>
      <c r="BL34" s="32">
        <f t="shared" si="68"/>
        <v>4247661.4029999999</v>
      </c>
      <c r="BM34" s="32">
        <f t="shared" si="39"/>
        <v>455915.65725533344</v>
      </c>
      <c r="BN34" s="32">
        <v>82616.23</v>
      </c>
      <c r="BO34" s="158">
        <f t="shared" si="40"/>
        <v>4786193.2902553342</v>
      </c>
      <c r="BP34" s="104"/>
      <c r="BQ34" s="87"/>
      <c r="BR34" s="87"/>
      <c r="BS34" s="60"/>
      <c r="BT34" s="60"/>
      <c r="BU34" s="60"/>
      <c r="BW34" s="7">
        <v>9</v>
      </c>
      <c r="BX34" s="5">
        <f t="shared" si="9"/>
        <v>46507</v>
      </c>
      <c r="BY34" s="5">
        <v>46497</v>
      </c>
      <c r="BZ34" s="29"/>
      <c r="CA34" s="32">
        <f t="shared" si="41"/>
        <v>635101.1582012896</v>
      </c>
      <c r="CB34" s="32">
        <v>57736.470062537075</v>
      </c>
      <c r="CC34" s="32">
        <v>2821.4284698866022</v>
      </c>
      <c r="CD34" s="32">
        <f t="shared" si="42"/>
        <v>10392.564423957401</v>
      </c>
      <c r="CE34" s="32">
        <v>1642.8394559018825</v>
      </c>
      <c r="CF34" s="32">
        <f t="shared" si="43"/>
        <v>72593.302412282952</v>
      </c>
      <c r="CG34" s="104"/>
      <c r="CH34" s="87"/>
      <c r="CI34" s="87"/>
      <c r="CJ34" s="60"/>
      <c r="CK34" s="60"/>
      <c r="CL34" s="60"/>
      <c r="CN34" s="7">
        <v>9</v>
      </c>
      <c r="CO34" s="5">
        <f t="shared" si="10"/>
        <v>46568</v>
      </c>
      <c r="CP34" s="5">
        <v>46552</v>
      </c>
      <c r="CQ34" s="29"/>
      <c r="CR34" s="32">
        <f t="shared" si="44"/>
        <v>938860.82999999984</v>
      </c>
      <c r="CS34" s="32">
        <v>104317.86</v>
      </c>
      <c r="CT34" s="32">
        <v>12796.325846666659</v>
      </c>
      <c r="CU34" s="32">
        <f t="shared" si="11"/>
        <v>117114.18584666666</v>
      </c>
      <c r="CW34" s="7">
        <v>9</v>
      </c>
      <c r="CX34" s="5">
        <f t="shared" si="12"/>
        <v>46142</v>
      </c>
      <c r="CY34" s="5">
        <v>46122</v>
      </c>
      <c r="CZ34" s="29"/>
      <c r="DA34" s="32">
        <f t="shared" si="45"/>
        <v>22868959.808803096</v>
      </c>
      <c r="DB34" s="32">
        <v>349011.21</v>
      </c>
      <c r="DC34" s="32">
        <f t="shared" si="46"/>
        <v>119959.51693048266</v>
      </c>
      <c r="DD34" s="32">
        <f t="shared" si="13"/>
        <v>468970.72693048266</v>
      </c>
      <c r="DE34" s="104"/>
      <c r="DF34" s="87"/>
      <c r="DG34" s="87"/>
      <c r="DH34" s="60"/>
      <c r="DI34" s="60"/>
      <c r="DJ34" s="60"/>
      <c r="DL34" s="7">
        <v>9</v>
      </c>
      <c r="DM34" s="5">
        <f t="shared" si="14"/>
        <v>46568</v>
      </c>
      <c r="DN34" s="5">
        <v>46562</v>
      </c>
      <c r="DO34" s="29"/>
      <c r="DP34" s="32">
        <f t="shared" si="47"/>
        <v>7951251.3188674618</v>
      </c>
      <c r="DQ34" s="32">
        <v>283973.26</v>
      </c>
      <c r="DR34" s="32">
        <v>120737.54</v>
      </c>
      <c r="DS34" s="32">
        <f t="shared" si="15"/>
        <v>404710.8</v>
      </c>
      <c r="DT34" s="104"/>
      <c r="DU34" s="87"/>
      <c r="DV34" s="87"/>
      <c r="DW34" s="60"/>
      <c r="DX34" s="60"/>
      <c r="DY34" s="60"/>
      <c r="DZ34" s="64"/>
      <c r="EA34" s="7">
        <v>9</v>
      </c>
      <c r="EB34" s="5">
        <f t="shared" si="0"/>
        <v>46599</v>
      </c>
      <c r="EC34" s="5">
        <v>46573</v>
      </c>
      <c r="ED34" s="29"/>
      <c r="EE34" s="32">
        <f t="shared" si="48"/>
        <v>947863.3526865982</v>
      </c>
      <c r="EF34" s="32">
        <v>39494.31</v>
      </c>
      <c r="EG34" s="32">
        <f t="shared" si="60"/>
        <v>14525.67681422434</v>
      </c>
      <c r="EH34" s="32">
        <f t="shared" si="16"/>
        <v>54019.986814224336</v>
      </c>
      <c r="EI34" s="104"/>
      <c r="EJ34" s="87"/>
      <c r="EK34" s="87"/>
      <c r="EL34" s="60"/>
      <c r="EM34" s="60"/>
      <c r="EN34" s="60"/>
      <c r="EQ34" s="5"/>
      <c r="ER34" s="5"/>
      <c r="ES34" s="29"/>
      <c r="ET34" s="32"/>
      <c r="EU34" s="32"/>
      <c r="EV34" s="32"/>
      <c r="EW34" s="32"/>
      <c r="EY34" s="7">
        <v>9</v>
      </c>
      <c r="EZ34" s="5">
        <f t="shared" si="17"/>
        <v>46477</v>
      </c>
      <c r="FA34" s="5">
        <v>46471</v>
      </c>
      <c r="FB34" s="29"/>
      <c r="FC34" s="32">
        <f t="shared" si="49"/>
        <v>2664030.92</v>
      </c>
      <c r="FD34" s="32">
        <v>40216.85</v>
      </c>
      <c r="FE34" s="32">
        <v>17061.490000000002</v>
      </c>
      <c r="FF34" s="32"/>
      <c r="FG34" s="32">
        <f t="shared" si="50"/>
        <v>57278.34</v>
      </c>
      <c r="FI34" s="7">
        <v>9</v>
      </c>
      <c r="FJ34" s="5">
        <f t="shared" si="18"/>
        <v>46568</v>
      </c>
      <c r="FK34" s="5">
        <v>46552</v>
      </c>
      <c r="FL34" s="32"/>
      <c r="FM34" s="32">
        <f t="shared" si="51"/>
        <v>10293.844000000052</v>
      </c>
      <c r="FN34" s="32">
        <v>30935.23</v>
      </c>
      <c r="FO34" s="32">
        <v>14697.99</v>
      </c>
      <c r="FP34" s="32">
        <f t="shared" si="19"/>
        <v>45633.22</v>
      </c>
      <c r="FR34" s="7">
        <v>9</v>
      </c>
      <c r="FS34" s="5">
        <f t="shared" si="20"/>
        <v>46568</v>
      </c>
      <c r="FT34" s="5">
        <v>46552</v>
      </c>
      <c r="FU34" s="32"/>
      <c r="FV34" s="32">
        <f t="shared" si="52"/>
        <v>10293.844000000052</v>
      </c>
      <c r="FW34" s="32">
        <v>30935.23</v>
      </c>
      <c r="FX34" s="32">
        <v>14697.99</v>
      </c>
      <c r="FY34" s="32">
        <f t="shared" si="21"/>
        <v>45633.22</v>
      </c>
      <c r="GA34" s="7">
        <v>9</v>
      </c>
      <c r="GB34" s="5">
        <f t="shared" si="22"/>
        <v>46568</v>
      </c>
      <c r="GC34" s="5">
        <v>46552</v>
      </c>
      <c r="GD34" s="32"/>
      <c r="GE34" s="32">
        <f t="shared" si="53"/>
        <v>10293.844000000052</v>
      </c>
      <c r="GF34" s="32">
        <v>30935.23</v>
      </c>
      <c r="GG34" s="32">
        <v>14697.99</v>
      </c>
      <c r="GH34" s="32">
        <f t="shared" si="23"/>
        <v>45633.22</v>
      </c>
      <c r="GJ34" s="7">
        <v>9</v>
      </c>
      <c r="GK34" s="5">
        <f t="shared" si="24"/>
        <v>46568</v>
      </c>
      <c r="GL34" s="5">
        <v>46552</v>
      </c>
      <c r="GM34" s="32"/>
      <c r="GN34" s="32">
        <f t="shared" si="54"/>
        <v>10293.844000000052</v>
      </c>
      <c r="GO34" s="32">
        <v>30935.23</v>
      </c>
      <c r="GP34" s="32">
        <v>14697.99</v>
      </c>
      <c r="GQ34" s="32">
        <f t="shared" si="25"/>
        <v>45633.22</v>
      </c>
      <c r="GS34" s="7">
        <v>9</v>
      </c>
      <c r="GT34" s="5">
        <f t="shared" si="26"/>
        <v>46538</v>
      </c>
      <c r="GU34" s="5">
        <v>46534</v>
      </c>
      <c r="GV34" s="29"/>
      <c r="GW34" s="32">
        <f t="shared" si="55"/>
        <v>70279.530000000042</v>
      </c>
      <c r="GX34" s="32">
        <v>28481.51</v>
      </c>
      <c r="GY34" s="32">
        <v>18828.900000000001</v>
      </c>
      <c r="GZ34" s="32">
        <f t="shared" si="27"/>
        <v>47310.41</v>
      </c>
      <c r="HB34" s="7">
        <v>9</v>
      </c>
      <c r="HC34" s="5">
        <f t="shared" si="28"/>
        <v>46538</v>
      </c>
      <c r="HD34" s="5">
        <v>46534</v>
      </c>
      <c r="HE34" s="29"/>
      <c r="HF34" s="32">
        <v>70279.530000000042</v>
      </c>
      <c r="HG34" s="32">
        <v>28481.51</v>
      </c>
      <c r="HH34" s="32">
        <v>18828.900000000001</v>
      </c>
      <c r="HI34" s="32">
        <v>47310.41</v>
      </c>
    </row>
    <row r="35" spans="1:217" x14ac:dyDescent="0.35">
      <c r="A35" s="7">
        <v>10</v>
      </c>
      <c r="B35" s="6">
        <f t="shared" si="1"/>
        <v>40</v>
      </c>
      <c r="C35" s="5">
        <f t="shared" si="65"/>
        <v>45934</v>
      </c>
      <c r="D35" s="29"/>
      <c r="E35" s="32">
        <f t="shared" si="29"/>
        <v>57451130.21554713</v>
      </c>
      <c r="F35" s="32">
        <f t="shared" si="66"/>
        <v>0</v>
      </c>
      <c r="G35" s="32">
        <f t="shared" si="67"/>
        <v>0</v>
      </c>
      <c r="H35" s="32">
        <f t="shared" si="32"/>
        <v>0</v>
      </c>
      <c r="I35" s="60">
        <v>0</v>
      </c>
      <c r="J35" s="60"/>
      <c r="K35" s="32"/>
      <c r="M35" s="7">
        <v>10</v>
      </c>
      <c r="N35" s="59">
        <f t="shared" si="3"/>
        <v>46446</v>
      </c>
      <c r="O35" s="59">
        <f t="shared" si="61"/>
        <v>46433</v>
      </c>
      <c r="P35" s="29"/>
      <c r="Q35" s="32">
        <f t="shared" si="4"/>
        <v>81459957.62478599</v>
      </c>
      <c r="R35" s="32">
        <f t="shared" si="62"/>
        <v>4072997.8812392987</v>
      </c>
      <c r="S35" s="32">
        <f t="shared" si="33"/>
        <v>1311505.3177590545</v>
      </c>
      <c r="T35" s="32">
        <f t="shared" si="34"/>
        <v>471550.5461533799</v>
      </c>
      <c r="U35" s="158">
        <f t="shared" si="35"/>
        <v>5856053.745151733</v>
      </c>
      <c r="V35" s="60"/>
      <c r="W35" s="60"/>
      <c r="X35" s="60"/>
      <c r="Y35" s="60"/>
      <c r="Z35" s="60"/>
      <c r="AA35" s="60"/>
      <c r="AC35" s="90">
        <v>10</v>
      </c>
      <c r="AD35" s="5">
        <f t="shared" si="5"/>
        <v>46630</v>
      </c>
      <c r="AE35" s="5">
        <v>46601</v>
      </c>
      <c r="AF35" s="29"/>
      <c r="AG35" s="32">
        <f t="shared" si="36"/>
        <v>827181.60999999964</v>
      </c>
      <c r="AH35" s="32">
        <f t="shared" si="56"/>
        <v>51840.79</v>
      </c>
      <c r="AI35" s="32">
        <f t="shared" si="37"/>
        <v>12355.148177777774</v>
      </c>
      <c r="AJ35" s="32">
        <f t="shared" si="38"/>
        <v>64195.938177777774</v>
      </c>
      <c r="AK35" s="60"/>
      <c r="AL35" s="87"/>
      <c r="AM35" s="60"/>
      <c r="AN35" s="60"/>
      <c r="AO35" s="60"/>
      <c r="AP35" s="32"/>
      <c r="AR35" s="7">
        <v>10</v>
      </c>
      <c r="AS35" s="5">
        <f t="shared" si="6"/>
        <v>46538</v>
      </c>
      <c r="AT35" s="5">
        <v>46527</v>
      </c>
      <c r="AU35" s="29"/>
      <c r="AV35" s="32">
        <f t="shared" si="57"/>
        <v>13896326.203683978</v>
      </c>
      <c r="AW35" s="32">
        <v>525047.46469953598</v>
      </c>
      <c r="AX35" s="32">
        <f t="shared" si="58"/>
        <v>213917.0427476888</v>
      </c>
      <c r="AY35" s="32">
        <f t="shared" si="7"/>
        <v>738964.50744722481</v>
      </c>
      <c r="AZ35" s="60"/>
      <c r="BA35" s="87"/>
      <c r="BB35" s="87"/>
      <c r="BC35" s="60"/>
      <c r="BD35" s="60"/>
      <c r="BE35" s="60"/>
      <c r="BG35" s="7">
        <v>10</v>
      </c>
      <c r="BH35" s="5">
        <f t="shared" si="8"/>
        <v>46660</v>
      </c>
      <c r="BI35" s="5">
        <v>46650</v>
      </c>
      <c r="BJ35" s="29"/>
      <c r="BK35" s="32">
        <f t="shared" si="59"/>
        <v>21238307.015000004</v>
      </c>
      <c r="BL35" s="32">
        <f t="shared" si="68"/>
        <v>4247661.4029999999</v>
      </c>
      <c r="BM35" s="32">
        <f t="shared" si="39"/>
        <v>390784.8490760001</v>
      </c>
      <c r="BN35" s="32">
        <v>82616.23</v>
      </c>
      <c r="BO35" s="158">
        <f t="shared" si="40"/>
        <v>4721062.4820760004</v>
      </c>
      <c r="BP35" s="104"/>
      <c r="BQ35" s="87"/>
      <c r="BR35" s="87"/>
      <c r="BS35" s="60"/>
      <c r="BT35" s="60"/>
      <c r="BU35" s="60"/>
      <c r="BW35" s="7">
        <v>10</v>
      </c>
      <c r="BX35" s="5">
        <f t="shared" si="9"/>
        <v>46599</v>
      </c>
      <c r="BY35" s="5">
        <v>46588</v>
      </c>
      <c r="BZ35" s="29"/>
      <c r="CA35" s="32">
        <f t="shared" si="41"/>
        <v>577364.68813875248</v>
      </c>
      <c r="CB35" s="32">
        <v>57736.470062537075</v>
      </c>
      <c r="CC35" s="32">
        <v>2821.4284698866022</v>
      </c>
      <c r="CD35" s="32">
        <f t="shared" si="42"/>
        <v>9632.3675660528916</v>
      </c>
      <c r="CE35" s="32">
        <v>1642.8394559018825</v>
      </c>
      <c r="CF35" s="32">
        <f t="shared" si="43"/>
        <v>71833.105554378446</v>
      </c>
      <c r="CG35" s="104"/>
      <c r="CH35" s="87"/>
      <c r="CI35" s="87"/>
      <c r="CJ35" s="60"/>
      <c r="CK35" s="60"/>
      <c r="CL35" s="60"/>
      <c r="CN35" s="7">
        <v>10</v>
      </c>
      <c r="CO35" s="5">
        <f t="shared" si="10"/>
        <v>46660</v>
      </c>
      <c r="CP35" s="5">
        <v>46644</v>
      </c>
      <c r="CQ35" s="29"/>
      <c r="CR35" s="32">
        <f t="shared" si="44"/>
        <v>834542.96999999986</v>
      </c>
      <c r="CS35" s="32">
        <v>104317.86</v>
      </c>
      <c r="CT35" s="32">
        <v>11196.785326666657</v>
      </c>
      <c r="CU35" s="32">
        <f t="shared" si="11"/>
        <v>115514.64532666665</v>
      </c>
      <c r="CW35" s="7">
        <v>10</v>
      </c>
      <c r="CX35" s="5">
        <f t="shared" si="12"/>
        <v>46173</v>
      </c>
      <c r="CY35" s="5">
        <v>46152</v>
      </c>
      <c r="CZ35" s="29"/>
      <c r="DA35" s="32">
        <f t="shared" si="45"/>
        <v>22519948.598803096</v>
      </c>
      <c r="DB35" s="32">
        <v>349011.21</v>
      </c>
      <c r="DC35" s="32">
        <f t="shared" si="46"/>
        <v>114344.79904401548</v>
      </c>
      <c r="DD35" s="32">
        <f t="shared" si="13"/>
        <v>463356.00904401549</v>
      </c>
      <c r="DE35" s="104"/>
      <c r="DF35" s="87"/>
      <c r="DG35" s="87"/>
      <c r="DH35" s="60"/>
      <c r="DI35" s="60"/>
      <c r="DJ35" s="60"/>
      <c r="DL35" s="7">
        <v>10</v>
      </c>
      <c r="DM35" s="5">
        <f t="shared" si="14"/>
        <v>46660</v>
      </c>
      <c r="DN35" s="5">
        <v>46653</v>
      </c>
      <c r="DO35" s="29"/>
      <c r="DP35" s="32">
        <f t="shared" si="47"/>
        <v>7667278.058867462</v>
      </c>
      <c r="DQ35" s="32">
        <v>283973.26</v>
      </c>
      <c r="DR35" s="32">
        <v>116574.18</v>
      </c>
      <c r="DS35" s="32">
        <f t="shared" si="15"/>
        <v>400547.44</v>
      </c>
      <c r="DT35" s="104"/>
      <c r="DU35" s="87"/>
      <c r="DV35" s="87"/>
      <c r="DW35" s="60"/>
      <c r="DX35" s="60"/>
      <c r="DY35" s="60"/>
      <c r="DZ35" s="64"/>
      <c r="EA35" s="7">
        <v>10</v>
      </c>
      <c r="EB35" s="5">
        <f t="shared" si="0"/>
        <v>46691</v>
      </c>
      <c r="EC35" s="5">
        <v>46665</v>
      </c>
      <c r="ED35" s="29"/>
      <c r="EE35" s="32">
        <f t="shared" si="48"/>
        <v>908369.04268659814</v>
      </c>
      <c r="EF35" s="32">
        <v>39494.31</v>
      </c>
      <c r="EG35" s="32">
        <f t="shared" si="60"/>
        <v>14097.88759895867</v>
      </c>
      <c r="EH35" s="32">
        <f t="shared" si="16"/>
        <v>53592.197598958664</v>
      </c>
      <c r="EI35" s="104"/>
      <c r="EJ35" s="87"/>
      <c r="EK35" s="87"/>
      <c r="EL35" s="60"/>
      <c r="EM35" s="60"/>
      <c r="EN35" s="60"/>
      <c r="EQ35" s="5"/>
      <c r="ER35" s="5"/>
      <c r="ES35" s="29"/>
      <c r="ET35" s="32"/>
      <c r="EU35" s="32"/>
      <c r="EV35" s="32"/>
      <c r="EW35" s="32"/>
      <c r="EY35" s="7">
        <v>10</v>
      </c>
      <c r="EZ35" s="5">
        <f t="shared" si="17"/>
        <v>46568</v>
      </c>
      <c r="FA35" s="5">
        <v>46562</v>
      </c>
      <c r="FB35" s="29"/>
      <c r="FC35" s="32">
        <f t="shared" si="49"/>
        <v>2623814.0699999998</v>
      </c>
      <c r="FD35" s="32">
        <v>40216.85</v>
      </c>
      <c r="FE35" s="32">
        <v>16452.55</v>
      </c>
      <c r="FF35" s="32"/>
      <c r="FG35" s="32">
        <f t="shared" si="50"/>
        <v>56669.399999999994</v>
      </c>
      <c r="FI35" s="7">
        <v>10</v>
      </c>
      <c r="FJ35" s="5">
        <f t="shared" si="18"/>
        <v>46568</v>
      </c>
      <c r="FK35" s="5">
        <v>46552</v>
      </c>
      <c r="FL35" s="32"/>
      <c r="FM35" s="32">
        <f t="shared" si="51"/>
        <v>4.0000000517466106E-3</v>
      </c>
      <c r="FN35" s="32">
        <v>10293.84</v>
      </c>
      <c r="FO35" s="32">
        <v>0</v>
      </c>
      <c r="FP35" s="32">
        <f t="shared" si="19"/>
        <v>10293.84</v>
      </c>
      <c r="FR35" s="7">
        <v>10</v>
      </c>
      <c r="FS35" s="5">
        <f t="shared" si="20"/>
        <v>46568</v>
      </c>
      <c r="FT35" s="5">
        <v>46552</v>
      </c>
      <c r="FU35" s="32"/>
      <c r="FV35" s="32">
        <f t="shared" si="52"/>
        <v>4.0000000517466106E-3</v>
      </c>
      <c r="FW35" s="32">
        <v>10293.84</v>
      </c>
      <c r="FX35" s="32">
        <v>0</v>
      </c>
      <c r="FY35" s="32">
        <f t="shared" si="21"/>
        <v>10293.84</v>
      </c>
      <c r="GA35" s="7">
        <v>10</v>
      </c>
      <c r="GB35" s="5">
        <f t="shared" si="22"/>
        <v>46568</v>
      </c>
      <c r="GC35" s="5">
        <v>46552</v>
      </c>
      <c r="GD35" s="32"/>
      <c r="GE35" s="32">
        <f t="shared" si="53"/>
        <v>4.0000000517466106E-3</v>
      </c>
      <c r="GF35" s="32">
        <v>10293.84</v>
      </c>
      <c r="GG35" s="32">
        <v>0</v>
      </c>
      <c r="GH35" s="32">
        <f t="shared" si="23"/>
        <v>10293.84</v>
      </c>
      <c r="GJ35" s="7">
        <v>10</v>
      </c>
      <c r="GK35" s="5">
        <f t="shared" si="24"/>
        <v>46568</v>
      </c>
      <c r="GL35" s="5">
        <v>46552</v>
      </c>
      <c r="GM35" s="32"/>
      <c r="GN35" s="32">
        <f t="shared" si="54"/>
        <v>4.0000000517466106E-3</v>
      </c>
      <c r="GO35" s="32">
        <v>10293.84</v>
      </c>
      <c r="GP35" s="32">
        <v>0</v>
      </c>
      <c r="GQ35" s="32">
        <f t="shared" si="25"/>
        <v>10293.84</v>
      </c>
      <c r="GS35" s="7">
        <v>10</v>
      </c>
      <c r="GT35" s="5">
        <f t="shared" si="26"/>
        <v>46630</v>
      </c>
      <c r="GU35" s="5">
        <v>46624</v>
      </c>
      <c r="GV35" s="29"/>
      <c r="GW35" s="32">
        <f t="shared" si="55"/>
        <v>40596.500000000044</v>
      </c>
      <c r="GX35" s="32">
        <v>29683.03</v>
      </c>
      <c r="GY35" s="32">
        <v>12324.06</v>
      </c>
      <c r="GZ35" s="32">
        <f t="shared" si="27"/>
        <v>42007.09</v>
      </c>
      <c r="HB35" s="7">
        <v>10</v>
      </c>
      <c r="HC35" s="5">
        <f t="shared" si="28"/>
        <v>46630</v>
      </c>
      <c r="HD35" s="5">
        <v>46624</v>
      </c>
      <c r="HE35" s="29"/>
      <c r="HF35" s="32">
        <v>40596.500000000044</v>
      </c>
      <c r="HG35" s="32">
        <v>29683.03</v>
      </c>
      <c r="HH35" s="32">
        <v>12324.06</v>
      </c>
      <c r="HI35" s="32">
        <v>42007.09</v>
      </c>
    </row>
    <row r="36" spans="1:217" x14ac:dyDescent="0.35">
      <c r="A36" s="7">
        <v>11</v>
      </c>
      <c r="B36" s="6">
        <f t="shared" si="1"/>
        <v>40</v>
      </c>
      <c r="C36" s="5">
        <f t="shared" si="65"/>
        <v>45935</v>
      </c>
      <c r="D36" s="29"/>
      <c r="E36" s="32">
        <f t="shared" si="29"/>
        <v>57451130.21554713</v>
      </c>
      <c r="F36" s="32">
        <f t="shared" si="66"/>
        <v>0</v>
      </c>
      <c r="G36" s="32">
        <f t="shared" si="67"/>
        <v>0</v>
      </c>
      <c r="H36" s="32">
        <f t="shared" si="32"/>
        <v>0</v>
      </c>
      <c r="I36" s="60"/>
      <c r="J36" s="60"/>
      <c r="K36" s="32"/>
      <c r="M36" s="7">
        <v>11</v>
      </c>
      <c r="N36" s="59">
        <f t="shared" si="3"/>
        <v>46538</v>
      </c>
      <c r="O36" s="59">
        <f t="shared" si="61"/>
        <v>46522</v>
      </c>
      <c r="P36" s="29"/>
      <c r="Q36" s="32">
        <f t="shared" si="4"/>
        <v>77386959.743546695</v>
      </c>
      <c r="R36" s="32">
        <f t="shared" si="62"/>
        <v>4072997.8812392987</v>
      </c>
      <c r="S36" s="32">
        <f t="shared" si="33"/>
        <v>1208322.7047676588</v>
      </c>
      <c r="T36" s="32">
        <f t="shared" si="34"/>
        <v>471550.5461533799</v>
      </c>
      <c r="U36" s="158">
        <f t="shared" si="35"/>
        <v>5752871.1321603376</v>
      </c>
      <c r="V36" s="60"/>
      <c r="W36" s="60"/>
      <c r="X36" s="60"/>
      <c r="Y36" s="60"/>
      <c r="Z36" s="60"/>
      <c r="AA36" s="60"/>
      <c r="AC36" s="90">
        <v>11</v>
      </c>
      <c r="AD36" s="5">
        <f t="shared" si="5"/>
        <v>46721</v>
      </c>
      <c r="AE36" s="5">
        <v>46693</v>
      </c>
      <c r="AF36" s="29"/>
      <c r="AG36" s="32">
        <f t="shared" si="36"/>
        <v>775340.8199999996</v>
      </c>
      <c r="AH36" s="32">
        <f t="shared" si="56"/>
        <v>51840.79</v>
      </c>
      <c r="AI36" s="32">
        <f t="shared" si="37"/>
        <v>11626.497073888884</v>
      </c>
      <c r="AJ36" s="32">
        <f t="shared" si="38"/>
        <v>63467.287073888889</v>
      </c>
      <c r="AK36" s="60"/>
      <c r="AL36" s="87"/>
      <c r="AM36" s="60"/>
      <c r="AN36" s="60"/>
      <c r="AO36" s="60"/>
      <c r="AP36" s="32"/>
      <c r="AR36" s="7">
        <v>11</v>
      </c>
      <c r="AS36" s="5">
        <f t="shared" si="6"/>
        <v>46630</v>
      </c>
      <c r="AT36" s="5">
        <v>46619</v>
      </c>
      <c r="AU36" s="29"/>
      <c r="AV36" s="32">
        <f t="shared" si="57"/>
        <v>13371278.738984441</v>
      </c>
      <c r="AW36" s="32">
        <v>525047.46469953598</v>
      </c>
      <c r="AX36" s="32">
        <f t="shared" si="58"/>
        <v>213077.00178982099</v>
      </c>
      <c r="AY36" s="32">
        <f t="shared" si="7"/>
        <v>738124.46648935694</v>
      </c>
      <c r="AZ36" s="60"/>
      <c r="BA36" s="87"/>
      <c r="BB36" s="87"/>
      <c r="BC36" s="60"/>
      <c r="BD36" s="60"/>
      <c r="BE36" s="60"/>
      <c r="BG36" s="7">
        <v>11</v>
      </c>
      <c r="BH36" s="5">
        <f t="shared" si="8"/>
        <v>46752</v>
      </c>
      <c r="BI36" s="5">
        <v>46741</v>
      </c>
      <c r="BJ36" s="29"/>
      <c r="BK36" s="32">
        <f t="shared" si="59"/>
        <v>16990645.612000003</v>
      </c>
      <c r="BL36" s="32">
        <f t="shared" si="68"/>
        <v>4247661.4029999999</v>
      </c>
      <c r="BM36" s="32">
        <f t="shared" si="39"/>
        <v>322114.32306083344</v>
      </c>
      <c r="BN36" s="32">
        <v>82616.23</v>
      </c>
      <c r="BO36" s="158">
        <f t="shared" si="40"/>
        <v>4652391.9560608342</v>
      </c>
      <c r="BP36" s="104"/>
      <c r="BQ36" s="87"/>
      <c r="BR36" s="87"/>
      <c r="BS36" s="60"/>
      <c r="BT36" s="60"/>
      <c r="BU36" s="60"/>
      <c r="BW36" s="7">
        <v>11</v>
      </c>
      <c r="BX36" s="5">
        <f t="shared" si="9"/>
        <v>46691</v>
      </c>
      <c r="BY36" s="5">
        <v>46680</v>
      </c>
      <c r="BZ36" s="29"/>
      <c r="CA36" s="32">
        <f t="shared" si="41"/>
        <v>519628.21807621542</v>
      </c>
      <c r="CB36" s="32">
        <v>57736.470062537075</v>
      </c>
      <c r="CC36" s="32">
        <v>2821.4284698866022</v>
      </c>
      <c r="CD36" s="32">
        <f t="shared" si="42"/>
        <v>8852.9252181275369</v>
      </c>
      <c r="CE36" s="32">
        <v>1642.8394559018825</v>
      </c>
      <c r="CF36" s="32">
        <f t="shared" si="43"/>
        <v>71053.663206453086</v>
      </c>
      <c r="CG36" s="104"/>
      <c r="CH36" s="87"/>
      <c r="CI36" s="87"/>
      <c r="CJ36" s="60"/>
      <c r="CK36" s="60"/>
      <c r="CL36" s="60"/>
      <c r="CN36" s="7">
        <v>11</v>
      </c>
      <c r="CO36" s="5">
        <f t="shared" si="10"/>
        <v>46752</v>
      </c>
      <c r="CP36" s="5">
        <v>46735</v>
      </c>
      <c r="CQ36" s="29"/>
      <c r="CR36" s="32">
        <f t="shared" si="44"/>
        <v>730225.10999999987</v>
      </c>
      <c r="CS36" s="32">
        <v>104317.86</v>
      </c>
      <c r="CT36" s="32">
        <v>9492.9269283333251</v>
      </c>
      <c r="CU36" s="32">
        <f t="shared" si="11"/>
        <v>113810.78692833333</v>
      </c>
      <c r="CW36" s="7">
        <v>11</v>
      </c>
      <c r="CX36" s="5">
        <f t="shared" si="12"/>
        <v>46203</v>
      </c>
      <c r="CY36" s="5">
        <v>46183</v>
      </c>
      <c r="CZ36" s="29"/>
      <c r="DA36" s="32">
        <f t="shared" si="45"/>
        <v>22170937.388803095</v>
      </c>
      <c r="DB36" s="32">
        <v>349011.21</v>
      </c>
      <c r="DC36" s="32">
        <f t="shared" si="46"/>
        <v>116353.06776048266</v>
      </c>
      <c r="DD36" s="32">
        <f t="shared" si="13"/>
        <v>465364.27776048268</v>
      </c>
      <c r="DE36" s="104"/>
      <c r="DF36" s="87"/>
      <c r="DG36" s="87"/>
      <c r="DH36" s="60"/>
      <c r="DI36" s="60"/>
      <c r="DJ36" s="60"/>
      <c r="DL36" s="7">
        <v>11</v>
      </c>
      <c r="DM36" s="5">
        <f t="shared" si="14"/>
        <v>46752</v>
      </c>
      <c r="DN36" s="5">
        <v>46744</v>
      </c>
      <c r="DO36" s="29"/>
      <c r="DP36" s="32">
        <f t="shared" si="47"/>
        <v>7383304.7988674622</v>
      </c>
      <c r="DQ36" s="32">
        <v>283973.26</v>
      </c>
      <c r="DR36" s="32">
        <v>112410.82</v>
      </c>
      <c r="DS36" s="32">
        <f t="shared" si="15"/>
        <v>396384.08</v>
      </c>
      <c r="DT36" s="104"/>
      <c r="DU36" s="87"/>
      <c r="DV36" s="87"/>
      <c r="DW36" s="60"/>
      <c r="DX36" s="60"/>
      <c r="DY36" s="60"/>
      <c r="DZ36" s="64"/>
      <c r="EA36" s="7">
        <v>11</v>
      </c>
      <c r="EB36" s="5">
        <f t="shared" si="0"/>
        <v>46783</v>
      </c>
      <c r="EC36" s="5">
        <v>46757</v>
      </c>
      <c r="ED36" s="29"/>
      <c r="EE36" s="32">
        <f t="shared" si="48"/>
        <v>868874.73268659809</v>
      </c>
      <c r="EF36" s="32">
        <v>39494.31</v>
      </c>
      <c r="EG36" s="32">
        <f t="shared" si="60"/>
        <v>13510.475561558669</v>
      </c>
      <c r="EH36" s="32">
        <f t="shared" si="16"/>
        <v>53004.785561558667</v>
      </c>
      <c r="EI36" s="104"/>
      <c r="EJ36" s="87"/>
      <c r="EK36" s="87"/>
      <c r="EL36" s="60"/>
      <c r="EM36" s="60"/>
      <c r="EN36" s="60"/>
      <c r="EQ36" s="5"/>
      <c r="ER36" s="5"/>
      <c r="ES36" s="29"/>
      <c r="ET36" s="32"/>
      <c r="EU36" s="32"/>
      <c r="EV36" s="32"/>
      <c r="EW36" s="32"/>
      <c r="EY36" s="7">
        <v>11</v>
      </c>
      <c r="EZ36" s="5">
        <f t="shared" si="17"/>
        <v>46660</v>
      </c>
      <c r="FA36" s="5">
        <v>46653</v>
      </c>
      <c r="FB36" s="29"/>
      <c r="FC36" s="32">
        <f t="shared" si="49"/>
        <v>2583597.2199999997</v>
      </c>
      <c r="FD36" s="32">
        <v>40216.85</v>
      </c>
      <c r="FE36" s="32">
        <v>15843.61</v>
      </c>
      <c r="FF36" s="32"/>
      <c r="FG36" s="32">
        <f t="shared" si="50"/>
        <v>56060.46</v>
      </c>
      <c r="FJ36" s="5"/>
      <c r="FK36" s="5"/>
      <c r="FL36" s="29"/>
      <c r="FM36" s="32"/>
      <c r="FN36" s="32"/>
      <c r="FO36" s="32"/>
      <c r="FP36" s="32"/>
      <c r="FS36" s="5"/>
      <c r="FT36" s="5"/>
      <c r="FU36" s="29"/>
      <c r="FV36" s="32"/>
      <c r="FW36" s="32"/>
      <c r="FX36" s="32"/>
      <c r="FY36" s="32"/>
      <c r="GB36" s="5"/>
      <c r="GC36" s="5"/>
      <c r="GD36" s="29"/>
      <c r="GE36" s="32"/>
      <c r="GF36" s="32"/>
      <c r="GG36" s="32"/>
      <c r="GH36" s="32"/>
      <c r="GK36" s="5"/>
      <c r="GL36" s="5"/>
      <c r="GM36" s="29"/>
      <c r="GN36" s="32"/>
      <c r="GO36" s="32"/>
      <c r="GP36" s="32"/>
      <c r="GQ36" s="32"/>
      <c r="GS36" s="7">
        <v>11</v>
      </c>
      <c r="GT36" s="5">
        <f t="shared" si="26"/>
        <v>46721</v>
      </c>
      <c r="GU36" s="5">
        <v>46714</v>
      </c>
      <c r="GV36" s="29"/>
      <c r="GW36" s="32">
        <f t="shared" si="55"/>
        <v>10293.840000000044</v>
      </c>
      <c r="GX36" s="32">
        <v>30302.66</v>
      </c>
      <c r="GY36" s="32">
        <v>16975.03</v>
      </c>
      <c r="GZ36" s="32">
        <f t="shared" si="27"/>
        <v>47277.69</v>
      </c>
      <c r="HB36" s="7">
        <v>11</v>
      </c>
      <c r="HC36" s="5">
        <f t="shared" si="28"/>
        <v>46721</v>
      </c>
      <c r="HD36" s="5">
        <v>46714</v>
      </c>
      <c r="HE36" s="29"/>
      <c r="HF36" s="32">
        <v>10293.840000000044</v>
      </c>
      <c r="HG36" s="32">
        <v>30302.66</v>
      </c>
      <c r="HH36" s="32">
        <v>16975.03</v>
      </c>
      <c r="HI36" s="32">
        <v>47277.69</v>
      </c>
    </row>
    <row r="37" spans="1:217" x14ac:dyDescent="0.35">
      <c r="A37" s="7">
        <v>12</v>
      </c>
      <c r="B37" s="6">
        <f t="shared" si="1"/>
        <v>41</v>
      </c>
      <c r="C37" s="5">
        <f t="shared" si="65"/>
        <v>45936</v>
      </c>
      <c r="D37" s="29"/>
      <c r="E37" s="32">
        <f t="shared" si="29"/>
        <v>57451130.21554713</v>
      </c>
      <c r="F37" s="32">
        <f t="shared" si="66"/>
        <v>0</v>
      </c>
      <c r="G37" s="32">
        <f t="shared" si="67"/>
        <v>17581.471729598004</v>
      </c>
      <c r="H37" s="32">
        <f t="shared" si="32"/>
        <v>17581.471729598004</v>
      </c>
      <c r="I37" s="60">
        <v>0</v>
      </c>
      <c r="J37" s="60" t="s">
        <v>12</v>
      </c>
      <c r="K37" s="32"/>
      <c r="M37" s="7">
        <v>12</v>
      </c>
      <c r="N37" s="59">
        <f t="shared" si="3"/>
        <v>46630</v>
      </c>
      <c r="O37" s="59">
        <f t="shared" si="61"/>
        <v>46614</v>
      </c>
      <c r="P37" s="29"/>
      <c r="Q37" s="32">
        <f t="shared" si="4"/>
        <v>73313961.8623074</v>
      </c>
      <c r="R37" s="32">
        <f t="shared" si="62"/>
        <v>4072997.8812392987</v>
      </c>
      <c r="S37" s="32">
        <f t="shared" si="33"/>
        <v>1186600.0494010493</v>
      </c>
      <c r="T37" s="32">
        <f t="shared" si="34"/>
        <v>471550.5461533799</v>
      </c>
      <c r="U37" s="158">
        <f t="shared" si="35"/>
        <v>5731148.4767937278</v>
      </c>
      <c r="V37" s="60"/>
      <c r="W37" s="60"/>
      <c r="X37" s="60"/>
      <c r="Y37" s="60"/>
      <c r="Z37" s="60"/>
      <c r="AA37" s="60"/>
      <c r="AC37" s="90">
        <v>12</v>
      </c>
      <c r="AD37" s="5">
        <f t="shared" si="5"/>
        <v>46812</v>
      </c>
      <c r="AE37" s="5">
        <v>46785</v>
      </c>
      <c r="AF37" s="29"/>
      <c r="AG37" s="32">
        <f t="shared" si="36"/>
        <v>723500.02999999956</v>
      </c>
      <c r="AH37" s="32">
        <f t="shared" si="56"/>
        <v>51840.79</v>
      </c>
      <c r="AI37" s="32">
        <f t="shared" si="37"/>
        <v>10897.845969999995</v>
      </c>
      <c r="AJ37" s="32">
        <f t="shared" si="38"/>
        <v>62738.635969999996</v>
      </c>
      <c r="AK37" s="60"/>
      <c r="AL37" s="87"/>
      <c r="AM37" s="60"/>
      <c r="AN37" s="60"/>
      <c r="AO37" s="60"/>
      <c r="AP37" s="32"/>
      <c r="AR37" s="7">
        <v>12</v>
      </c>
      <c r="AS37" s="5">
        <f t="shared" si="6"/>
        <v>46721</v>
      </c>
      <c r="AT37" s="5">
        <v>46711</v>
      </c>
      <c r="AU37" s="29"/>
      <c r="AV37" s="32">
        <f t="shared" si="57"/>
        <v>12846231.274284905</v>
      </c>
      <c r="AW37" s="32">
        <v>525047.46469953598</v>
      </c>
      <c r="AX37" s="32">
        <f t="shared" si="58"/>
        <v>205026.27399776143</v>
      </c>
      <c r="AY37" s="32">
        <f t="shared" si="7"/>
        <v>730073.73869729741</v>
      </c>
      <c r="AZ37" s="60"/>
      <c r="BA37" s="87"/>
      <c r="BB37" s="87"/>
      <c r="BC37" s="60"/>
      <c r="BD37" s="60"/>
      <c r="BE37" s="60"/>
      <c r="BG37" s="7">
        <v>12</v>
      </c>
      <c r="BH37" s="5">
        <f t="shared" si="8"/>
        <v>46843</v>
      </c>
      <c r="BI37" s="5">
        <v>46832</v>
      </c>
      <c r="BJ37" s="29"/>
      <c r="BK37" s="32">
        <f t="shared" si="59"/>
        <v>12742984.209000003</v>
      </c>
      <c r="BL37" s="32">
        <f t="shared" si="68"/>
        <v>4247661.4029999999</v>
      </c>
      <c r="BM37" s="32">
        <f t="shared" si="39"/>
        <v>257691.4584486667</v>
      </c>
      <c r="BN37" s="32">
        <v>82616.23</v>
      </c>
      <c r="BO37" s="32">
        <f t="shared" si="40"/>
        <v>4587969.0914486675</v>
      </c>
      <c r="BP37" s="104"/>
      <c r="BQ37" s="87"/>
      <c r="BR37" s="87"/>
      <c r="BS37" s="60"/>
      <c r="BT37" s="60"/>
      <c r="BU37" s="60"/>
      <c r="BW37" s="7">
        <v>12</v>
      </c>
      <c r="BX37" s="5">
        <f t="shared" si="9"/>
        <v>46783</v>
      </c>
      <c r="BY37" s="5">
        <v>46772</v>
      </c>
      <c r="BZ37" s="29"/>
      <c r="CA37" s="32">
        <f t="shared" si="41"/>
        <v>461891.74801367836</v>
      </c>
      <c r="CB37" s="32">
        <v>57736.470062537075</v>
      </c>
      <c r="CC37" s="32">
        <v>2821.4284698866022</v>
      </c>
      <c r="CD37" s="32">
        <f t="shared" si="42"/>
        <v>7967.6326771686354</v>
      </c>
      <c r="CE37" s="32">
        <v>1642.8394559018825</v>
      </c>
      <c r="CF37" s="32">
        <f t="shared" si="43"/>
        <v>70168.370665494193</v>
      </c>
      <c r="CG37" s="104"/>
      <c r="CH37" s="87"/>
      <c r="CI37" s="87"/>
      <c r="CJ37" s="60"/>
      <c r="CK37" s="60"/>
      <c r="CL37" s="60"/>
      <c r="CN37" s="7">
        <v>12</v>
      </c>
      <c r="CO37" s="5">
        <f t="shared" si="10"/>
        <v>46843</v>
      </c>
      <c r="CP37" s="5">
        <v>46826</v>
      </c>
      <c r="CQ37" s="29"/>
      <c r="CR37" s="32">
        <f t="shared" si="44"/>
        <v>625907.24999999988</v>
      </c>
      <c r="CS37" s="32">
        <v>104317.86</v>
      </c>
      <c r="CT37" s="32">
        <v>7910.7727183333245</v>
      </c>
      <c r="CU37" s="32">
        <f t="shared" si="11"/>
        <v>112228.63271833332</v>
      </c>
      <c r="CW37" s="7">
        <v>12</v>
      </c>
      <c r="CX37" s="5">
        <f t="shared" si="12"/>
        <v>46234</v>
      </c>
      <c r="CY37" s="5">
        <v>46213</v>
      </c>
      <c r="CZ37" s="29"/>
      <c r="DA37" s="32">
        <f t="shared" si="45"/>
        <v>20587299.008803096</v>
      </c>
      <c r="DB37" s="32">
        <v>1583638.38</v>
      </c>
      <c r="DC37" s="32">
        <f t="shared" si="46"/>
        <v>110854.68694401547</v>
      </c>
      <c r="DD37" s="32">
        <f t="shared" si="13"/>
        <v>1694493.0669440154</v>
      </c>
      <c r="DE37" s="104"/>
      <c r="DF37" s="87"/>
      <c r="DG37" s="87"/>
      <c r="DH37" s="60"/>
      <c r="DI37" s="60"/>
      <c r="DJ37" s="60"/>
      <c r="DL37" s="7">
        <v>12</v>
      </c>
      <c r="DM37" s="5">
        <f t="shared" si="14"/>
        <v>46843</v>
      </c>
      <c r="DN37" s="5">
        <v>46835</v>
      </c>
      <c r="DO37" s="29"/>
      <c r="DP37" s="32">
        <f t="shared" si="47"/>
        <v>7099331.5388674624</v>
      </c>
      <c r="DQ37" s="32">
        <v>283973.26</v>
      </c>
      <c r="DR37" s="32">
        <v>108247.45</v>
      </c>
      <c r="DS37" s="32">
        <f t="shared" si="15"/>
        <v>392220.71</v>
      </c>
      <c r="DT37" s="104"/>
      <c r="DU37" s="87"/>
      <c r="DV37" s="87"/>
      <c r="DW37" s="60"/>
      <c r="DX37" s="60"/>
      <c r="DY37" s="60"/>
      <c r="DZ37" s="64"/>
      <c r="EA37" s="7">
        <v>12</v>
      </c>
      <c r="EB37" s="5">
        <f t="shared" si="0"/>
        <v>46873</v>
      </c>
      <c r="EC37" s="5">
        <v>46848</v>
      </c>
      <c r="ED37" s="29"/>
      <c r="EE37" s="32">
        <f t="shared" si="48"/>
        <v>829380.42268659803</v>
      </c>
      <c r="EF37" s="32">
        <v>39494.31</v>
      </c>
      <c r="EG37" s="32">
        <f t="shared" si="60"/>
        <v>12782.595442374335</v>
      </c>
      <c r="EH37" s="32">
        <f t="shared" si="16"/>
        <v>52276.905442374336</v>
      </c>
      <c r="EI37" s="104"/>
      <c r="EJ37" s="87"/>
      <c r="EK37" s="87"/>
      <c r="EL37" s="60"/>
      <c r="EM37" s="60"/>
      <c r="EN37" s="60"/>
      <c r="EQ37" s="5"/>
      <c r="ER37" s="5"/>
      <c r="ES37" s="29"/>
      <c r="ET37" s="32"/>
      <c r="EU37" s="32"/>
      <c r="EV37" s="32"/>
      <c r="EW37" s="32"/>
      <c r="EY37" s="7">
        <v>12</v>
      </c>
      <c r="EZ37" s="5">
        <f t="shared" si="17"/>
        <v>46752</v>
      </c>
      <c r="FA37" s="5">
        <v>46744</v>
      </c>
      <c r="FB37" s="29"/>
      <c r="FC37" s="32">
        <f t="shared" si="49"/>
        <v>2543380.3699999996</v>
      </c>
      <c r="FD37" s="32">
        <v>40216.85</v>
      </c>
      <c r="FE37" s="32">
        <v>15234.68</v>
      </c>
      <c r="FF37" s="32"/>
      <c r="FG37" s="32">
        <f t="shared" si="50"/>
        <v>55451.53</v>
      </c>
      <c r="FJ37" s="5"/>
      <c r="FK37" s="5"/>
      <c r="FL37" s="29"/>
      <c r="FM37" s="32"/>
      <c r="FN37" s="32"/>
      <c r="FO37" s="32"/>
      <c r="FP37" s="32"/>
      <c r="FS37" s="5"/>
      <c r="FT37" s="5"/>
      <c r="FU37" s="29"/>
      <c r="FV37" s="32"/>
      <c r="FW37" s="32"/>
      <c r="FX37" s="32"/>
      <c r="FY37" s="32"/>
      <c r="GB37" s="5"/>
      <c r="GC37" s="5"/>
      <c r="GD37" s="29"/>
      <c r="GE37" s="32"/>
      <c r="GF37" s="32"/>
      <c r="GG37" s="32"/>
      <c r="GH37" s="32"/>
      <c r="GK37" s="5"/>
      <c r="GL37" s="5"/>
      <c r="GM37" s="29"/>
      <c r="GN37" s="32"/>
      <c r="GO37" s="32"/>
      <c r="GP37" s="32"/>
      <c r="GQ37" s="32"/>
      <c r="GS37" s="7">
        <v>12</v>
      </c>
      <c r="GT37" s="5">
        <f t="shared" si="26"/>
        <v>46721</v>
      </c>
      <c r="GU37" s="5">
        <v>46714</v>
      </c>
      <c r="GV37" s="29"/>
      <c r="GW37" s="32">
        <f t="shared" si="55"/>
        <v>4.3655745685100555E-11</v>
      </c>
      <c r="GX37" s="32">
        <v>10293.84</v>
      </c>
      <c r="GY37" s="32"/>
      <c r="GZ37" s="32">
        <f t="shared" si="27"/>
        <v>10293.84</v>
      </c>
      <c r="HB37" s="7">
        <v>12</v>
      </c>
      <c r="HC37" s="5">
        <f t="shared" si="28"/>
        <v>46721</v>
      </c>
      <c r="HD37" s="5">
        <v>46714</v>
      </c>
      <c r="HE37" s="29"/>
      <c r="HF37" s="32">
        <v>4.3655745685100555E-11</v>
      </c>
      <c r="HG37" s="32">
        <v>10293.84</v>
      </c>
      <c r="HH37" s="32"/>
      <c r="HI37" s="32">
        <v>10293.84</v>
      </c>
    </row>
    <row r="38" spans="1:217" x14ac:dyDescent="0.35">
      <c r="A38" s="7">
        <v>13</v>
      </c>
      <c r="B38" s="6">
        <f t="shared" si="1"/>
        <v>41</v>
      </c>
      <c r="C38" s="5">
        <f t="shared" si="65"/>
        <v>45937</v>
      </c>
      <c r="D38" s="29"/>
      <c r="E38" s="32">
        <f t="shared" si="29"/>
        <v>57451130.21554713</v>
      </c>
      <c r="F38" s="32">
        <f t="shared" si="66"/>
        <v>0</v>
      </c>
      <c r="G38" s="32">
        <f t="shared" si="67"/>
        <v>0</v>
      </c>
      <c r="H38" s="32">
        <f t="shared" si="32"/>
        <v>0</v>
      </c>
      <c r="I38" s="60"/>
      <c r="J38" s="60"/>
      <c r="K38" s="32"/>
      <c r="M38" s="7">
        <v>13</v>
      </c>
      <c r="N38" s="59">
        <f t="shared" si="3"/>
        <v>46721</v>
      </c>
      <c r="O38" s="59">
        <f t="shared" si="61"/>
        <v>46706</v>
      </c>
      <c r="P38" s="29"/>
      <c r="Q38" s="32">
        <f t="shared" si="4"/>
        <v>69240963.981068105</v>
      </c>
      <c r="R38" s="32">
        <f t="shared" si="62"/>
        <v>4072997.8812392987</v>
      </c>
      <c r="S38" s="32">
        <f t="shared" si="33"/>
        <v>1124147.4152220467</v>
      </c>
      <c r="T38" s="32">
        <f t="shared" si="34"/>
        <v>471550.5461533799</v>
      </c>
      <c r="U38" s="158">
        <f t="shared" si="35"/>
        <v>5668695.8426147252</v>
      </c>
      <c r="V38" s="60"/>
      <c r="W38" s="60"/>
      <c r="X38" s="60"/>
      <c r="Y38" s="60"/>
      <c r="Z38" s="60"/>
      <c r="AA38" s="60"/>
      <c r="AC38" s="90">
        <v>13</v>
      </c>
      <c r="AD38" s="5">
        <f t="shared" si="5"/>
        <v>46904</v>
      </c>
      <c r="AE38" s="5">
        <v>46875</v>
      </c>
      <c r="AF38" s="29"/>
      <c r="AG38" s="32">
        <f t="shared" si="36"/>
        <v>671659.23999999953</v>
      </c>
      <c r="AH38" s="32">
        <f t="shared" si="56"/>
        <v>51840.79</v>
      </c>
      <c r="AI38" s="32">
        <f t="shared" si="37"/>
        <v>9948.1254124999941</v>
      </c>
      <c r="AJ38" s="32">
        <f t="shared" si="38"/>
        <v>61788.915412499991</v>
      </c>
      <c r="AK38" s="60"/>
      <c r="AL38" s="87"/>
      <c r="AM38" s="60"/>
      <c r="AN38" s="60"/>
      <c r="AO38" s="60"/>
      <c r="AP38" s="32"/>
      <c r="AR38" s="7">
        <v>13</v>
      </c>
      <c r="AS38" s="5">
        <f t="shared" si="6"/>
        <v>46812</v>
      </c>
      <c r="AT38" s="5">
        <v>46803</v>
      </c>
      <c r="AU38" s="29"/>
      <c r="AV38" s="32">
        <f t="shared" si="57"/>
        <v>12321183.809585368</v>
      </c>
      <c r="AW38" s="32">
        <v>525047.46469953598</v>
      </c>
      <c r="AX38" s="32">
        <f t="shared" si="58"/>
        <v>196975.54620570183</v>
      </c>
      <c r="AY38" s="32">
        <f t="shared" si="7"/>
        <v>722023.01090523787</v>
      </c>
      <c r="AZ38" s="60"/>
      <c r="BA38" s="87"/>
      <c r="BB38" s="87"/>
      <c r="BC38" s="60"/>
      <c r="BD38" s="60"/>
      <c r="BE38" s="60"/>
      <c r="BG38" s="7">
        <v>13</v>
      </c>
      <c r="BH38" s="5">
        <f t="shared" si="8"/>
        <v>46934</v>
      </c>
      <c r="BI38" s="5">
        <v>46924</v>
      </c>
      <c r="BJ38" s="29"/>
      <c r="BK38" s="32">
        <f t="shared" si="59"/>
        <v>8495322.8060000017</v>
      </c>
      <c r="BL38" s="32">
        <f t="shared" si="68"/>
        <v>4247661.4029999999</v>
      </c>
      <c r="BM38" s="32">
        <f t="shared" si="39"/>
        <v>195392.42453800005</v>
      </c>
      <c r="BN38" s="32">
        <v>82616.23</v>
      </c>
      <c r="BO38" s="32">
        <f t="shared" si="40"/>
        <v>4525670.0575380009</v>
      </c>
      <c r="BP38" s="104"/>
      <c r="BQ38" s="87"/>
      <c r="BR38" s="87"/>
      <c r="BS38" s="60"/>
      <c r="BT38" s="60"/>
      <c r="BU38" s="60"/>
      <c r="BW38" s="7">
        <v>13</v>
      </c>
      <c r="BX38" s="5">
        <f t="shared" si="9"/>
        <v>46873</v>
      </c>
      <c r="BY38" s="5">
        <v>46863</v>
      </c>
      <c r="BZ38" s="29"/>
      <c r="CA38" s="32">
        <f t="shared" si="41"/>
        <v>404155.2779511413</v>
      </c>
      <c r="CB38" s="32">
        <v>57736.470062537075</v>
      </c>
      <c r="CC38" s="32">
        <v>2821.4284698866022</v>
      </c>
      <c r="CD38" s="32">
        <f t="shared" si="42"/>
        <v>7005.3581782074543</v>
      </c>
      <c r="CE38" s="32">
        <v>1642.8394559018825</v>
      </c>
      <c r="CF38" s="32">
        <f t="shared" si="43"/>
        <v>69206.096166533011</v>
      </c>
      <c r="CG38" s="104"/>
      <c r="CH38" s="87"/>
      <c r="CI38" s="87"/>
      <c r="CJ38" s="60"/>
      <c r="CK38" s="60"/>
      <c r="CL38" s="60"/>
      <c r="CN38" s="7">
        <v>13</v>
      </c>
      <c r="CO38" s="5">
        <f t="shared" si="10"/>
        <v>46934</v>
      </c>
      <c r="CP38" s="5">
        <v>46918</v>
      </c>
      <c r="CQ38" s="29"/>
      <c r="CR38" s="32">
        <f t="shared" si="44"/>
        <v>521589.3899999999</v>
      </c>
      <c r="CS38" s="32">
        <v>104317.86</v>
      </c>
      <c r="CT38" s="32">
        <v>6398.1637666666584</v>
      </c>
      <c r="CU38" s="32">
        <f t="shared" si="11"/>
        <v>110716.02376666667</v>
      </c>
      <c r="CW38" s="7">
        <v>13</v>
      </c>
      <c r="CX38" s="5">
        <f t="shared" si="12"/>
        <v>46265</v>
      </c>
      <c r="CY38" s="5">
        <v>46244</v>
      </c>
      <c r="CZ38" s="29"/>
      <c r="DA38" s="32">
        <f t="shared" si="45"/>
        <v>19003660.628803097</v>
      </c>
      <c r="DB38" s="32">
        <v>1583638.38</v>
      </c>
      <c r="DC38" s="32">
        <f t="shared" si="46"/>
        <v>106367.71154548267</v>
      </c>
      <c r="DD38" s="32">
        <f t="shared" si="13"/>
        <v>1690006.0915454826</v>
      </c>
      <c r="DE38" s="104"/>
      <c r="DF38" s="87"/>
      <c r="DG38" s="87"/>
      <c r="DH38" s="60"/>
      <c r="DI38" s="60"/>
      <c r="DJ38" s="60"/>
      <c r="DL38" s="7">
        <v>13</v>
      </c>
      <c r="DM38" s="5">
        <f t="shared" si="14"/>
        <v>46934</v>
      </c>
      <c r="DN38" s="5">
        <v>46926</v>
      </c>
      <c r="DO38" s="29"/>
      <c r="DP38" s="32">
        <f t="shared" si="47"/>
        <v>6815358.2788674626</v>
      </c>
      <c r="DQ38" s="32">
        <v>283973.26</v>
      </c>
      <c r="DR38" s="32">
        <v>104084.09</v>
      </c>
      <c r="DS38" s="32">
        <f t="shared" si="15"/>
        <v>388057.35</v>
      </c>
      <c r="DT38" s="104"/>
      <c r="DU38" s="87"/>
      <c r="DV38" s="87"/>
      <c r="DW38" s="60"/>
      <c r="DX38" s="60"/>
      <c r="DY38" s="60"/>
      <c r="DZ38" s="64"/>
      <c r="EA38" s="7">
        <v>13</v>
      </c>
      <c r="EB38" s="5">
        <f t="shared" si="0"/>
        <v>46965</v>
      </c>
      <c r="EC38" s="5">
        <v>46939</v>
      </c>
      <c r="ED38" s="29"/>
      <c r="EE38" s="32">
        <f t="shared" si="48"/>
        <v>789886.11268659797</v>
      </c>
      <c r="EF38" s="32">
        <v>39494.31</v>
      </c>
      <c r="EG38" s="32">
        <f t="shared" si="60"/>
        <v>12201.568318424335</v>
      </c>
      <c r="EH38" s="32">
        <f t="shared" si="16"/>
        <v>51695.878318424337</v>
      </c>
      <c r="EI38" s="104"/>
      <c r="EJ38" s="87"/>
      <c r="EK38" s="87"/>
      <c r="EL38" s="60"/>
      <c r="EM38" s="60"/>
      <c r="EN38" s="60"/>
      <c r="EQ38" s="5"/>
      <c r="ER38" s="5"/>
      <c r="ES38" s="29"/>
      <c r="ET38" s="32"/>
      <c r="EU38" s="32"/>
      <c r="EV38" s="32"/>
      <c r="EW38" s="32"/>
      <c r="EY38" s="7">
        <v>13</v>
      </c>
      <c r="EZ38" s="5">
        <f t="shared" si="17"/>
        <v>46843</v>
      </c>
      <c r="FA38" s="5">
        <v>46835</v>
      </c>
      <c r="FB38" s="29"/>
      <c r="FC38" s="32">
        <f t="shared" si="49"/>
        <v>2503163.5199999996</v>
      </c>
      <c r="FD38" s="32">
        <v>40216.85</v>
      </c>
      <c r="FE38" s="32">
        <v>14625.74</v>
      </c>
      <c r="FF38" s="32"/>
      <c r="FG38" s="32">
        <f t="shared" si="50"/>
        <v>54842.59</v>
      </c>
      <c r="FJ38" s="5"/>
      <c r="FK38" s="5"/>
      <c r="FL38" s="29"/>
      <c r="FM38" s="32"/>
      <c r="FN38" s="32"/>
      <c r="FO38" s="32"/>
      <c r="FP38" s="32"/>
      <c r="FS38" s="5"/>
      <c r="FT38" s="5"/>
      <c r="FU38" s="29"/>
      <c r="FV38" s="32"/>
      <c r="FW38" s="32"/>
      <c r="FX38" s="32"/>
      <c r="FY38" s="32"/>
      <c r="GB38" s="5"/>
      <c r="GC38" s="5"/>
      <c r="GD38" s="29"/>
      <c r="GE38" s="32"/>
      <c r="GF38" s="32"/>
      <c r="GG38" s="32"/>
      <c r="GH38" s="32"/>
      <c r="GK38" s="5"/>
      <c r="GL38" s="5"/>
      <c r="GM38" s="29"/>
      <c r="GN38" s="32"/>
      <c r="GO38" s="32"/>
      <c r="GP38" s="32"/>
      <c r="GQ38" s="32"/>
      <c r="GT38" s="5"/>
      <c r="GU38" s="5"/>
      <c r="GV38" s="29"/>
      <c r="GW38" s="32"/>
      <c r="GX38" s="32"/>
      <c r="GY38" s="32"/>
      <c r="GZ38" s="32"/>
      <c r="HC38" s="5"/>
      <c r="HD38" s="5"/>
      <c r="HE38" s="29"/>
      <c r="HF38" s="32"/>
      <c r="HG38" s="32"/>
      <c r="HH38" s="32"/>
      <c r="HI38" s="32"/>
    </row>
    <row r="39" spans="1:217" x14ac:dyDescent="0.35">
      <c r="A39" s="7">
        <v>14</v>
      </c>
      <c r="B39" s="6">
        <f t="shared" si="1"/>
        <v>41</v>
      </c>
      <c r="C39" s="5">
        <f t="shared" si="65"/>
        <v>45938</v>
      </c>
      <c r="D39" s="29"/>
      <c r="E39" s="32">
        <f t="shared" si="29"/>
        <v>57451130.21554713</v>
      </c>
      <c r="F39" s="32">
        <f t="shared" si="66"/>
        <v>0</v>
      </c>
      <c r="G39" s="32">
        <f t="shared" si="67"/>
        <v>0</v>
      </c>
      <c r="H39" s="32">
        <f t="shared" si="32"/>
        <v>0</v>
      </c>
      <c r="I39" s="60"/>
      <c r="J39" s="60"/>
      <c r="K39" s="32"/>
      <c r="M39" s="7">
        <v>14</v>
      </c>
      <c r="N39" s="59">
        <f t="shared" si="3"/>
        <v>46812</v>
      </c>
      <c r="O39" s="59">
        <f t="shared" si="61"/>
        <v>46798</v>
      </c>
      <c r="P39" s="29"/>
      <c r="Q39" s="32">
        <f t="shared" si="4"/>
        <v>65167966.099828809</v>
      </c>
      <c r="R39" s="32">
        <f t="shared" si="62"/>
        <v>4072997.8812392987</v>
      </c>
      <c r="S39" s="32">
        <f t="shared" si="33"/>
        <v>1061694.7810430443</v>
      </c>
      <c r="T39" s="32">
        <f t="shared" si="34"/>
        <v>471550.5461533799</v>
      </c>
      <c r="U39" s="158">
        <f t="shared" si="35"/>
        <v>5606243.2084357226</v>
      </c>
      <c r="V39" s="60"/>
      <c r="W39" s="60"/>
      <c r="X39" s="60"/>
      <c r="Y39" s="60"/>
      <c r="Z39" s="60"/>
      <c r="AA39" s="60"/>
      <c r="AC39" s="90">
        <v>14</v>
      </c>
      <c r="AD39" s="5">
        <f t="shared" si="5"/>
        <v>46996</v>
      </c>
      <c r="AE39" s="5">
        <v>46967</v>
      </c>
      <c r="AF39" s="29"/>
      <c r="AG39" s="32">
        <f t="shared" si="36"/>
        <v>619818.44999999949</v>
      </c>
      <c r="AH39" s="32">
        <f t="shared" si="56"/>
        <v>51840.79</v>
      </c>
      <c r="AI39" s="32">
        <f t="shared" si="37"/>
        <v>9440.5437622222162</v>
      </c>
      <c r="AJ39" s="32">
        <f t="shared" si="38"/>
        <v>61281.333762222217</v>
      </c>
      <c r="AK39" s="60"/>
      <c r="AL39" s="87"/>
      <c r="AM39" s="60"/>
      <c r="AN39" s="60"/>
      <c r="AO39" s="60"/>
      <c r="AP39" s="32"/>
      <c r="AR39" s="7">
        <v>14</v>
      </c>
      <c r="AS39" s="5">
        <f t="shared" si="6"/>
        <v>46904</v>
      </c>
      <c r="AT39" s="5">
        <v>46893</v>
      </c>
      <c r="AU39" s="29"/>
      <c r="AV39" s="32">
        <f t="shared" si="57"/>
        <v>11796136.344885832</v>
      </c>
      <c r="AW39" s="32">
        <v>525047.46469953598</v>
      </c>
      <c r="AX39" s="32">
        <f t="shared" si="58"/>
        <v>184817.75714378053</v>
      </c>
      <c r="AY39" s="32">
        <f t="shared" si="7"/>
        <v>709865.22184331645</v>
      </c>
      <c r="AZ39" s="60"/>
      <c r="BA39" s="87"/>
      <c r="BB39" s="87"/>
      <c r="BC39" s="60"/>
      <c r="BD39" s="60"/>
      <c r="BE39" s="60"/>
      <c r="BG39" s="7">
        <v>14</v>
      </c>
      <c r="BH39" s="5">
        <f t="shared" si="8"/>
        <v>47026</v>
      </c>
      <c r="BI39" s="5">
        <v>47016</v>
      </c>
      <c r="BJ39" s="29"/>
      <c r="BK39" s="32">
        <f t="shared" si="59"/>
        <v>4247661.4030000018</v>
      </c>
      <c r="BL39" s="32">
        <f t="shared" si="68"/>
        <v>4247661.4029999999</v>
      </c>
      <c r="BM39" s="32">
        <f t="shared" si="39"/>
        <v>130261.61635866668</v>
      </c>
      <c r="BN39" s="32">
        <v>82616.23</v>
      </c>
      <c r="BO39" s="32">
        <f t="shared" si="40"/>
        <v>4460539.2493586671</v>
      </c>
      <c r="BP39" s="104"/>
      <c r="BQ39" s="87"/>
      <c r="BR39" s="87"/>
      <c r="BS39" s="60"/>
      <c r="BT39" s="60"/>
      <c r="BU39" s="60"/>
      <c r="BW39" s="7">
        <v>14</v>
      </c>
      <c r="BX39" s="5">
        <f t="shared" si="9"/>
        <v>46965</v>
      </c>
      <c r="BY39" s="5">
        <v>46954</v>
      </c>
      <c r="BZ39" s="29"/>
      <c r="CA39" s="32">
        <f t="shared" si="41"/>
        <v>346418.80788860423</v>
      </c>
      <c r="CB39" s="32">
        <v>57736.470062537075</v>
      </c>
      <c r="CC39" s="32">
        <v>2821.4284698866022</v>
      </c>
      <c r="CD39" s="32">
        <f t="shared" si="42"/>
        <v>6129.6883822589762</v>
      </c>
      <c r="CE39" s="32">
        <v>1642.8394559018825</v>
      </c>
      <c r="CF39" s="32">
        <f t="shared" si="43"/>
        <v>68330.426370584537</v>
      </c>
      <c r="CG39" s="104"/>
      <c r="CH39" s="87"/>
      <c r="CI39" s="87"/>
      <c r="CJ39" s="60"/>
      <c r="CK39" s="60"/>
      <c r="CL39" s="60"/>
      <c r="CN39" s="7">
        <v>14</v>
      </c>
      <c r="CO39" s="5">
        <f t="shared" si="10"/>
        <v>47026</v>
      </c>
      <c r="CP39" s="5">
        <v>47010</v>
      </c>
      <c r="CQ39" s="29"/>
      <c r="CR39" s="32">
        <f t="shared" si="44"/>
        <v>417271.52999999991</v>
      </c>
      <c r="CS39" s="32">
        <v>104317.86</v>
      </c>
      <c r="CT39" s="32">
        <v>4798.6232466666588</v>
      </c>
      <c r="CU39" s="32">
        <f t="shared" si="11"/>
        <v>109116.48324666666</v>
      </c>
      <c r="CW39" s="7">
        <v>14</v>
      </c>
      <c r="CX39" s="5">
        <f t="shared" si="12"/>
        <v>46295</v>
      </c>
      <c r="CY39" s="5">
        <v>46275</v>
      </c>
      <c r="CZ39" s="29"/>
      <c r="DA39" s="32">
        <f t="shared" si="45"/>
        <v>17420022.248803098</v>
      </c>
      <c r="DB39" s="32">
        <v>1583638.38</v>
      </c>
      <c r="DC39" s="32">
        <f t="shared" si="46"/>
        <v>98185.579915482682</v>
      </c>
      <c r="DD39" s="32">
        <f t="shared" si="13"/>
        <v>1681823.9599154827</v>
      </c>
      <c r="DE39" s="104"/>
      <c r="DF39" s="87"/>
      <c r="DG39" s="87"/>
      <c r="DH39" s="60"/>
      <c r="DI39" s="60"/>
      <c r="DJ39" s="60"/>
      <c r="DL39" s="7">
        <v>14</v>
      </c>
      <c r="DM39" s="5">
        <f t="shared" si="14"/>
        <v>47026</v>
      </c>
      <c r="DN39" s="5">
        <v>47017</v>
      </c>
      <c r="DO39" s="29"/>
      <c r="DP39" s="32">
        <f t="shared" si="47"/>
        <v>6531385.0188674629</v>
      </c>
      <c r="DQ39" s="32">
        <v>283973.26</v>
      </c>
      <c r="DR39" s="32">
        <v>99920.72</v>
      </c>
      <c r="DS39" s="32">
        <f t="shared" si="15"/>
        <v>383893.98</v>
      </c>
      <c r="DT39" s="104"/>
      <c r="DU39" s="87"/>
      <c r="DV39" s="87"/>
      <c r="DW39" s="60"/>
      <c r="DX39" s="60"/>
      <c r="DY39" s="60"/>
      <c r="DZ39" s="64"/>
      <c r="EA39" s="7">
        <v>14</v>
      </c>
      <c r="EB39" s="5">
        <f t="shared" si="0"/>
        <v>47057</v>
      </c>
      <c r="EC39" s="5">
        <v>47031</v>
      </c>
      <c r="ED39" s="29"/>
      <c r="EE39" s="32">
        <f t="shared" si="48"/>
        <v>750391.80268659792</v>
      </c>
      <c r="EF39" s="32">
        <v>39494.31</v>
      </c>
      <c r="EG39" s="32">
        <f t="shared" si="60"/>
        <v>11748.239449358667</v>
      </c>
      <c r="EH39" s="32">
        <f t="shared" si="16"/>
        <v>51242.549449358667</v>
      </c>
      <c r="EI39" s="104"/>
      <c r="EJ39" s="87"/>
      <c r="EK39" s="87"/>
      <c r="EL39" s="60"/>
      <c r="EM39" s="60"/>
      <c r="EN39" s="60"/>
      <c r="EQ39" s="5"/>
      <c r="ER39" s="5"/>
      <c r="ES39" s="29"/>
      <c r="ET39" s="32"/>
      <c r="EU39" s="32"/>
      <c r="EV39" s="32"/>
      <c r="EW39" s="32"/>
      <c r="EY39" s="7">
        <v>14</v>
      </c>
      <c r="EZ39" s="5">
        <f t="shared" si="17"/>
        <v>46934</v>
      </c>
      <c r="FA39" s="5">
        <v>46926</v>
      </c>
      <c r="FB39" s="61"/>
      <c r="FC39" s="32">
        <f t="shared" si="49"/>
        <v>2462946.6699999995</v>
      </c>
      <c r="FD39" s="32">
        <v>40216.85</v>
      </c>
      <c r="FE39" s="32">
        <v>14016.8</v>
      </c>
      <c r="FF39" s="32"/>
      <c r="FG39" s="32">
        <f t="shared" si="50"/>
        <v>54233.649999999994</v>
      </c>
      <c r="FJ39" s="5"/>
      <c r="FK39" s="5"/>
      <c r="FL39" s="29"/>
      <c r="FM39" s="32"/>
      <c r="FN39" s="32"/>
      <c r="FO39" s="32"/>
      <c r="FP39" s="32"/>
      <c r="FS39" s="5"/>
      <c r="FT39" s="5"/>
      <c r="FU39" s="29"/>
      <c r="FV39" s="32"/>
      <c r="FW39" s="32"/>
      <c r="FX39" s="32"/>
      <c r="FY39" s="32"/>
      <c r="GB39" s="5"/>
      <c r="GC39" s="5"/>
      <c r="GD39" s="29"/>
      <c r="GE39" s="32"/>
      <c r="GF39" s="32"/>
      <c r="GG39" s="32"/>
      <c r="GH39" s="32"/>
      <c r="GK39" s="5"/>
      <c r="GL39" s="5"/>
      <c r="GM39" s="29"/>
      <c r="GN39" s="32"/>
      <c r="GO39" s="32"/>
      <c r="GP39" s="32"/>
      <c r="GQ39" s="32"/>
      <c r="GT39" s="5"/>
      <c r="GU39" s="5"/>
      <c r="GV39" s="29"/>
      <c r="GW39" s="32"/>
      <c r="GX39" s="32"/>
      <c r="GY39" s="32"/>
      <c r="GZ39" s="32"/>
      <c r="HC39" s="5"/>
      <c r="HD39" s="5"/>
      <c r="HE39" s="29"/>
      <c r="HF39" s="32"/>
      <c r="HG39" s="32"/>
      <c r="HH39" s="32"/>
      <c r="HI39" s="32"/>
    </row>
    <row r="40" spans="1:217" x14ac:dyDescent="0.35">
      <c r="A40" s="7">
        <v>15</v>
      </c>
      <c r="B40" s="6">
        <f t="shared" si="1"/>
        <v>41</v>
      </c>
      <c r="C40" s="5">
        <f t="shared" si="65"/>
        <v>45939</v>
      </c>
      <c r="D40" s="29"/>
      <c r="E40" s="32">
        <f t="shared" si="29"/>
        <v>57451130.21554713</v>
      </c>
      <c r="F40" s="32">
        <f t="shared" si="66"/>
        <v>0</v>
      </c>
      <c r="G40" s="32">
        <f t="shared" si="67"/>
        <v>0</v>
      </c>
      <c r="H40" s="32">
        <f t="shared" si="32"/>
        <v>0</v>
      </c>
      <c r="I40" s="60"/>
      <c r="J40" s="60"/>
      <c r="K40" s="32"/>
      <c r="M40" s="7">
        <v>15</v>
      </c>
      <c r="N40" s="59">
        <f t="shared" si="3"/>
        <v>46904</v>
      </c>
      <c r="O40" s="59">
        <f t="shared" si="61"/>
        <v>46888</v>
      </c>
      <c r="P40" s="29"/>
      <c r="Q40" s="32">
        <f t="shared" si="4"/>
        <v>61094968.218589514</v>
      </c>
      <c r="R40" s="32">
        <f t="shared" si="62"/>
        <v>4072997.8812392987</v>
      </c>
      <c r="S40" s="32">
        <f t="shared" si="33"/>
        <v>977519.49149743223</v>
      </c>
      <c r="T40" s="32">
        <f t="shared" si="34"/>
        <v>471550.5461533799</v>
      </c>
      <c r="U40" s="158">
        <f t="shared" si="35"/>
        <v>5522067.9188901102</v>
      </c>
      <c r="V40" s="60"/>
      <c r="W40" s="60"/>
      <c r="X40" s="60"/>
      <c r="Y40" s="60"/>
      <c r="Z40" s="60"/>
      <c r="AA40" s="60"/>
      <c r="AC40" s="90">
        <v>15</v>
      </c>
      <c r="AD40" s="5">
        <f t="shared" si="5"/>
        <v>47087</v>
      </c>
      <c r="AE40" s="5">
        <v>47059</v>
      </c>
      <c r="AF40" s="29"/>
      <c r="AG40" s="32">
        <f t="shared" si="36"/>
        <v>567977.65999999945</v>
      </c>
      <c r="AH40" s="32">
        <f t="shared" si="56"/>
        <v>51840.79</v>
      </c>
      <c r="AI40" s="32">
        <f t="shared" si="37"/>
        <v>8711.8926583333268</v>
      </c>
      <c r="AJ40" s="32">
        <f t="shared" si="38"/>
        <v>60552.682658333331</v>
      </c>
      <c r="AK40" s="60"/>
      <c r="AL40" s="87"/>
      <c r="AM40" s="60"/>
      <c r="AN40" s="60"/>
      <c r="AO40" s="60"/>
      <c r="AP40" s="32"/>
      <c r="AR40" s="7">
        <v>15</v>
      </c>
      <c r="AS40" s="5">
        <f t="shared" si="6"/>
        <v>46996</v>
      </c>
      <c r="AT40" s="5">
        <v>46985</v>
      </c>
      <c r="AU40" s="29"/>
      <c r="AV40" s="32">
        <f t="shared" si="57"/>
        <v>11271088.880186295</v>
      </c>
      <c r="AW40" s="32">
        <v>525047.46469953598</v>
      </c>
      <c r="AX40" s="32">
        <f t="shared" si="58"/>
        <v>180874.09062158276</v>
      </c>
      <c r="AY40" s="32">
        <f t="shared" si="7"/>
        <v>705921.55532111879</v>
      </c>
      <c r="AZ40" s="60"/>
      <c r="BA40" s="87"/>
      <c r="BB40" s="87"/>
      <c r="BC40" s="60"/>
      <c r="BD40" s="60"/>
      <c r="BE40" s="60"/>
      <c r="BG40" s="7">
        <v>15</v>
      </c>
      <c r="BH40" s="5">
        <f t="shared" si="8"/>
        <v>47118</v>
      </c>
      <c r="BI40" s="5">
        <v>47107</v>
      </c>
      <c r="BJ40" s="29"/>
      <c r="BK40" s="32">
        <f t="shared" si="59"/>
        <v>0</v>
      </c>
      <c r="BL40" s="32">
        <f t="shared" si="68"/>
        <v>4247661.4029999999</v>
      </c>
      <c r="BM40" s="32">
        <f t="shared" si="39"/>
        <v>64422.86461216669</v>
      </c>
      <c r="BN40" s="32">
        <v>82616.23</v>
      </c>
      <c r="BO40" s="32">
        <f t="shared" si="40"/>
        <v>4394700.4976121671</v>
      </c>
      <c r="BP40" s="104"/>
      <c r="BQ40" s="87"/>
      <c r="BR40" s="87"/>
      <c r="BS40" s="60"/>
      <c r="BT40" s="60"/>
      <c r="BU40" s="60"/>
      <c r="BW40" s="7">
        <v>15</v>
      </c>
      <c r="BX40" s="5">
        <f t="shared" si="9"/>
        <v>47057</v>
      </c>
      <c r="BY40" s="5">
        <v>47046</v>
      </c>
      <c r="BZ40" s="29"/>
      <c r="CA40" s="32">
        <f t="shared" si="41"/>
        <v>288682.33782606717</v>
      </c>
      <c r="CB40" s="32">
        <v>57736.470062537075</v>
      </c>
      <c r="CC40" s="32">
        <v>2821.4284698866022</v>
      </c>
      <c r="CD40" s="32">
        <f t="shared" si="42"/>
        <v>5311.7550542919316</v>
      </c>
      <c r="CE40" s="32">
        <v>1642.8394559018825</v>
      </c>
      <c r="CF40" s="32">
        <f t="shared" si="43"/>
        <v>67512.493042617483</v>
      </c>
      <c r="CG40" s="104"/>
      <c r="CH40" s="87"/>
      <c r="CI40" s="87"/>
      <c r="CJ40" s="60"/>
      <c r="CK40" s="60"/>
      <c r="CL40" s="60"/>
      <c r="CN40" s="7">
        <v>15</v>
      </c>
      <c r="CO40" s="5">
        <f t="shared" si="10"/>
        <v>47118</v>
      </c>
      <c r="CP40" s="5">
        <v>47101</v>
      </c>
      <c r="CQ40" s="29"/>
      <c r="CR40" s="32">
        <f t="shared" si="44"/>
        <v>312953.66999999993</v>
      </c>
      <c r="CS40" s="32">
        <v>104317.86</v>
      </c>
      <c r="CT40" s="32">
        <v>3164.310088333325</v>
      </c>
      <c r="CU40" s="32">
        <f t="shared" si="11"/>
        <v>107482.17008833333</v>
      </c>
      <c r="CW40" s="7">
        <v>15</v>
      </c>
      <c r="CX40" s="5">
        <f t="shared" si="12"/>
        <v>46326</v>
      </c>
      <c r="CY40" s="5">
        <v>46305</v>
      </c>
      <c r="CZ40" s="29"/>
      <c r="DA40" s="32">
        <f t="shared" si="45"/>
        <v>15836383.868803099</v>
      </c>
      <c r="DB40" s="32">
        <v>1583638.38</v>
      </c>
      <c r="DC40" s="32">
        <f t="shared" si="46"/>
        <v>87100.111244015483</v>
      </c>
      <c r="DD40" s="32">
        <f t="shared" si="13"/>
        <v>1670738.4912440153</v>
      </c>
      <c r="DE40" s="104"/>
      <c r="DF40" s="87"/>
      <c r="DG40" s="87"/>
      <c r="DH40" s="60"/>
      <c r="DI40" s="60"/>
      <c r="DJ40" s="60"/>
      <c r="DL40" s="7">
        <v>15</v>
      </c>
      <c r="DM40" s="5">
        <f t="shared" si="14"/>
        <v>47118</v>
      </c>
      <c r="DN40" s="5">
        <v>47108</v>
      </c>
      <c r="DO40" s="29"/>
      <c r="DP40" s="32">
        <f t="shared" si="47"/>
        <v>6247411.7588674631</v>
      </c>
      <c r="DQ40" s="32">
        <v>283973.26</v>
      </c>
      <c r="DR40" s="32">
        <v>95757.36</v>
      </c>
      <c r="DS40" s="32">
        <f t="shared" si="15"/>
        <v>379730.62</v>
      </c>
      <c r="DT40" s="104"/>
      <c r="DU40" s="87"/>
      <c r="DV40" s="87"/>
      <c r="DW40" s="60"/>
      <c r="DX40" s="60"/>
      <c r="DY40" s="60"/>
      <c r="DZ40" s="64"/>
      <c r="EA40" s="7">
        <v>15</v>
      </c>
      <c r="EB40" s="5">
        <f t="shared" si="0"/>
        <v>47149</v>
      </c>
      <c r="EC40" s="5">
        <v>47123</v>
      </c>
      <c r="ED40" s="29"/>
      <c r="EE40" s="32">
        <f t="shared" si="48"/>
        <v>710897.49268659786</v>
      </c>
      <c r="EF40" s="32">
        <v>39494.31</v>
      </c>
      <c r="EG40" s="32">
        <f t="shared" si="60"/>
        <v>11160.827411958668</v>
      </c>
      <c r="EH40" s="32">
        <f t="shared" si="16"/>
        <v>50655.137411958669</v>
      </c>
      <c r="EI40" s="104"/>
      <c r="EJ40" s="87"/>
      <c r="EK40" s="87"/>
      <c r="EL40" s="60"/>
      <c r="EM40" s="60"/>
      <c r="EN40" s="60"/>
      <c r="EQ40" s="5"/>
      <c r="ER40" s="5"/>
      <c r="ES40" s="29"/>
      <c r="ET40" s="32"/>
      <c r="EU40" s="32"/>
      <c r="EV40" s="32"/>
      <c r="EW40" s="32"/>
      <c r="EY40" s="7">
        <v>15</v>
      </c>
      <c r="EZ40" s="5">
        <f t="shared" si="17"/>
        <v>47026</v>
      </c>
      <c r="FA40" s="5">
        <v>47017</v>
      </c>
      <c r="FB40" s="61"/>
      <c r="FC40" s="32">
        <f t="shared" si="49"/>
        <v>2422729.8199999994</v>
      </c>
      <c r="FD40" s="32">
        <v>40216.85</v>
      </c>
      <c r="FE40" s="32">
        <v>13407.86</v>
      </c>
      <c r="FF40" s="32"/>
      <c r="FG40" s="32">
        <f t="shared" si="50"/>
        <v>53624.71</v>
      </c>
      <c r="FJ40" s="5"/>
      <c r="FK40" s="5"/>
      <c r="FL40" s="29"/>
      <c r="FM40" s="32"/>
      <c r="FN40" s="32"/>
      <c r="FO40" s="32"/>
      <c r="FP40" s="32"/>
      <c r="FS40" s="5"/>
      <c r="FT40" s="5"/>
      <c r="FU40" s="29"/>
      <c r="FV40" s="32"/>
      <c r="FW40" s="32"/>
      <c r="FX40" s="32"/>
      <c r="FY40" s="32"/>
      <c r="GB40" s="5"/>
      <c r="GC40" s="5"/>
      <c r="GD40" s="29"/>
      <c r="GE40" s="32"/>
      <c r="GF40" s="32"/>
      <c r="GG40" s="32"/>
      <c r="GH40" s="32"/>
      <c r="GK40" s="5"/>
      <c r="GL40" s="5"/>
      <c r="GM40" s="29"/>
      <c r="GN40" s="32"/>
      <c r="GO40" s="32"/>
      <c r="GP40" s="32"/>
      <c r="GQ40" s="32"/>
      <c r="GT40" s="5"/>
      <c r="GU40" s="5"/>
      <c r="GV40" s="29"/>
      <c r="GW40" s="32"/>
      <c r="GX40" s="32"/>
      <c r="GY40" s="32"/>
      <c r="GZ40" s="32"/>
      <c r="HC40" s="5"/>
      <c r="HD40" s="5"/>
      <c r="HE40" s="29"/>
      <c r="HF40" s="32"/>
      <c r="HG40" s="32"/>
      <c r="HH40" s="32"/>
      <c r="HI40" s="32"/>
    </row>
    <row r="41" spans="1:217" x14ac:dyDescent="0.35">
      <c r="A41" s="7">
        <v>16</v>
      </c>
      <c r="B41" s="6">
        <f t="shared" si="1"/>
        <v>41</v>
      </c>
      <c r="C41" s="5">
        <f t="shared" si="65"/>
        <v>45940</v>
      </c>
      <c r="D41" s="29"/>
      <c r="E41" s="32">
        <f t="shared" si="29"/>
        <v>57102119.005547129</v>
      </c>
      <c r="F41" s="32">
        <f t="shared" si="66"/>
        <v>349011.21</v>
      </c>
      <c r="G41" s="32">
        <f t="shared" si="67"/>
        <v>126560.19139401551</v>
      </c>
      <c r="H41" s="32">
        <f t="shared" si="32"/>
        <v>475571.40139401553</v>
      </c>
      <c r="I41" s="60">
        <v>0</v>
      </c>
      <c r="J41" s="60" t="s">
        <v>63</v>
      </c>
      <c r="K41" s="32"/>
      <c r="M41" s="7">
        <v>16</v>
      </c>
      <c r="N41" s="59">
        <f t="shared" si="3"/>
        <v>46996</v>
      </c>
      <c r="O41" s="59">
        <f t="shared" si="61"/>
        <v>46980</v>
      </c>
      <c r="P41" s="29"/>
      <c r="Q41" s="32">
        <f t="shared" si="4"/>
        <v>57021970.337350219</v>
      </c>
      <c r="R41" s="32">
        <f t="shared" si="62"/>
        <v>4072997.8812392987</v>
      </c>
      <c r="S41" s="32">
        <f t="shared" si="33"/>
        <v>936789.5126850392</v>
      </c>
      <c r="T41" s="32">
        <f t="shared" si="34"/>
        <v>471550.5461533799</v>
      </c>
      <c r="U41" s="158">
        <f t="shared" si="35"/>
        <v>5481337.9400777174</v>
      </c>
      <c r="V41" s="60"/>
      <c r="W41" s="60"/>
      <c r="X41" s="60"/>
      <c r="Y41" s="60"/>
      <c r="Z41" s="60"/>
      <c r="AA41" s="60"/>
      <c r="AC41" s="90">
        <v>16</v>
      </c>
      <c r="AD41" s="5">
        <f t="shared" si="5"/>
        <v>47177</v>
      </c>
      <c r="AE41" s="5">
        <v>47151</v>
      </c>
      <c r="AF41" s="29"/>
      <c r="AG41" s="32">
        <f t="shared" si="36"/>
        <v>516136.86999999947</v>
      </c>
      <c r="AH41" s="32">
        <f t="shared" si="56"/>
        <v>51840.79</v>
      </c>
      <c r="AI41" s="32">
        <f t="shared" si="37"/>
        <v>7983.2415544444375</v>
      </c>
      <c r="AJ41" s="32">
        <f t="shared" si="38"/>
        <v>59824.031554444438</v>
      </c>
      <c r="AK41" s="60"/>
      <c r="AL41" s="60"/>
      <c r="AM41" s="60"/>
      <c r="AN41" s="60"/>
      <c r="AO41" s="60"/>
      <c r="AP41" s="32"/>
      <c r="AR41" s="7">
        <v>16</v>
      </c>
      <c r="AS41" s="5">
        <f t="shared" si="6"/>
        <v>47087</v>
      </c>
      <c r="AT41" s="5">
        <v>47077</v>
      </c>
      <c r="AU41" s="29"/>
      <c r="AV41" s="32">
        <f t="shared" si="57"/>
        <v>10746041.415486759</v>
      </c>
      <c r="AW41" s="32">
        <v>525047.46469953598</v>
      </c>
      <c r="AX41" s="32">
        <f t="shared" si="58"/>
        <v>172823.36282952319</v>
      </c>
      <c r="AY41" s="32">
        <f t="shared" si="7"/>
        <v>697870.82752905914</v>
      </c>
      <c r="AZ41" s="60"/>
      <c r="BA41" s="60"/>
      <c r="BB41" s="60"/>
      <c r="BC41" s="60"/>
      <c r="BD41" s="60"/>
      <c r="BE41" s="60"/>
      <c r="BH41" s="5"/>
      <c r="BI41" s="5"/>
      <c r="BJ41" s="29"/>
      <c r="BK41" s="32"/>
      <c r="BL41" s="32"/>
      <c r="BM41" s="32"/>
      <c r="BN41" s="32"/>
      <c r="BO41" s="32"/>
      <c r="BP41" s="104"/>
      <c r="BQ41" s="60"/>
      <c r="BR41" s="60"/>
      <c r="BS41" s="60"/>
      <c r="BT41" s="60"/>
      <c r="BU41" s="60"/>
      <c r="BW41" s="7">
        <v>16</v>
      </c>
      <c r="BX41" s="5">
        <f t="shared" si="9"/>
        <v>47149</v>
      </c>
      <c r="BY41" s="5">
        <v>47138</v>
      </c>
      <c r="BZ41" s="29"/>
      <c r="CA41" s="32">
        <f t="shared" si="41"/>
        <v>230945.86776353011</v>
      </c>
      <c r="CB41" s="32">
        <v>57736.470062537075</v>
      </c>
      <c r="CC41" s="32">
        <v>2821.4284698866022</v>
      </c>
      <c r="CD41" s="32">
        <f t="shared" si="42"/>
        <v>4426.4625133330301</v>
      </c>
      <c r="CE41" s="32">
        <v>1642.8394559018825</v>
      </c>
      <c r="CF41" s="32">
        <f t="shared" si="43"/>
        <v>66627.20050165859</v>
      </c>
      <c r="CG41" s="104"/>
      <c r="CH41" s="60"/>
      <c r="CI41" s="60"/>
      <c r="CJ41" s="60"/>
      <c r="CK41" s="60"/>
      <c r="CL41" s="60"/>
      <c r="CN41" s="7">
        <v>16</v>
      </c>
      <c r="CO41" s="5">
        <f t="shared" si="10"/>
        <v>47208</v>
      </c>
      <c r="CP41" s="5">
        <v>47191</v>
      </c>
      <c r="CQ41" s="29"/>
      <c r="CR41" s="32">
        <f t="shared" si="44"/>
        <v>208635.69999999992</v>
      </c>
      <c r="CS41" s="32">
        <v>104317.97</v>
      </c>
      <c r="CT41" s="32">
        <v>1564.7695499999925</v>
      </c>
      <c r="CU41" s="32">
        <f t="shared" si="11"/>
        <v>105882.73955</v>
      </c>
      <c r="CW41" s="7">
        <v>16</v>
      </c>
      <c r="CX41" s="5">
        <f t="shared" si="12"/>
        <v>46356</v>
      </c>
      <c r="CY41" s="5">
        <v>46336</v>
      </c>
      <c r="CZ41" s="29"/>
      <c r="DA41" s="32">
        <f t="shared" si="45"/>
        <v>14252745.4888031</v>
      </c>
      <c r="DB41" s="32">
        <v>1583638.38</v>
      </c>
      <c r="DC41" s="32">
        <f t="shared" si="46"/>
        <v>81821.316655482675</v>
      </c>
      <c r="DD41" s="32">
        <f t="shared" si="13"/>
        <v>1665459.6966554825</v>
      </c>
      <c r="DE41" s="104"/>
      <c r="DF41" s="60"/>
      <c r="DG41" s="60"/>
      <c r="DH41" s="60"/>
      <c r="DI41" s="60"/>
      <c r="DJ41" s="60"/>
      <c r="DL41" s="7">
        <v>16</v>
      </c>
      <c r="DM41" s="5">
        <f t="shared" si="14"/>
        <v>47208</v>
      </c>
      <c r="DN41" s="5">
        <v>47199</v>
      </c>
      <c r="DO41" s="29"/>
      <c r="DP41" s="32">
        <f t="shared" si="47"/>
        <v>5963438.4988674633</v>
      </c>
      <c r="DQ41" s="32">
        <v>283973.26</v>
      </c>
      <c r="DR41" s="32">
        <v>91594</v>
      </c>
      <c r="DS41" s="32">
        <f t="shared" si="15"/>
        <v>375567.26</v>
      </c>
      <c r="DT41" s="104"/>
      <c r="DU41" s="60"/>
      <c r="DV41" s="60"/>
      <c r="DW41" s="60"/>
      <c r="DX41" s="60"/>
      <c r="DY41" s="60"/>
      <c r="DZ41" s="64"/>
      <c r="EA41" s="7">
        <v>16</v>
      </c>
      <c r="EB41" s="5">
        <f t="shared" si="0"/>
        <v>47238</v>
      </c>
      <c r="EC41" s="5">
        <v>47213</v>
      </c>
      <c r="ED41" s="29"/>
      <c r="EE41" s="32">
        <f t="shared" si="48"/>
        <v>671403.18268659781</v>
      </c>
      <c r="EF41" s="32">
        <v>39494.31</v>
      </c>
      <c r="EG41" s="32">
        <f t="shared" si="60"/>
        <v>10343.55851859</v>
      </c>
      <c r="EH41" s="32">
        <f t="shared" si="16"/>
        <v>49837.868518589996</v>
      </c>
      <c r="EI41" s="104"/>
      <c r="EJ41" s="60"/>
      <c r="EK41" s="60"/>
      <c r="EL41" s="60"/>
      <c r="EM41" s="60"/>
      <c r="EN41" s="60"/>
      <c r="EQ41" s="5"/>
      <c r="ER41" s="5"/>
      <c r="ES41" s="29"/>
      <c r="ET41" s="32"/>
      <c r="EU41" s="32"/>
      <c r="EV41" s="32"/>
      <c r="EW41" s="32"/>
      <c r="EY41" s="7">
        <v>16</v>
      </c>
      <c r="EZ41" s="5">
        <f t="shared" si="17"/>
        <v>47118</v>
      </c>
      <c r="FA41" s="5">
        <v>47108</v>
      </c>
      <c r="FB41" s="61"/>
      <c r="FC41" s="32">
        <f t="shared" si="49"/>
        <v>2382512.9699999993</v>
      </c>
      <c r="FD41" s="32">
        <v>40216.85</v>
      </c>
      <c r="FE41" s="32">
        <v>12798.92</v>
      </c>
      <c r="FF41" s="32"/>
      <c r="FG41" s="32">
        <f t="shared" si="50"/>
        <v>53015.77</v>
      </c>
      <c r="FJ41" s="5"/>
      <c r="FK41" s="5"/>
      <c r="FL41" s="29"/>
      <c r="FM41" s="32"/>
      <c r="FN41" s="32"/>
      <c r="FO41" s="32"/>
      <c r="FP41" s="32"/>
      <c r="FS41" s="5"/>
      <c r="FT41" s="5"/>
      <c r="FU41" s="29"/>
      <c r="FV41" s="32"/>
      <c r="FW41" s="32"/>
      <c r="FX41" s="32"/>
      <c r="FY41" s="32"/>
      <c r="GB41" s="5"/>
      <c r="GC41" s="5"/>
      <c r="GD41" s="29"/>
      <c r="GE41" s="32"/>
      <c r="GF41" s="32"/>
      <c r="GG41" s="32"/>
      <c r="GH41" s="32"/>
      <c r="GK41" s="5"/>
      <c r="GL41" s="5"/>
      <c r="GM41" s="29"/>
      <c r="GN41" s="32"/>
      <c r="GO41" s="32"/>
      <c r="GP41" s="32"/>
      <c r="GQ41" s="32"/>
      <c r="GT41" s="5"/>
      <c r="GU41" s="5"/>
      <c r="GV41" s="29"/>
      <c r="GW41" s="32"/>
      <c r="GX41" s="32"/>
      <c r="GY41" s="32"/>
      <c r="GZ41" s="32"/>
      <c r="HC41" s="5"/>
      <c r="HD41" s="5"/>
      <c r="HE41" s="29"/>
      <c r="HF41" s="32"/>
      <c r="HG41" s="32"/>
      <c r="HH41" s="32"/>
      <c r="HI41" s="32"/>
    </row>
    <row r="42" spans="1:217" x14ac:dyDescent="0.35">
      <c r="A42" s="7">
        <v>17</v>
      </c>
      <c r="B42" s="6">
        <f t="shared" si="1"/>
        <v>41</v>
      </c>
      <c r="C42" s="5">
        <f t="shared" si="65"/>
        <v>45941</v>
      </c>
      <c r="D42" s="29"/>
      <c r="E42" s="32">
        <f t="shared" si="29"/>
        <v>57102119.005547129</v>
      </c>
      <c r="F42" s="32">
        <f t="shared" si="66"/>
        <v>0</v>
      </c>
      <c r="G42" s="32">
        <f t="shared" si="67"/>
        <v>0</v>
      </c>
      <c r="H42" s="32">
        <f t="shared" si="32"/>
        <v>0</v>
      </c>
      <c r="I42" s="60"/>
      <c r="J42" s="60"/>
      <c r="K42" s="32"/>
      <c r="M42" s="7">
        <v>17</v>
      </c>
      <c r="N42" s="59">
        <f t="shared" si="3"/>
        <v>47087</v>
      </c>
      <c r="O42" s="59">
        <f t="shared" si="61"/>
        <v>47072</v>
      </c>
      <c r="P42" s="29"/>
      <c r="Q42" s="32">
        <f t="shared" si="4"/>
        <v>52948972.456110924</v>
      </c>
      <c r="R42" s="32">
        <f t="shared" si="62"/>
        <v>4072997.8812392987</v>
      </c>
      <c r="S42" s="32">
        <f t="shared" si="33"/>
        <v>874336.87850603659</v>
      </c>
      <c r="T42" s="32">
        <f t="shared" si="34"/>
        <v>471550.5461533799</v>
      </c>
      <c r="U42" s="32">
        <f t="shared" si="35"/>
        <v>5418885.3058987148</v>
      </c>
      <c r="V42" s="60"/>
      <c r="W42" s="60"/>
      <c r="X42" s="60"/>
      <c r="Y42" s="60"/>
      <c r="Z42" s="60"/>
      <c r="AA42" s="60"/>
      <c r="AC42" s="90">
        <v>17</v>
      </c>
      <c r="AD42" s="5">
        <f t="shared" si="5"/>
        <v>47269</v>
      </c>
      <c r="AE42" s="5">
        <v>47240</v>
      </c>
      <c r="AF42" s="29"/>
      <c r="AG42" s="32">
        <f t="shared" si="36"/>
        <v>464296.07999999949</v>
      </c>
      <c r="AH42" s="32">
        <f t="shared" si="56"/>
        <v>51840.79</v>
      </c>
      <c r="AI42" s="32">
        <f t="shared" si="37"/>
        <v>7018.0277184722145</v>
      </c>
      <c r="AJ42" s="32">
        <f t="shared" si="38"/>
        <v>58858.817718472215</v>
      </c>
      <c r="AK42" s="60"/>
      <c r="AL42" s="60"/>
      <c r="AM42" s="60"/>
      <c r="AN42" s="60"/>
      <c r="AO42" s="60"/>
      <c r="AP42" s="32"/>
      <c r="AR42" s="7">
        <v>17</v>
      </c>
      <c r="AS42" s="5">
        <f t="shared" si="6"/>
        <v>47177</v>
      </c>
      <c r="AT42" s="5">
        <v>47169</v>
      </c>
      <c r="AU42" s="29"/>
      <c r="AV42" s="32">
        <f t="shared" si="57"/>
        <v>10220993.950787222</v>
      </c>
      <c r="AW42" s="32">
        <v>525047.46469953598</v>
      </c>
      <c r="AX42" s="32">
        <f t="shared" si="58"/>
        <v>164772.63503746362</v>
      </c>
      <c r="AY42" s="32">
        <f t="shared" si="7"/>
        <v>689820.0997369996</v>
      </c>
      <c r="AZ42" s="60"/>
      <c r="BA42" s="60"/>
      <c r="BB42" s="60"/>
      <c r="BC42" s="60"/>
      <c r="BD42" s="60"/>
      <c r="BE42" s="60"/>
      <c r="BH42" s="5"/>
      <c r="BI42" s="5"/>
      <c r="BJ42" s="29"/>
      <c r="BK42" s="32"/>
      <c r="BL42" s="32"/>
      <c r="BM42" s="32"/>
      <c r="BN42" s="32"/>
      <c r="BO42" s="32"/>
      <c r="BP42" s="104"/>
      <c r="BQ42" s="60"/>
      <c r="BR42" s="60"/>
      <c r="BS42" s="60"/>
      <c r="BT42" s="60"/>
      <c r="BU42" s="60"/>
      <c r="BW42" s="7">
        <v>17</v>
      </c>
      <c r="BX42" s="5">
        <f t="shared" si="9"/>
        <v>47238</v>
      </c>
      <c r="BY42" s="5">
        <v>47228</v>
      </c>
      <c r="BZ42" s="29"/>
      <c r="CA42" s="32">
        <f t="shared" si="41"/>
        <v>173209.39770099305</v>
      </c>
      <c r="CB42" s="32">
        <v>57736.470062537075</v>
      </c>
      <c r="CC42" s="32">
        <v>2821.4284698866022</v>
      </c>
      <c r="CD42" s="32">
        <f t="shared" si="42"/>
        <v>3464.1880164529512</v>
      </c>
      <c r="CE42" s="32">
        <v>1642.8394559018825</v>
      </c>
      <c r="CF42" s="32">
        <f t="shared" si="43"/>
        <v>65664.926004778506</v>
      </c>
      <c r="CG42" s="104"/>
      <c r="CH42" s="60"/>
      <c r="CI42" s="60"/>
      <c r="CJ42" s="60"/>
      <c r="CK42" s="60"/>
      <c r="CL42" s="60"/>
      <c r="CN42" s="7">
        <v>17</v>
      </c>
      <c r="CO42" s="5">
        <f t="shared" si="10"/>
        <v>47299</v>
      </c>
      <c r="CP42" s="5">
        <v>47283</v>
      </c>
      <c r="CQ42" s="29"/>
      <c r="CR42" s="32">
        <f t="shared" si="44"/>
        <v>104317.84999999992</v>
      </c>
      <c r="CS42" s="32">
        <v>104317.85</v>
      </c>
      <c r="CT42" s="32">
        <v>55983.92</v>
      </c>
      <c r="CU42" s="32">
        <f t="shared" si="11"/>
        <v>160301.77000000002</v>
      </c>
      <c r="CW42" s="7">
        <v>17</v>
      </c>
      <c r="CX42" s="5">
        <f t="shared" si="12"/>
        <v>46387</v>
      </c>
      <c r="CY42" s="5">
        <v>46366</v>
      </c>
      <c r="CZ42" s="29"/>
      <c r="DA42" s="32">
        <f t="shared" si="45"/>
        <v>12669107.108803101</v>
      </c>
      <c r="DB42" s="32">
        <v>1583638.38</v>
      </c>
      <c r="DC42" s="32">
        <f t="shared" si="46"/>
        <v>71263.727444015502</v>
      </c>
      <c r="DD42" s="32">
        <f t="shared" si="13"/>
        <v>1654902.1074440153</v>
      </c>
      <c r="DE42" s="104"/>
      <c r="DF42" s="60"/>
      <c r="DG42" s="60"/>
      <c r="DH42" s="60"/>
      <c r="DI42" s="60"/>
      <c r="DJ42" s="60"/>
      <c r="DL42" s="7">
        <v>17</v>
      </c>
      <c r="DM42" s="5">
        <f t="shared" si="14"/>
        <v>47299</v>
      </c>
      <c r="DN42" s="5">
        <v>47291</v>
      </c>
      <c r="DO42" s="29"/>
      <c r="DP42" s="32">
        <f t="shared" si="47"/>
        <v>5679465.2388674635</v>
      </c>
      <c r="DQ42" s="32">
        <v>283973.26</v>
      </c>
      <c r="DR42" s="32">
        <v>88391.41</v>
      </c>
      <c r="DS42" s="32">
        <f t="shared" si="15"/>
        <v>372364.67000000004</v>
      </c>
      <c r="DT42" s="104"/>
      <c r="DU42" s="60"/>
      <c r="DV42" s="60"/>
      <c r="DW42" s="60"/>
      <c r="DX42" s="60"/>
      <c r="DY42" s="60"/>
      <c r="DZ42" s="64"/>
      <c r="EA42" s="7">
        <v>17</v>
      </c>
      <c r="EB42" s="5">
        <f t="shared" si="0"/>
        <v>47330</v>
      </c>
      <c r="EC42" s="5">
        <v>47304</v>
      </c>
      <c r="ED42" s="29"/>
      <c r="EE42" s="32">
        <f t="shared" si="48"/>
        <v>631908.87268659775</v>
      </c>
      <c r="EF42" s="32">
        <v>39494.31</v>
      </c>
      <c r="EG42" s="32">
        <f t="shared" si="60"/>
        <v>9877.4598226243324</v>
      </c>
      <c r="EH42" s="32">
        <f t="shared" si="16"/>
        <v>49371.76982262433</v>
      </c>
      <c r="EI42" s="104"/>
      <c r="EJ42" s="60"/>
      <c r="EK42" s="60"/>
      <c r="EL42" s="60"/>
      <c r="EM42" s="60"/>
      <c r="EN42" s="60"/>
      <c r="EQ42" s="5"/>
      <c r="ER42" s="5"/>
      <c r="ES42" s="29"/>
      <c r="ET42" s="32"/>
      <c r="EU42" s="32"/>
      <c r="EV42" s="32"/>
      <c r="EW42" s="32"/>
      <c r="EY42" s="7">
        <v>17</v>
      </c>
      <c r="EZ42" s="5">
        <f t="shared" si="17"/>
        <v>47208</v>
      </c>
      <c r="FA42" s="5">
        <v>47199</v>
      </c>
      <c r="FB42" s="61"/>
      <c r="FC42" s="32">
        <f t="shared" si="49"/>
        <v>2342296.1199999992</v>
      </c>
      <c r="FD42" s="32">
        <v>40216.85</v>
      </c>
      <c r="FE42" s="32">
        <v>12189.98</v>
      </c>
      <c r="FF42" s="32"/>
      <c r="FG42" s="32">
        <f t="shared" si="50"/>
        <v>52406.83</v>
      </c>
      <c r="FJ42" s="5"/>
      <c r="FK42" s="5"/>
      <c r="FL42" s="29"/>
      <c r="FM42" s="32"/>
      <c r="FN42" s="32"/>
      <c r="FO42" s="32"/>
      <c r="FP42" s="32"/>
      <c r="FS42" s="5"/>
      <c r="FT42" s="5"/>
      <c r="FU42" s="29"/>
      <c r="FV42" s="32"/>
      <c r="FW42" s="32"/>
      <c r="FX42" s="32"/>
      <c r="FY42" s="32"/>
      <c r="GB42" s="5"/>
      <c r="GC42" s="5"/>
      <c r="GD42" s="29"/>
      <c r="GE42" s="32"/>
      <c r="GF42" s="32"/>
      <c r="GG42" s="32"/>
      <c r="GH42" s="32"/>
      <c r="GK42" s="5"/>
      <c r="GL42" s="5"/>
      <c r="GM42" s="29"/>
      <c r="GN42" s="32"/>
      <c r="GO42" s="32"/>
      <c r="GP42" s="32"/>
      <c r="GQ42" s="32"/>
      <c r="GT42" s="5"/>
      <c r="GU42" s="5"/>
      <c r="GV42" s="29"/>
      <c r="GW42" s="32"/>
      <c r="GX42" s="32"/>
      <c r="GY42" s="32"/>
      <c r="GZ42" s="32"/>
      <c r="HC42" s="5"/>
      <c r="HD42" s="5"/>
      <c r="HE42" s="29"/>
      <c r="HF42" s="32"/>
      <c r="HG42" s="32"/>
      <c r="HH42" s="32"/>
      <c r="HI42" s="32"/>
    </row>
    <row r="43" spans="1:217" x14ac:dyDescent="0.35">
      <c r="A43" s="7">
        <v>18</v>
      </c>
      <c r="B43" s="6">
        <f t="shared" si="1"/>
        <v>41</v>
      </c>
      <c r="C43" s="5">
        <f t="shared" si="65"/>
        <v>45942</v>
      </c>
      <c r="D43" s="29"/>
      <c r="E43" s="32">
        <f t="shared" si="29"/>
        <v>57102119.005547129</v>
      </c>
      <c r="F43" s="32">
        <f t="shared" si="66"/>
        <v>0</v>
      </c>
      <c r="G43" s="32">
        <f t="shared" si="67"/>
        <v>0</v>
      </c>
      <c r="H43" s="32">
        <f t="shared" si="32"/>
        <v>0</v>
      </c>
      <c r="I43" s="60"/>
      <c r="J43" s="60"/>
      <c r="K43" s="32"/>
      <c r="M43" s="7">
        <v>18</v>
      </c>
      <c r="N43" s="59">
        <f t="shared" si="3"/>
        <v>47177</v>
      </c>
      <c r="O43" s="59">
        <f t="shared" si="61"/>
        <v>47164</v>
      </c>
      <c r="P43" s="29"/>
      <c r="Q43" s="32">
        <f t="shared" si="4"/>
        <v>48875974.574871629</v>
      </c>
      <c r="R43" s="32">
        <f t="shared" si="62"/>
        <v>4072997.8812392987</v>
      </c>
      <c r="S43" s="32">
        <f t="shared" si="33"/>
        <v>811884.2443270341</v>
      </c>
      <c r="T43" s="32">
        <f t="shared" si="34"/>
        <v>471550.5461533799</v>
      </c>
      <c r="U43" s="32">
        <f t="shared" si="35"/>
        <v>5356432.6717197122</v>
      </c>
      <c r="V43" s="60"/>
      <c r="W43" s="60"/>
      <c r="X43" s="60"/>
      <c r="Y43" s="60"/>
      <c r="Z43" s="60"/>
      <c r="AA43" s="60"/>
      <c r="AC43" s="90">
        <v>18</v>
      </c>
      <c r="AD43" s="5">
        <f t="shared" si="5"/>
        <v>47361</v>
      </c>
      <c r="AE43" s="5">
        <v>47332</v>
      </c>
      <c r="AF43" s="29"/>
      <c r="AG43" s="32">
        <f t="shared" si="36"/>
        <v>412455.28999999951</v>
      </c>
      <c r="AH43" s="32">
        <f t="shared" si="56"/>
        <v>51840.79</v>
      </c>
      <c r="AI43" s="32">
        <f t="shared" si="37"/>
        <v>6525.9393466666597</v>
      </c>
      <c r="AJ43" s="32">
        <f t="shared" si="38"/>
        <v>58366.72934666666</v>
      </c>
      <c r="AK43" s="60"/>
      <c r="AL43" s="60"/>
      <c r="AM43" s="60"/>
      <c r="AN43" s="60"/>
      <c r="AO43" s="60"/>
      <c r="AP43" s="32"/>
      <c r="AR43" s="7">
        <v>18</v>
      </c>
      <c r="AS43" s="5">
        <f t="shared" si="6"/>
        <v>47269</v>
      </c>
      <c r="AT43" s="5">
        <v>47258</v>
      </c>
      <c r="AU43" s="29"/>
      <c r="AV43" s="32">
        <f t="shared" si="57"/>
        <v>9695946.4860876855</v>
      </c>
      <c r="AW43" s="32">
        <v>525047.46469953598</v>
      </c>
      <c r="AX43" s="32">
        <f t="shared" si="58"/>
        <v>151611.41027001044</v>
      </c>
      <c r="AY43" s="32">
        <f t="shared" si="7"/>
        <v>676658.87496954645</v>
      </c>
      <c r="AZ43" s="60"/>
      <c r="BA43" s="60"/>
      <c r="BB43" s="60"/>
      <c r="BC43" s="60"/>
      <c r="BD43" s="60"/>
      <c r="BE43" s="60"/>
      <c r="BH43" s="5"/>
      <c r="BI43" s="5"/>
      <c r="BJ43" s="29"/>
      <c r="BK43" s="32"/>
      <c r="BL43" s="32"/>
      <c r="BM43" s="32"/>
      <c r="BN43" s="32"/>
      <c r="BO43" s="32"/>
      <c r="BP43" s="104"/>
      <c r="BQ43" s="60"/>
      <c r="BR43" s="60"/>
      <c r="BS43" s="60"/>
      <c r="BT43" s="60"/>
      <c r="BU43" s="60"/>
      <c r="BW43" s="7">
        <v>18</v>
      </c>
      <c r="BX43" s="5">
        <f t="shared" si="9"/>
        <v>47330</v>
      </c>
      <c r="BY43" s="5">
        <v>47319</v>
      </c>
      <c r="BZ43" s="29"/>
      <c r="CA43" s="32">
        <f t="shared" si="41"/>
        <v>115472.92763845598</v>
      </c>
      <c r="CB43" s="32">
        <v>57736.470062537075</v>
      </c>
      <c r="CC43" s="32">
        <v>2821.4284698866022</v>
      </c>
      <c r="CD43" s="32">
        <f t="shared" si="42"/>
        <v>2627.0091984650617</v>
      </c>
      <c r="CE43" s="32">
        <v>1642.8394559018825</v>
      </c>
      <c r="CF43" s="32">
        <f t="shared" si="43"/>
        <v>64827.747186790628</v>
      </c>
      <c r="CG43" s="104"/>
      <c r="CH43" s="60"/>
      <c r="CI43" s="60"/>
      <c r="CJ43" s="60"/>
      <c r="CK43" s="60"/>
      <c r="CL43" s="60"/>
      <c r="CN43" s="7">
        <v>18</v>
      </c>
      <c r="CO43" s="5">
        <f t="shared" si="10"/>
        <v>47391</v>
      </c>
      <c r="CP43" s="5">
        <v>47375</v>
      </c>
      <c r="CQ43" s="29"/>
      <c r="CR43" s="32">
        <f t="shared" si="44"/>
        <v>0</v>
      </c>
      <c r="CS43" s="32">
        <v>104317.85</v>
      </c>
      <c r="CT43" s="32">
        <v>53793.24</v>
      </c>
      <c r="CU43" s="32">
        <f t="shared" si="11"/>
        <v>158111.09</v>
      </c>
      <c r="CW43" s="7">
        <v>18</v>
      </c>
      <c r="CX43" s="5">
        <f t="shared" si="12"/>
        <v>46418</v>
      </c>
      <c r="CY43" s="5">
        <v>46397</v>
      </c>
      <c r="CZ43" s="29"/>
      <c r="DA43" s="32">
        <f t="shared" si="45"/>
        <v>11085468.728803102</v>
      </c>
      <c r="DB43" s="32">
        <v>1583638.38</v>
      </c>
      <c r="DC43" s="32">
        <f t="shared" si="46"/>
        <v>65457.05339548269</v>
      </c>
      <c r="DD43" s="32">
        <f t="shared" si="13"/>
        <v>1649095.4333954826</v>
      </c>
      <c r="DE43" s="104"/>
      <c r="DF43" s="60"/>
      <c r="DG43" s="60"/>
      <c r="DH43" s="60"/>
      <c r="DI43" s="60"/>
      <c r="DJ43" s="60"/>
      <c r="DL43" s="7">
        <v>18</v>
      </c>
      <c r="DM43" s="5">
        <f t="shared" si="14"/>
        <v>47391</v>
      </c>
      <c r="DN43" s="5">
        <v>47381</v>
      </c>
      <c r="DO43" s="29"/>
      <c r="DP43" s="32">
        <f t="shared" si="47"/>
        <v>5395491.9788674638</v>
      </c>
      <c r="DQ43" s="32">
        <v>283973.26</v>
      </c>
      <c r="DR43" s="32">
        <v>82352.25</v>
      </c>
      <c r="DS43" s="32">
        <f t="shared" si="15"/>
        <v>366325.51</v>
      </c>
      <c r="DT43" s="104"/>
      <c r="DU43" s="60"/>
      <c r="DV43" s="60"/>
      <c r="DW43" s="60"/>
      <c r="DX43" s="60"/>
      <c r="DY43" s="60"/>
      <c r="DZ43" s="64"/>
      <c r="EA43" s="7">
        <v>18</v>
      </c>
      <c r="EB43" s="5">
        <f t="shared" si="0"/>
        <v>47422</v>
      </c>
      <c r="EC43" s="5">
        <v>47396</v>
      </c>
      <c r="ED43" s="29"/>
      <c r="EE43" s="32">
        <f t="shared" si="48"/>
        <v>592414.5626865977</v>
      </c>
      <c r="EF43" s="32">
        <v>39494.31</v>
      </c>
      <c r="EG43" s="32">
        <f t="shared" si="60"/>
        <v>9398.5912997586638</v>
      </c>
      <c r="EH43" s="32">
        <f t="shared" si="16"/>
        <v>48892.901299758661</v>
      </c>
      <c r="EI43" s="104"/>
      <c r="EJ43" s="60"/>
      <c r="EK43" s="60"/>
      <c r="EL43" s="60"/>
      <c r="EM43" s="60"/>
      <c r="EN43" s="60"/>
      <c r="EQ43" s="5"/>
      <c r="ER43" s="5"/>
      <c r="ES43" s="29"/>
      <c r="ET43" s="32"/>
      <c r="EU43" s="32"/>
      <c r="EV43" s="32"/>
      <c r="EW43" s="32"/>
      <c r="EY43" s="7">
        <v>18</v>
      </c>
      <c r="EZ43" s="5">
        <f t="shared" si="17"/>
        <v>47299</v>
      </c>
      <c r="FA43" s="5">
        <v>47291</v>
      </c>
      <c r="FB43" s="61"/>
      <c r="FC43" s="32">
        <f t="shared" si="49"/>
        <v>2302079.2699999991</v>
      </c>
      <c r="FD43" s="32">
        <v>40216.85</v>
      </c>
      <c r="FE43" s="32">
        <v>11701.49</v>
      </c>
      <c r="FF43" s="32"/>
      <c r="FG43" s="32">
        <f t="shared" si="50"/>
        <v>51918.34</v>
      </c>
      <c r="FJ43" s="5"/>
      <c r="FK43" s="5"/>
      <c r="FL43" s="29"/>
      <c r="FM43" s="32"/>
      <c r="FN43" s="32"/>
      <c r="FO43" s="32"/>
      <c r="FP43" s="32"/>
      <c r="FS43" s="5"/>
      <c r="FT43" s="5"/>
      <c r="FU43" s="29"/>
      <c r="FV43" s="32"/>
      <c r="FW43" s="32"/>
      <c r="FX43" s="32"/>
      <c r="FY43" s="32"/>
      <c r="GB43" s="5"/>
      <c r="GC43" s="5"/>
      <c r="GD43" s="29"/>
      <c r="GE43" s="32"/>
      <c r="GF43" s="32"/>
      <c r="GG43" s="32"/>
      <c r="GH43" s="32"/>
      <c r="GK43" s="5"/>
      <c r="GL43" s="5"/>
      <c r="GM43" s="29"/>
      <c r="GN43" s="32"/>
      <c r="GO43" s="32"/>
      <c r="GP43" s="32"/>
      <c r="GQ43" s="32"/>
      <c r="GT43" s="5"/>
      <c r="GU43" s="5"/>
      <c r="GV43" s="29"/>
      <c r="GW43" s="32"/>
      <c r="GX43" s="32"/>
      <c r="GY43" s="32"/>
      <c r="GZ43" s="32"/>
      <c r="HC43" s="5"/>
      <c r="HD43" s="5"/>
      <c r="HE43" s="29"/>
      <c r="HF43" s="32"/>
      <c r="HG43" s="32"/>
      <c r="HH43" s="32"/>
      <c r="HI43" s="32"/>
    </row>
    <row r="44" spans="1:217" x14ac:dyDescent="0.35">
      <c r="A44" s="7">
        <v>19</v>
      </c>
      <c r="B44" s="6">
        <f t="shared" si="1"/>
        <v>42</v>
      </c>
      <c r="C44" s="5">
        <f t="shared" si="65"/>
        <v>45943</v>
      </c>
      <c r="D44" s="29"/>
      <c r="E44" s="32">
        <f t="shared" si="29"/>
        <v>57102119.005547129</v>
      </c>
      <c r="F44" s="32">
        <f t="shared" si="66"/>
        <v>0</v>
      </c>
      <c r="G44" s="32">
        <f t="shared" si="67"/>
        <v>0</v>
      </c>
      <c r="H44" s="32">
        <f t="shared" si="32"/>
        <v>0</v>
      </c>
      <c r="I44" s="60"/>
      <c r="J44" s="60"/>
      <c r="K44" s="32"/>
      <c r="M44" s="7">
        <v>19</v>
      </c>
      <c r="N44" s="59">
        <f t="shared" si="3"/>
        <v>47269</v>
      </c>
      <c r="O44" s="59">
        <f t="shared" si="61"/>
        <v>47253</v>
      </c>
      <c r="P44" s="29"/>
      <c r="Q44" s="32">
        <f t="shared" si="4"/>
        <v>44802976.693632334</v>
      </c>
      <c r="R44" s="32">
        <f t="shared" si="62"/>
        <v>4072997.8812392987</v>
      </c>
      <c r="S44" s="32">
        <f t="shared" si="33"/>
        <v>724993.6228605957</v>
      </c>
      <c r="T44" s="32">
        <f t="shared" si="34"/>
        <v>471550.5461533799</v>
      </c>
      <c r="U44" s="32">
        <f t="shared" si="35"/>
        <v>5269542.0502532739</v>
      </c>
      <c r="V44" s="60"/>
      <c r="W44" s="60"/>
      <c r="X44" s="60"/>
      <c r="Y44" s="60"/>
      <c r="Z44" s="60"/>
      <c r="AA44" s="60"/>
      <c r="AC44" s="90">
        <v>19</v>
      </c>
      <c r="AD44" s="5">
        <f t="shared" si="5"/>
        <v>47452</v>
      </c>
      <c r="AE44" s="5">
        <v>47424</v>
      </c>
      <c r="AF44" s="29"/>
      <c r="AG44" s="32">
        <f t="shared" si="36"/>
        <v>360614.49999999953</v>
      </c>
      <c r="AH44" s="32">
        <f t="shared" si="56"/>
        <v>51840.79</v>
      </c>
      <c r="AI44" s="32">
        <f t="shared" si="37"/>
        <v>5797.2882427777704</v>
      </c>
      <c r="AJ44" s="32">
        <f t="shared" si="38"/>
        <v>57638.078242777774</v>
      </c>
      <c r="AK44" s="60"/>
      <c r="AL44" s="60"/>
      <c r="AM44" s="60"/>
      <c r="AN44" s="60"/>
      <c r="AO44" s="60"/>
      <c r="AP44" s="32"/>
      <c r="AR44" s="7">
        <v>19</v>
      </c>
      <c r="AS44" s="5">
        <f t="shared" si="6"/>
        <v>47361</v>
      </c>
      <c r="AT44" s="5">
        <v>47350</v>
      </c>
      <c r="AU44" s="29"/>
      <c r="AV44" s="32">
        <f t="shared" si="57"/>
        <v>9170899.0213881489</v>
      </c>
      <c r="AW44" s="32">
        <v>525047.46469953598</v>
      </c>
      <c r="AX44" s="32">
        <f t="shared" si="58"/>
        <v>148671.17945334449</v>
      </c>
      <c r="AY44" s="32">
        <f t="shared" si="7"/>
        <v>673718.64415288041</v>
      </c>
      <c r="AZ44" s="60"/>
      <c r="BA44" s="60"/>
      <c r="BB44" s="60"/>
      <c r="BC44" s="60"/>
      <c r="BD44" s="60"/>
      <c r="BE44" s="60"/>
      <c r="BH44" s="5"/>
      <c r="BI44" s="5"/>
      <c r="BJ44" s="29"/>
      <c r="BK44" s="32"/>
      <c r="BL44" s="32"/>
      <c r="BM44" s="32"/>
      <c r="BN44" s="32"/>
      <c r="BO44" s="32"/>
      <c r="BP44" s="104"/>
      <c r="BQ44" s="60"/>
      <c r="BR44" s="60"/>
      <c r="BS44" s="60"/>
      <c r="BT44" s="60"/>
      <c r="BU44" s="60"/>
      <c r="BW44" s="7">
        <v>19</v>
      </c>
      <c r="BX44" s="5">
        <f t="shared" si="9"/>
        <v>47422</v>
      </c>
      <c r="BY44" s="5">
        <v>47398</v>
      </c>
      <c r="BZ44" s="29"/>
      <c r="CA44" s="32">
        <f t="shared" si="41"/>
        <v>5.6757363781798631E-3</v>
      </c>
      <c r="CB44" s="32">
        <v>115472.9219627196</v>
      </c>
      <c r="CC44" s="32">
        <v>14107.143257550735</v>
      </c>
      <c r="CD44" s="32">
        <f t="shared" si="42"/>
        <v>1520.3935472396704</v>
      </c>
      <c r="CE44" s="32">
        <v>1642.8394559018825</v>
      </c>
      <c r="CF44" s="32">
        <f t="shared" si="43"/>
        <v>132743.2982234119</v>
      </c>
      <c r="CG44" s="104"/>
      <c r="CH44" s="60"/>
      <c r="CI44" s="60"/>
      <c r="CJ44" s="60"/>
      <c r="CK44" s="60"/>
      <c r="CL44" s="60"/>
      <c r="CO44" s="5"/>
      <c r="CP44" s="5"/>
      <c r="CQ44" s="29"/>
      <c r="CR44" s="32"/>
      <c r="CS44" s="32"/>
      <c r="CT44" s="32"/>
      <c r="CU44" s="32"/>
      <c r="CW44" s="7">
        <v>19</v>
      </c>
      <c r="CX44" s="5">
        <f t="shared" si="12"/>
        <v>46446</v>
      </c>
      <c r="CY44" s="5">
        <v>46428</v>
      </c>
      <c r="CZ44" s="29"/>
      <c r="DA44" s="32">
        <f t="shared" si="45"/>
        <v>9501830.348803103</v>
      </c>
      <c r="DB44" s="32">
        <v>1583638.38</v>
      </c>
      <c r="DC44" s="32">
        <f t="shared" si="46"/>
        <v>57274.921765482693</v>
      </c>
      <c r="DD44" s="32">
        <f t="shared" si="13"/>
        <v>1640913.3017654826</v>
      </c>
      <c r="DE44" s="104"/>
      <c r="DF44" s="60"/>
      <c r="DG44" s="60"/>
      <c r="DH44" s="60"/>
      <c r="DI44" s="60"/>
      <c r="DJ44" s="60"/>
      <c r="DL44" s="7">
        <v>19</v>
      </c>
      <c r="DM44" s="5">
        <f t="shared" si="14"/>
        <v>47483</v>
      </c>
      <c r="DN44" s="5">
        <v>47472</v>
      </c>
      <c r="DO44" s="29"/>
      <c r="DP44" s="32">
        <f t="shared" si="47"/>
        <v>5111518.718867464</v>
      </c>
      <c r="DQ44" s="32">
        <v>283973.26</v>
      </c>
      <c r="DR44" s="32">
        <v>79103.91</v>
      </c>
      <c r="DS44" s="32">
        <f t="shared" si="15"/>
        <v>363077.17000000004</v>
      </c>
      <c r="DT44" s="104"/>
      <c r="DU44" s="60"/>
      <c r="DV44" s="60"/>
      <c r="DW44" s="60"/>
      <c r="DX44" s="60"/>
      <c r="DY44" s="60"/>
      <c r="DZ44" s="64"/>
      <c r="EA44" s="7">
        <v>19</v>
      </c>
      <c r="EB44" s="5">
        <f t="shared" si="0"/>
        <v>47514</v>
      </c>
      <c r="EC44" s="5">
        <v>47490</v>
      </c>
      <c r="ED44" s="29"/>
      <c r="EE44" s="32">
        <f t="shared" si="48"/>
        <v>552920.25268659764</v>
      </c>
      <c r="EF44" s="32">
        <v>39494.31</v>
      </c>
      <c r="EG44" s="32">
        <f t="shared" si="60"/>
        <v>9002.726637627331</v>
      </c>
      <c r="EH44" s="32">
        <f t="shared" si="16"/>
        <v>48497.03663762733</v>
      </c>
      <c r="EI44" s="104"/>
      <c r="EJ44" s="60"/>
      <c r="EK44" s="60"/>
      <c r="EL44" s="60"/>
      <c r="EM44" s="60"/>
      <c r="EN44" s="60"/>
      <c r="EQ44" s="5"/>
      <c r="ER44" s="5"/>
      <c r="ES44" s="29"/>
      <c r="ET44" s="32"/>
      <c r="EU44" s="32"/>
      <c r="EV44" s="32"/>
      <c r="EW44" s="32"/>
      <c r="EY44" s="7">
        <v>19</v>
      </c>
      <c r="EZ44" s="5">
        <f t="shared" si="17"/>
        <v>47391</v>
      </c>
      <c r="FA44" s="5">
        <v>47381</v>
      </c>
      <c r="FB44" s="61"/>
      <c r="FC44" s="32">
        <f t="shared" si="49"/>
        <v>2261862.419999999</v>
      </c>
      <c r="FD44" s="32">
        <v>40216.85</v>
      </c>
      <c r="FE44" s="32">
        <v>10858.34</v>
      </c>
      <c r="FF44" s="32"/>
      <c r="FG44" s="32">
        <f t="shared" si="50"/>
        <v>51075.19</v>
      </c>
      <c r="FJ44" s="5"/>
      <c r="FK44" s="5"/>
      <c r="FL44" s="29"/>
      <c r="FM44" s="32"/>
      <c r="FN44" s="32"/>
      <c r="FO44" s="32"/>
      <c r="FP44" s="32"/>
      <c r="FS44" s="5"/>
      <c r="FT44" s="5"/>
      <c r="FU44" s="29"/>
      <c r="FV44" s="32"/>
      <c r="FW44" s="32"/>
      <c r="FX44" s="32"/>
      <c r="FY44" s="32"/>
      <c r="GB44" s="5"/>
      <c r="GC44" s="5"/>
      <c r="GD44" s="29"/>
      <c r="GE44" s="32"/>
      <c r="GF44" s="32"/>
      <c r="GG44" s="32"/>
      <c r="GH44" s="32"/>
      <c r="GK44" s="5"/>
      <c r="GL44" s="5"/>
      <c r="GM44" s="29"/>
      <c r="GN44" s="32"/>
      <c r="GO44" s="32"/>
      <c r="GP44" s="32"/>
      <c r="GQ44" s="32"/>
      <c r="GT44" s="5"/>
      <c r="GU44" s="5"/>
      <c r="GV44" s="29"/>
      <c r="GW44" s="32"/>
      <c r="GX44" s="32"/>
      <c r="GY44" s="32"/>
      <c r="GZ44" s="32"/>
      <c r="HC44" s="5"/>
      <c r="HD44" s="5"/>
      <c r="HE44" s="29"/>
      <c r="HF44" s="32"/>
      <c r="HG44" s="32"/>
      <c r="HH44" s="32"/>
      <c r="HI44" s="32"/>
    </row>
    <row r="45" spans="1:217" x14ac:dyDescent="0.35">
      <c r="A45" s="7">
        <v>20</v>
      </c>
      <c r="B45" s="6">
        <f t="shared" si="1"/>
        <v>42</v>
      </c>
      <c r="C45" s="5">
        <f t="shared" si="65"/>
        <v>45944</v>
      </c>
      <c r="D45" s="29"/>
      <c r="E45" s="32">
        <f t="shared" si="29"/>
        <v>57102119.005547129</v>
      </c>
      <c r="F45" s="32">
        <f t="shared" si="66"/>
        <v>0</v>
      </c>
      <c r="G45" s="32">
        <f t="shared" si="67"/>
        <v>0</v>
      </c>
      <c r="H45" s="32">
        <f t="shared" si="32"/>
        <v>0</v>
      </c>
      <c r="I45" s="60"/>
      <c r="J45" s="60"/>
      <c r="K45" s="32"/>
      <c r="M45" s="7">
        <v>20</v>
      </c>
      <c r="N45" s="59">
        <f t="shared" si="3"/>
        <v>47361</v>
      </c>
      <c r="O45" s="59">
        <f t="shared" si="61"/>
        <v>47345</v>
      </c>
      <c r="P45" s="29"/>
      <c r="Q45" s="32">
        <f t="shared" si="4"/>
        <v>40729978.812393039</v>
      </c>
      <c r="R45" s="32">
        <f t="shared" si="62"/>
        <v>4072997.8812392987</v>
      </c>
      <c r="S45" s="32">
        <f t="shared" si="33"/>
        <v>686978.97596902901</v>
      </c>
      <c r="T45" s="32">
        <f t="shared" si="34"/>
        <v>471550.5461533799</v>
      </c>
      <c r="U45" s="32">
        <f t="shared" si="35"/>
        <v>5231527.403361707</v>
      </c>
      <c r="V45" s="60"/>
      <c r="W45" s="60"/>
      <c r="X45" s="60"/>
      <c r="Y45" s="60"/>
      <c r="Z45" s="60"/>
      <c r="AA45" s="60"/>
      <c r="AC45" s="90">
        <v>20</v>
      </c>
      <c r="AD45" s="5">
        <f t="shared" si="5"/>
        <v>47542</v>
      </c>
      <c r="AE45" s="5">
        <v>47516</v>
      </c>
      <c r="AF45" s="29"/>
      <c r="AG45" s="32">
        <f t="shared" si="36"/>
        <v>308773.70999999956</v>
      </c>
      <c r="AH45" s="32">
        <f t="shared" si="56"/>
        <v>51840.79</v>
      </c>
      <c r="AI45" s="32">
        <f t="shared" si="37"/>
        <v>5068.6371388888829</v>
      </c>
      <c r="AJ45" s="32">
        <f t="shared" si="38"/>
        <v>56909.427138888881</v>
      </c>
      <c r="AK45" s="60"/>
      <c r="AL45" s="60"/>
      <c r="AM45" s="60"/>
      <c r="AN45" s="60"/>
      <c r="AO45" s="60"/>
      <c r="AP45" s="32"/>
      <c r="AR45" s="7">
        <v>20</v>
      </c>
      <c r="AS45" s="5">
        <f t="shared" si="6"/>
        <v>47452</v>
      </c>
      <c r="AT45" s="5">
        <v>47442</v>
      </c>
      <c r="AU45" s="29"/>
      <c r="AV45" s="32">
        <f t="shared" si="57"/>
        <v>8645851.5566886123</v>
      </c>
      <c r="AW45" s="32">
        <v>525047.46469953598</v>
      </c>
      <c r="AX45" s="32">
        <f t="shared" si="58"/>
        <v>140620.45166128493</v>
      </c>
      <c r="AY45" s="32">
        <f t="shared" si="7"/>
        <v>665667.91636082088</v>
      </c>
      <c r="AZ45" s="60"/>
      <c r="BA45" s="60"/>
      <c r="BB45" s="60"/>
      <c r="BC45" s="60"/>
      <c r="BD45" s="60"/>
      <c r="BE45" s="60"/>
      <c r="BH45" s="5"/>
      <c r="BI45" s="5"/>
      <c r="BJ45" s="29"/>
      <c r="BK45" s="32"/>
      <c r="BL45" s="32"/>
      <c r="BM45" s="32"/>
      <c r="BN45" s="32"/>
      <c r="BO45" s="32"/>
      <c r="BP45" s="104"/>
      <c r="BQ45" s="60"/>
      <c r="BR45" s="60"/>
      <c r="BS45" s="60"/>
      <c r="BT45" s="60"/>
      <c r="BU45" s="60"/>
      <c r="BX45" s="5"/>
      <c r="BY45" s="5"/>
      <c r="BZ45" s="29"/>
      <c r="CA45" s="32"/>
      <c r="CB45" s="32"/>
      <c r="CC45" s="32"/>
      <c r="CD45" s="32"/>
      <c r="CE45" s="32"/>
      <c r="CF45" s="32"/>
      <c r="CG45" s="104"/>
      <c r="CH45" s="60"/>
      <c r="CI45" s="60"/>
      <c r="CJ45" s="60"/>
      <c r="CK45" s="60"/>
      <c r="CL45" s="60"/>
      <c r="CO45" s="5"/>
      <c r="CP45" s="5"/>
      <c r="CQ45" s="29"/>
      <c r="CR45" s="32"/>
      <c r="CS45" s="32"/>
      <c r="CT45" s="32"/>
      <c r="CU45" s="32"/>
      <c r="CW45" s="7">
        <v>20</v>
      </c>
      <c r="CX45" s="5">
        <f t="shared" si="12"/>
        <v>46477</v>
      </c>
      <c r="CY45" s="5">
        <v>46456</v>
      </c>
      <c r="CZ45" s="29"/>
      <c r="DA45" s="32">
        <f t="shared" si="45"/>
        <v>7918191.9688031031</v>
      </c>
      <c r="DB45" s="32">
        <v>1583638.38</v>
      </c>
      <c r="DC45" s="32">
        <f t="shared" si="46"/>
        <v>44341.87496108115</v>
      </c>
      <c r="DD45" s="32">
        <f t="shared" si="13"/>
        <v>1627980.2549610811</v>
      </c>
      <c r="DE45" s="104"/>
      <c r="DF45" s="60"/>
      <c r="DG45" s="60"/>
      <c r="DH45" s="60"/>
      <c r="DI45" s="60"/>
      <c r="DJ45" s="60"/>
      <c r="DL45" s="7">
        <v>20</v>
      </c>
      <c r="DM45" s="5">
        <f t="shared" si="14"/>
        <v>47573</v>
      </c>
      <c r="DN45" s="5">
        <v>47563</v>
      </c>
      <c r="DO45" s="29"/>
      <c r="DP45" s="32">
        <f t="shared" si="47"/>
        <v>4827545.4588674642</v>
      </c>
      <c r="DQ45" s="32">
        <v>283973.26</v>
      </c>
      <c r="DR45" s="32">
        <v>74940.55</v>
      </c>
      <c r="DS45" s="32">
        <f t="shared" si="15"/>
        <v>358913.81</v>
      </c>
      <c r="DT45" s="104"/>
      <c r="DU45" s="60"/>
      <c r="DV45" s="60"/>
      <c r="DW45" s="60"/>
      <c r="DX45" s="60"/>
      <c r="DY45" s="60"/>
      <c r="DZ45" s="64"/>
      <c r="EA45" s="7">
        <v>20</v>
      </c>
      <c r="EB45" s="5">
        <f t="shared" si="0"/>
        <v>47603</v>
      </c>
      <c r="EC45" s="5">
        <v>47578</v>
      </c>
      <c r="ED45" s="29"/>
      <c r="EE45" s="32">
        <f t="shared" si="48"/>
        <v>513425.94268659764</v>
      </c>
      <c r="EF45" s="32">
        <v>39494.31</v>
      </c>
      <c r="EG45" s="32">
        <f t="shared" si="60"/>
        <v>7866.2121282213293</v>
      </c>
      <c r="EH45" s="32">
        <f t="shared" si="16"/>
        <v>47360.522128221324</v>
      </c>
      <c r="EI45" s="104"/>
      <c r="EJ45" s="60"/>
      <c r="EK45" s="60"/>
      <c r="EL45" s="60"/>
      <c r="EM45" s="60"/>
      <c r="EN45" s="60"/>
      <c r="EQ45" s="5"/>
      <c r="ER45" s="5"/>
      <c r="ES45" s="29"/>
      <c r="ET45" s="32"/>
      <c r="EU45" s="32"/>
      <c r="EV45" s="32"/>
      <c r="EW45" s="32"/>
      <c r="EY45" s="7">
        <v>20</v>
      </c>
      <c r="EZ45" s="5">
        <f t="shared" si="17"/>
        <v>47483</v>
      </c>
      <c r="FA45" s="5">
        <v>47472</v>
      </c>
      <c r="FB45" s="61"/>
      <c r="FC45" s="32">
        <f t="shared" si="49"/>
        <v>2221645.5699999989</v>
      </c>
      <c r="FD45" s="32">
        <v>40216.85</v>
      </c>
      <c r="FE45" s="32">
        <v>10363.16</v>
      </c>
      <c r="FF45" s="32"/>
      <c r="FG45" s="32">
        <f t="shared" si="50"/>
        <v>50580.009999999995</v>
      </c>
      <c r="FJ45" s="5"/>
      <c r="FK45" s="5"/>
      <c r="FL45" s="29"/>
      <c r="FM45" s="32"/>
      <c r="FN45" s="32"/>
      <c r="FO45" s="32"/>
      <c r="FP45" s="32"/>
      <c r="FS45" s="5"/>
      <c r="FT45" s="5"/>
      <c r="FU45" s="29"/>
      <c r="FV45" s="32"/>
      <c r="FW45" s="32"/>
      <c r="FX45" s="32"/>
      <c r="FY45" s="32"/>
      <c r="GB45" s="5"/>
      <c r="GC45" s="5"/>
      <c r="GD45" s="29"/>
      <c r="GE45" s="32"/>
      <c r="GF45" s="32"/>
      <c r="GG45" s="32"/>
      <c r="GH45" s="32"/>
      <c r="GK45" s="5"/>
      <c r="GL45" s="5"/>
      <c r="GM45" s="29"/>
      <c r="GN45" s="32"/>
      <c r="GO45" s="32"/>
      <c r="GP45" s="32"/>
      <c r="GQ45" s="32"/>
      <c r="GT45" s="5"/>
      <c r="GU45" s="5"/>
      <c r="GV45" s="29"/>
      <c r="GW45" s="32"/>
      <c r="GX45" s="32"/>
      <c r="GY45" s="32"/>
      <c r="GZ45" s="32"/>
      <c r="HC45" s="5"/>
      <c r="HD45" s="5"/>
      <c r="HE45" s="29"/>
      <c r="HF45" s="32"/>
      <c r="HG45" s="32"/>
      <c r="HH45" s="32"/>
      <c r="HI45" s="32"/>
    </row>
    <row r="46" spans="1:217" x14ac:dyDescent="0.35">
      <c r="A46" s="7">
        <v>21</v>
      </c>
      <c r="B46" s="6">
        <f t="shared" si="1"/>
        <v>42</v>
      </c>
      <c r="C46" s="5">
        <f t="shared" si="65"/>
        <v>45945</v>
      </c>
      <c r="D46" s="29"/>
      <c r="E46" s="32">
        <f t="shared" si="29"/>
        <v>57102119.005547129</v>
      </c>
      <c r="F46" s="32">
        <f t="shared" si="66"/>
        <v>0</v>
      </c>
      <c r="G46" s="32">
        <f t="shared" si="67"/>
        <v>0</v>
      </c>
      <c r="H46" s="32">
        <f t="shared" si="32"/>
        <v>0</v>
      </c>
      <c r="I46" s="60"/>
      <c r="J46" s="60"/>
      <c r="K46" s="32"/>
      <c r="M46" s="7">
        <v>21</v>
      </c>
      <c r="N46" s="59">
        <f t="shared" si="3"/>
        <v>47452</v>
      </c>
      <c r="O46" s="59">
        <f t="shared" si="61"/>
        <v>47437</v>
      </c>
      <c r="P46" s="29"/>
      <c r="Q46" s="32">
        <f t="shared" si="4"/>
        <v>36656980.931153744</v>
      </c>
      <c r="R46" s="32">
        <f t="shared" si="62"/>
        <v>4072997.8812392987</v>
      </c>
      <c r="S46" s="32">
        <f t="shared" si="33"/>
        <v>624526.34179002664</v>
      </c>
      <c r="T46" s="32"/>
      <c r="U46" s="32">
        <f t="shared" si="35"/>
        <v>4697524.2230293257</v>
      </c>
      <c r="V46" s="60"/>
      <c r="W46" s="60"/>
      <c r="X46" s="60"/>
      <c r="Y46" s="60"/>
      <c r="Z46" s="60"/>
      <c r="AA46" s="60"/>
      <c r="AC46" s="90">
        <v>21</v>
      </c>
      <c r="AD46" s="5">
        <f t="shared" si="5"/>
        <v>47634</v>
      </c>
      <c r="AE46" s="5">
        <v>47605</v>
      </c>
      <c r="AF46" s="29"/>
      <c r="AG46" s="32">
        <f t="shared" si="36"/>
        <v>256932.91999999955</v>
      </c>
      <c r="AH46" s="32">
        <f t="shared" si="56"/>
        <v>51840.79</v>
      </c>
      <c r="AI46" s="32">
        <f t="shared" si="37"/>
        <v>4198.4647512499942</v>
      </c>
      <c r="AJ46" s="32">
        <f t="shared" si="38"/>
        <v>56039.254751249995</v>
      </c>
      <c r="AK46" s="60"/>
      <c r="AL46" s="60"/>
      <c r="AM46" s="60"/>
      <c r="AN46" s="60"/>
      <c r="AO46" s="60"/>
      <c r="AP46" s="32"/>
      <c r="AR46" s="7">
        <v>21</v>
      </c>
      <c r="AS46" s="5">
        <f t="shared" si="6"/>
        <v>47542</v>
      </c>
      <c r="AT46" s="5">
        <v>47534</v>
      </c>
      <c r="AU46" s="29"/>
      <c r="AV46" s="32">
        <f t="shared" si="57"/>
        <v>8120804.0919890767</v>
      </c>
      <c r="AW46" s="32">
        <v>525047.46469953598</v>
      </c>
      <c r="AX46" s="32">
        <f t="shared" si="58"/>
        <v>132569.72386922539</v>
      </c>
      <c r="AY46" s="32">
        <f t="shared" si="7"/>
        <v>657617.18856876134</v>
      </c>
      <c r="AZ46" s="60"/>
      <c r="BA46" s="60"/>
      <c r="BB46" s="60"/>
      <c r="BC46" s="60"/>
      <c r="BD46" s="60"/>
      <c r="BE46" s="60"/>
      <c r="BH46" s="5"/>
      <c r="BI46" s="5"/>
      <c r="BJ46" s="29"/>
      <c r="BK46" s="32"/>
      <c r="BL46" s="32"/>
      <c r="BM46" s="32"/>
      <c r="BN46" s="32"/>
      <c r="BO46" s="32"/>
      <c r="BP46" s="104"/>
      <c r="BQ46" s="60"/>
      <c r="BR46" s="60"/>
      <c r="BS46" s="60"/>
      <c r="BT46" s="60"/>
      <c r="BU46" s="60"/>
      <c r="BX46" s="5"/>
      <c r="BY46" s="5"/>
      <c r="BZ46" s="29"/>
      <c r="CA46" s="32"/>
      <c r="CB46" s="32"/>
      <c r="CC46" s="32"/>
      <c r="CD46" s="32"/>
      <c r="CE46" s="32"/>
      <c r="CF46" s="32"/>
      <c r="CG46" s="104"/>
      <c r="CH46" s="60"/>
      <c r="CI46" s="60"/>
      <c r="CJ46" s="60"/>
      <c r="CK46" s="60"/>
      <c r="CL46" s="60"/>
      <c r="CO46" s="5"/>
      <c r="CP46" s="5"/>
      <c r="CQ46" s="29"/>
      <c r="CR46" s="32"/>
      <c r="CS46" s="32"/>
      <c r="CT46" s="32"/>
      <c r="CU46" s="32"/>
      <c r="CW46" s="7">
        <v>21</v>
      </c>
      <c r="CX46" s="5">
        <f t="shared" si="12"/>
        <v>46507</v>
      </c>
      <c r="CY46" s="5">
        <v>46487</v>
      </c>
      <c r="CZ46" s="29"/>
      <c r="DA46" s="32">
        <f t="shared" si="45"/>
        <v>6334553.5888031032</v>
      </c>
      <c r="DB46" s="32">
        <v>1583638.38</v>
      </c>
      <c r="DC46" s="32">
        <f t="shared" si="46"/>
        <v>40910.658505482701</v>
      </c>
      <c r="DD46" s="32">
        <f t="shared" si="13"/>
        <v>1624549.0385054825</v>
      </c>
      <c r="DE46" s="104"/>
      <c r="DF46" s="60"/>
      <c r="DG46" s="60"/>
      <c r="DH46" s="60"/>
      <c r="DI46" s="60"/>
      <c r="DJ46" s="60"/>
      <c r="DL46" s="7">
        <v>21</v>
      </c>
      <c r="DM46" s="5">
        <f t="shared" si="14"/>
        <v>47664</v>
      </c>
      <c r="DN46" s="5">
        <v>47656</v>
      </c>
      <c r="DO46" s="29"/>
      <c r="DP46" s="32">
        <f t="shared" si="47"/>
        <v>4543572.1988674644</v>
      </c>
      <c r="DQ46" s="32">
        <v>283973.26</v>
      </c>
      <c r="DR46" s="32">
        <v>72332.72</v>
      </c>
      <c r="DS46" s="32">
        <f t="shared" si="15"/>
        <v>356305.98</v>
      </c>
      <c r="DT46" s="104"/>
      <c r="DU46" s="60"/>
      <c r="DV46" s="60"/>
      <c r="DW46" s="60"/>
      <c r="DX46" s="60"/>
      <c r="DY46" s="60"/>
      <c r="DZ46" s="64"/>
      <c r="EA46" s="7">
        <v>21</v>
      </c>
      <c r="EB46" s="5">
        <f t="shared" si="0"/>
        <v>47695</v>
      </c>
      <c r="EC46" s="5">
        <v>47669</v>
      </c>
      <c r="ED46" s="29"/>
      <c r="EE46" s="32">
        <f t="shared" si="48"/>
        <v>473931.63268659764</v>
      </c>
      <c r="EF46" s="32">
        <v>39494.31</v>
      </c>
      <c r="EG46" s="32">
        <f t="shared" si="60"/>
        <v>7553.3513268243287</v>
      </c>
      <c r="EH46" s="32">
        <f t="shared" si="16"/>
        <v>47047.661326824324</v>
      </c>
      <c r="EI46" s="104"/>
      <c r="EJ46" s="60"/>
      <c r="EK46" s="60"/>
      <c r="EL46" s="60"/>
      <c r="EM46" s="60"/>
      <c r="EN46" s="60"/>
      <c r="EQ46" s="5"/>
      <c r="ER46" s="5"/>
      <c r="ES46" s="29"/>
      <c r="ET46" s="32"/>
      <c r="EU46" s="32"/>
      <c r="EV46" s="32"/>
      <c r="EW46" s="32"/>
      <c r="EY46" s="7">
        <v>21</v>
      </c>
      <c r="EZ46" s="5">
        <f t="shared" si="17"/>
        <v>47573</v>
      </c>
      <c r="FA46" s="5">
        <v>47563</v>
      </c>
      <c r="FB46" s="61"/>
      <c r="FC46" s="32">
        <f t="shared" si="49"/>
        <v>2181428.7199999988</v>
      </c>
      <c r="FD46" s="32">
        <v>40216.85</v>
      </c>
      <c r="FE46" s="32">
        <v>9754.2199999999993</v>
      </c>
      <c r="FF46" s="32"/>
      <c r="FG46" s="32">
        <f t="shared" si="50"/>
        <v>49971.07</v>
      </c>
      <c r="FJ46" s="5"/>
      <c r="FK46" s="5"/>
      <c r="FL46" s="29"/>
      <c r="FM46" s="32"/>
      <c r="FN46" s="32"/>
      <c r="FO46" s="32"/>
      <c r="FP46" s="32"/>
      <c r="FS46" s="5"/>
      <c r="FT46" s="5"/>
      <c r="FU46" s="29"/>
      <c r="FV46" s="32"/>
      <c r="FW46" s="32"/>
      <c r="FX46" s="32"/>
      <c r="FY46" s="32"/>
      <c r="GB46" s="5"/>
      <c r="GC46" s="5"/>
      <c r="GD46" s="29"/>
      <c r="GE46" s="32"/>
      <c r="GF46" s="32"/>
      <c r="GG46" s="32"/>
      <c r="GH46" s="32"/>
      <c r="GK46" s="5"/>
      <c r="GL46" s="5"/>
      <c r="GM46" s="29"/>
      <c r="GN46" s="32"/>
      <c r="GO46" s="32"/>
      <c r="GP46" s="32"/>
      <c r="GQ46" s="32"/>
      <c r="GT46" s="5"/>
      <c r="GU46" s="5"/>
      <c r="GV46" s="29"/>
      <c r="GW46" s="32"/>
      <c r="GX46" s="32"/>
      <c r="GY46" s="32"/>
      <c r="GZ46" s="32"/>
      <c r="HC46" s="5"/>
      <c r="HD46" s="5"/>
      <c r="HE46" s="29"/>
      <c r="HF46" s="32"/>
      <c r="HG46" s="32"/>
      <c r="HH46" s="32"/>
      <c r="HI46" s="32"/>
    </row>
    <row r="47" spans="1:217" x14ac:dyDescent="0.35">
      <c r="A47" s="7">
        <v>22</v>
      </c>
      <c r="B47" s="6">
        <f t="shared" si="1"/>
        <v>42</v>
      </c>
      <c r="C47" s="5">
        <f t="shared" si="65"/>
        <v>45946</v>
      </c>
      <c r="D47" s="29"/>
      <c r="E47" s="32">
        <f t="shared" si="29"/>
        <v>57102119.005547129</v>
      </c>
      <c r="F47" s="32">
        <f t="shared" si="66"/>
        <v>0</v>
      </c>
      <c r="G47" s="32">
        <f t="shared" si="67"/>
        <v>0</v>
      </c>
      <c r="H47" s="32">
        <f t="shared" si="32"/>
        <v>0</v>
      </c>
      <c r="I47" s="60"/>
      <c r="J47" s="60"/>
      <c r="K47" s="32"/>
      <c r="M47" s="7">
        <v>22</v>
      </c>
      <c r="N47" s="59">
        <f t="shared" si="3"/>
        <v>47542</v>
      </c>
      <c r="O47" s="59">
        <f t="shared" si="61"/>
        <v>47529</v>
      </c>
      <c r="P47" s="29"/>
      <c r="Q47" s="32">
        <f t="shared" si="4"/>
        <v>32583983.049914446</v>
      </c>
      <c r="R47" s="32">
        <f t="shared" si="62"/>
        <v>4072997.8812392987</v>
      </c>
      <c r="S47" s="32">
        <f t="shared" si="33"/>
        <v>562073.70761102415</v>
      </c>
      <c r="T47" s="32"/>
      <c r="U47" s="32">
        <f t="shared" si="35"/>
        <v>4635071.5888503231</v>
      </c>
      <c r="V47" s="60"/>
      <c r="W47" s="60"/>
      <c r="X47" s="60"/>
      <c r="Y47" s="60"/>
      <c r="Z47" s="60"/>
      <c r="AA47" s="60"/>
      <c r="AC47" s="90">
        <v>22</v>
      </c>
      <c r="AD47" s="5">
        <f t="shared" si="5"/>
        <v>47726</v>
      </c>
      <c r="AE47" s="5">
        <v>47697</v>
      </c>
      <c r="AF47" s="29"/>
      <c r="AG47" s="32">
        <f t="shared" si="36"/>
        <v>205092.12999999954</v>
      </c>
      <c r="AH47" s="32">
        <f t="shared" si="56"/>
        <v>51840.79</v>
      </c>
      <c r="AI47" s="32">
        <f t="shared" si="37"/>
        <v>3611.3349311111047</v>
      </c>
      <c r="AJ47" s="32">
        <f t="shared" si="38"/>
        <v>55452.124931111102</v>
      </c>
      <c r="AK47" s="60"/>
      <c r="AL47" s="60"/>
      <c r="AM47" s="60"/>
      <c r="AN47" s="60"/>
      <c r="AO47" s="60"/>
      <c r="AP47" s="32"/>
      <c r="AR47" s="7">
        <v>22</v>
      </c>
      <c r="AS47" s="5">
        <f t="shared" si="6"/>
        <v>47634</v>
      </c>
      <c r="AT47" s="5">
        <v>47623</v>
      </c>
      <c r="AU47" s="29"/>
      <c r="AV47" s="32">
        <f t="shared" si="57"/>
        <v>7595756.6272895411</v>
      </c>
      <c r="AW47" s="32">
        <v>525047.46469953598</v>
      </c>
      <c r="AX47" s="32">
        <f t="shared" si="58"/>
        <v>120458.59403117129</v>
      </c>
      <c r="AY47" s="32">
        <f t="shared" si="7"/>
        <v>645506.05873070727</v>
      </c>
      <c r="AZ47" s="60"/>
      <c r="BA47" s="60"/>
      <c r="BB47" s="60"/>
      <c r="BC47" s="60"/>
      <c r="BD47" s="60"/>
      <c r="BE47" s="60"/>
      <c r="BH47" s="5"/>
      <c r="BI47" s="5"/>
      <c r="BJ47" s="29"/>
      <c r="BK47" s="32"/>
      <c r="BL47" s="32"/>
      <c r="BM47" s="32"/>
      <c r="BN47" s="32"/>
      <c r="BO47" s="32"/>
      <c r="BP47" s="104"/>
      <c r="BQ47" s="60"/>
      <c r="BR47" s="60"/>
      <c r="BS47" s="60"/>
      <c r="BT47" s="60"/>
      <c r="BU47" s="60"/>
      <c r="BX47" s="5"/>
      <c r="BY47" s="5"/>
      <c r="BZ47" s="29"/>
      <c r="CA47" s="32"/>
      <c r="CB47" s="32"/>
      <c r="CC47" s="32"/>
      <c r="CD47" s="32"/>
      <c r="CE47" s="32"/>
      <c r="CF47" s="32"/>
      <c r="CG47" s="104"/>
      <c r="CH47" s="60"/>
      <c r="CI47" s="60"/>
      <c r="CJ47" s="60"/>
      <c r="CK47" s="60"/>
      <c r="CL47" s="60"/>
      <c r="CO47" s="5"/>
      <c r="CP47" s="5"/>
      <c r="CQ47" s="29"/>
      <c r="CR47" s="32"/>
      <c r="CS47" s="32"/>
      <c r="CT47" s="32"/>
      <c r="CU47" s="32"/>
      <c r="CW47" s="7">
        <v>22</v>
      </c>
      <c r="CX47" s="5">
        <f t="shared" si="12"/>
        <v>46538</v>
      </c>
      <c r="CY47" s="5">
        <v>46517</v>
      </c>
      <c r="CZ47" s="29"/>
      <c r="DA47" s="32">
        <f t="shared" si="45"/>
        <v>4750915.2088031033</v>
      </c>
      <c r="DB47" s="32">
        <v>1583638.38</v>
      </c>
      <c r="DC47" s="32">
        <f t="shared" si="46"/>
        <v>31672.767944015515</v>
      </c>
      <c r="DD47" s="32">
        <f t="shared" si="13"/>
        <v>1615311.1479440155</v>
      </c>
      <c r="DE47" s="104"/>
      <c r="DF47" s="60"/>
      <c r="DG47" s="60"/>
      <c r="DH47" s="60"/>
      <c r="DI47" s="60"/>
      <c r="DJ47" s="60"/>
      <c r="DL47" s="7">
        <v>22</v>
      </c>
      <c r="DM47" s="5">
        <f t="shared" si="14"/>
        <v>47756</v>
      </c>
      <c r="DN47" s="5">
        <v>47745</v>
      </c>
      <c r="DO47" s="29"/>
      <c r="DP47" s="32">
        <f t="shared" si="47"/>
        <v>4259598.9388674647</v>
      </c>
      <c r="DQ47" s="32">
        <v>283973.26</v>
      </c>
      <c r="DR47" s="32">
        <v>65149.78</v>
      </c>
      <c r="DS47" s="32">
        <f t="shared" si="15"/>
        <v>349123.04000000004</v>
      </c>
      <c r="DT47" s="104"/>
      <c r="DU47" s="60"/>
      <c r="DV47" s="60"/>
      <c r="DW47" s="60"/>
      <c r="DX47" s="60"/>
      <c r="DY47" s="60"/>
      <c r="DZ47" s="64"/>
      <c r="EA47" s="7">
        <v>22</v>
      </c>
      <c r="EB47" s="5">
        <f t="shared" si="0"/>
        <v>47787</v>
      </c>
      <c r="EC47" s="5">
        <v>47763</v>
      </c>
      <c r="ED47" s="29"/>
      <c r="EE47" s="32">
        <f t="shared" si="48"/>
        <v>434437.32268659765</v>
      </c>
      <c r="EF47" s="32">
        <v>39494.31</v>
      </c>
      <c r="EG47" s="32">
        <f t="shared" si="60"/>
        <v>7202.1810447273283</v>
      </c>
      <c r="EH47" s="32">
        <f t="shared" si="16"/>
        <v>46696.491044727329</v>
      </c>
      <c r="EI47" s="104"/>
      <c r="EJ47" s="60"/>
      <c r="EK47" s="60"/>
      <c r="EL47" s="60"/>
      <c r="EM47" s="60"/>
      <c r="EN47" s="60"/>
      <c r="EQ47" s="5"/>
      <c r="ER47" s="5"/>
      <c r="ES47" s="29"/>
      <c r="ET47" s="32"/>
      <c r="EU47" s="32"/>
      <c r="EV47" s="32"/>
      <c r="EW47" s="32"/>
      <c r="EY47" s="7">
        <v>22</v>
      </c>
      <c r="EZ47" s="5">
        <f t="shared" si="17"/>
        <v>47664</v>
      </c>
      <c r="FA47" s="5">
        <v>47656</v>
      </c>
      <c r="FB47" s="61"/>
      <c r="FC47" s="32">
        <f t="shared" si="49"/>
        <v>2141211.8699999987</v>
      </c>
      <c r="FD47" s="32">
        <v>40216.85</v>
      </c>
      <c r="FE47" s="32">
        <v>9332.65</v>
      </c>
      <c r="FF47" s="32"/>
      <c r="FG47" s="32">
        <f t="shared" si="50"/>
        <v>49549.5</v>
      </c>
      <c r="FJ47" s="5"/>
      <c r="FK47" s="5"/>
      <c r="FL47" s="29"/>
      <c r="FM47" s="32"/>
      <c r="FN47" s="32"/>
      <c r="FO47" s="32"/>
      <c r="FP47" s="32"/>
      <c r="FS47" s="5"/>
      <c r="FT47" s="5"/>
      <c r="FU47" s="29"/>
      <c r="FV47" s="32"/>
      <c r="FW47" s="32"/>
      <c r="FX47" s="32"/>
      <c r="FY47" s="32"/>
      <c r="GB47" s="5"/>
      <c r="GC47" s="5"/>
      <c r="GD47" s="29"/>
      <c r="GE47" s="32"/>
      <c r="GF47" s="32"/>
      <c r="GG47" s="32"/>
      <c r="GH47" s="32"/>
      <c r="GK47" s="5"/>
      <c r="GL47" s="5"/>
      <c r="GM47" s="29"/>
      <c r="GN47" s="32"/>
      <c r="GO47" s="32"/>
      <c r="GP47" s="32"/>
      <c r="GQ47" s="32"/>
      <c r="GT47" s="5"/>
      <c r="GU47" s="5"/>
      <c r="GV47" s="29"/>
      <c r="GW47" s="32"/>
      <c r="GX47" s="32"/>
      <c r="GY47" s="32"/>
      <c r="GZ47" s="32"/>
      <c r="HC47" s="5"/>
      <c r="HD47" s="5"/>
      <c r="HE47" s="29"/>
      <c r="HF47" s="32"/>
      <c r="HG47" s="32"/>
      <c r="HH47" s="32"/>
      <c r="HI47" s="32"/>
    </row>
    <row r="48" spans="1:217" x14ac:dyDescent="0.35">
      <c r="A48" s="7">
        <v>23</v>
      </c>
      <c r="B48" s="6">
        <f t="shared" si="1"/>
        <v>42</v>
      </c>
      <c r="C48" s="5">
        <f t="shared" si="65"/>
        <v>45947</v>
      </c>
      <c r="D48" s="29"/>
      <c r="E48" s="32">
        <f t="shared" si="29"/>
        <v>57102119.005547129</v>
      </c>
      <c r="F48" s="32">
        <f t="shared" si="66"/>
        <v>0</v>
      </c>
      <c r="G48" s="32">
        <f t="shared" si="67"/>
        <v>0</v>
      </c>
      <c r="H48" s="32">
        <f t="shared" si="32"/>
        <v>0</v>
      </c>
      <c r="I48" s="60"/>
      <c r="J48" s="60"/>
      <c r="K48" s="32"/>
      <c r="M48" s="7">
        <v>23</v>
      </c>
      <c r="N48" s="59">
        <f t="shared" si="3"/>
        <v>47634</v>
      </c>
      <c r="O48" s="59">
        <f t="shared" si="61"/>
        <v>47618</v>
      </c>
      <c r="P48" s="29"/>
      <c r="Q48" s="32">
        <f t="shared" si="4"/>
        <v>28510985.168675147</v>
      </c>
      <c r="R48" s="32">
        <f t="shared" si="62"/>
        <v>4072997.8812392987</v>
      </c>
      <c r="S48" s="32">
        <f t="shared" si="33"/>
        <v>483329.08190706425</v>
      </c>
      <c r="T48" s="32"/>
      <c r="U48" s="32">
        <f t="shared" si="35"/>
        <v>4556326.9631463634</v>
      </c>
      <c r="V48" s="60"/>
      <c r="W48" s="60"/>
      <c r="X48" s="60"/>
      <c r="Y48" s="60"/>
      <c r="Z48" s="60"/>
      <c r="AA48" s="60"/>
      <c r="AC48" s="90">
        <v>23</v>
      </c>
      <c r="AD48" s="5">
        <f t="shared" si="5"/>
        <v>47817</v>
      </c>
      <c r="AE48" s="5">
        <v>47789</v>
      </c>
      <c r="AF48" s="29"/>
      <c r="AG48" s="32">
        <f t="shared" si="36"/>
        <v>153251.33999999953</v>
      </c>
      <c r="AH48" s="32">
        <f t="shared" si="56"/>
        <v>51840.79</v>
      </c>
      <c r="AI48" s="32">
        <f t="shared" si="37"/>
        <v>2882.6838272222158</v>
      </c>
      <c r="AJ48" s="32">
        <f t="shared" si="38"/>
        <v>54723.473827222217</v>
      </c>
      <c r="AK48" s="60"/>
      <c r="AL48" s="60"/>
      <c r="AM48" s="60"/>
      <c r="AN48" s="60"/>
      <c r="AO48" s="60"/>
      <c r="AP48" s="32"/>
      <c r="AR48" s="7">
        <v>23</v>
      </c>
      <c r="AS48" s="5">
        <f t="shared" si="6"/>
        <v>47726</v>
      </c>
      <c r="AT48" s="5">
        <v>47715</v>
      </c>
      <c r="AU48" s="29"/>
      <c r="AV48" s="32">
        <f t="shared" si="57"/>
        <v>7070709.1625900054</v>
      </c>
      <c r="AW48" s="32">
        <v>525047.46469953598</v>
      </c>
      <c r="AX48" s="32">
        <f t="shared" si="58"/>
        <v>116468.26828510629</v>
      </c>
      <c r="AY48" s="32">
        <f t="shared" si="7"/>
        <v>641515.73298464227</v>
      </c>
      <c r="AZ48" s="60"/>
      <c r="BA48" s="60"/>
      <c r="BB48" s="60"/>
      <c r="BC48" s="60"/>
      <c r="BD48" s="60"/>
      <c r="BE48" s="60"/>
      <c r="BH48" s="5"/>
      <c r="BI48" s="5"/>
      <c r="BJ48" s="29"/>
      <c r="BK48" s="32"/>
      <c r="BL48" s="32"/>
      <c r="BM48" s="32"/>
      <c r="BN48" s="32"/>
      <c r="BO48" s="32"/>
      <c r="BP48" s="104"/>
      <c r="BQ48" s="60"/>
      <c r="BR48" s="60"/>
      <c r="BS48" s="60"/>
      <c r="BT48" s="60"/>
      <c r="BU48" s="60"/>
      <c r="BX48" s="5"/>
      <c r="BY48" s="5"/>
      <c r="BZ48" s="29"/>
      <c r="CA48" s="32"/>
      <c r="CB48" s="32"/>
      <c r="CC48" s="32"/>
      <c r="CD48" s="32"/>
      <c r="CE48" s="32"/>
      <c r="CF48" s="32"/>
      <c r="CG48" s="104"/>
      <c r="CH48" s="60"/>
      <c r="CI48" s="60"/>
      <c r="CJ48" s="60"/>
      <c r="CK48" s="60"/>
      <c r="CL48" s="60"/>
      <c r="CO48" s="5"/>
      <c r="CP48" s="5"/>
      <c r="CQ48" s="29"/>
      <c r="CR48" s="32"/>
      <c r="CS48" s="32"/>
      <c r="CT48" s="32"/>
      <c r="CU48" s="32"/>
      <c r="CW48" s="7">
        <v>23</v>
      </c>
      <c r="CX48" s="5">
        <f t="shared" si="12"/>
        <v>46568</v>
      </c>
      <c r="CY48" s="5">
        <v>46548</v>
      </c>
      <c r="CZ48" s="29"/>
      <c r="DA48" s="32">
        <f t="shared" si="45"/>
        <v>3167276.8288031034</v>
      </c>
      <c r="DB48" s="32">
        <v>1583638.38</v>
      </c>
      <c r="DC48" s="32">
        <f t="shared" si="46"/>
        <v>24546.395245482694</v>
      </c>
      <c r="DD48" s="32">
        <f t="shared" si="13"/>
        <v>1608184.7752454826</v>
      </c>
      <c r="DE48" s="104"/>
      <c r="DF48" s="60"/>
      <c r="DG48" s="60"/>
      <c r="DH48" s="60"/>
      <c r="DI48" s="60"/>
      <c r="DJ48" s="60"/>
      <c r="DL48" s="7">
        <v>23</v>
      </c>
      <c r="DM48" s="5">
        <f t="shared" si="14"/>
        <v>47848</v>
      </c>
      <c r="DN48" s="5">
        <v>47836</v>
      </c>
      <c r="DO48" s="29"/>
      <c r="DP48" s="32">
        <f t="shared" si="47"/>
        <v>3975625.6788674649</v>
      </c>
      <c r="DQ48" s="32">
        <v>283973.26</v>
      </c>
      <c r="DR48" s="32">
        <v>62450.45</v>
      </c>
      <c r="DS48" s="32">
        <f t="shared" si="15"/>
        <v>346423.71</v>
      </c>
      <c r="DT48" s="104"/>
      <c r="DU48" s="60"/>
      <c r="DV48" s="60"/>
      <c r="DW48" s="60"/>
      <c r="DX48" s="60"/>
      <c r="DY48" s="60"/>
      <c r="DZ48" s="64"/>
      <c r="EA48" s="7">
        <v>23</v>
      </c>
      <c r="EB48" s="5">
        <f t="shared" si="0"/>
        <v>47879</v>
      </c>
      <c r="EC48" s="5">
        <v>47854</v>
      </c>
      <c r="ED48" s="29"/>
      <c r="EE48" s="32">
        <f t="shared" si="48"/>
        <v>394943.01268659765</v>
      </c>
      <c r="EF48" s="32">
        <v>39494.31</v>
      </c>
      <c r="EG48" s="32">
        <f t="shared" si="60"/>
        <v>6391.2970789243282</v>
      </c>
      <c r="EH48" s="32">
        <f t="shared" si="16"/>
        <v>45885.607078924324</v>
      </c>
      <c r="EI48" s="104"/>
      <c r="EJ48" s="60"/>
      <c r="EK48" s="60"/>
      <c r="EL48" s="60"/>
      <c r="EM48" s="60"/>
      <c r="EN48" s="60"/>
      <c r="EQ48" s="5"/>
      <c r="ER48" s="5"/>
      <c r="ES48" s="29"/>
      <c r="ET48" s="32"/>
      <c r="EU48" s="32"/>
      <c r="EV48" s="32"/>
      <c r="EW48" s="32"/>
      <c r="EY48" s="7">
        <v>23</v>
      </c>
      <c r="EZ48" s="5">
        <f t="shared" si="17"/>
        <v>47756</v>
      </c>
      <c r="FA48" s="5">
        <v>47745</v>
      </c>
      <c r="FB48" s="61"/>
      <c r="FC48" s="32">
        <f t="shared" si="49"/>
        <v>2100995.0199999986</v>
      </c>
      <c r="FD48" s="32">
        <v>40216.85</v>
      </c>
      <c r="FE48" s="32">
        <v>8362.36</v>
      </c>
      <c r="FF48" s="32"/>
      <c r="FG48" s="32">
        <f t="shared" si="50"/>
        <v>48579.21</v>
      </c>
      <c r="FJ48" s="5"/>
      <c r="FK48" s="5"/>
      <c r="FL48" s="29"/>
      <c r="FM48" s="32"/>
      <c r="FN48" s="32"/>
      <c r="FO48" s="32"/>
      <c r="FP48" s="32"/>
      <c r="FS48" s="5"/>
      <c r="FT48" s="5"/>
      <c r="FU48" s="29"/>
      <c r="FV48" s="32"/>
      <c r="FW48" s="32"/>
      <c r="FX48" s="32"/>
      <c r="FY48" s="32"/>
      <c r="GB48" s="5"/>
      <c r="GC48" s="5"/>
      <c r="GD48" s="29"/>
      <c r="GE48" s="32"/>
      <c r="GF48" s="32"/>
      <c r="GG48" s="32"/>
      <c r="GH48" s="32"/>
      <c r="GK48" s="5"/>
      <c r="GL48" s="5"/>
      <c r="GM48" s="29"/>
      <c r="GN48" s="32"/>
      <c r="GO48" s="32"/>
      <c r="GP48" s="32"/>
      <c r="GQ48" s="32"/>
      <c r="GT48" s="5"/>
      <c r="GU48" s="5"/>
      <c r="GV48" s="29"/>
      <c r="GW48" s="32"/>
      <c r="GX48" s="32"/>
      <c r="GY48" s="32"/>
      <c r="GZ48" s="32"/>
      <c r="HC48" s="5"/>
      <c r="HD48" s="5"/>
      <c r="HE48" s="29"/>
      <c r="HF48" s="32"/>
      <c r="HG48" s="32"/>
      <c r="HH48" s="32"/>
      <c r="HI48" s="32"/>
    </row>
    <row r="49" spans="1:217" x14ac:dyDescent="0.35">
      <c r="A49" s="7">
        <v>24</v>
      </c>
      <c r="B49" s="6">
        <f t="shared" si="1"/>
        <v>42</v>
      </c>
      <c r="C49" s="5">
        <f t="shared" si="65"/>
        <v>45948</v>
      </c>
      <c r="D49" s="29"/>
      <c r="E49" s="32">
        <f t="shared" si="29"/>
        <v>57102119.005547129</v>
      </c>
      <c r="F49" s="32">
        <f t="shared" si="66"/>
        <v>0</v>
      </c>
      <c r="G49" s="32">
        <f t="shared" si="67"/>
        <v>0</v>
      </c>
      <c r="H49" s="32">
        <f t="shared" si="32"/>
        <v>0</v>
      </c>
      <c r="I49" s="60"/>
      <c r="J49" s="60"/>
      <c r="K49" s="32"/>
      <c r="M49" s="7">
        <v>24</v>
      </c>
      <c r="N49" s="59">
        <f t="shared" si="3"/>
        <v>47726</v>
      </c>
      <c r="O49" s="59">
        <f t="shared" si="61"/>
        <v>47710</v>
      </c>
      <c r="P49" s="29"/>
      <c r="Q49" s="32">
        <f t="shared" si="4"/>
        <v>24437987.287435848</v>
      </c>
      <c r="R49" s="32">
        <f t="shared" si="62"/>
        <v>4072997.8812392987</v>
      </c>
      <c r="S49" s="32">
        <f t="shared" si="33"/>
        <v>437168.43925301894</v>
      </c>
      <c r="T49" s="32"/>
      <c r="U49" s="32">
        <f t="shared" si="35"/>
        <v>4510166.3204923179</v>
      </c>
      <c r="V49" s="60"/>
      <c r="W49" s="60"/>
      <c r="X49" s="60"/>
      <c r="Y49" s="60"/>
      <c r="Z49" s="60"/>
      <c r="AA49" s="60"/>
      <c r="AC49" s="90">
        <v>24</v>
      </c>
      <c r="AD49" s="5">
        <f t="shared" si="5"/>
        <v>47907</v>
      </c>
      <c r="AE49" s="5">
        <v>47881</v>
      </c>
      <c r="AF49" s="29"/>
      <c r="AG49" s="32">
        <f t="shared" si="36"/>
        <v>101410.54999999952</v>
      </c>
      <c r="AH49" s="32">
        <f t="shared" si="56"/>
        <v>51840.79</v>
      </c>
      <c r="AI49" s="32">
        <f t="shared" si="37"/>
        <v>2154.0327233333269</v>
      </c>
      <c r="AJ49" s="32">
        <f t="shared" si="38"/>
        <v>53994.822723333331</v>
      </c>
      <c r="AK49" s="60"/>
      <c r="AL49" s="60"/>
      <c r="AM49" s="60"/>
      <c r="AN49" s="60"/>
      <c r="AO49" s="60"/>
      <c r="AP49" s="32"/>
      <c r="AR49" s="7">
        <v>24</v>
      </c>
      <c r="AS49" s="5">
        <f t="shared" si="6"/>
        <v>47817</v>
      </c>
      <c r="AT49" s="5">
        <v>47807</v>
      </c>
      <c r="AU49" s="29"/>
      <c r="AV49" s="32">
        <f t="shared" si="57"/>
        <v>6545661.6978904698</v>
      </c>
      <c r="AW49" s="32">
        <v>525047.46469953598</v>
      </c>
      <c r="AX49" s="32">
        <f t="shared" si="58"/>
        <v>108417.54049304676</v>
      </c>
      <c r="AY49" s="32">
        <f t="shared" si="7"/>
        <v>633465.00519258273</v>
      </c>
      <c r="AZ49" s="60"/>
      <c r="BA49" s="60"/>
      <c r="BB49" s="60"/>
      <c r="BC49" s="60"/>
      <c r="BD49" s="60"/>
      <c r="BE49" s="60"/>
      <c r="BH49" s="5"/>
      <c r="BI49" s="5"/>
      <c r="BJ49" s="29"/>
      <c r="BK49" s="32"/>
      <c r="BL49" s="32"/>
      <c r="BM49" s="32"/>
      <c r="BN49" s="32"/>
      <c r="BO49" s="32"/>
      <c r="BP49" s="104"/>
      <c r="BQ49" s="60"/>
      <c r="BR49" s="60"/>
      <c r="BS49" s="60"/>
      <c r="BT49" s="60"/>
      <c r="BU49" s="60"/>
      <c r="BX49" s="5"/>
      <c r="BY49" s="5"/>
      <c r="BZ49" s="29"/>
      <c r="CA49" s="32"/>
      <c r="CB49" s="32"/>
      <c r="CC49" s="32"/>
      <c r="CD49" s="32"/>
      <c r="CE49" s="32"/>
      <c r="CF49" s="32"/>
      <c r="CG49" s="104"/>
      <c r="CH49" s="60"/>
      <c r="CI49" s="60"/>
      <c r="CJ49" s="60"/>
      <c r="CK49" s="60"/>
      <c r="CL49" s="60"/>
      <c r="CO49" s="5"/>
      <c r="CP49" s="5"/>
      <c r="CQ49" s="29"/>
      <c r="CR49" s="32"/>
      <c r="CS49" s="32"/>
      <c r="CT49" s="32"/>
      <c r="CU49" s="32"/>
      <c r="CW49" s="7">
        <v>24</v>
      </c>
      <c r="CX49" s="5">
        <f t="shared" si="12"/>
        <v>46599</v>
      </c>
      <c r="CY49" s="5">
        <v>46578</v>
      </c>
      <c r="CZ49" s="29"/>
      <c r="DA49" s="32">
        <f t="shared" si="45"/>
        <v>1583638.4488031035</v>
      </c>
      <c r="DB49" s="32">
        <v>1583638.38</v>
      </c>
      <c r="DC49" s="32">
        <f t="shared" si="46"/>
        <v>15836.384144015514</v>
      </c>
      <c r="DD49" s="32">
        <f t="shared" si="13"/>
        <v>1599474.7641440155</v>
      </c>
      <c r="DE49" s="104"/>
      <c r="DF49" s="60"/>
      <c r="DG49" s="60"/>
      <c r="DH49" s="60"/>
      <c r="DI49" s="60"/>
      <c r="DJ49" s="60"/>
      <c r="DL49" s="7">
        <v>24</v>
      </c>
      <c r="DM49" s="5">
        <f t="shared" si="14"/>
        <v>47938</v>
      </c>
      <c r="DN49" s="5">
        <v>47927</v>
      </c>
      <c r="DO49" s="29"/>
      <c r="DP49" s="32">
        <f t="shared" si="47"/>
        <v>3691652.4188674651</v>
      </c>
      <c r="DQ49" s="32">
        <v>283973.26</v>
      </c>
      <c r="DR49" s="32">
        <v>58287.09</v>
      </c>
      <c r="DS49" s="32">
        <f t="shared" si="15"/>
        <v>342260.35</v>
      </c>
      <c r="DT49" s="104"/>
      <c r="DU49" s="60"/>
      <c r="DV49" s="60"/>
      <c r="DW49" s="60"/>
      <c r="DX49" s="60"/>
      <c r="DY49" s="60"/>
      <c r="DZ49" s="64"/>
      <c r="EA49" s="7">
        <v>24</v>
      </c>
      <c r="EB49" s="5">
        <f t="shared" si="0"/>
        <v>47968</v>
      </c>
      <c r="EC49" s="5">
        <v>47945</v>
      </c>
      <c r="ED49" s="29"/>
      <c r="EE49" s="32">
        <f t="shared" si="48"/>
        <v>355448.70268659765</v>
      </c>
      <c r="EF49" s="32">
        <v>39494.31</v>
      </c>
      <c r="EG49" s="32">
        <f t="shared" si="60"/>
        <v>5810.2699549743284</v>
      </c>
      <c r="EH49" s="32">
        <f t="shared" si="16"/>
        <v>45304.579954974324</v>
      </c>
      <c r="EI49" s="104"/>
      <c r="EJ49" s="60"/>
      <c r="EK49" s="60"/>
      <c r="EL49" s="60"/>
      <c r="EM49" s="60"/>
      <c r="EN49" s="60"/>
      <c r="EQ49" s="5"/>
      <c r="ER49" s="5"/>
      <c r="ES49" s="29"/>
      <c r="ET49" s="32"/>
      <c r="EU49" s="32"/>
      <c r="EV49" s="32"/>
      <c r="EW49" s="32"/>
      <c r="EY49" s="7">
        <v>24</v>
      </c>
      <c r="EZ49" s="5">
        <f t="shared" si="17"/>
        <v>47848</v>
      </c>
      <c r="FA49" s="5">
        <v>47836</v>
      </c>
      <c r="FB49" s="61"/>
      <c r="FC49" s="32">
        <f t="shared" si="49"/>
        <v>2060778.1699999985</v>
      </c>
      <c r="FD49" s="32">
        <v>40216.85</v>
      </c>
      <c r="FE49" s="32">
        <v>7927.41</v>
      </c>
      <c r="FF49" s="32"/>
      <c r="FG49" s="32">
        <f t="shared" si="50"/>
        <v>48144.259999999995</v>
      </c>
      <c r="FJ49" s="5"/>
      <c r="FK49" s="5"/>
      <c r="FL49" s="29"/>
      <c r="FM49" s="32"/>
      <c r="FN49" s="32"/>
      <c r="FO49" s="32"/>
      <c r="FP49" s="32"/>
      <c r="FS49" s="5"/>
      <c r="FT49" s="5"/>
      <c r="FU49" s="29"/>
      <c r="FV49" s="32"/>
      <c r="FW49" s="32"/>
      <c r="FX49" s="32"/>
      <c r="FY49" s="32"/>
      <c r="GB49" s="5"/>
      <c r="GC49" s="5"/>
      <c r="GD49" s="29"/>
      <c r="GE49" s="32"/>
      <c r="GF49" s="32"/>
      <c r="GG49" s="32"/>
      <c r="GH49" s="32"/>
      <c r="GK49" s="5"/>
      <c r="GL49" s="5"/>
      <c r="GM49" s="29"/>
      <c r="GN49" s="32"/>
      <c r="GO49" s="32"/>
      <c r="GP49" s="32"/>
      <c r="GQ49" s="32"/>
      <c r="GT49" s="5"/>
      <c r="GU49" s="5"/>
      <c r="GV49" s="29"/>
      <c r="GW49" s="32"/>
      <c r="GX49" s="32"/>
      <c r="GY49" s="32"/>
      <c r="GZ49" s="32"/>
      <c r="HC49" s="5"/>
      <c r="HD49" s="5"/>
      <c r="HE49" s="29"/>
      <c r="HF49" s="32"/>
      <c r="HG49" s="32"/>
      <c r="HH49" s="32"/>
      <c r="HI49" s="32"/>
    </row>
    <row r="50" spans="1:217" x14ac:dyDescent="0.35">
      <c r="A50" s="7">
        <v>25</v>
      </c>
      <c r="B50" s="6">
        <f t="shared" si="1"/>
        <v>42</v>
      </c>
      <c r="C50" s="5">
        <f t="shared" si="65"/>
        <v>45949</v>
      </c>
      <c r="D50" s="29"/>
      <c r="E50" s="32">
        <f t="shared" si="29"/>
        <v>57102119.005547129</v>
      </c>
      <c r="F50" s="32">
        <f t="shared" si="66"/>
        <v>0</v>
      </c>
      <c r="G50" s="32">
        <f t="shared" si="67"/>
        <v>0</v>
      </c>
      <c r="H50" s="32">
        <f t="shared" si="32"/>
        <v>0</v>
      </c>
      <c r="I50" s="60"/>
      <c r="J50" s="60"/>
      <c r="K50" s="32"/>
      <c r="M50" s="7">
        <v>25</v>
      </c>
      <c r="N50" s="59">
        <f t="shared" si="3"/>
        <v>47817</v>
      </c>
      <c r="O50" s="59">
        <f t="shared" si="61"/>
        <v>47802</v>
      </c>
      <c r="P50" s="29"/>
      <c r="Q50" s="32">
        <f t="shared" si="4"/>
        <v>20364989.40619655</v>
      </c>
      <c r="R50" s="32">
        <f t="shared" si="62"/>
        <v>4072997.8812392987</v>
      </c>
      <c r="S50" s="32">
        <f t="shared" si="33"/>
        <v>374715.80507401633</v>
      </c>
      <c r="T50" s="32"/>
      <c r="U50" s="32">
        <f t="shared" si="35"/>
        <v>4447713.6863133153</v>
      </c>
      <c r="V50" s="60"/>
      <c r="W50" s="60"/>
      <c r="X50" s="60"/>
      <c r="Y50" s="60"/>
      <c r="Z50" s="60"/>
      <c r="AA50" s="60"/>
      <c r="AC50" s="90">
        <v>25</v>
      </c>
      <c r="AD50" s="5">
        <f t="shared" si="5"/>
        <v>47999</v>
      </c>
      <c r="AE50" s="5">
        <v>47970</v>
      </c>
      <c r="AF50" s="29"/>
      <c r="AG50" s="32">
        <f t="shared" si="36"/>
        <v>49569.759999999522</v>
      </c>
      <c r="AH50" s="32">
        <f t="shared" si="56"/>
        <v>51840.79</v>
      </c>
      <c r="AI50" s="32">
        <f t="shared" si="37"/>
        <v>1378.9017840277713</v>
      </c>
      <c r="AJ50" s="32">
        <f t="shared" si="38"/>
        <v>53219.691784027775</v>
      </c>
      <c r="AK50" s="60"/>
      <c r="AL50" s="60"/>
      <c r="AM50" s="60"/>
      <c r="AN50" s="60"/>
      <c r="AO50" s="60"/>
      <c r="AP50" s="32"/>
      <c r="AR50" s="7">
        <v>25</v>
      </c>
      <c r="AS50" s="5">
        <f t="shared" si="6"/>
        <v>47907</v>
      </c>
      <c r="AT50" s="5">
        <v>47899</v>
      </c>
      <c r="AU50" s="29"/>
      <c r="AV50" s="32">
        <f t="shared" si="57"/>
        <v>6020614.2331909342</v>
      </c>
      <c r="AW50" s="32">
        <v>525047.46469953598</v>
      </c>
      <c r="AX50" s="32">
        <f t="shared" si="58"/>
        <v>100366.8127009872</v>
      </c>
      <c r="AY50" s="32">
        <f t="shared" si="7"/>
        <v>625414.27740052319</v>
      </c>
      <c r="AZ50" s="60"/>
      <c r="BA50" s="60"/>
      <c r="BB50" s="60"/>
      <c r="BC50" s="60"/>
      <c r="BD50" s="60"/>
      <c r="BE50" s="60"/>
      <c r="BH50" s="5"/>
      <c r="BI50" s="5"/>
      <c r="BJ50" s="29"/>
      <c r="BK50" s="32"/>
      <c r="BL50" s="32"/>
      <c r="BM50" s="32"/>
      <c r="BN50" s="32"/>
      <c r="BO50" s="32"/>
      <c r="BP50" s="104"/>
      <c r="BQ50" s="60"/>
      <c r="BR50" s="60"/>
      <c r="BS50" s="60"/>
      <c r="BT50" s="60"/>
      <c r="BU50" s="60"/>
      <c r="BX50" s="5"/>
      <c r="BY50" s="5"/>
      <c r="BZ50" s="29"/>
      <c r="CA50" s="32"/>
      <c r="CB50" s="32"/>
      <c r="CC50" s="32"/>
      <c r="CD50" s="32"/>
      <c r="CE50" s="32"/>
      <c r="CF50" s="32"/>
      <c r="CG50" s="104"/>
      <c r="CH50" s="60"/>
      <c r="CI50" s="60"/>
      <c r="CJ50" s="60"/>
      <c r="CK50" s="60"/>
      <c r="CL50" s="60"/>
      <c r="CO50" s="5"/>
      <c r="CP50" s="5"/>
      <c r="CQ50" s="29"/>
      <c r="CR50" s="32"/>
      <c r="CS50" s="32"/>
      <c r="CT50" s="32"/>
      <c r="CU50" s="32"/>
      <c r="CW50" s="7">
        <v>25</v>
      </c>
      <c r="CX50" s="5">
        <f t="shared" si="12"/>
        <v>46630</v>
      </c>
      <c r="CY50" s="5">
        <v>46609</v>
      </c>
      <c r="CZ50" s="29"/>
      <c r="DA50" s="32">
        <f t="shared" si="45"/>
        <v>6.8803103640675545E-2</v>
      </c>
      <c r="DB50" s="32">
        <v>1583638.38</v>
      </c>
      <c r="DC50" s="32">
        <f t="shared" si="46"/>
        <v>8182.1319854827016</v>
      </c>
      <c r="DD50" s="32">
        <f t="shared" si="13"/>
        <v>1591820.5119854826</v>
      </c>
      <c r="DE50" s="104"/>
      <c r="DF50" s="60"/>
      <c r="DG50" s="60"/>
      <c r="DH50" s="60"/>
      <c r="DI50" s="60"/>
      <c r="DJ50" s="60"/>
      <c r="DL50" s="7">
        <v>25</v>
      </c>
      <c r="DM50" s="5">
        <f t="shared" si="14"/>
        <v>48029</v>
      </c>
      <c r="DN50" s="5">
        <v>48018</v>
      </c>
      <c r="DO50" s="29"/>
      <c r="DP50" s="32">
        <f t="shared" si="47"/>
        <v>3407679.1588674653</v>
      </c>
      <c r="DQ50" s="32">
        <v>283973.26</v>
      </c>
      <c r="DR50" s="32">
        <v>54123.72</v>
      </c>
      <c r="DS50" s="32">
        <f t="shared" si="15"/>
        <v>338096.98</v>
      </c>
      <c r="DT50" s="104"/>
      <c r="DU50" s="60"/>
      <c r="DV50" s="60"/>
      <c r="DW50" s="60"/>
      <c r="DX50" s="60"/>
      <c r="DY50" s="60"/>
      <c r="DZ50" s="64"/>
      <c r="EA50" s="7">
        <v>25</v>
      </c>
      <c r="EB50" s="5">
        <f t="shared" si="0"/>
        <v>48060</v>
      </c>
      <c r="EC50" s="5">
        <v>48036</v>
      </c>
      <c r="ED50" s="29"/>
      <c r="EE50" s="32">
        <f t="shared" si="48"/>
        <v>315954.39268659765</v>
      </c>
      <c r="EF50" s="32">
        <v>39494.31</v>
      </c>
      <c r="EG50" s="32">
        <f t="shared" si="60"/>
        <v>5229.2428310243286</v>
      </c>
      <c r="EH50" s="32">
        <f t="shared" si="16"/>
        <v>44723.552831024324</v>
      </c>
      <c r="EI50" s="104"/>
      <c r="EJ50" s="60"/>
      <c r="EK50" s="60"/>
      <c r="EL50" s="60"/>
      <c r="EM50" s="60"/>
      <c r="EN50" s="60"/>
      <c r="EQ50" s="5"/>
      <c r="ER50" s="5"/>
      <c r="ES50" s="29"/>
      <c r="ET50" s="32"/>
      <c r="EU50" s="32"/>
      <c r="EV50" s="32"/>
      <c r="EW50" s="32"/>
      <c r="EY50" s="7">
        <v>25</v>
      </c>
      <c r="EZ50" s="5">
        <f t="shared" si="17"/>
        <v>47938</v>
      </c>
      <c r="FA50" s="5">
        <v>47927</v>
      </c>
      <c r="FB50" s="61"/>
      <c r="FC50" s="32">
        <f t="shared" si="49"/>
        <v>2020561.3199999984</v>
      </c>
      <c r="FD50" s="32">
        <v>40216.85</v>
      </c>
      <c r="FE50" s="32">
        <v>7318.47</v>
      </c>
      <c r="FF50" s="32"/>
      <c r="FG50" s="32">
        <f t="shared" si="50"/>
        <v>47535.32</v>
      </c>
      <c r="FJ50" s="5"/>
      <c r="FK50" s="5"/>
      <c r="FL50" s="29"/>
      <c r="FM50" s="32"/>
      <c r="FN50" s="32"/>
      <c r="FO50" s="32"/>
      <c r="FP50" s="32"/>
      <c r="FS50" s="5"/>
      <c r="FT50" s="5"/>
      <c r="FU50" s="29"/>
      <c r="FV50" s="32"/>
      <c r="FW50" s="32"/>
      <c r="FX50" s="32"/>
      <c r="FY50" s="32"/>
      <c r="GB50" s="5"/>
      <c r="GC50" s="5"/>
      <c r="GD50" s="29"/>
      <c r="GE50" s="32"/>
      <c r="GF50" s="32"/>
      <c r="GG50" s="32"/>
      <c r="GH50" s="32"/>
      <c r="GK50" s="5"/>
      <c r="GL50" s="5"/>
      <c r="GM50" s="29"/>
      <c r="GN50" s="32"/>
      <c r="GO50" s="32"/>
      <c r="GP50" s="32"/>
      <c r="GQ50" s="32"/>
      <c r="GT50" s="5"/>
      <c r="GU50" s="5"/>
      <c r="GV50" s="29"/>
      <c r="GW50" s="32"/>
      <c r="GX50" s="32"/>
      <c r="GY50" s="32"/>
      <c r="GZ50" s="32"/>
      <c r="HC50" s="5"/>
      <c r="HD50" s="5"/>
      <c r="HE50" s="29"/>
      <c r="HF50" s="32"/>
      <c r="HG50" s="32"/>
      <c r="HH50" s="32"/>
      <c r="HI50" s="32"/>
    </row>
    <row r="51" spans="1:217" x14ac:dyDescent="0.35">
      <c r="A51" s="7">
        <v>26</v>
      </c>
      <c r="B51" s="6">
        <f t="shared" si="1"/>
        <v>43</v>
      </c>
      <c r="C51" s="5">
        <f t="shared" si="65"/>
        <v>45950</v>
      </c>
      <c r="D51" s="29"/>
      <c r="E51" s="32">
        <f t="shared" si="29"/>
        <v>57041561.107014708</v>
      </c>
      <c r="F51" s="32">
        <f t="shared" si="66"/>
        <v>60557.898532423678</v>
      </c>
      <c r="G51" s="32">
        <f t="shared" si="67"/>
        <v>17578.105001700642</v>
      </c>
      <c r="H51" s="32">
        <f t="shared" si="32"/>
        <v>78136.00353412432</v>
      </c>
      <c r="I51" s="60">
        <v>0</v>
      </c>
      <c r="J51" s="60" t="s">
        <v>62</v>
      </c>
      <c r="K51" s="32"/>
      <c r="M51" s="7">
        <v>26</v>
      </c>
      <c r="N51" s="59">
        <f t="shared" si="3"/>
        <v>47907</v>
      </c>
      <c r="O51" s="59">
        <f t="shared" si="61"/>
        <v>47894</v>
      </c>
      <c r="P51" s="29"/>
      <c r="Q51" s="32">
        <f t="shared" si="4"/>
        <v>16291991.524957251</v>
      </c>
      <c r="R51" s="32">
        <f t="shared" si="62"/>
        <v>4072997.8812392987</v>
      </c>
      <c r="S51" s="32">
        <f t="shared" si="33"/>
        <v>312263.17089501373</v>
      </c>
      <c r="T51" s="32"/>
      <c r="U51" s="32">
        <f t="shared" si="35"/>
        <v>4385261.0521343127</v>
      </c>
      <c r="V51" s="60"/>
      <c r="W51" s="60"/>
      <c r="X51" s="60"/>
      <c r="Y51" s="60"/>
      <c r="Z51" s="60"/>
      <c r="AA51" s="60"/>
      <c r="AC51" s="90">
        <v>26</v>
      </c>
      <c r="AD51" s="5">
        <f>+EOMONTH(AE51,0)</f>
        <v>48060</v>
      </c>
      <c r="AE51" s="5">
        <v>48058</v>
      </c>
      <c r="AF51" s="29"/>
      <c r="AG51" s="32">
        <f>+AG50+AF51-AH51</f>
        <v>-4.8021320253610611E-10</v>
      </c>
      <c r="AH51" s="32">
        <v>49569.760000000002</v>
      </c>
      <c r="AI51" s="32">
        <f>+AG50*AG$5*(AE51-AE50)/360</f>
        <v>666.43788444443794</v>
      </c>
      <c r="AJ51" s="32">
        <f t="shared" si="38"/>
        <v>50236.197884444438</v>
      </c>
      <c r="AK51" s="60"/>
      <c r="AL51" s="60"/>
      <c r="AM51" s="60"/>
      <c r="AN51" s="60"/>
      <c r="AO51" s="60"/>
      <c r="AP51" s="32"/>
      <c r="AR51" s="7">
        <v>26</v>
      </c>
      <c r="AS51" s="5">
        <f t="shared" si="6"/>
        <v>47999</v>
      </c>
      <c r="AT51" s="5">
        <v>47988</v>
      </c>
      <c r="AU51" s="29"/>
      <c r="AV51" s="32">
        <f t="shared" si="57"/>
        <v>5495566.7684913985</v>
      </c>
      <c r="AW51" s="32">
        <v>525047.46469953598</v>
      </c>
      <c r="AX51" s="32">
        <f t="shared" si="58"/>
        <v>89305.777792332185</v>
      </c>
      <c r="AY51" s="32">
        <f t="shared" si="7"/>
        <v>614353.24249186821</v>
      </c>
      <c r="AZ51" s="60"/>
      <c r="BA51" s="60"/>
      <c r="BB51" s="60"/>
      <c r="BC51" s="60"/>
      <c r="BD51" s="60"/>
      <c r="BE51" s="60"/>
      <c r="BH51" s="5"/>
      <c r="BI51" s="5"/>
      <c r="BJ51" s="29"/>
      <c r="BK51" s="32"/>
      <c r="BL51" s="32"/>
      <c r="BM51" s="32"/>
      <c r="BN51" s="32"/>
      <c r="BO51" s="32"/>
      <c r="BP51" s="104"/>
      <c r="BQ51" s="60"/>
      <c r="BR51" s="60"/>
      <c r="BS51" s="60"/>
      <c r="BT51" s="60"/>
      <c r="BU51" s="60"/>
      <c r="BX51" s="5"/>
      <c r="BY51" s="5"/>
      <c r="BZ51" s="29"/>
      <c r="CA51" s="32"/>
      <c r="CB51" s="32"/>
      <c r="CC51" s="32"/>
      <c r="CD51" s="32"/>
      <c r="CE51" s="32"/>
      <c r="CF51" s="32"/>
      <c r="CG51" s="104"/>
      <c r="CH51" s="60"/>
      <c r="CI51" s="60"/>
      <c r="CJ51" s="60"/>
      <c r="CK51" s="60"/>
      <c r="CL51" s="60"/>
      <c r="CO51" s="5"/>
      <c r="CP51" s="5"/>
      <c r="CQ51" s="29"/>
      <c r="CR51" s="32"/>
      <c r="CS51" s="32"/>
      <c r="CT51" s="32"/>
      <c r="CU51" s="32"/>
      <c r="CX51" s="5"/>
      <c r="CY51" s="5"/>
      <c r="CZ51" s="29"/>
      <c r="DA51" s="32"/>
      <c r="DB51" s="32"/>
      <c r="DC51" s="32"/>
      <c r="DD51" s="32"/>
      <c r="DE51" s="104"/>
      <c r="DF51" s="60"/>
      <c r="DG51" s="60"/>
      <c r="DH51" s="60"/>
      <c r="DI51" s="60"/>
      <c r="DJ51" s="60"/>
      <c r="DL51" s="7">
        <v>26</v>
      </c>
      <c r="DM51" s="5">
        <f t="shared" si="14"/>
        <v>48121</v>
      </c>
      <c r="DN51" s="5">
        <v>48109</v>
      </c>
      <c r="DO51" s="29"/>
      <c r="DP51" s="32">
        <f t="shared" si="47"/>
        <v>3123705.8988674656</v>
      </c>
      <c r="DQ51" s="32">
        <v>283973.26</v>
      </c>
      <c r="DR51" s="32">
        <v>49960.37</v>
      </c>
      <c r="DS51" s="32">
        <f t="shared" si="15"/>
        <v>333933.63</v>
      </c>
      <c r="DT51" s="104"/>
      <c r="DU51" s="60"/>
      <c r="DV51" s="60"/>
      <c r="DW51" s="60"/>
      <c r="DX51" s="60"/>
      <c r="DY51" s="60"/>
      <c r="DZ51" s="64"/>
      <c r="EA51" s="7">
        <v>26</v>
      </c>
      <c r="EB51" s="5">
        <f t="shared" si="0"/>
        <v>48152</v>
      </c>
      <c r="EC51" s="5">
        <v>48127</v>
      </c>
      <c r="ED51" s="29"/>
      <c r="EE51" s="32">
        <f t="shared" si="48"/>
        <v>276460.08268659766</v>
      </c>
      <c r="EF51" s="32">
        <v>39494.31</v>
      </c>
      <c r="EG51" s="32">
        <f t="shared" si="60"/>
        <v>4648.2157070743287</v>
      </c>
      <c r="EH51" s="32">
        <f t="shared" si="16"/>
        <v>44142.525707074325</v>
      </c>
      <c r="EI51" s="104"/>
      <c r="EJ51" s="60"/>
      <c r="EK51" s="60"/>
      <c r="EL51" s="60"/>
      <c r="EM51" s="60"/>
      <c r="EN51" s="60"/>
      <c r="EQ51" s="5"/>
      <c r="ER51" s="5"/>
      <c r="ES51" s="29"/>
      <c r="ET51" s="32"/>
      <c r="EU51" s="32"/>
      <c r="EV51" s="32"/>
      <c r="EW51" s="32"/>
      <c r="EY51" s="7">
        <v>26</v>
      </c>
      <c r="EZ51" s="5">
        <f t="shared" si="17"/>
        <v>48029</v>
      </c>
      <c r="FA51" s="5">
        <v>48018</v>
      </c>
      <c r="FB51" s="61"/>
      <c r="FC51" s="32">
        <f t="shared" si="49"/>
        <v>1980344.4699999983</v>
      </c>
      <c r="FD51" s="32">
        <v>40216.85</v>
      </c>
      <c r="FE51" s="32">
        <v>6709.53</v>
      </c>
      <c r="FF51" s="32"/>
      <c r="FG51" s="32">
        <f t="shared" si="50"/>
        <v>46926.38</v>
      </c>
      <c r="FJ51" s="5"/>
      <c r="FK51" s="5"/>
      <c r="FL51" s="29"/>
      <c r="FM51" s="32"/>
      <c r="FN51" s="32"/>
      <c r="FO51" s="32"/>
      <c r="FP51" s="32"/>
      <c r="FS51" s="5"/>
      <c r="FT51" s="5"/>
      <c r="FU51" s="29"/>
      <c r="FV51" s="32"/>
      <c r="FW51" s="32"/>
      <c r="FX51" s="32"/>
      <c r="FY51" s="32"/>
      <c r="GB51" s="5"/>
      <c r="GC51" s="5"/>
      <c r="GD51" s="29"/>
      <c r="GE51" s="32"/>
      <c r="GF51" s="32"/>
      <c r="GG51" s="32"/>
      <c r="GH51" s="32"/>
      <c r="GK51" s="5"/>
      <c r="GL51" s="5"/>
      <c r="GM51" s="29"/>
      <c r="GN51" s="32"/>
      <c r="GO51" s="32"/>
      <c r="GP51" s="32"/>
      <c r="GQ51" s="32"/>
      <c r="GT51" s="5"/>
      <c r="GU51" s="5"/>
      <c r="GV51" s="29"/>
      <c r="GW51" s="32"/>
      <c r="GX51" s="32"/>
      <c r="GY51" s="32"/>
      <c r="GZ51" s="32"/>
      <c r="HC51" s="5"/>
      <c r="HD51" s="5"/>
      <c r="HE51" s="29"/>
      <c r="HF51" s="32"/>
      <c r="HG51" s="32"/>
      <c r="HH51" s="32"/>
      <c r="HI51" s="32"/>
    </row>
    <row r="52" spans="1:217" x14ac:dyDescent="0.35">
      <c r="A52" s="7">
        <v>27</v>
      </c>
      <c r="B52" s="6">
        <f t="shared" si="1"/>
        <v>43</v>
      </c>
      <c r="C52" s="5">
        <f t="shared" si="65"/>
        <v>45951</v>
      </c>
      <c r="D52" s="29"/>
      <c r="E52" s="32">
        <f t="shared" si="29"/>
        <v>57041561.107014708</v>
      </c>
      <c r="F52" s="32">
        <f t="shared" si="66"/>
        <v>0</v>
      </c>
      <c r="G52" s="32">
        <f t="shared" si="67"/>
        <v>0</v>
      </c>
      <c r="H52" s="32">
        <f t="shared" si="32"/>
        <v>0</v>
      </c>
      <c r="I52" s="60"/>
      <c r="J52" s="60"/>
      <c r="K52" s="32"/>
      <c r="M52" s="7">
        <v>27</v>
      </c>
      <c r="N52" s="59">
        <f t="shared" si="3"/>
        <v>47999</v>
      </c>
      <c r="O52" s="59">
        <f t="shared" si="61"/>
        <v>47983</v>
      </c>
      <c r="P52" s="29"/>
      <c r="Q52" s="32">
        <f t="shared" si="4"/>
        <v>12218993.643717952</v>
      </c>
      <c r="R52" s="32">
        <f t="shared" si="62"/>
        <v>4072997.8812392987</v>
      </c>
      <c r="S52" s="32">
        <f t="shared" si="33"/>
        <v>241664.54095353256</v>
      </c>
      <c r="T52" s="32"/>
      <c r="U52" s="32">
        <f t="shared" si="35"/>
        <v>4314662.4221928315</v>
      </c>
      <c r="V52" s="60"/>
      <c r="W52" s="60"/>
      <c r="X52" s="60"/>
      <c r="Y52" s="60"/>
      <c r="Z52" s="60"/>
      <c r="AA52" s="60"/>
      <c r="AD52" s="5"/>
      <c r="AE52" s="5"/>
      <c r="AF52" s="29"/>
      <c r="AG52" s="32"/>
      <c r="AH52" s="32"/>
      <c r="AI52" s="32"/>
      <c r="AJ52" s="32"/>
      <c r="AK52" s="60"/>
      <c r="AL52" s="60"/>
      <c r="AM52" s="60"/>
      <c r="AN52" s="60"/>
      <c r="AO52" s="60"/>
      <c r="AP52" s="32"/>
      <c r="AR52" s="7">
        <v>27</v>
      </c>
      <c r="AS52" s="5">
        <f t="shared" si="6"/>
        <v>48091</v>
      </c>
      <c r="AT52" s="5">
        <v>48080</v>
      </c>
      <c r="AU52" s="29"/>
      <c r="AV52" s="32">
        <f t="shared" si="57"/>
        <v>4970519.3037918629</v>
      </c>
      <c r="AW52" s="32">
        <v>525047.46469953598</v>
      </c>
      <c r="AX52" s="32">
        <f t="shared" si="58"/>
        <v>84265.357116868108</v>
      </c>
      <c r="AY52" s="32">
        <f t="shared" si="7"/>
        <v>609312.82181640412</v>
      </c>
      <c r="AZ52" s="60"/>
      <c r="BA52" s="60"/>
      <c r="BB52" s="60"/>
      <c r="BC52" s="60"/>
      <c r="BD52" s="60"/>
      <c r="BE52" s="60"/>
      <c r="BH52" s="5"/>
      <c r="BI52" s="5"/>
      <c r="BJ52" s="29"/>
      <c r="BK52" s="32"/>
      <c r="BL52" s="32"/>
      <c r="BM52" s="32"/>
      <c r="BN52" s="32"/>
      <c r="BO52" s="32"/>
      <c r="BP52" s="104"/>
      <c r="BQ52" s="60"/>
      <c r="BR52" s="60"/>
      <c r="BS52" s="60"/>
      <c r="BT52" s="60"/>
      <c r="BU52" s="60"/>
      <c r="BX52" s="5"/>
      <c r="BY52" s="5"/>
      <c r="BZ52" s="29"/>
      <c r="CA52" s="32"/>
      <c r="CB52" s="32"/>
      <c r="CC52" s="32"/>
      <c r="CD52" s="32"/>
      <c r="CE52" s="32"/>
      <c r="CF52" s="32"/>
      <c r="CG52" s="104"/>
      <c r="CH52" s="60"/>
      <c r="CI52" s="60"/>
      <c r="CJ52" s="60"/>
      <c r="CK52" s="60"/>
      <c r="CL52" s="60"/>
      <c r="CO52" s="5"/>
      <c r="CP52" s="5"/>
      <c r="CQ52" s="29"/>
      <c r="CR52" s="32"/>
      <c r="CS52" s="32"/>
      <c r="CT52" s="32"/>
      <c r="CU52" s="32"/>
      <c r="CX52" s="5"/>
      <c r="CY52" s="5"/>
      <c r="CZ52" s="29"/>
      <c r="DA52" s="32"/>
      <c r="DB52" s="32"/>
      <c r="DC52" s="32"/>
      <c r="DD52" s="32"/>
      <c r="DE52" s="104"/>
      <c r="DF52" s="60"/>
      <c r="DG52" s="60"/>
      <c r="DH52" s="60"/>
      <c r="DI52" s="60"/>
      <c r="DJ52" s="60"/>
      <c r="DL52" s="7">
        <v>27</v>
      </c>
      <c r="DM52" s="5">
        <f t="shared" si="14"/>
        <v>48213</v>
      </c>
      <c r="DN52" s="5">
        <v>48200</v>
      </c>
      <c r="DO52" s="29"/>
      <c r="DP52" s="32">
        <f t="shared" si="47"/>
        <v>2839732.6388674658</v>
      </c>
      <c r="DQ52" s="32">
        <v>283973.26</v>
      </c>
      <c r="DR52" s="32">
        <v>45797</v>
      </c>
      <c r="DS52" s="32">
        <f t="shared" ref="DS52:DS62" si="69">+SUM(DQ52:DR52)</f>
        <v>329770.26</v>
      </c>
      <c r="DT52" s="104"/>
      <c r="DU52" s="60"/>
      <c r="DV52" s="60"/>
      <c r="DW52" s="60"/>
      <c r="DX52" s="60"/>
      <c r="DY52" s="60"/>
      <c r="DZ52" s="64"/>
      <c r="EA52" s="7">
        <v>27</v>
      </c>
      <c r="EB52" s="5">
        <f t="shared" si="0"/>
        <v>48244</v>
      </c>
      <c r="EC52" s="5">
        <v>48218</v>
      </c>
      <c r="ED52" s="29"/>
      <c r="EE52" s="32">
        <f t="shared" si="48"/>
        <v>236965.77268659766</v>
      </c>
      <c r="EF52" s="32">
        <v>39494.31</v>
      </c>
      <c r="EG52" s="32">
        <f t="shared" si="60"/>
        <v>4067.1885831243294</v>
      </c>
      <c r="EH52" s="32">
        <f t="shared" si="16"/>
        <v>43561.498583124325</v>
      </c>
      <c r="EI52" s="104"/>
      <c r="EJ52" s="60"/>
      <c r="EK52" s="60"/>
      <c r="EL52" s="60"/>
      <c r="EM52" s="60"/>
      <c r="EN52" s="60"/>
      <c r="EQ52" s="5"/>
      <c r="ER52" s="5"/>
      <c r="ES52" s="29"/>
      <c r="ET52" s="32"/>
      <c r="EU52" s="32"/>
      <c r="EV52" s="32"/>
      <c r="EW52" s="32"/>
      <c r="EY52" s="7">
        <v>27</v>
      </c>
      <c r="EZ52" s="5">
        <f t="shared" si="17"/>
        <v>48121</v>
      </c>
      <c r="FA52" s="5">
        <v>48109</v>
      </c>
      <c r="FB52" s="61"/>
      <c r="FC52" s="32">
        <f t="shared" si="49"/>
        <v>1940127.6199999982</v>
      </c>
      <c r="FD52" s="32">
        <v>40216.85</v>
      </c>
      <c r="FE52" s="32">
        <v>6100.59</v>
      </c>
      <c r="FF52" s="32"/>
      <c r="FG52" s="32">
        <f t="shared" si="50"/>
        <v>46317.440000000002</v>
      </c>
      <c r="FJ52" s="5"/>
      <c r="FK52" s="5"/>
      <c r="FL52" s="29"/>
      <c r="FM52" s="32"/>
      <c r="FN52" s="32"/>
      <c r="FO52" s="32"/>
      <c r="FP52" s="32"/>
      <c r="FS52" s="5"/>
      <c r="FT52" s="5"/>
      <c r="FU52" s="29"/>
      <c r="FV52" s="32"/>
      <c r="FW52" s="32"/>
      <c r="FX52" s="32"/>
      <c r="FY52" s="32"/>
      <c r="GB52" s="5"/>
      <c r="GC52" s="5"/>
      <c r="GD52" s="29"/>
      <c r="GE52" s="32"/>
      <c r="GF52" s="32"/>
      <c r="GG52" s="32"/>
      <c r="GH52" s="32"/>
      <c r="GK52" s="5"/>
      <c r="GL52" s="5"/>
      <c r="GM52" s="29"/>
      <c r="GN52" s="32"/>
      <c r="GO52" s="32"/>
      <c r="GP52" s="32"/>
      <c r="GQ52" s="32"/>
      <c r="GT52" s="5"/>
      <c r="GU52" s="5"/>
      <c r="GV52" s="29"/>
      <c r="GW52" s="32"/>
      <c r="GX52" s="32"/>
      <c r="GY52" s="32"/>
      <c r="GZ52" s="32"/>
      <c r="HC52" s="5"/>
      <c r="HD52" s="5"/>
      <c r="HE52" s="29"/>
      <c r="HF52" s="32"/>
      <c r="HG52" s="32"/>
      <c r="HH52" s="32"/>
      <c r="HI52" s="32"/>
    </row>
    <row r="53" spans="1:217" x14ac:dyDescent="0.35">
      <c r="A53" s="7">
        <v>28</v>
      </c>
      <c r="B53" s="6">
        <f t="shared" si="1"/>
        <v>43</v>
      </c>
      <c r="C53" s="5">
        <f t="shared" si="65"/>
        <v>45952</v>
      </c>
      <c r="D53" s="29"/>
      <c r="E53" s="32">
        <f t="shared" si="29"/>
        <v>57041561.107014708</v>
      </c>
      <c r="F53" s="32">
        <f t="shared" si="66"/>
        <v>0</v>
      </c>
      <c r="G53" s="32">
        <f t="shared" si="67"/>
        <v>0</v>
      </c>
      <c r="H53" s="32">
        <f t="shared" si="32"/>
        <v>0</v>
      </c>
      <c r="I53" s="60"/>
      <c r="J53" s="60"/>
      <c r="K53" s="32"/>
      <c r="M53" s="7">
        <v>28</v>
      </c>
      <c r="N53" s="59">
        <f t="shared" si="3"/>
        <v>48091</v>
      </c>
      <c r="O53" s="59">
        <f t="shared" si="61"/>
        <v>48075</v>
      </c>
      <c r="P53" s="29"/>
      <c r="Q53" s="32">
        <f t="shared" si="4"/>
        <v>8145995.7624786533</v>
      </c>
      <c r="R53" s="32">
        <f t="shared" si="62"/>
        <v>4072997.8812392987</v>
      </c>
      <c r="S53" s="32">
        <f t="shared" si="33"/>
        <v>187357.90253700857</v>
      </c>
      <c r="T53" s="32"/>
      <c r="U53" s="32">
        <f t="shared" si="35"/>
        <v>4260355.7837763075</v>
      </c>
      <c r="V53" s="60"/>
      <c r="W53" s="60"/>
      <c r="X53" s="60"/>
      <c r="Y53" s="60"/>
      <c r="Z53" s="60"/>
      <c r="AA53" s="60"/>
      <c r="AD53" s="5"/>
      <c r="AE53" s="5"/>
      <c r="AF53" s="29"/>
      <c r="AG53" s="32"/>
      <c r="AH53" s="32"/>
      <c r="AI53" s="32"/>
      <c r="AJ53" s="32"/>
      <c r="AK53" s="60"/>
      <c r="AL53" s="60"/>
      <c r="AM53" s="60"/>
      <c r="AN53" s="60"/>
      <c r="AO53" s="60"/>
      <c r="AP53" s="32"/>
      <c r="AR53" s="7">
        <v>28</v>
      </c>
      <c r="AS53" s="5">
        <f t="shared" si="6"/>
        <v>48182</v>
      </c>
      <c r="AT53" s="5">
        <v>48172</v>
      </c>
      <c r="AU53" s="29"/>
      <c r="AV53" s="32">
        <f t="shared" si="57"/>
        <v>4445471.8390923273</v>
      </c>
      <c r="AW53" s="32">
        <v>525047.46469953598</v>
      </c>
      <c r="AX53" s="32">
        <f t="shared" si="58"/>
        <v>76214.629324808557</v>
      </c>
      <c r="AY53" s="32">
        <f t="shared" ref="AY53:AY62" si="70">+SUM(AW53:AX53)</f>
        <v>601262.09402434458</v>
      </c>
      <c r="AZ53" s="60"/>
      <c r="BA53" s="60"/>
      <c r="BB53" s="60"/>
      <c r="BC53" s="60"/>
      <c r="BD53" s="60"/>
      <c r="BE53" s="60"/>
      <c r="BH53" s="5"/>
      <c r="BI53" s="5"/>
      <c r="BJ53" s="29"/>
      <c r="BK53" s="32"/>
      <c r="BL53" s="32"/>
      <c r="BM53" s="32"/>
      <c r="BN53" s="32"/>
      <c r="BO53" s="32"/>
      <c r="BP53" s="104"/>
      <c r="BQ53" s="60"/>
      <c r="BR53" s="60"/>
      <c r="BS53" s="60"/>
      <c r="BT53" s="60"/>
      <c r="BU53" s="60"/>
      <c r="BX53" s="5"/>
      <c r="BY53" s="5"/>
      <c r="BZ53" s="29"/>
      <c r="CA53" s="32"/>
      <c r="CB53" s="32"/>
      <c r="CC53" s="32"/>
      <c r="CD53" s="32"/>
      <c r="CE53" s="32"/>
      <c r="CF53" s="32"/>
      <c r="CG53" s="104"/>
      <c r="CH53" s="60"/>
      <c r="CI53" s="60"/>
      <c r="CJ53" s="60"/>
      <c r="CK53" s="60"/>
      <c r="CL53" s="60"/>
      <c r="CO53" s="5"/>
      <c r="CP53" s="5"/>
      <c r="CQ53" s="29"/>
      <c r="CR53" s="32"/>
      <c r="CS53" s="32"/>
      <c r="CT53" s="32"/>
      <c r="CU53" s="32"/>
      <c r="CX53" s="5"/>
      <c r="CY53" s="5"/>
      <c r="CZ53" s="29"/>
      <c r="DA53" s="32"/>
      <c r="DB53" s="32"/>
      <c r="DC53" s="32"/>
      <c r="DD53" s="32"/>
      <c r="DE53" s="104"/>
      <c r="DF53" s="60"/>
      <c r="DG53" s="60"/>
      <c r="DH53" s="60"/>
      <c r="DI53" s="60"/>
      <c r="DJ53" s="60"/>
      <c r="DL53" s="7">
        <v>28</v>
      </c>
      <c r="DM53" s="5">
        <f t="shared" si="14"/>
        <v>48304</v>
      </c>
      <c r="DN53" s="5">
        <v>48291</v>
      </c>
      <c r="DO53" s="29"/>
      <c r="DP53" s="32">
        <f t="shared" si="47"/>
        <v>2555759.378867466</v>
      </c>
      <c r="DQ53" s="32">
        <v>283973.26</v>
      </c>
      <c r="DR53" s="32">
        <v>41633.64</v>
      </c>
      <c r="DS53" s="32">
        <f t="shared" si="69"/>
        <v>325606.90000000002</v>
      </c>
      <c r="DT53" s="104"/>
      <c r="DU53" s="60"/>
      <c r="DV53" s="60"/>
      <c r="DW53" s="60"/>
      <c r="DX53" s="60"/>
      <c r="DY53" s="60"/>
      <c r="DZ53" s="64"/>
      <c r="EA53" s="7">
        <v>28</v>
      </c>
      <c r="EB53" s="5">
        <f t="shared" si="0"/>
        <v>48334</v>
      </c>
      <c r="EC53" s="5">
        <v>48309</v>
      </c>
      <c r="ED53" s="29"/>
      <c r="EE53" s="32">
        <f t="shared" si="48"/>
        <v>197471.46268659766</v>
      </c>
      <c r="EF53" s="32">
        <v>39494.31</v>
      </c>
      <c r="EG53" s="32">
        <f t="shared" si="60"/>
        <v>3486.1614591743291</v>
      </c>
      <c r="EH53" s="32">
        <f t="shared" si="16"/>
        <v>42980.471459174325</v>
      </c>
      <c r="EI53" s="104"/>
      <c r="EJ53" s="60"/>
      <c r="EK53" s="60"/>
      <c r="EL53" s="60"/>
      <c r="EM53" s="60"/>
      <c r="EN53" s="60"/>
      <c r="EQ53" s="5"/>
      <c r="ER53" s="5"/>
      <c r="ES53" s="29"/>
      <c r="ET53" s="32"/>
      <c r="EU53" s="32"/>
      <c r="EV53" s="32"/>
      <c r="EW53" s="32"/>
      <c r="EY53" s="7">
        <v>28</v>
      </c>
      <c r="EZ53" s="5">
        <f t="shared" si="17"/>
        <v>48213</v>
      </c>
      <c r="FA53" s="5">
        <v>48200</v>
      </c>
      <c r="FB53" s="61"/>
      <c r="FC53" s="32">
        <f t="shared" si="49"/>
        <v>1899910.7699999982</v>
      </c>
      <c r="FD53" s="32">
        <v>40216.85</v>
      </c>
      <c r="FE53" s="32">
        <v>5491.65</v>
      </c>
      <c r="FF53" s="32"/>
      <c r="FG53" s="32">
        <f t="shared" si="50"/>
        <v>45708.5</v>
      </c>
      <c r="FJ53" s="5"/>
      <c r="FK53" s="5"/>
      <c r="FL53" s="29"/>
      <c r="FM53" s="32"/>
      <c r="FN53" s="32"/>
      <c r="FO53" s="32"/>
      <c r="FP53" s="32"/>
      <c r="FS53" s="5"/>
      <c r="FT53" s="5"/>
      <c r="FU53" s="29"/>
      <c r="FV53" s="32"/>
      <c r="FW53" s="32"/>
      <c r="FX53" s="32"/>
      <c r="FY53" s="32"/>
      <c r="GB53" s="5"/>
      <c r="GC53" s="5"/>
      <c r="GD53" s="29"/>
      <c r="GE53" s="32"/>
      <c r="GF53" s="32"/>
      <c r="GG53" s="32"/>
      <c r="GH53" s="32"/>
      <c r="GK53" s="5"/>
      <c r="GL53" s="5"/>
      <c r="GM53" s="29"/>
      <c r="GN53" s="32"/>
      <c r="GO53" s="32"/>
      <c r="GP53" s="32"/>
      <c r="GQ53" s="32"/>
      <c r="GT53" s="5"/>
      <c r="GU53" s="5"/>
      <c r="GV53" s="29"/>
      <c r="GW53" s="32"/>
      <c r="GX53" s="32"/>
      <c r="GY53" s="32"/>
      <c r="GZ53" s="32"/>
      <c r="HC53" s="5"/>
      <c r="HD53" s="5"/>
      <c r="HE53" s="29"/>
      <c r="HF53" s="32"/>
      <c r="HG53" s="32"/>
      <c r="HH53" s="32"/>
      <c r="HI53" s="32"/>
    </row>
    <row r="54" spans="1:217" x14ac:dyDescent="0.35">
      <c r="A54" s="7">
        <v>29</v>
      </c>
      <c r="B54" s="6">
        <f t="shared" si="1"/>
        <v>43</v>
      </c>
      <c r="C54" s="5">
        <f t="shared" si="65"/>
        <v>45953</v>
      </c>
      <c r="D54" s="29"/>
      <c r="E54" s="32">
        <f t="shared" si="29"/>
        <v>57041561.107014708</v>
      </c>
      <c r="F54" s="32">
        <f t="shared" si="66"/>
        <v>0</v>
      </c>
      <c r="G54" s="32">
        <f t="shared" si="67"/>
        <v>0</v>
      </c>
      <c r="H54" s="32">
        <f t="shared" si="32"/>
        <v>0</v>
      </c>
      <c r="I54" s="60"/>
      <c r="J54" s="60"/>
      <c r="K54" s="32"/>
      <c r="M54" s="7">
        <v>29</v>
      </c>
      <c r="N54" s="59">
        <f t="shared" si="3"/>
        <v>48182</v>
      </c>
      <c r="O54" s="59">
        <f t="shared" si="61"/>
        <v>48167</v>
      </c>
      <c r="P54" s="29"/>
      <c r="Q54" s="32">
        <f t="shared" si="4"/>
        <v>4072997.8812393546</v>
      </c>
      <c r="R54" s="32">
        <f t="shared" si="62"/>
        <v>4072997.8812392987</v>
      </c>
      <c r="S54" s="32">
        <f t="shared" si="33"/>
        <v>124905.26835800601</v>
      </c>
      <c r="T54" s="32"/>
      <c r="U54" s="32">
        <f t="shared" si="35"/>
        <v>4197903.1495973049</v>
      </c>
      <c r="V54" s="60"/>
      <c r="W54" s="60"/>
      <c r="X54" s="60"/>
      <c r="Y54" s="60"/>
      <c r="Z54" s="60"/>
      <c r="AA54" s="60"/>
      <c r="AD54" s="5"/>
      <c r="AE54" s="5"/>
      <c r="AF54" s="29"/>
      <c r="AG54" s="32"/>
      <c r="AH54" s="32"/>
      <c r="AI54" s="32"/>
      <c r="AJ54" s="32"/>
      <c r="AK54" s="60"/>
      <c r="AL54" s="60"/>
      <c r="AM54" s="60"/>
      <c r="AN54" s="60"/>
      <c r="AO54" s="60"/>
      <c r="AP54" s="32"/>
      <c r="AR54" s="7">
        <v>29</v>
      </c>
      <c r="AS54" s="5">
        <f t="shared" si="6"/>
        <v>48273</v>
      </c>
      <c r="AT54" s="5">
        <v>48264</v>
      </c>
      <c r="AU54" s="29"/>
      <c r="AV54" s="32">
        <f t="shared" si="57"/>
        <v>3920424.3743927912</v>
      </c>
      <c r="AW54" s="32">
        <v>525047.46469953598</v>
      </c>
      <c r="AX54" s="32">
        <f t="shared" si="58"/>
        <v>68163.90153274902</v>
      </c>
      <c r="AY54" s="32">
        <f t="shared" si="70"/>
        <v>593211.36623228504</v>
      </c>
      <c r="AZ54" s="60"/>
      <c r="BA54" s="60"/>
      <c r="BB54" s="60"/>
      <c r="BC54" s="60"/>
      <c r="BD54" s="60"/>
      <c r="BE54" s="60"/>
      <c r="BH54" s="5"/>
      <c r="BI54" s="5"/>
      <c r="BJ54" s="29"/>
      <c r="BK54" s="32"/>
      <c r="BL54" s="32"/>
      <c r="BM54" s="32"/>
      <c r="BN54" s="32"/>
      <c r="BO54" s="32"/>
      <c r="BP54" s="104"/>
      <c r="BQ54" s="60"/>
      <c r="BR54" s="60"/>
      <c r="BS54" s="60"/>
      <c r="BT54" s="60"/>
      <c r="BU54" s="60"/>
      <c r="BX54" s="5"/>
      <c r="BY54" s="5"/>
      <c r="BZ54" s="29"/>
      <c r="CA54" s="32"/>
      <c r="CB54" s="32"/>
      <c r="CC54" s="32"/>
      <c r="CD54" s="32"/>
      <c r="CE54" s="32"/>
      <c r="CF54" s="32"/>
      <c r="CG54" s="104"/>
      <c r="CH54" s="60"/>
      <c r="CI54" s="60"/>
      <c r="CJ54" s="60"/>
      <c r="CK54" s="60"/>
      <c r="CL54" s="60"/>
      <c r="CO54" s="5"/>
      <c r="CP54" s="5"/>
      <c r="CQ54" s="29"/>
      <c r="CR54" s="32"/>
      <c r="CS54" s="32"/>
      <c r="CT54" s="32"/>
      <c r="CU54" s="32"/>
      <c r="CX54" s="5"/>
      <c r="CY54" s="5"/>
      <c r="CZ54" s="29"/>
      <c r="DA54" s="32"/>
      <c r="DB54" s="32"/>
      <c r="DC54" s="32"/>
      <c r="DD54" s="32"/>
      <c r="DE54" s="104"/>
      <c r="DF54" s="60"/>
      <c r="DG54" s="60"/>
      <c r="DH54" s="60"/>
      <c r="DI54" s="60"/>
      <c r="DJ54" s="60"/>
      <c r="DL54" s="7">
        <v>29</v>
      </c>
      <c r="DM54" s="5">
        <f t="shared" si="14"/>
        <v>48395</v>
      </c>
      <c r="DN54" s="5">
        <v>48382</v>
      </c>
      <c r="DO54" s="29"/>
      <c r="DP54" s="32">
        <f t="shared" si="47"/>
        <v>2271786.1188674662</v>
      </c>
      <c r="DQ54" s="32">
        <v>283973.26</v>
      </c>
      <c r="DR54" s="32">
        <v>37470.269999999997</v>
      </c>
      <c r="DS54" s="32">
        <f t="shared" si="69"/>
        <v>321443.53000000003</v>
      </c>
      <c r="DT54" s="104"/>
      <c r="DU54" s="60"/>
      <c r="DV54" s="60"/>
      <c r="DW54" s="60"/>
      <c r="DX54" s="60"/>
      <c r="DY54" s="60"/>
      <c r="DZ54" s="64"/>
      <c r="EA54" s="7">
        <v>29</v>
      </c>
      <c r="EB54" s="5">
        <f t="shared" si="0"/>
        <v>48426</v>
      </c>
      <c r="EC54" s="5">
        <v>48400</v>
      </c>
      <c r="ED54" s="29"/>
      <c r="EE54" s="32">
        <f t="shared" si="48"/>
        <v>157977.15268659766</v>
      </c>
      <c r="EF54" s="32">
        <v>39494.31</v>
      </c>
      <c r="EG54" s="32">
        <f t="shared" si="60"/>
        <v>2905.1343352243293</v>
      </c>
      <c r="EH54" s="32">
        <f t="shared" si="16"/>
        <v>42399.444335224325</v>
      </c>
      <c r="EI54" s="104"/>
      <c r="EJ54" s="60"/>
      <c r="EK54" s="60"/>
      <c r="EL54" s="60"/>
      <c r="EM54" s="60"/>
      <c r="EN54" s="60"/>
      <c r="EQ54" s="5"/>
      <c r="ER54" s="5"/>
      <c r="ES54" s="29"/>
      <c r="ET54" s="32"/>
      <c r="EU54" s="32"/>
      <c r="EV54" s="32"/>
      <c r="EW54" s="32"/>
      <c r="EY54" s="7">
        <v>29</v>
      </c>
      <c r="EZ54" s="5">
        <f t="shared" si="17"/>
        <v>48304</v>
      </c>
      <c r="FA54" s="5">
        <v>48291</v>
      </c>
      <c r="FB54" s="61"/>
      <c r="FC54" s="32">
        <f t="shared" si="49"/>
        <v>1859693.9199999981</v>
      </c>
      <c r="FD54" s="32">
        <v>40216.85</v>
      </c>
      <c r="FE54" s="32">
        <v>4882.71</v>
      </c>
      <c r="FF54" s="32"/>
      <c r="FG54" s="32">
        <f t="shared" si="50"/>
        <v>45099.56</v>
      </c>
      <c r="FJ54" s="5"/>
      <c r="FK54" s="5"/>
      <c r="FL54" s="29"/>
      <c r="FM54" s="32"/>
      <c r="FN54" s="32"/>
      <c r="FO54" s="32"/>
      <c r="FP54" s="32"/>
      <c r="FS54" s="5"/>
      <c r="FT54" s="5"/>
      <c r="FU54" s="29"/>
      <c r="FV54" s="32"/>
      <c r="FW54" s="32"/>
      <c r="FX54" s="32"/>
      <c r="FY54" s="32"/>
      <c r="GB54" s="5"/>
      <c r="GC54" s="5"/>
      <c r="GD54" s="29"/>
      <c r="GE54" s="32"/>
      <c r="GF54" s="32"/>
      <c r="GG54" s="32"/>
      <c r="GH54" s="32"/>
      <c r="GK54" s="5"/>
      <c r="GL54" s="5"/>
      <c r="GM54" s="29"/>
      <c r="GN54" s="32"/>
      <c r="GO54" s="32"/>
      <c r="GP54" s="32"/>
      <c r="GQ54" s="32"/>
      <c r="GT54" s="5"/>
      <c r="GU54" s="5"/>
      <c r="GV54" s="29"/>
      <c r="GW54" s="32"/>
      <c r="GX54" s="32"/>
      <c r="GY54" s="32"/>
      <c r="GZ54" s="32"/>
      <c r="HC54" s="5"/>
      <c r="HD54" s="5"/>
      <c r="HE54" s="29"/>
      <c r="HF54" s="32"/>
      <c r="HG54" s="32"/>
      <c r="HH54" s="32"/>
      <c r="HI54" s="32"/>
    </row>
    <row r="55" spans="1:217" x14ac:dyDescent="0.35">
      <c r="A55" s="7">
        <v>30</v>
      </c>
      <c r="B55" s="6">
        <f t="shared" si="1"/>
        <v>43</v>
      </c>
      <c r="C55" s="5">
        <f t="shared" si="65"/>
        <v>45954</v>
      </c>
      <c r="D55" s="29"/>
      <c r="E55" s="32">
        <f t="shared" si="29"/>
        <v>57041561.107014708</v>
      </c>
      <c r="F55" s="32">
        <f t="shared" si="66"/>
        <v>0</v>
      </c>
      <c r="G55" s="32">
        <f t="shared" si="67"/>
        <v>0</v>
      </c>
      <c r="H55" s="32">
        <f t="shared" si="32"/>
        <v>0</v>
      </c>
      <c r="I55" s="60"/>
      <c r="J55" s="60"/>
      <c r="K55" s="32"/>
      <c r="M55" s="65">
        <v>30</v>
      </c>
      <c r="N55" s="66">
        <f t="shared" si="3"/>
        <v>48273</v>
      </c>
      <c r="O55" s="66">
        <f>+DATE(YEAR(O54),MONTH(O54)+3,4)</f>
        <v>48248</v>
      </c>
      <c r="P55" s="67"/>
      <c r="Q55" s="68">
        <f t="shared" si="4"/>
        <v>5.5879354476928711E-8</v>
      </c>
      <c r="R55" s="68">
        <f t="shared" si="62"/>
        <v>4072997.8812392987</v>
      </c>
      <c r="S55" s="68">
        <f t="shared" si="33"/>
        <v>54985.471396731285</v>
      </c>
      <c r="T55" s="68"/>
      <c r="U55" s="68">
        <f t="shared" si="35"/>
        <v>4127983.3526360299</v>
      </c>
      <c r="V55" s="69"/>
      <c r="W55" s="69"/>
      <c r="X55" s="69"/>
      <c r="Y55" s="69"/>
      <c r="Z55" s="69"/>
      <c r="AA55" s="69"/>
      <c r="AC55" s="44"/>
      <c r="AD55" s="70"/>
      <c r="AE55" s="70"/>
      <c r="AF55" s="67"/>
      <c r="AG55" s="32"/>
      <c r="AH55" s="68"/>
      <c r="AI55" s="32"/>
      <c r="AJ55" s="32"/>
      <c r="AK55" s="69"/>
      <c r="AL55" s="69"/>
      <c r="AM55" s="69"/>
      <c r="AN55" s="69"/>
      <c r="AO55" s="69"/>
      <c r="AP55" s="32"/>
      <c r="AR55" s="7">
        <v>30</v>
      </c>
      <c r="AS55" s="5">
        <f t="shared" si="6"/>
        <v>48365</v>
      </c>
      <c r="AT55" s="5">
        <v>48354</v>
      </c>
      <c r="AU55" s="29"/>
      <c r="AV55" s="32">
        <f t="shared" si="57"/>
        <v>3395376.9096932551</v>
      </c>
      <c r="AW55" s="32">
        <v>525047.46469953598</v>
      </c>
      <c r="AX55" s="32">
        <f t="shared" si="58"/>
        <v>58806.365615891875</v>
      </c>
      <c r="AY55" s="32">
        <f t="shared" si="70"/>
        <v>583853.83031542785</v>
      </c>
      <c r="AZ55" s="60"/>
      <c r="BA55" s="60"/>
      <c r="BB55" s="60"/>
      <c r="BC55" s="60"/>
      <c r="BD55" s="60"/>
      <c r="BE55" s="60"/>
      <c r="BH55" s="5"/>
      <c r="BI55" s="5"/>
      <c r="BJ55" s="29"/>
      <c r="BK55" s="32"/>
      <c r="BL55" s="32"/>
      <c r="BM55" s="32"/>
      <c r="BN55" s="32"/>
      <c r="BO55" s="32"/>
      <c r="BP55" s="105"/>
      <c r="BQ55" s="69"/>
      <c r="BR55" s="69"/>
      <c r="BS55" s="69"/>
      <c r="BT55" s="69"/>
      <c r="BU55" s="69"/>
      <c r="BX55" s="5"/>
      <c r="BY55" s="5"/>
      <c r="BZ55" s="29"/>
      <c r="CA55" s="32"/>
      <c r="CB55" s="32"/>
      <c r="CC55" s="32"/>
      <c r="CD55" s="32"/>
      <c r="CE55" s="32"/>
      <c r="CF55" s="32"/>
      <c r="CG55" s="105"/>
      <c r="CH55" s="69"/>
      <c r="CI55" s="69"/>
      <c r="CJ55" s="69"/>
      <c r="CK55" s="69"/>
      <c r="CL55" s="69"/>
      <c r="CO55" s="5"/>
      <c r="CP55" s="5"/>
      <c r="CQ55" s="29"/>
      <c r="CR55" s="32"/>
      <c r="CS55" s="32"/>
      <c r="CT55" s="32"/>
      <c r="CU55" s="32"/>
      <c r="CX55" s="5"/>
      <c r="CY55" s="5"/>
      <c r="CZ55" s="29"/>
      <c r="DA55" s="32"/>
      <c r="DB55" s="32"/>
      <c r="DC55" s="32"/>
      <c r="DD55" s="32"/>
      <c r="DE55" s="105"/>
      <c r="DF55" s="69"/>
      <c r="DG55" s="69"/>
      <c r="DH55" s="69"/>
      <c r="DI55" s="69"/>
      <c r="DJ55" s="69"/>
      <c r="DL55" s="7">
        <v>30</v>
      </c>
      <c r="DM55" s="5">
        <f t="shared" si="14"/>
        <v>48487</v>
      </c>
      <c r="DN55" s="5">
        <v>48473</v>
      </c>
      <c r="DO55" s="29"/>
      <c r="DP55" s="32">
        <f t="shared" si="47"/>
        <v>1987812.8588674662</v>
      </c>
      <c r="DQ55" s="32">
        <v>283973.26</v>
      </c>
      <c r="DR55" s="32">
        <v>33306.910000000003</v>
      </c>
      <c r="DS55" s="32">
        <f t="shared" si="69"/>
        <v>317280.17000000004</v>
      </c>
      <c r="DT55" s="105"/>
      <c r="DU55" s="69"/>
      <c r="DV55" s="69"/>
      <c r="DW55" s="69"/>
      <c r="DX55" s="69"/>
      <c r="DY55" s="69"/>
      <c r="DZ55" s="64"/>
      <c r="EA55" s="7">
        <v>30</v>
      </c>
      <c r="EB55" s="5">
        <f t="shared" si="0"/>
        <v>48518</v>
      </c>
      <c r="EC55" s="5">
        <v>48492</v>
      </c>
      <c r="ED55" s="29"/>
      <c r="EE55" s="32">
        <f t="shared" si="48"/>
        <v>118482.84268659767</v>
      </c>
      <c r="EF55" s="32">
        <v>39494.31</v>
      </c>
      <c r="EG55" s="32">
        <f t="shared" si="60"/>
        <v>2349.6468509586625</v>
      </c>
      <c r="EH55" s="32">
        <f t="shared" si="16"/>
        <v>41843.956850958661</v>
      </c>
      <c r="EI55" s="105"/>
      <c r="EJ55" s="69"/>
      <c r="EK55" s="69"/>
      <c r="EL55" s="69"/>
      <c r="EM55" s="69"/>
      <c r="EN55" s="69"/>
      <c r="EQ55" s="5"/>
      <c r="ER55" s="5"/>
      <c r="ES55" s="29"/>
      <c r="ET55" s="32"/>
      <c r="EU55" s="32"/>
      <c r="EV55" s="32"/>
      <c r="EW55" s="32"/>
      <c r="EY55" s="7">
        <v>30</v>
      </c>
      <c r="EZ55" s="5">
        <f t="shared" si="17"/>
        <v>48395</v>
      </c>
      <c r="FA55" s="5">
        <v>48382</v>
      </c>
      <c r="FB55" s="61"/>
      <c r="FC55" s="32">
        <f t="shared" si="49"/>
        <v>1819477.069999998</v>
      </c>
      <c r="FD55" s="32">
        <v>40216.85</v>
      </c>
      <c r="FE55" s="32">
        <v>4273.7700000000004</v>
      </c>
      <c r="FF55" s="32"/>
      <c r="FG55" s="32">
        <f t="shared" si="50"/>
        <v>44490.619999999995</v>
      </c>
      <c r="FJ55" s="5"/>
      <c r="FK55" s="5"/>
      <c r="FL55" s="29"/>
      <c r="FM55" s="32"/>
      <c r="FN55" s="32"/>
      <c r="FO55" s="32"/>
      <c r="FP55" s="32"/>
      <c r="FS55" s="5"/>
      <c r="FT55" s="5"/>
      <c r="FU55" s="29"/>
      <c r="FV55" s="32"/>
      <c r="FW55" s="32"/>
      <c r="FX55" s="32"/>
      <c r="FY55" s="32"/>
      <c r="GB55" s="5"/>
      <c r="GC55" s="5"/>
      <c r="GD55" s="29"/>
      <c r="GE55" s="32"/>
      <c r="GF55" s="32"/>
      <c r="GG55" s="32"/>
      <c r="GH55" s="32"/>
      <c r="GK55" s="5"/>
      <c r="GL55" s="5"/>
      <c r="GM55" s="29"/>
      <c r="GN55" s="32"/>
      <c r="GO55" s="32"/>
      <c r="GP55" s="32"/>
      <c r="GQ55" s="32"/>
      <c r="GT55" s="5"/>
      <c r="GU55" s="5"/>
      <c r="GV55" s="29"/>
      <c r="GW55" s="32"/>
      <c r="GX55" s="32"/>
      <c r="GY55" s="32"/>
      <c r="GZ55" s="32"/>
      <c r="HC55" s="5"/>
      <c r="HD55" s="5"/>
      <c r="HE55" s="29"/>
      <c r="HF55" s="32"/>
      <c r="HG55" s="32"/>
      <c r="HH55" s="32"/>
      <c r="HI55" s="32"/>
    </row>
    <row r="56" spans="1:217" x14ac:dyDescent="0.35">
      <c r="A56" s="7">
        <v>31</v>
      </c>
      <c r="B56" s="6">
        <f t="shared" si="1"/>
        <v>43</v>
      </c>
      <c r="C56" s="5">
        <f t="shared" si="65"/>
        <v>45955</v>
      </c>
      <c r="D56" s="29"/>
      <c r="E56" s="32">
        <f t="shared" si="29"/>
        <v>57041561.107014708</v>
      </c>
      <c r="F56" s="32">
        <f t="shared" si="66"/>
        <v>0</v>
      </c>
      <c r="G56" s="32">
        <f t="shared" si="67"/>
        <v>0</v>
      </c>
      <c r="H56" s="32">
        <f t="shared" si="32"/>
        <v>0</v>
      </c>
      <c r="I56" s="60"/>
      <c r="J56" s="60"/>
      <c r="K56" s="32"/>
      <c r="P56"/>
      <c r="R56" s="6"/>
      <c r="AF56"/>
      <c r="AH56" s="6"/>
      <c r="AR56" s="7">
        <v>31</v>
      </c>
      <c r="AS56" s="5">
        <f t="shared" si="6"/>
        <v>48457</v>
      </c>
      <c r="AT56" s="5">
        <v>48446</v>
      </c>
      <c r="AU56" s="29"/>
      <c r="AV56" s="32">
        <f t="shared" si="57"/>
        <v>2870329.444993719</v>
      </c>
      <c r="AW56" s="32">
        <v>525047.46469953598</v>
      </c>
      <c r="AX56" s="32">
        <f t="shared" si="58"/>
        <v>52062.445948629909</v>
      </c>
      <c r="AY56" s="32">
        <f t="shared" si="70"/>
        <v>577109.91064816585</v>
      </c>
      <c r="AZ56" s="60"/>
      <c r="BA56" s="60"/>
      <c r="BB56" s="60"/>
      <c r="BC56" s="60"/>
      <c r="BD56" s="60"/>
      <c r="BE56" s="60"/>
      <c r="BH56" s="5"/>
      <c r="BI56" s="5"/>
      <c r="BJ56" s="29"/>
      <c r="BK56" s="32"/>
      <c r="BL56" s="32"/>
      <c r="BM56" s="32"/>
      <c r="BN56" s="32"/>
      <c r="BO56" s="32"/>
      <c r="BX56" s="5"/>
      <c r="BY56" s="5"/>
      <c r="BZ56" s="29"/>
      <c r="CA56" s="32"/>
      <c r="CB56" s="32"/>
      <c r="CC56" s="32"/>
      <c r="CD56" s="32"/>
      <c r="CE56" s="32"/>
      <c r="CF56" s="32"/>
      <c r="CO56" s="5"/>
      <c r="CP56" s="5"/>
      <c r="CQ56" s="29"/>
      <c r="CR56" s="32"/>
      <c r="CS56" s="32"/>
      <c r="CT56" s="32"/>
      <c r="CU56" s="32"/>
      <c r="CX56" s="5"/>
      <c r="CY56" s="5"/>
      <c r="CZ56" s="29"/>
      <c r="DA56" s="32"/>
      <c r="DB56" s="32"/>
      <c r="DC56" s="32"/>
      <c r="DD56" s="32"/>
      <c r="DL56" s="7">
        <v>31</v>
      </c>
      <c r="DM56" s="5">
        <f t="shared" si="14"/>
        <v>48579</v>
      </c>
      <c r="DN56" s="5">
        <v>48564</v>
      </c>
      <c r="DO56" s="29"/>
      <c r="DP56" s="32">
        <f t="shared" si="47"/>
        <v>1703839.5988674662</v>
      </c>
      <c r="DQ56" s="32">
        <v>283973.26</v>
      </c>
      <c r="DR56" s="32">
        <v>29143.54</v>
      </c>
      <c r="DS56" s="32">
        <f t="shared" si="69"/>
        <v>313116.79999999999</v>
      </c>
      <c r="DZ56" s="64"/>
      <c r="EA56" s="7">
        <v>31</v>
      </c>
      <c r="EB56" s="5">
        <f t="shared" si="0"/>
        <v>48610</v>
      </c>
      <c r="EC56" s="5">
        <v>48584</v>
      </c>
      <c r="ED56" s="29"/>
      <c r="EE56" s="32">
        <f t="shared" si="48"/>
        <v>78988.532686597668</v>
      </c>
      <c r="EF56" s="32">
        <v>39494.31</v>
      </c>
      <c r="EG56" s="32">
        <f t="shared" si="60"/>
        <v>1762.2348135586628</v>
      </c>
      <c r="EH56" s="32">
        <f t="shared" si="16"/>
        <v>41256.544813558663</v>
      </c>
      <c r="EQ56" s="5"/>
      <c r="ER56" s="5"/>
      <c r="ES56" s="29"/>
      <c r="ET56" s="32"/>
      <c r="EU56" s="32"/>
      <c r="EV56" s="32"/>
      <c r="EW56" s="32"/>
      <c r="EY56" s="7">
        <v>31</v>
      </c>
      <c r="EZ56" s="5">
        <f t="shared" si="17"/>
        <v>48487</v>
      </c>
      <c r="FA56" s="5">
        <v>48473</v>
      </c>
      <c r="FB56" s="61"/>
      <c r="FC56" s="32">
        <f t="shared" si="49"/>
        <v>1779260.2199999979</v>
      </c>
      <c r="FD56" s="32">
        <v>40216.85</v>
      </c>
      <c r="FE56" s="32">
        <v>3664.84</v>
      </c>
      <c r="FF56" s="32"/>
      <c r="FG56" s="32">
        <f t="shared" si="50"/>
        <v>43881.69</v>
      </c>
      <c r="FJ56" s="5"/>
      <c r="FK56" s="5"/>
      <c r="FL56" s="29"/>
      <c r="FM56" s="32"/>
      <c r="FN56" s="32"/>
      <c r="FO56" s="32"/>
      <c r="FP56" s="32"/>
      <c r="FS56" s="5"/>
      <c r="FT56" s="5"/>
      <c r="FU56" s="29"/>
      <c r="FV56" s="32"/>
      <c r="FW56" s="32"/>
      <c r="FX56" s="32"/>
      <c r="FY56" s="32"/>
      <c r="GB56" s="5"/>
      <c r="GC56" s="5"/>
      <c r="GD56" s="29"/>
      <c r="GE56" s="32"/>
      <c r="GF56" s="32"/>
      <c r="GG56" s="32"/>
      <c r="GH56" s="32"/>
      <c r="GK56" s="5"/>
      <c r="GL56" s="5"/>
      <c r="GM56" s="29"/>
      <c r="GN56" s="32"/>
      <c r="GO56" s="32"/>
      <c r="GP56" s="32"/>
      <c r="GQ56" s="32"/>
      <c r="GT56" s="5"/>
      <c r="GU56" s="5"/>
      <c r="GV56" s="29"/>
      <c r="GW56" s="32"/>
      <c r="GX56" s="32"/>
      <c r="GY56" s="32"/>
      <c r="GZ56" s="32"/>
      <c r="HC56" s="5"/>
      <c r="HD56" s="5"/>
      <c r="HE56" s="29"/>
      <c r="HF56" s="32"/>
      <c r="HG56" s="32"/>
      <c r="HH56" s="32"/>
      <c r="HI56" s="32"/>
    </row>
    <row r="57" spans="1:217" x14ac:dyDescent="0.35">
      <c r="A57" s="7">
        <v>32</v>
      </c>
      <c r="B57" s="6">
        <f t="shared" si="1"/>
        <v>43</v>
      </c>
      <c r="C57" s="5">
        <f t="shared" si="65"/>
        <v>45956</v>
      </c>
      <c r="D57" s="29"/>
      <c r="E57" s="32">
        <f t="shared" si="29"/>
        <v>57041561.107014708</v>
      </c>
      <c r="F57" s="32">
        <f t="shared" si="66"/>
        <v>0</v>
      </c>
      <c r="G57" s="32">
        <f t="shared" si="67"/>
        <v>0</v>
      </c>
      <c r="H57" s="32">
        <f t="shared" si="32"/>
        <v>0</v>
      </c>
      <c r="I57" s="60"/>
      <c r="J57" s="60"/>
      <c r="K57" s="32"/>
      <c r="P57"/>
      <c r="Q57" s="32"/>
      <c r="R57" s="29"/>
      <c r="S57" s="32"/>
      <c r="T57" s="32"/>
      <c r="U57" s="32"/>
      <c r="V57" s="60"/>
      <c r="W57" s="60"/>
      <c r="X57" s="60"/>
      <c r="Y57" s="60"/>
      <c r="Z57" s="60"/>
      <c r="AA57" s="60"/>
      <c r="AB57" s="32"/>
      <c r="AF57"/>
      <c r="AG57" s="32"/>
      <c r="AH57" s="29"/>
      <c r="AI57" s="32"/>
      <c r="AJ57" s="32"/>
      <c r="AK57" s="60"/>
      <c r="AL57" s="60"/>
      <c r="AM57" s="60"/>
      <c r="AN57" s="60"/>
      <c r="AO57" s="60"/>
      <c r="AP57" s="32"/>
      <c r="AR57" s="7">
        <v>32</v>
      </c>
      <c r="AS57" s="5">
        <f t="shared" si="6"/>
        <v>48548</v>
      </c>
      <c r="AT57" s="5">
        <v>48538</v>
      </c>
      <c r="AU57" s="29"/>
      <c r="AV57" s="32">
        <f t="shared" si="57"/>
        <v>2345281.9802941829</v>
      </c>
      <c r="AW57" s="32">
        <v>525047.46469953598</v>
      </c>
      <c r="AX57" s="32">
        <f t="shared" si="58"/>
        <v>44011.718156570358</v>
      </c>
      <c r="AY57" s="32">
        <f t="shared" si="70"/>
        <v>569059.18285610632</v>
      </c>
      <c r="AZ57" s="60"/>
      <c r="BA57" s="60"/>
      <c r="BB57" s="60"/>
      <c r="BC57" s="60"/>
      <c r="BD57" s="60"/>
      <c r="BE57" s="60"/>
      <c r="BH57" s="5"/>
      <c r="BI57" s="5"/>
      <c r="BJ57" s="29"/>
      <c r="BK57" s="32"/>
      <c r="BL57" s="32"/>
      <c r="BM57" s="32"/>
      <c r="BN57" s="32"/>
      <c r="BO57" s="32"/>
      <c r="BP57" s="104"/>
      <c r="BQ57" s="60"/>
      <c r="BR57" s="60"/>
      <c r="BS57" s="60"/>
      <c r="BT57" s="60"/>
      <c r="BU57" s="60"/>
      <c r="BX57" s="5"/>
      <c r="BY57" s="5"/>
      <c r="BZ57" s="29"/>
      <c r="CA57" s="32"/>
      <c r="CB57" s="32"/>
      <c r="CC57" s="32"/>
      <c r="CD57" s="32"/>
      <c r="CE57" s="32"/>
      <c r="CF57" s="32"/>
      <c r="CG57" s="104"/>
      <c r="CH57" s="60"/>
      <c r="CI57" s="60"/>
      <c r="CJ57" s="60"/>
      <c r="CK57" s="60"/>
      <c r="CL57" s="60"/>
      <c r="CO57" s="5"/>
      <c r="CP57" s="5"/>
      <c r="CQ57" s="29"/>
      <c r="CR57" s="32"/>
      <c r="CS57" s="32"/>
      <c r="CT57" s="32"/>
      <c r="CU57" s="32"/>
      <c r="CX57" s="5"/>
      <c r="CY57" s="5"/>
      <c r="CZ57" s="29"/>
      <c r="DA57" s="32"/>
      <c r="DB57" s="32"/>
      <c r="DC57" s="32"/>
      <c r="DD57" s="32"/>
      <c r="DE57" s="104"/>
      <c r="DF57" s="60"/>
      <c r="DG57" s="60"/>
      <c r="DH57" s="60"/>
      <c r="DI57" s="60"/>
      <c r="DJ57" s="60"/>
      <c r="DL57" s="7">
        <v>32</v>
      </c>
      <c r="DM57" s="5">
        <f t="shared" si="14"/>
        <v>48669</v>
      </c>
      <c r="DN57" s="5">
        <v>48655</v>
      </c>
      <c r="DO57" s="29"/>
      <c r="DP57" s="32">
        <f t="shared" si="47"/>
        <v>1419866.3388674662</v>
      </c>
      <c r="DQ57" s="32">
        <v>283973.26</v>
      </c>
      <c r="DR57" s="32">
        <v>24980.18</v>
      </c>
      <c r="DS57" s="32">
        <f t="shared" si="69"/>
        <v>308953.44</v>
      </c>
      <c r="DT57" s="104"/>
      <c r="DU57" s="60"/>
      <c r="DV57" s="60"/>
      <c r="DW57" s="60"/>
      <c r="DX57" s="60"/>
      <c r="DY57" s="60"/>
      <c r="DZ57" s="64"/>
      <c r="EA57" s="7">
        <v>32</v>
      </c>
      <c r="EB57" s="5">
        <f t="shared" si="0"/>
        <v>48699</v>
      </c>
      <c r="EC57" s="5">
        <v>48674</v>
      </c>
      <c r="ED57" s="29"/>
      <c r="EE57" s="32">
        <f t="shared" si="48"/>
        <v>39494.22268659767</v>
      </c>
      <c r="EF57" s="32">
        <v>39494.31</v>
      </c>
      <c r="EG57" s="32">
        <f t="shared" si="60"/>
        <v>1149.283150589996</v>
      </c>
      <c r="EH57" s="32">
        <f t="shared" si="16"/>
        <v>40643.593150589993</v>
      </c>
      <c r="EI57" s="104"/>
      <c r="EJ57" s="60"/>
      <c r="EK57" s="60"/>
      <c r="EL57" s="60"/>
      <c r="EM57" s="60"/>
      <c r="EN57" s="60"/>
      <c r="EQ57" s="5"/>
      <c r="ER57" s="5"/>
      <c r="ES57" s="29"/>
      <c r="ET57" s="32"/>
      <c r="EU57" s="32"/>
      <c r="EV57" s="32"/>
      <c r="EW57" s="32"/>
      <c r="EY57" s="7">
        <v>32</v>
      </c>
      <c r="EZ57" s="5">
        <f t="shared" si="17"/>
        <v>48579</v>
      </c>
      <c r="FA57" s="5">
        <v>48564</v>
      </c>
      <c r="FB57" s="61"/>
      <c r="FC57" s="32">
        <f t="shared" si="49"/>
        <v>1739043.3699999978</v>
      </c>
      <c r="FD57" s="32">
        <v>40216.85</v>
      </c>
      <c r="FE57" s="32">
        <v>3055.9</v>
      </c>
      <c r="FF57" s="32"/>
      <c r="FG57" s="32">
        <f t="shared" si="50"/>
        <v>43272.75</v>
      </c>
      <c r="FJ57" s="5"/>
      <c r="FK57" s="5"/>
      <c r="FL57" s="29"/>
      <c r="FM57" s="32"/>
      <c r="FN57" s="32"/>
      <c r="FO57" s="32"/>
      <c r="FP57" s="32"/>
      <c r="FS57" s="5"/>
      <c r="FT57" s="5"/>
      <c r="FU57" s="29"/>
      <c r="FV57" s="32"/>
      <c r="FW57" s="32"/>
      <c r="FX57" s="32"/>
      <c r="FY57" s="32"/>
      <c r="GB57" s="5"/>
      <c r="GC57" s="5"/>
      <c r="GD57" s="29"/>
      <c r="GE57" s="32"/>
      <c r="GF57" s="32"/>
      <c r="GG57" s="32"/>
      <c r="GH57" s="32"/>
      <c r="GK57" s="5"/>
      <c r="GL57" s="5"/>
      <c r="GM57" s="29"/>
      <c r="GN57" s="32"/>
      <c r="GO57" s="32"/>
      <c r="GP57" s="32"/>
      <c r="GQ57" s="32"/>
      <c r="GT57" s="5"/>
      <c r="GU57" s="5"/>
      <c r="GV57" s="29"/>
      <c r="GW57" s="32"/>
      <c r="GX57" s="32"/>
      <c r="GY57" s="32"/>
      <c r="GZ57" s="32"/>
      <c r="HC57" s="5"/>
      <c r="HD57" s="5"/>
      <c r="HE57" s="29"/>
      <c r="HF57" s="32"/>
      <c r="HG57" s="32"/>
      <c r="HH57" s="32"/>
      <c r="HI57" s="32"/>
    </row>
    <row r="58" spans="1:217" x14ac:dyDescent="0.35">
      <c r="A58" s="7">
        <v>33</v>
      </c>
      <c r="B58" s="6">
        <f t="shared" si="1"/>
        <v>44</v>
      </c>
      <c r="C58" s="5">
        <f t="shared" si="65"/>
        <v>45957</v>
      </c>
      <c r="D58" s="29"/>
      <c r="E58" s="32">
        <f t="shared" si="29"/>
        <v>57041561.107014708</v>
      </c>
      <c r="F58" s="32">
        <f t="shared" si="66"/>
        <v>0</v>
      </c>
      <c r="G58" s="32">
        <f t="shared" si="67"/>
        <v>0</v>
      </c>
      <c r="H58" s="32">
        <f t="shared" si="32"/>
        <v>0</v>
      </c>
      <c r="I58" s="60"/>
      <c r="J58" s="60"/>
      <c r="K58" s="32"/>
      <c r="P58"/>
      <c r="R58" s="6"/>
      <c r="AF58"/>
      <c r="AH58" s="6"/>
      <c r="AR58" s="7">
        <v>33</v>
      </c>
      <c r="AS58" s="5">
        <f t="shared" si="6"/>
        <v>48638</v>
      </c>
      <c r="AT58" s="5">
        <v>48630</v>
      </c>
      <c r="AU58" s="29"/>
      <c r="AV58" s="32">
        <f t="shared" si="57"/>
        <v>1820234.5155946468</v>
      </c>
      <c r="AW58" s="32">
        <v>525047.46469953598</v>
      </c>
      <c r="AX58" s="32">
        <f t="shared" si="58"/>
        <v>35960.990364510806</v>
      </c>
      <c r="AY58" s="32">
        <f t="shared" si="70"/>
        <v>561008.45506404678</v>
      </c>
      <c r="AZ58" s="60"/>
      <c r="BA58" s="60"/>
      <c r="BB58" s="60"/>
      <c r="BC58" s="60"/>
      <c r="BD58" s="60"/>
      <c r="BE58" s="60"/>
      <c r="BH58" s="5"/>
      <c r="BI58" s="5"/>
      <c r="BJ58" s="29"/>
      <c r="BK58" s="32"/>
      <c r="BL58" s="32"/>
      <c r="BM58" s="32"/>
      <c r="BN58" s="32"/>
      <c r="BO58" s="32"/>
      <c r="BX58" s="5"/>
      <c r="BY58" s="5"/>
      <c r="BZ58" s="29"/>
      <c r="CA58" s="32"/>
      <c r="CB58" s="32"/>
      <c r="CC58" s="32"/>
      <c r="CD58" s="32"/>
      <c r="CE58" s="32"/>
      <c r="CF58" s="32"/>
      <c r="CO58" s="5"/>
      <c r="CP58" s="5"/>
      <c r="CQ58" s="29"/>
      <c r="CR58" s="32"/>
      <c r="CS58" s="32"/>
      <c r="CT58" s="32"/>
      <c r="CU58" s="32"/>
      <c r="CX58" s="5"/>
      <c r="CY58" s="5"/>
      <c r="CZ58" s="29"/>
      <c r="DA58" s="32"/>
      <c r="DB58" s="32"/>
      <c r="DC58" s="32"/>
      <c r="DD58" s="32"/>
      <c r="DL58" s="7">
        <v>33</v>
      </c>
      <c r="DM58" s="5">
        <f>+EOMONTH(DN58,0)</f>
        <v>48760</v>
      </c>
      <c r="DN58" s="5">
        <v>48747</v>
      </c>
      <c r="DO58" s="29"/>
      <c r="DP58" s="32">
        <f t="shared" si="47"/>
        <v>1135893.0788674592</v>
      </c>
      <c r="DQ58" s="32">
        <v>283973.26000000699</v>
      </c>
      <c r="DR58" s="32">
        <v>21045.58</v>
      </c>
      <c r="DS58" s="32">
        <f t="shared" si="69"/>
        <v>305018.84000000701</v>
      </c>
      <c r="DZ58" s="64"/>
      <c r="EA58" s="7">
        <v>33</v>
      </c>
      <c r="EB58" s="5">
        <f t="shared" si="0"/>
        <v>48791</v>
      </c>
      <c r="EC58" s="5">
        <v>48765</v>
      </c>
      <c r="ED58" s="29"/>
      <c r="EE58" s="32">
        <f t="shared" si="48"/>
        <v>-8.73134023277089E-2</v>
      </c>
      <c r="EF58" s="32">
        <v>39494.31</v>
      </c>
      <c r="EG58" s="32">
        <f t="shared" si="60"/>
        <v>581.02583942432932</v>
      </c>
      <c r="EH58" s="32">
        <f t="shared" si="16"/>
        <v>40075.335839424326</v>
      </c>
      <c r="EQ58" s="5"/>
      <c r="ER58" s="5"/>
      <c r="ES58" s="29"/>
      <c r="ET58" s="32"/>
      <c r="EU58" s="32"/>
      <c r="EV58" s="32"/>
      <c r="EW58" s="32"/>
      <c r="EY58" s="7">
        <v>33</v>
      </c>
      <c r="EZ58" s="5">
        <f t="shared" si="17"/>
        <v>48669</v>
      </c>
      <c r="FA58" s="5">
        <v>48655</v>
      </c>
      <c r="FB58" s="61"/>
      <c r="FC58" s="32">
        <f t="shared" si="49"/>
        <v>1698826.5199999977</v>
      </c>
      <c r="FD58" s="32">
        <v>40216.85</v>
      </c>
      <c r="FE58" s="32">
        <v>2446.96</v>
      </c>
      <c r="FF58" s="32"/>
      <c r="FG58" s="32">
        <f t="shared" si="50"/>
        <v>42663.81</v>
      </c>
      <c r="FJ58" s="5"/>
      <c r="FK58" s="5"/>
      <c r="FL58" s="29"/>
      <c r="FM58" s="32"/>
      <c r="FN58" s="32"/>
      <c r="FO58" s="32"/>
      <c r="FP58" s="32"/>
      <c r="FS58" s="5"/>
      <c r="FT58" s="5"/>
      <c r="FU58" s="29"/>
      <c r="FV58" s="32"/>
      <c r="FW58" s="32"/>
      <c r="FX58" s="32"/>
      <c r="FY58" s="32"/>
      <c r="GB58" s="5"/>
      <c r="GC58" s="5"/>
      <c r="GD58" s="29"/>
      <c r="GE58" s="32"/>
      <c r="GF58" s="32"/>
      <c r="GG58" s="32"/>
      <c r="GH58" s="32"/>
      <c r="GK58" s="5"/>
      <c r="GL58" s="5"/>
      <c r="GM58" s="29"/>
      <c r="GN58" s="32"/>
      <c r="GO58" s="32"/>
      <c r="GP58" s="32"/>
      <c r="GQ58" s="32"/>
      <c r="GT58" s="5"/>
      <c r="GU58" s="5"/>
      <c r="GV58" s="29"/>
      <c r="GW58" s="32"/>
      <c r="GX58" s="32"/>
      <c r="GY58" s="32"/>
      <c r="GZ58" s="32"/>
      <c r="HC58" s="5"/>
      <c r="HD58" s="5"/>
      <c r="HE58" s="29"/>
      <c r="HF58" s="32"/>
      <c r="HG58" s="32"/>
      <c r="HH58" s="32"/>
      <c r="HI58" s="32"/>
    </row>
    <row r="59" spans="1:217" x14ac:dyDescent="0.35">
      <c r="A59" s="7">
        <v>34</v>
      </c>
      <c r="B59" s="6">
        <f t="shared" si="1"/>
        <v>44</v>
      </c>
      <c r="C59" s="5">
        <f t="shared" si="65"/>
        <v>45958</v>
      </c>
      <c r="D59" s="29"/>
      <c r="E59" s="32">
        <f t="shared" si="29"/>
        <v>57041561.107014708</v>
      </c>
      <c r="F59" s="32">
        <f t="shared" si="66"/>
        <v>0</v>
      </c>
      <c r="G59" s="32">
        <f t="shared" si="67"/>
        <v>0</v>
      </c>
      <c r="H59" s="32">
        <f t="shared" si="32"/>
        <v>0</v>
      </c>
      <c r="I59" s="60"/>
      <c r="J59" s="60"/>
      <c r="K59" s="32"/>
      <c r="P59"/>
      <c r="AF59"/>
      <c r="AR59" s="7">
        <v>34</v>
      </c>
      <c r="AS59" s="5">
        <f t="shared" si="6"/>
        <v>48730</v>
      </c>
      <c r="AT59" s="5">
        <v>48719</v>
      </c>
      <c r="AU59" s="29"/>
      <c r="AV59" s="32">
        <f t="shared" si="57"/>
        <v>1295187.0508951107</v>
      </c>
      <c r="AW59" s="32">
        <v>525047.46469953598</v>
      </c>
      <c r="AX59" s="32">
        <f t="shared" si="58"/>
        <v>27000.145314653928</v>
      </c>
      <c r="AY59" s="32">
        <f t="shared" si="70"/>
        <v>552047.61001418997</v>
      </c>
      <c r="AZ59" s="60"/>
      <c r="BA59" s="60"/>
      <c r="BB59" s="60"/>
      <c r="BC59" s="60"/>
      <c r="BD59" s="60"/>
      <c r="BE59" s="60"/>
      <c r="BH59" s="5"/>
      <c r="BI59" s="5"/>
      <c r="BJ59" s="29"/>
      <c r="BK59" s="32"/>
      <c r="BL59" s="32"/>
      <c r="BM59" s="32"/>
      <c r="BN59" s="32"/>
      <c r="BO59" s="32"/>
      <c r="BX59" s="5"/>
      <c r="BY59" s="5"/>
      <c r="BZ59" s="29"/>
      <c r="CA59" s="32"/>
      <c r="CB59" s="32"/>
      <c r="CC59" s="32"/>
      <c r="CD59" s="32"/>
      <c r="CE59" s="32"/>
      <c r="CF59" s="32"/>
      <c r="CO59" s="5"/>
      <c r="CP59" s="5"/>
      <c r="CQ59" s="29"/>
      <c r="CR59" s="32"/>
      <c r="CS59" s="32"/>
      <c r="CT59" s="32"/>
      <c r="CU59" s="32"/>
      <c r="CX59" s="5"/>
      <c r="CY59" s="5"/>
      <c r="CZ59" s="29"/>
      <c r="DA59" s="32"/>
      <c r="DB59" s="32"/>
      <c r="DC59" s="32"/>
      <c r="DD59" s="32"/>
      <c r="DL59" s="7">
        <v>34</v>
      </c>
      <c r="DM59" s="5">
        <f>+EOMONTH(DN59,0)</f>
        <v>48852</v>
      </c>
      <c r="DN59" s="5">
        <v>48837</v>
      </c>
      <c r="DO59" s="29"/>
      <c r="DP59" s="32">
        <f t="shared" si="47"/>
        <v>851919.81886745919</v>
      </c>
      <c r="DQ59" s="32">
        <v>283973.26</v>
      </c>
      <c r="DR59" s="32">
        <v>16470.45</v>
      </c>
      <c r="DS59" s="32">
        <f t="shared" si="69"/>
        <v>300443.71000000002</v>
      </c>
      <c r="DZ59" s="64"/>
      <c r="EB59" s="5"/>
      <c r="EC59" s="5"/>
      <c r="ED59" s="29"/>
      <c r="EE59" s="32"/>
      <c r="EF59" s="32"/>
      <c r="EG59" s="32"/>
      <c r="EH59" s="32"/>
      <c r="EQ59" s="5"/>
      <c r="ER59" s="5"/>
      <c r="ES59" s="29"/>
      <c r="ET59" s="32"/>
      <c r="EU59" s="32"/>
      <c r="EV59" s="32"/>
      <c r="EW59" s="32"/>
      <c r="EY59" s="7">
        <v>34</v>
      </c>
      <c r="EZ59" s="5">
        <f t="shared" si="17"/>
        <v>48760</v>
      </c>
      <c r="FA59" s="5">
        <v>48747</v>
      </c>
      <c r="FB59" s="61"/>
      <c r="FC59" s="32">
        <f t="shared" si="49"/>
        <v>1658609.6699999976</v>
      </c>
      <c r="FD59" s="32">
        <v>40216.85</v>
      </c>
      <c r="FE59" s="32">
        <v>1851.4</v>
      </c>
      <c r="FF59" s="32"/>
      <c r="FG59" s="32">
        <f t="shared" si="50"/>
        <v>42068.25</v>
      </c>
      <c r="FJ59" s="5"/>
      <c r="FK59" s="5"/>
      <c r="FL59" s="29"/>
      <c r="FM59" s="32"/>
      <c r="FN59" s="32"/>
      <c r="FO59" s="32"/>
      <c r="FP59" s="32"/>
      <c r="FS59" s="5"/>
      <c r="FT59" s="5"/>
      <c r="FU59" s="29"/>
      <c r="FV59" s="32"/>
      <c r="FW59" s="32"/>
      <c r="FX59" s="32"/>
      <c r="FY59" s="32"/>
      <c r="GB59" s="5"/>
      <c r="GC59" s="5"/>
      <c r="GD59" s="29"/>
      <c r="GE59" s="32"/>
      <c r="GF59" s="32"/>
      <c r="GG59" s="32"/>
      <c r="GH59" s="32"/>
      <c r="GK59" s="5"/>
      <c r="GL59" s="5"/>
      <c r="GM59" s="29"/>
      <c r="GN59" s="32"/>
      <c r="GO59" s="32"/>
      <c r="GP59" s="32"/>
      <c r="GQ59" s="32"/>
      <c r="GT59" s="5"/>
      <c r="GU59" s="5"/>
      <c r="GV59" s="29"/>
      <c r="GW59" s="32"/>
      <c r="GX59" s="32"/>
      <c r="GY59" s="32"/>
      <c r="GZ59" s="32"/>
      <c r="HC59" s="5"/>
      <c r="HD59" s="5"/>
      <c r="HE59" s="29"/>
      <c r="HF59" s="32"/>
      <c r="HG59" s="32"/>
      <c r="HH59" s="32"/>
      <c r="HI59" s="32"/>
    </row>
    <row r="60" spans="1:217" x14ac:dyDescent="0.35">
      <c r="A60" s="7">
        <v>35</v>
      </c>
      <c r="B60" s="6">
        <f t="shared" si="1"/>
        <v>44</v>
      </c>
      <c r="C60" s="5">
        <f t="shared" si="65"/>
        <v>45959</v>
      </c>
      <c r="D60" s="29"/>
      <c r="E60" s="32">
        <f t="shared" si="29"/>
        <v>57041561.107014708</v>
      </c>
      <c r="F60" s="32">
        <f t="shared" si="66"/>
        <v>0</v>
      </c>
      <c r="G60" s="32">
        <f t="shared" si="67"/>
        <v>0</v>
      </c>
      <c r="H60" s="32">
        <f t="shared" si="32"/>
        <v>0</v>
      </c>
      <c r="I60" s="60"/>
      <c r="J60" s="60"/>
      <c r="K60" s="32"/>
      <c r="P60"/>
      <c r="AF60"/>
      <c r="AR60" s="7">
        <v>35</v>
      </c>
      <c r="AS60" s="5">
        <f t="shared" si="6"/>
        <v>48822</v>
      </c>
      <c r="AT60" s="5">
        <v>48811</v>
      </c>
      <c r="AU60" s="29"/>
      <c r="AV60" s="32">
        <f t="shared" si="57"/>
        <v>770139.58619557472</v>
      </c>
      <c r="AW60" s="32">
        <v>525047.46469953598</v>
      </c>
      <c r="AX60" s="32">
        <f t="shared" si="58"/>
        <v>19859.534780391696</v>
      </c>
      <c r="AY60" s="32">
        <f t="shared" si="70"/>
        <v>544906.9994799277</v>
      </c>
      <c r="AZ60" s="60"/>
      <c r="BA60" s="60"/>
      <c r="BB60" s="60"/>
      <c r="BC60" s="60"/>
      <c r="BD60" s="60"/>
      <c r="BE60" s="60"/>
      <c r="BH60" s="5"/>
      <c r="BI60" s="5"/>
      <c r="BJ60" s="29"/>
      <c r="BK60" s="32"/>
      <c r="BL60" s="32"/>
      <c r="BM60" s="32"/>
      <c r="BN60" s="32"/>
      <c r="BO60" s="32"/>
      <c r="BX60" s="5"/>
      <c r="BY60" s="5"/>
      <c r="BZ60" s="29"/>
      <c r="CA60" s="32"/>
      <c r="CB60" s="32"/>
      <c r="CC60" s="32"/>
      <c r="CD60" s="32"/>
      <c r="CE60" s="32"/>
      <c r="CF60" s="32"/>
      <c r="CO60" s="5"/>
      <c r="CP60" s="5"/>
      <c r="CQ60" s="29"/>
      <c r="CR60" s="32"/>
      <c r="CS60" s="32"/>
      <c r="CT60" s="32"/>
      <c r="CU60" s="32"/>
      <c r="CX60" s="5"/>
      <c r="CY60" s="5"/>
      <c r="CZ60" s="29"/>
      <c r="DA60" s="32"/>
      <c r="DB60" s="32"/>
      <c r="DC60" s="32"/>
      <c r="DD60" s="32"/>
      <c r="DL60" s="7">
        <v>35</v>
      </c>
      <c r="DM60" s="5">
        <f>+EOMONTH(DN60,0)</f>
        <v>48944</v>
      </c>
      <c r="DN60" s="5">
        <v>48928</v>
      </c>
      <c r="DO60" s="29"/>
      <c r="DP60" s="32">
        <f t="shared" si="47"/>
        <v>567946.55886745919</v>
      </c>
      <c r="DQ60" s="32">
        <v>283973.26</v>
      </c>
      <c r="DR60" s="32">
        <v>12490.09</v>
      </c>
      <c r="DS60" s="32">
        <f t="shared" si="69"/>
        <v>296463.35000000003</v>
      </c>
      <c r="EB60" s="5"/>
      <c r="EC60" s="5"/>
      <c r="ED60" s="29"/>
      <c r="EE60" s="32"/>
      <c r="EF60" s="32"/>
      <c r="EG60" s="32"/>
      <c r="EH60" s="32"/>
      <c r="EQ60" s="5"/>
      <c r="ER60" s="5"/>
      <c r="ES60" s="29"/>
      <c r="ET60" s="32"/>
      <c r="EU60" s="32"/>
      <c r="EV60" s="32"/>
      <c r="EW60" s="32"/>
      <c r="EY60" s="7">
        <v>35</v>
      </c>
      <c r="EZ60" s="5">
        <f t="shared" si="17"/>
        <v>48852</v>
      </c>
      <c r="FA60" s="5">
        <v>48837</v>
      </c>
      <c r="FB60" s="61"/>
      <c r="FC60" s="32">
        <f t="shared" si="49"/>
        <v>1618392.7999999975</v>
      </c>
      <c r="FD60" s="32">
        <v>40216.870000000003</v>
      </c>
      <c r="FE60" s="32">
        <v>1222.3900000000001</v>
      </c>
      <c r="FF60" s="32"/>
      <c r="FG60" s="32">
        <f t="shared" si="50"/>
        <v>41439.26</v>
      </c>
      <c r="FJ60" s="5"/>
      <c r="FK60" s="5"/>
      <c r="FL60" s="29"/>
      <c r="FM60" s="32"/>
      <c r="FN60" s="32"/>
      <c r="FO60" s="32"/>
      <c r="FP60" s="32"/>
      <c r="FS60" s="5"/>
      <c r="FT60" s="5"/>
      <c r="FU60" s="29"/>
      <c r="FV60" s="32"/>
      <c r="FW60" s="32"/>
      <c r="FX60" s="32"/>
      <c r="FY60" s="32"/>
      <c r="GB60" s="5"/>
      <c r="GC60" s="5"/>
      <c r="GD60" s="29"/>
      <c r="GE60" s="32"/>
      <c r="GF60" s="32"/>
      <c r="GG60" s="32"/>
      <c r="GH60" s="32"/>
      <c r="GK60" s="5"/>
      <c r="GL60" s="5"/>
      <c r="GM60" s="29"/>
      <c r="GN60" s="32"/>
      <c r="GO60" s="32"/>
      <c r="GP60" s="32"/>
      <c r="GQ60" s="32"/>
      <c r="GT60" s="5"/>
      <c r="GU60" s="5"/>
      <c r="GV60" s="29"/>
      <c r="GW60" s="32"/>
      <c r="GX60" s="32"/>
      <c r="GY60" s="32"/>
      <c r="GZ60" s="32"/>
      <c r="HC60" s="5"/>
      <c r="HD60" s="5"/>
      <c r="HE60" s="29"/>
      <c r="HF60" s="32"/>
      <c r="HG60" s="32"/>
      <c r="HH60" s="32"/>
      <c r="HI60" s="32"/>
    </row>
    <row r="61" spans="1:217" x14ac:dyDescent="0.35">
      <c r="A61" s="7">
        <v>36</v>
      </c>
      <c r="B61" s="6">
        <f t="shared" si="1"/>
        <v>44</v>
      </c>
      <c r="C61" s="5">
        <f t="shared" si="65"/>
        <v>45960</v>
      </c>
      <c r="D61" s="29"/>
      <c r="E61" s="32">
        <f t="shared" si="29"/>
        <v>57041561.107014708</v>
      </c>
      <c r="F61" s="32">
        <f t="shared" si="66"/>
        <v>0</v>
      </c>
      <c r="G61" s="32">
        <f t="shared" si="67"/>
        <v>0</v>
      </c>
      <c r="H61" s="32">
        <f t="shared" si="32"/>
        <v>0</v>
      </c>
      <c r="I61" s="60">
        <f>+H61</f>
        <v>0</v>
      </c>
      <c r="J61" s="60"/>
      <c r="K61" s="32"/>
      <c r="P61"/>
      <c r="AF61"/>
      <c r="AR61" s="7">
        <v>36</v>
      </c>
      <c r="AS61" s="5">
        <f t="shared" si="6"/>
        <v>48913</v>
      </c>
      <c r="AT61" s="5">
        <v>48903</v>
      </c>
      <c r="AU61" s="29"/>
      <c r="AV61" s="32">
        <f t="shared" si="57"/>
        <v>245092.12149603874</v>
      </c>
      <c r="AW61" s="32">
        <v>525047.46469953598</v>
      </c>
      <c r="AX61" s="32">
        <f t="shared" si="58"/>
        <v>11808.806988332144</v>
      </c>
      <c r="AY61" s="32">
        <f t="shared" si="70"/>
        <v>536856.27168786817</v>
      </c>
      <c r="AZ61" s="60"/>
      <c r="BA61" s="60"/>
      <c r="BB61" s="60"/>
      <c r="BC61" s="60"/>
      <c r="BD61" s="60"/>
      <c r="BE61" s="60"/>
      <c r="BH61" s="5"/>
      <c r="BI61" s="5"/>
      <c r="BJ61" s="29"/>
      <c r="BK61" s="32"/>
      <c r="BL61" s="32"/>
      <c r="BM61" s="32"/>
      <c r="BN61" s="32"/>
      <c r="BO61" s="32"/>
      <c r="BX61" s="5"/>
      <c r="BY61" s="5"/>
      <c r="BZ61" s="29"/>
      <c r="CA61" s="32"/>
      <c r="CB61" s="32"/>
      <c r="CC61" s="32"/>
      <c r="CD61" s="32"/>
      <c r="CE61" s="32"/>
      <c r="CF61" s="32"/>
      <c r="CO61" s="5"/>
      <c r="CP61" s="5"/>
      <c r="CQ61" s="29"/>
      <c r="CR61" s="32"/>
      <c r="CS61" s="32"/>
      <c r="CT61" s="32"/>
      <c r="CU61" s="32"/>
      <c r="CX61" s="5"/>
      <c r="CY61" s="5"/>
      <c r="CZ61" s="29"/>
      <c r="DA61" s="32"/>
      <c r="DB61" s="32"/>
      <c r="DC61" s="32"/>
      <c r="DD61" s="32"/>
      <c r="DL61" s="7">
        <v>36</v>
      </c>
      <c r="DM61" s="5">
        <f>+EOMONTH(DN61,0)</f>
        <v>49034</v>
      </c>
      <c r="DN61" s="5">
        <v>49019</v>
      </c>
      <c r="DO61" s="29"/>
      <c r="DP61" s="32">
        <f t="shared" si="47"/>
        <v>283973.29886745918</v>
      </c>
      <c r="DQ61" s="32">
        <v>283973.26</v>
      </c>
      <c r="DR61" s="32">
        <v>8326.73</v>
      </c>
      <c r="DS61" s="32">
        <f t="shared" si="69"/>
        <v>292299.99</v>
      </c>
      <c r="EB61" s="5"/>
      <c r="EC61" s="5"/>
      <c r="ED61" s="29"/>
      <c r="EE61" s="32"/>
      <c r="EF61" s="32"/>
      <c r="EG61" s="32"/>
      <c r="EH61" s="32"/>
      <c r="EQ61" s="5"/>
      <c r="ER61" s="5"/>
      <c r="ES61" s="29"/>
      <c r="ET61" s="32"/>
      <c r="EU61" s="32"/>
      <c r="EV61" s="32"/>
      <c r="EW61" s="32"/>
      <c r="EY61" s="7">
        <v>36</v>
      </c>
      <c r="EZ61" s="5">
        <f t="shared" si="17"/>
        <v>48944</v>
      </c>
      <c r="FA61" s="5">
        <v>48928</v>
      </c>
      <c r="FB61" s="61"/>
      <c r="FC61" s="32">
        <f t="shared" si="49"/>
        <v>1087389.7899999975</v>
      </c>
      <c r="FD61" s="32">
        <v>531003.01</v>
      </c>
      <c r="FE61" s="32">
        <v>620.14</v>
      </c>
      <c r="FF61" s="32"/>
      <c r="FG61" s="32">
        <f t="shared" si="50"/>
        <v>531623.15</v>
      </c>
      <c r="FJ61" s="5"/>
      <c r="FK61" s="5"/>
      <c r="FL61" s="29"/>
      <c r="FM61" s="32"/>
      <c r="FN61" s="32"/>
      <c r="FO61" s="32"/>
      <c r="FP61" s="32"/>
      <c r="FS61" s="5"/>
      <c r="FT61" s="5"/>
      <c r="FU61" s="29"/>
      <c r="FV61" s="32"/>
      <c r="FW61" s="32"/>
      <c r="FX61" s="32"/>
      <c r="FY61" s="32"/>
      <c r="GB61" s="5"/>
      <c r="GC61" s="5"/>
      <c r="GD61" s="29"/>
      <c r="GE61" s="32"/>
      <c r="GF61" s="32"/>
      <c r="GG61" s="32"/>
      <c r="GH61" s="32"/>
      <c r="GK61" s="5"/>
      <c r="GL61" s="5"/>
      <c r="GM61" s="29"/>
      <c r="GN61" s="32"/>
      <c r="GO61" s="32"/>
      <c r="GP61" s="32"/>
      <c r="GQ61" s="32"/>
      <c r="GT61" s="5"/>
      <c r="GU61" s="5"/>
      <c r="GV61" s="29"/>
      <c r="GW61" s="32"/>
      <c r="GX61" s="32"/>
      <c r="GY61" s="32"/>
      <c r="GZ61" s="32"/>
      <c r="HC61" s="5"/>
      <c r="HD61" s="5"/>
      <c r="HE61" s="29"/>
      <c r="HF61" s="32"/>
      <c r="HG61" s="32"/>
      <c r="HH61" s="32"/>
      <c r="HI61" s="32"/>
    </row>
    <row r="62" spans="1:217" x14ac:dyDescent="0.35">
      <c r="A62" s="7">
        <v>37</v>
      </c>
      <c r="B62" s="6">
        <f t="shared" si="1"/>
        <v>44</v>
      </c>
      <c r="C62" s="5">
        <f t="shared" si="65"/>
        <v>45961</v>
      </c>
      <c r="D62" s="29"/>
      <c r="E62" s="32">
        <f t="shared" si="29"/>
        <v>57041561.107014708</v>
      </c>
      <c r="F62" s="32">
        <f t="shared" si="66"/>
        <v>0</v>
      </c>
      <c r="G62" s="32">
        <f t="shared" si="67"/>
        <v>0</v>
      </c>
      <c r="H62" s="32">
        <f t="shared" si="32"/>
        <v>0</v>
      </c>
      <c r="I62" s="60"/>
      <c r="P62"/>
      <c r="AF62"/>
      <c r="AR62" s="7">
        <v>37</v>
      </c>
      <c r="AS62" s="5">
        <f t="shared" si="6"/>
        <v>49003</v>
      </c>
      <c r="AT62" s="5">
        <v>48997</v>
      </c>
      <c r="AU62" s="29"/>
      <c r="AV62" s="32">
        <f t="shared" si="57"/>
        <v>-7.4214767664670944E-9</v>
      </c>
      <c r="AW62" s="32">
        <v>245092.12149604617</v>
      </c>
      <c r="AX62" s="32">
        <f t="shared" si="58"/>
        <v>3839.7765701046064</v>
      </c>
      <c r="AY62" s="32">
        <f t="shared" si="70"/>
        <v>248931.89806615078</v>
      </c>
      <c r="AZ62" s="60"/>
      <c r="BA62" s="60"/>
      <c r="BB62" s="60"/>
      <c r="BC62" s="60"/>
      <c r="BD62" s="60"/>
      <c r="BE62" s="60"/>
      <c r="BJ62"/>
      <c r="BZ62"/>
      <c r="CQ62"/>
      <c r="CZ62"/>
      <c r="DL62" s="7">
        <v>37</v>
      </c>
      <c r="DM62" s="5">
        <f>+EOMONTH(DN62,0)</f>
        <v>49125</v>
      </c>
      <c r="DN62" s="5">
        <v>49111</v>
      </c>
      <c r="DO62"/>
      <c r="DP62" s="32">
        <f t="shared" si="47"/>
        <v>3.8867459166795015E-2</v>
      </c>
      <c r="DQ62" s="32">
        <v>283973.26</v>
      </c>
      <c r="DR62" s="32">
        <v>4209.12</v>
      </c>
      <c r="DS62" s="32">
        <f t="shared" si="69"/>
        <v>288182.38</v>
      </c>
      <c r="ED62"/>
      <c r="ES62"/>
      <c r="EY62" s="7">
        <v>37</v>
      </c>
      <c r="EZ62" s="5">
        <f t="shared" si="17"/>
        <v>49034</v>
      </c>
      <c r="FA62" s="5">
        <v>49019</v>
      </c>
      <c r="FB62" s="61"/>
      <c r="FC62" s="32">
        <f t="shared" si="49"/>
        <v>548258.30999999749</v>
      </c>
      <c r="FD62" s="32">
        <v>539131.48</v>
      </c>
      <c r="FE62" s="7">
        <v>88653.24</v>
      </c>
      <c r="FG62" s="32">
        <f t="shared" si="50"/>
        <v>627784.72</v>
      </c>
      <c r="FL62"/>
      <c r="FU62"/>
      <c r="GD62"/>
      <c r="GM62"/>
      <c r="GV62"/>
      <c r="HE62"/>
    </row>
    <row r="63" spans="1:217" x14ac:dyDescent="0.35">
      <c r="A63" s="7">
        <v>38</v>
      </c>
      <c r="B63" s="6">
        <f t="shared" si="1"/>
        <v>44</v>
      </c>
      <c r="C63" s="5">
        <f t="shared" si="65"/>
        <v>45962</v>
      </c>
      <c r="D63" s="29"/>
      <c r="E63" s="32">
        <f t="shared" si="29"/>
        <v>57041561.107014708</v>
      </c>
      <c r="F63" s="32">
        <f t="shared" si="66"/>
        <v>0</v>
      </c>
      <c r="G63" s="32">
        <f t="shared" si="67"/>
        <v>0</v>
      </c>
      <c r="H63" s="32">
        <f t="shared" si="32"/>
        <v>0</v>
      </c>
      <c r="I63" s="60"/>
      <c r="EY63" s="7">
        <v>38</v>
      </c>
      <c r="EZ63" s="5">
        <f t="shared" si="17"/>
        <v>49125</v>
      </c>
      <c r="FA63" s="5">
        <v>49111</v>
      </c>
      <c r="FB63" s="61"/>
      <c r="FC63" s="32">
        <f t="shared" si="49"/>
        <v>-2.5611370801925659E-9</v>
      </c>
      <c r="FD63" s="32">
        <v>548258.31000000006</v>
      </c>
      <c r="FE63" s="7">
        <v>79526.41</v>
      </c>
      <c r="FG63" s="32">
        <f t="shared" si="50"/>
        <v>627784.72000000009</v>
      </c>
    </row>
    <row r="64" spans="1:217" x14ac:dyDescent="0.35">
      <c r="A64" s="7">
        <v>39</v>
      </c>
      <c r="B64" s="6">
        <f t="shared" si="1"/>
        <v>44</v>
      </c>
      <c r="C64" s="5">
        <f t="shared" si="65"/>
        <v>45963</v>
      </c>
      <c r="D64" s="29"/>
      <c r="E64" s="32">
        <f t="shared" si="29"/>
        <v>56989720.317014709</v>
      </c>
      <c r="F64" s="32">
        <f t="shared" si="66"/>
        <v>51840.79</v>
      </c>
      <c r="G64" s="32">
        <f t="shared" si="67"/>
        <v>17455.705904999999</v>
      </c>
      <c r="H64" s="32">
        <f t="shared" si="32"/>
        <v>69296.495905000003</v>
      </c>
      <c r="I64" s="60"/>
    </row>
    <row r="65" spans="1:10" x14ac:dyDescent="0.35">
      <c r="A65" s="7">
        <v>40</v>
      </c>
      <c r="B65" s="6">
        <f t="shared" si="1"/>
        <v>45</v>
      </c>
      <c r="C65" s="5">
        <f t="shared" si="65"/>
        <v>45964</v>
      </c>
      <c r="D65" s="29"/>
      <c r="E65" s="32">
        <f t="shared" si="29"/>
        <v>56989720.317014709</v>
      </c>
      <c r="F65" s="32">
        <f t="shared" si="66"/>
        <v>0</v>
      </c>
      <c r="G65" s="32">
        <f t="shared" si="67"/>
        <v>0</v>
      </c>
      <c r="H65" s="32">
        <f t="shared" si="32"/>
        <v>0</v>
      </c>
      <c r="I65" s="60"/>
      <c r="J65" s="108"/>
    </row>
    <row r="66" spans="1:10" x14ac:dyDescent="0.35">
      <c r="A66" s="7">
        <v>41</v>
      </c>
      <c r="B66" s="6">
        <f t="shared" si="1"/>
        <v>45</v>
      </c>
      <c r="C66" s="5">
        <f t="shared" si="65"/>
        <v>45965</v>
      </c>
      <c r="D66" s="29"/>
      <c r="E66" s="32">
        <f t="shared" si="29"/>
        <v>56989720.317014709</v>
      </c>
      <c r="F66" s="32">
        <f t="shared" si="66"/>
        <v>0</v>
      </c>
      <c r="G66" s="32">
        <f t="shared" si="67"/>
        <v>0</v>
      </c>
      <c r="H66" s="32">
        <f t="shared" si="32"/>
        <v>0</v>
      </c>
      <c r="I66" s="60"/>
    </row>
    <row r="67" spans="1:10" x14ac:dyDescent="0.35">
      <c r="A67" s="7">
        <v>42</v>
      </c>
      <c r="B67" s="6">
        <f t="shared" si="1"/>
        <v>45</v>
      </c>
      <c r="C67" s="5">
        <f t="shared" si="65"/>
        <v>45966</v>
      </c>
      <c r="D67" s="29"/>
      <c r="E67" s="32">
        <f t="shared" si="29"/>
        <v>56989720.317014709</v>
      </c>
      <c r="F67" s="32">
        <f t="shared" si="66"/>
        <v>0</v>
      </c>
      <c r="G67" s="32">
        <f t="shared" si="67"/>
        <v>0</v>
      </c>
      <c r="H67" s="32">
        <f t="shared" si="32"/>
        <v>0</v>
      </c>
      <c r="I67" s="60"/>
    </row>
    <row r="68" spans="1:10" x14ac:dyDescent="0.35">
      <c r="A68" s="7">
        <v>43</v>
      </c>
      <c r="B68" s="6">
        <f t="shared" si="1"/>
        <v>45</v>
      </c>
      <c r="C68" s="5">
        <f t="shared" si="65"/>
        <v>45967</v>
      </c>
      <c r="D68" s="29"/>
      <c r="E68" s="32">
        <f t="shared" si="29"/>
        <v>56989720.317014709</v>
      </c>
      <c r="F68" s="32">
        <f t="shared" si="66"/>
        <v>0</v>
      </c>
      <c r="G68" s="32">
        <f t="shared" si="67"/>
        <v>0</v>
      </c>
      <c r="H68" s="32">
        <f t="shared" si="32"/>
        <v>0</v>
      </c>
      <c r="I68" s="60"/>
    </row>
    <row r="69" spans="1:10" x14ac:dyDescent="0.35">
      <c r="A69" s="7">
        <v>44</v>
      </c>
      <c r="B69" s="6">
        <f t="shared" si="1"/>
        <v>45</v>
      </c>
      <c r="C69" s="5">
        <f t="shared" si="65"/>
        <v>45968</v>
      </c>
      <c r="D69" s="29"/>
      <c r="E69" s="32">
        <f t="shared" si="29"/>
        <v>56989720.317014709</v>
      </c>
      <c r="F69" s="32">
        <f t="shared" si="66"/>
        <v>0</v>
      </c>
      <c r="G69" s="32">
        <f t="shared" si="67"/>
        <v>0</v>
      </c>
      <c r="H69" s="32">
        <f t="shared" si="32"/>
        <v>0</v>
      </c>
      <c r="I69" s="60">
        <f>+H69</f>
        <v>0</v>
      </c>
    </row>
    <row r="70" spans="1:10" x14ac:dyDescent="0.35">
      <c r="A70" s="7">
        <v>45</v>
      </c>
      <c r="B70" s="6">
        <f t="shared" si="1"/>
        <v>45</v>
      </c>
      <c r="C70" s="5">
        <f t="shared" si="65"/>
        <v>45969</v>
      </c>
      <c r="D70" s="29"/>
      <c r="E70" s="32">
        <f t="shared" si="29"/>
        <v>56989720.317014709</v>
      </c>
      <c r="F70" s="32">
        <f t="shared" si="66"/>
        <v>0</v>
      </c>
      <c r="G70" s="32">
        <f t="shared" si="67"/>
        <v>0</v>
      </c>
      <c r="H70" s="32">
        <f t="shared" si="32"/>
        <v>0</v>
      </c>
      <c r="I70" s="60"/>
      <c r="J70" s="108"/>
    </row>
    <row r="71" spans="1:10" x14ac:dyDescent="0.35">
      <c r="A71" s="7">
        <v>46</v>
      </c>
      <c r="B71" s="6">
        <f t="shared" si="1"/>
        <v>45</v>
      </c>
      <c r="C71" s="5">
        <f t="shared" si="65"/>
        <v>45970</v>
      </c>
      <c r="D71" s="29"/>
      <c r="E71" s="32">
        <f t="shared" si="29"/>
        <v>56989720.317014709</v>
      </c>
      <c r="F71" s="32">
        <f t="shared" si="66"/>
        <v>0</v>
      </c>
      <c r="G71" s="32">
        <f t="shared" si="67"/>
        <v>0</v>
      </c>
      <c r="H71" s="32">
        <f t="shared" si="32"/>
        <v>0</v>
      </c>
      <c r="I71" s="60"/>
    </row>
    <row r="72" spans="1:10" x14ac:dyDescent="0.35">
      <c r="A72" s="7">
        <v>47</v>
      </c>
      <c r="B72" s="6">
        <f t="shared" si="1"/>
        <v>46</v>
      </c>
      <c r="C72" s="5">
        <f t="shared" si="65"/>
        <v>45971</v>
      </c>
      <c r="D72" s="29"/>
      <c r="E72" s="32">
        <f t="shared" si="29"/>
        <v>56640709.107014708</v>
      </c>
      <c r="F72" s="32">
        <f t="shared" si="66"/>
        <v>349011.21</v>
      </c>
      <c r="G72" s="32">
        <f t="shared" si="67"/>
        <v>128975.6398554827</v>
      </c>
      <c r="H72" s="32">
        <f t="shared" si="32"/>
        <v>477986.84985548269</v>
      </c>
      <c r="I72" s="60"/>
    </row>
    <row r="73" spans="1:10" x14ac:dyDescent="0.35">
      <c r="A73" s="7">
        <v>48</v>
      </c>
      <c r="B73" s="6">
        <f t="shared" si="1"/>
        <v>46</v>
      </c>
      <c r="C73" s="5">
        <f t="shared" si="65"/>
        <v>45972</v>
      </c>
      <c r="D73" s="29"/>
      <c r="E73" s="32">
        <f t="shared" si="29"/>
        <v>56640709.107014708</v>
      </c>
      <c r="F73" s="32">
        <f t="shared" si="66"/>
        <v>0</v>
      </c>
      <c r="G73" s="32">
        <f t="shared" si="67"/>
        <v>0</v>
      </c>
      <c r="H73" s="32">
        <f t="shared" si="32"/>
        <v>0</v>
      </c>
      <c r="I73" s="60"/>
    </row>
    <row r="74" spans="1:10" x14ac:dyDescent="0.35">
      <c r="A74" s="7">
        <v>49</v>
      </c>
      <c r="B74" s="6">
        <f t="shared" si="1"/>
        <v>46</v>
      </c>
      <c r="C74" s="5">
        <f t="shared" si="65"/>
        <v>45973</v>
      </c>
      <c r="D74" s="29"/>
      <c r="E74" s="32">
        <f t="shared" si="29"/>
        <v>56640709.107014708</v>
      </c>
      <c r="F74" s="32">
        <f t="shared" si="66"/>
        <v>0</v>
      </c>
      <c r="G74" s="32">
        <f t="shared" si="67"/>
        <v>0</v>
      </c>
      <c r="H74" s="32">
        <f t="shared" si="32"/>
        <v>0</v>
      </c>
      <c r="I74" s="60">
        <f>+H74</f>
        <v>0</v>
      </c>
    </row>
    <row r="75" spans="1:10" x14ac:dyDescent="0.35">
      <c r="A75" s="7">
        <v>50</v>
      </c>
      <c r="B75" s="6">
        <f t="shared" si="1"/>
        <v>46</v>
      </c>
      <c r="C75" s="5">
        <f t="shared" si="65"/>
        <v>45974</v>
      </c>
      <c r="D75" s="29"/>
      <c r="E75" s="32">
        <f t="shared" si="29"/>
        <v>56640709.107014708</v>
      </c>
      <c r="F75" s="32">
        <f t="shared" si="66"/>
        <v>0</v>
      </c>
      <c r="G75" s="32">
        <f t="shared" si="67"/>
        <v>0</v>
      </c>
      <c r="H75" s="32">
        <f t="shared" si="32"/>
        <v>0</v>
      </c>
      <c r="I75" s="60">
        <f>+H75</f>
        <v>0</v>
      </c>
      <c r="J75" s="108"/>
    </row>
    <row r="76" spans="1:10" x14ac:dyDescent="0.35">
      <c r="A76" s="7">
        <v>51</v>
      </c>
      <c r="B76" s="6">
        <f t="shared" si="1"/>
        <v>46</v>
      </c>
      <c r="C76" s="5">
        <f t="shared" si="65"/>
        <v>45975</v>
      </c>
      <c r="D76" s="29"/>
      <c r="E76" s="32">
        <f t="shared" si="29"/>
        <v>56640709.107014708</v>
      </c>
      <c r="F76" s="32">
        <f t="shared" si="66"/>
        <v>0</v>
      </c>
      <c r="G76" s="32">
        <f t="shared" si="67"/>
        <v>0</v>
      </c>
      <c r="H76" s="32">
        <f t="shared" si="32"/>
        <v>0</v>
      </c>
      <c r="I76" s="60"/>
    </row>
    <row r="77" spans="1:10" x14ac:dyDescent="0.35">
      <c r="A77" s="7">
        <v>52</v>
      </c>
      <c r="B77" s="6">
        <f t="shared" si="1"/>
        <v>46</v>
      </c>
      <c r="C77" s="5">
        <f t="shared" si="65"/>
        <v>45976</v>
      </c>
      <c r="D77" s="29"/>
      <c r="E77" s="32">
        <f t="shared" si="29"/>
        <v>26271214.70701471</v>
      </c>
      <c r="F77" s="32">
        <f t="shared" si="66"/>
        <v>30369494.399999999</v>
      </c>
      <c r="G77" s="32">
        <f t="shared" si="67"/>
        <v>2498531.9814284444</v>
      </c>
      <c r="H77" s="32">
        <f t="shared" si="32"/>
        <v>32868026.381428443</v>
      </c>
      <c r="I77" s="60"/>
    </row>
    <row r="78" spans="1:10" x14ac:dyDescent="0.35">
      <c r="A78" s="7">
        <v>53</v>
      </c>
      <c r="B78" s="6">
        <f t="shared" si="1"/>
        <v>46</v>
      </c>
      <c r="C78" s="5">
        <f t="shared" si="65"/>
        <v>45977</v>
      </c>
      <c r="D78" s="29"/>
      <c r="E78" s="32">
        <f t="shared" si="29"/>
        <v>26271214.70701471</v>
      </c>
      <c r="F78" s="32">
        <f t="shared" si="66"/>
        <v>0</v>
      </c>
      <c r="G78" s="32">
        <f t="shared" si="67"/>
        <v>0</v>
      </c>
      <c r="H78" s="32">
        <f t="shared" si="32"/>
        <v>0</v>
      </c>
      <c r="I78" s="60"/>
    </row>
    <row r="79" spans="1:10" x14ac:dyDescent="0.35">
      <c r="A79" s="7">
        <v>54</v>
      </c>
      <c r="B79" s="6">
        <f t="shared" si="1"/>
        <v>47</v>
      </c>
      <c r="C79" s="5">
        <f t="shared" si="65"/>
        <v>45978</v>
      </c>
      <c r="D79" s="29"/>
      <c r="E79" s="32">
        <f t="shared" si="29"/>
        <v>26271214.70701471</v>
      </c>
      <c r="F79" s="32">
        <f t="shared" si="66"/>
        <v>0</v>
      </c>
      <c r="G79" s="32">
        <f t="shared" si="67"/>
        <v>0</v>
      </c>
      <c r="H79" s="32">
        <f t="shared" si="32"/>
        <v>0</v>
      </c>
      <c r="I79" s="60">
        <f>+H79</f>
        <v>0</v>
      </c>
    </row>
    <row r="80" spans="1:10" x14ac:dyDescent="0.35">
      <c r="A80" s="7">
        <v>55</v>
      </c>
      <c r="B80" s="6">
        <f t="shared" si="1"/>
        <v>47</v>
      </c>
      <c r="C80" s="5">
        <f t="shared" si="65"/>
        <v>45979</v>
      </c>
      <c r="D80" s="29"/>
      <c r="E80" s="32">
        <f t="shared" si="29"/>
        <v>26271214.70701471</v>
      </c>
      <c r="F80" s="32">
        <f t="shared" si="66"/>
        <v>0</v>
      </c>
      <c r="G80" s="32">
        <f t="shared" si="67"/>
        <v>0</v>
      </c>
      <c r="H80" s="32">
        <f t="shared" si="32"/>
        <v>0</v>
      </c>
      <c r="I80" s="60"/>
    </row>
    <row r="81" spans="1:10" x14ac:dyDescent="0.35">
      <c r="A81" s="7">
        <v>56</v>
      </c>
      <c r="B81" s="6">
        <f t="shared" si="1"/>
        <v>47</v>
      </c>
      <c r="C81" s="5">
        <f t="shared" si="65"/>
        <v>45980</v>
      </c>
      <c r="D81" s="29"/>
      <c r="E81" s="32">
        <f t="shared" si="29"/>
        <v>26271214.70701471</v>
      </c>
      <c r="F81" s="32">
        <f t="shared" si="66"/>
        <v>0</v>
      </c>
      <c r="G81" s="32">
        <f t="shared" si="67"/>
        <v>0</v>
      </c>
      <c r="H81" s="32">
        <f t="shared" si="32"/>
        <v>0</v>
      </c>
      <c r="I81" s="60"/>
    </row>
    <row r="82" spans="1:10" x14ac:dyDescent="0.35">
      <c r="A82" s="7">
        <v>57</v>
      </c>
      <c r="B82" s="6">
        <f t="shared" si="1"/>
        <v>47</v>
      </c>
      <c r="C82" s="5">
        <f t="shared" si="65"/>
        <v>45981</v>
      </c>
      <c r="D82" s="29"/>
      <c r="E82" s="32">
        <f t="shared" si="29"/>
        <v>26271214.70701471</v>
      </c>
      <c r="F82" s="32">
        <f t="shared" si="66"/>
        <v>0</v>
      </c>
      <c r="G82" s="32">
        <f t="shared" si="67"/>
        <v>245279.91295805926</v>
      </c>
      <c r="H82" s="32">
        <f t="shared" si="32"/>
        <v>245279.91295805926</v>
      </c>
      <c r="I82" s="60"/>
    </row>
    <row r="83" spans="1:10" x14ac:dyDescent="0.35">
      <c r="A83" s="7">
        <v>58</v>
      </c>
      <c r="B83" s="6">
        <f t="shared" si="1"/>
        <v>47</v>
      </c>
      <c r="C83" s="5">
        <f t="shared" si="65"/>
        <v>45982</v>
      </c>
      <c r="D83" s="29"/>
      <c r="E83" s="32">
        <f t="shared" si="29"/>
        <v>26271214.70701471</v>
      </c>
      <c r="F83" s="32">
        <f t="shared" si="66"/>
        <v>0</v>
      </c>
      <c r="G83" s="32">
        <f t="shared" si="67"/>
        <v>0</v>
      </c>
      <c r="H83" s="32">
        <f t="shared" si="32"/>
        <v>0</v>
      </c>
      <c r="I83" s="60"/>
    </row>
    <row r="84" spans="1:10" x14ac:dyDescent="0.35">
      <c r="A84" s="7">
        <v>59</v>
      </c>
      <c r="B84" s="6">
        <f t="shared" si="1"/>
        <v>47</v>
      </c>
      <c r="C84" s="5">
        <f t="shared" si="65"/>
        <v>45983</v>
      </c>
      <c r="D84" s="29"/>
      <c r="E84" s="32">
        <f t="shared" si="29"/>
        <v>26271214.70701471</v>
      </c>
      <c r="F84" s="32">
        <f t="shared" si="66"/>
        <v>0</v>
      </c>
      <c r="G84" s="32">
        <f t="shared" si="67"/>
        <v>0</v>
      </c>
      <c r="H84" s="32">
        <f t="shared" si="32"/>
        <v>0</v>
      </c>
      <c r="I84" s="60"/>
    </row>
    <row r="85" spans="1:10" x14ac:dyDescent="0.35">
      <c r="A85" s="7">
        <v>60</v>
      </c>
      <c r="B85" s="6">
        <f t="shared" si="1"/>
        <v>47</v>
      </c>
      <c r="C85" s="5">
        <f t="shared" si="65"/>
        <v>45984</v>
      </c>
      <c r="D85" s="29"/>
      <c r="E85" s="32">
        <f t="shared" si="29"/>
        <v>26271214.70701471</v>
      </c>
      <c r="F85" s="32">
        <f t="shared" si="66"/>
        <v>0</v>
      </c>
      <c r="G85" s="32">
        <f t="shared" si="67"/>
        <v>0</v>
      </c>
      <c r="H85" s="32">
        <f t="shared" si="32"/>
        <v>0</v>
      </c>
      <c r="I85" s="60"/>
    </row>
    <row r="86" spans="1:10" x14ac:dyDescent="0.35">
      <c r="A86" s="7">
        <v>61</v>
      </c>
      <c r="B86" s="6">
        <f t="shared" si="1"/>
        <v>48</v>
      </c>
      <c r="C86" s="5">
        <f t="shared" si="65"/>
        <v>45985</v>
      </c>
      <c r="D86" s="29"/>
      <c r="E86" s="32">
        <f t="shared" si="29"/>
        <v>26271214.70701471</v>
      </c>
      <c r="F86" s="32">
        <f t="shared" si="66"/>
        <v>0</v>
      </c>
      <c r="G86" s="32">
        <f t="shared" si="67"/>
        <v>0</v>
      </c>
      <c r="H86" s="32">
        <f t="shared" si="32"/>
        <v>0</v>
      </c>
      <c r="I86" s="60"/>
    </row>
    <row r="87" spans="1:10" x14ac:dyDescent="0.35">
      <c r="A87" s="7">
        <v>62</v>
      </c>
      <c r="B87" s="6">
        <f t="shared" si="1"/>
        <v>48</v>
      </c>
      <c r="C87" s="5">
        <f t="shared" si="65"/>
        <v>45986</v>
      </c>
      <c r="D87" s="29"/>
      <c r="E87" s="32">
        <f t="shared" si="29"/>
        <v>26271214.70701471</v>
      </c>
      <c r="F87" s="32">
        <f t="shared" si="66"/>
        <v>0</v>
      </c>
      <c r="G87" s="32">
        <f t="shared" si="67"/>
        <v>0</v>
      </c>
      <c r="H87" s="32">
        <f t="shared" si="32"/>
        <v>0</v>
      </c>
      <c r="I87" s="60"/>
    </row>
    <row r="88" spans="1:10" x14ac:dyDescent="0.35">
      <c r="A88" s="7">
        <v>63</v>
      </c>
      <c r="B88" s="6">
        <f t="shared" si="1"/>
        <v>48</v>
      </c>
      <c r="C88" s="5">
        <f t="shared" si="65"/>
        <v>45987</v>
      </c>
      <c r="D88" s="29"/>
      <c r="E88" s="32">
        <f t="shared" si="29"/>
        <v>26271214.70701471</v>
      </c>
      <c r="F88" s="32">
        <f t="shared" si="66"/>
        <v>0</v>
      </c>
      <c r="G88" s="32">
        <f t="shared" si="67"/>
        <v>0</v>
      </c>
      <c r="H88" s="32">
        <f t="shared" si="32"/>
        <v>0</v>
      </c>
      <c r="I88" s="60"/>
    </row>
    <row r="89" spans="1:10" x14ac:dyDescent="0.35">
      <c r="A89" s="7">
        <v>64</v>
      </c>
      <c r="B89" s="6">
        <f t="shared" si="1"/>
        <v>48</v>
      </c>
      <c r="C89" s="5">
        <f t="shared" si="65"/>
        <v>45988</v>
      </c>
      <c r="D89" s="29"/>
      <c r="E89" s="32">
        <f t="shared" si="29"/>
        <v>26271214.70701471</v>
      </c>
      <c r="F89" s="32">
        <f t="shared" si="66"/>
        <v>0</v>
      </c>
      <c r="G89" s="32">
        <f t="shared" si="67"/>
        <v>0</v>
      </c>
      <c r="H89" s="32">
        <f t="shared" si="32"/>
        <v>0</v>
      </c>
      <c r="I89" s="60"/>
    </row>
    <row r="90" spans="1:10" x14ac:dyDescent="0.35">
      <c r="A90" s="7">
        <v>65</v>
      </c>
      <c r="B90" s="6">
        <f t="shared" ref="B90:B153" si="71">+WEEKNUM(C90,2)</f>
        <v>48</v>
      </c>
      <c r="C90" s="5">
        <f t="shared" si="65"/>
        <v>45989</v>
      </c>
      <c r="D90" s="29"/>
      <c r="E90" s="32">
        <f t="shared" si="29"/>
        <v>26271214.70701471</v>
      </c>
      <c r="F90" s="32">
        <f t="shared" si="66"/>
        <v>0</v>
      </c>
      <c r="G90" s="32">
        <f t="shared" si="67"/>
        <v>0</v>
      </c>
      <c r="H90" s="32">
        <f t="shared" si="32"/>
        <v>0</v>
      </c>
      <c r="I90" s="60"/>
    </row>
    <row r="91" spans="1:10" x14ac:dyDescent="0.35">
      <c r="A91" s="7">
        <v>66</v>
      </c>
      <c r="B91" s="6">
        <f t="shared" si="71"/>
        <v>48</v>
      </c>
      <c r="C91" s="5">
        <f t="shared" si="65"/>
        <v>45990</v>
      </c>
      <c r="D91" s="29"/>
      <c r="E91" s="32">
        <f t="shared" ref="E91:E154" si="72">+E90+D91-F91</f>
        <v>26271214.70701471</v>
      </c>
      <c r="F91" s="32">
        <f t="shared" si="66"/>
        <v>0</v>
      </c>
      <c r="G91" s="32">
        <f t="shared" si="67"/>
        <v>0</v>
      </c>
      <c r="H91" s="32">
        <f t="shared" ref="H91:H154" si="73">+SUM(F91:G91)</f>
        <v>0</v>
      </c>
      <c r="I91" s="60"/>
      <c r="J91" s="108"/>
    </row>
    <row r="92" spans="1:10" x14ac:dyDescent="0.35">
      <c r="A92" s="7">
        <v>67</v>
      </c>
      <c r="B92" s="6">
        <f t="shared" si="71"/>
        <v>48</v>
      </c>
      <c r="C92" s="5">
        <f t="shared" si="65"/>
        <v>45991</v>
      </c>
      <c r="D92" s="29"/>
      <c r="E92" s="32">
        <f t="shared" si="72"/>
        <v>26271214.70701471</v>
      </c>
      <c r="F92" s="32">
        <f t="shared" si="66"/>
        <v>0</v>
      </c>
      <c r="G92" s="32">
        <f t="shared" si="67"/>
        <v>0</v>
      </c>
      <c r="H92" s="32">
        <f t="shared" si="73"/>
        <v>0</v>
      </c>
      <c r="I92" s="60"/>
    </row>
    <row r="93" spans="1:10" x14ac:dyDescent="0.35">
      <c r="A93" s="7">
        <v>68</v>
      </c>
      <c r="B93" s="6">
        <f t="shared" si="71"/>
        <v>49</v>
      </c>
      <c r="C93" s="5">
        <f t="shared" si="65"/>
        <v>45992</v>
      </c>
      <c r="D93" s="29"/>
      <c r="E93" s="32">
        <f t="shared" si="72"/>
        <v>26271214.70701471</v>
      </c>
      <c r="F93" s="32">
        <f t="shared" si="66"/>
        <v>0</v>
      </c>
      <c r="G93" s="32">
        <f t="shared" si="67"/>
        <v>0</v>
      </c>
      <c r="H93" s="32">
        <f t="shared" si="73"/>
        <v>0</v>
      </c>
      <c r="I93" s="60"/>
    </row>
    <row r="94" spans="1:10" x14ac:dyDescent="0.35">
      <c r="A94" s="7">
        <v>69</v>
      </c>
      <c r="B94" s="6">
        <f t="shared" si="71"/>
        <v>49</v>
      </c>
      <c r="C94" s="5">
        <f t="shared" si="65"/>
        <v>45993</v>
      </c>
      <c r="D94" s="29"/>
      <c r="E94" s="32">
        <f t="shared" si="72"/>
        <v>26271214.70701471</v>
      </c>
      <c r="F94" s="32">
        <f t="shared" si="66"/>
        <v>0</v>
      </c>
      <c r="G94" s="32">
        <f t="shared" si="67"/>
        <v>0</v>
      </c>
      <c r="H94" s="32">
        <f t="shared" si="73"/>
        <v>0</v>
      </c>
      <c r="I94" s="60"/>
    </row>
    <row r="95" spans="1:10" x14ac:dyDescent="0.35">
      <c r="A95" s="7">
        <v>70</v>
      </c>
      <c r="B95" s="6">
        <f t="shared" si="71"/>
        <v>49</v>
      </c>
      <c r="C95" s="5">
        <f t="shared" si="65"/>
        <v>45994</v>
      </c>
      <c r="D95" s="29"/>
      <c r="E95" s="32">
        <f t="shared" si="72"/>
        <v>26191937.887014709</v>
      </c>
      <c r="F95" s="32">
        <f t="shared" si="66"/>
        <v>79276.820000000007</v>
      </c>
      <c r="G95" s="32">
        <f t="shared" si="67"/>
        <v>7833.68</v>
      </c>
      <c r="H95" s="32">
        <f t="shared" si="73"/>
        <v>87110.5</v>
      </c>
      <c r="I95" s="60"/>
    </row>
    <row r="96" spans="1:10" x14ac:dyDescent="0.35">
      <c r="A96" s="7">
        <v>71</v>
      </c>
      <c r="B96" s="6">
        <f t="shared" si="71"/>
        <v>49</v>
      </c>
      <c r="C96" s="5">
        <f t="shared" si="65"/>
        <v>45995</v>
      </c>
      <c r="D96" s="29"/>
      <c r="E96" s="32">
        <f t="shared" si="72"/>
        <v>26191937.887014709</v>
      </c>
      <c r="F96" s="32">
        <f t="shared" si="66"/>
        <v>0</v>
      </c>
      <c r="G96" s="32">
        <f t="shared" si="67"/>
        <v>0</v>
      </c>
      <c r="H96" s="32">
        <f t="shared" si="73"/>
        <v>0</v>
      </c>
      <c r="I96" s="60"/>
      <c r="J96" s="108"/>
    </row>
    <row r="97" spans="1:10" x14ac:dyDescent="0.35">
      <c r="A97" s="7">
        <v>72</v>
      </c>
      <c r="B97" s="6">
        <f t="shared" si="71"/>
        <v>49</v>
      </c>
      <c r="C97" s="5">
        <f t="shared" ref="C97:C160" si="74">+C96+1</f>
        <v>45996</v>
      </c>
      <c r="D97" s="29"/>
      <c r="E97" s="32">
        <f t="shared" si="72"/>
        <v>26191937.887014709</v>
      </c>
      <c r="F97" s="32">
        <f t="shared" ref="F97:F160" si="75">+SUMIF(O:O,C97,R:R)+SUMIF(AE:AE,C97,AH:AH)+SUMIF(AT:AT,C97,AW:AW)+SUMIF(BI:BI,C97,BL:BL)+SUMIF(BY:BY,C97,CB:CB)+SUMIF(BY:BY,C97,CC:CC)+SUMIF(CP:CP,C97,CS:CS)+SUMIF(CY:CY,C97,DB:DB)+SUMIF(DN:DN,C97,DQ:DQ)+SUMIF(EC:EC,C97,EF:EF)+SUMIF(ER:ER,C97,EU:EU)+SUMIF(FA:FA,C97,FD:FD)+SUMIF(FK:FK,C97,FN:FN)+SUMIF(FT:FT,C97,FW:FW)+SUMIF(GC:GC,C97,GF:GF)+SUMIF(GL:GL,C97,GO:GO)+SUMIF(GU:GU,C97,GX:GX)+SUMIF(HD:HD,C97,HG:HG)</f>
        <v>0</v>
      </c>
      <c r="G97" s="32">
        <f t="shared" ref="G97:G160" si="76">+SUMIF(O:O,C97,T:T)+SUMIF(O:O,C97,S:S)+SUMIF(AE:AE,C97,AI:AI)+SUMIF(AT:AT,C97,AX:AX)+SUMIF(BI:BI,C97,BN:BN)+SUMIF(BI:BI,C97,BM:BM)+SUMIF(BY:BY,C97,CD:CD)+SUMIF(BY:BY,C97,CE:CE)+SUMIF(CP:CP,C97,CT:CT)+SUMIF(CY:CY,C97,DC:DC)+SUMIF(DN:DN,C97,DR:DR)+SUMIF(EC:EC,C97,EG:EG)+SUMIF(ER:ER,C97,EV:EV)+SUMIF(FA:FA,C97,FE:FE)+SUMIF(FK:FK,C97,FO:FO)+SUMIF(FT:FT,C97,FX:FX)+SUMIF(GC:GC,C97,GG:GG)+SUMIF(GL:GL,C97,GP:GP)+SUMIF(GU:GU,C97,GY:GY)+SUMIF(HD:HD,C97,HH:HH)</f>
        <v>0</v>
      </c>
      <c r="H97" s="32">
        <f t="shared" si="73"/>
        <v>0</v>
      </c>
      <c r="I97" s="60"/>
    </row>
    <row r="98" spans="1:10" x14ac:dyDescent="0.35">
      <c r="A98" s="7">
        <v>73</v>
      </c>
      <c r="B98" s="6">
        <f t="shared" si="71"/>
        <v>49</v>
      </c>
      <c r="C98" s="5">
        <f t="shared" si="74"/>
        <v>45997</v>
      </c>
      <c r="D98" s="29"/>
      <c r="E98" s="32">
        <f t="shared" si="72"/>
        <v>26191937.887014709</v>
      </c>
      <c r="F98" s="32">
        <f t="shared" si="75"/>
        <v>0</v>
      </c>
      <c r="G98" s="32">
        <f t="shared" si="76"/>
        <v>0</v>
      </c>
      <c r="H98" s="32">
        <f t="shared" si="73"/>
        <v>0</v>
      </c>
      <c r="I98" s="60"/>
    </row>
    <row r="99" spans="1:10" x14ac:dyDescent="0.35">
      <c r="A99" s="7">
        <v>74</v>
      </c>
      <c r="B99" s="6">
        <f t="shared" si="71"/>
        <v>49</v>
      </c>
      <c r="C99" s="5">
        <f t="shared" si="74"/>
        <v>45998</v>
      </c>
      <c r="D99" s="29"/>
      <c r="E99" s="32">
        <f t="shared" si="72"/>
        <v>26191937.887014709</v>
      </c>
      <c r="F99" s="32">
        <f t="shared" si="75"/>
        <v>0</v>
      </c>
      <c r="G99" s="32">
        <f t="shared" si="76"/>
        <v>0</v>
      </c>
      <c r="H99" s="32">
        <f t="shared" si="73"/>
        <v>0</v>
      </c>
      <c r="I99" s="60"/>
    </row>
    <row r="100" spans="1:10" x14ac:dyDescent="0.35">
      <c r="A100" s="7">
        <v>75</v>
      </c>
      <c r="B100" s="6">
        <f t="shared" si="71"/>
        <v>50</v>
      </c>
      <c r="C100" s="5">
        <f t="shared" si="74"/>
        <v>45999</v>
      </c>
      <c r="D100" s="29"/>
      <c r="E100" s="32">
        <f t="shared" si="72"/>
        <v>26191937.887014709</v>
      </c>
      <c r="F100" s="32">
        <f t="shared" si="75"/>
        <v>0</v>
      </c>
      <c r="G100" s="32">
        <f t="shared" si="76"/>
        <v>0</v>
      </c>
      <c r="H100" s="32">
        <f t="shared" si="73"/>
        <v>0</v>
      </c>
      <c r="I100" s="60"/>
    </row>
    <row r="101" spans="1:10" x14ac:dyDescent="0.35">
      <c r="A101" s="7">
        <v>76</v>
      </c>
      <c r="B101" s="6">
        <f t="shared" si="71"/>
        <v>50</v>
      </c>
      <c r="C101" s="5">
        <f t="shared" si="74"/>
        <v>46000</v>
      </c>
      <c r="D101" s="29"/>
      <c r="E101" s="32">
        <f t="shared" si="72"/>
        <v>26191937.887014709</v>
      </c>
      <c r="F101" s="32">
        <f t="shared" si="75"/>
        <v>0</v>
      </c>
      <c r="G101" s="32">
        <f t="shared" si="76"/>
        <v>0</v>
      </c>
      <c r="H101" s="32">
        <f t="shared" si="73"/>
        <v>0</v>
      </c>
      <c r="I101" s="60"/>
    </row>
    <row r="102" spans="1:10" x14ac:dyDescent="0.35">
      <c r="A102" s="7">
        <v>77</v>
      </c>
      <c r="B102" s="6">
        <f t="shared" si="71"/>
        <v>50</v>
      </c>
      <c r="C102" s="5">
        <f t="shared" si="74"/>
        <v>46001</v>
      </c>
      <c r="D102" s="29"/>
      <c r="E102" s="32">
        <f t="shared" si="72"/>
        <v>25842926.677014709</v>
      </c>
      <c r="F102" s="32">
        <f t="shared" si="75"/>
        <v>349011.21</v>
      </c>
      <c r="G102" s="32">
        <f t="shared" si="76"/>
        <v>123070.07929401551</v>
      </c>
      <c r="H102" s="32">
        <f t="shared" si="73"/>
        <v>472081.2892940155</v>
      </c>
      <c r="I102" s="60"/>
    </row>
    <row r="103" spans="1:10" x14ac:dyDescent="0.35">
      <c r="A103" s="7">
        <v>78</v>
      </c>
      <c r="B103" s="6">
        <f t="shared" si="71"/>
        <v>50</v>
      </c>
      <c r="C103" s="5">
        <f t="shared" si="74"/>
        <v>46002</v>
      </c>
      <c r="D103" s="29"/>
      <c r="E103" s="32">
        <f t="shared" si="72"/>
        <v>25842926.677014709</v>
      </c>
      <c r="F103" s="32">
        <f t="shared" si="75"/>
        <v>0</v>
      </c>
      <c r="G103" s="32">
        <f t="shared" si="76"/>
        <v>0</v>
      </c>
      <c r="H103" s="32">
        <f t="shared" si="73"/>
        <v>0</v>
      </c>
      <c r="I103" s="60"/>
    </row>
    <row r="104" spans="1:10" x14ac:dyDescent="0.35">
      <c r="A104" s="7">
        <v>79</v>
      </c>
      <c r="B104" s="6">
        <f t="shared" si="71"/>
        <v>50</v>
      </c>
      <c r="C104" s="5">
        <f t="shared" si="74"/>
        <v>46003</v>
      </c>
      <c r="D104" s="29"/>
      <c r="E104" s="32">
        <f t="shared" si="72"/>
        <v>25842926.677014709</v>
      </c>
      <c r="F104" s="32">
        <f t="shared" si="75"/>
        <v>0</v>
      </c>
      <c r="G104" s="32">
        <f t="shared" si="76"/>
        <v>0</v>
      </c>
      <c r="H104" s="32">
        <f t="shared" si="73"/>
        <v>0</v>
      </c>
      <c r="I104" s="60"/>
    </row>
    <row r="105" spans="1:10" x14ac:dyDescent="0.35">
      <c r="A105" s="7">
        <v>80</v>
      </c>
      <c r="B105" s="6">
        <f t="shared" si="71"/>
        <v>50</v>
      </c>
      <c r="C105" s="5">
        <f t="shared" si="74"/>
        <v>46004</v>
      </c>
      <c r="D105" s="29"/>
      <c r="E105" s="32">
        <f t="shared" si="72"/>
        <v>25842926.677014709</v>
      </c>
      <c r="F105" s="32">
        <f t="shared" si="75"/>
        <v>0</v>
      </c>
      <c r="G105" s="32">
        <f t="shared" si="76"/>
        <v>0</v>
      </c>
      <c r="H105" s="32">
        <f t="shared" si="73"/>
        <v>0</v>
      </c>
      <c r="I105" s="60"/>
    </row>
    <row r="106" spans="1:10" x14ac:dyDescent="0.35">
      <c r="A106" s="7">
        <v>81</v>
      </c>
      <c r="B106" s="6">
        <f t="shared" si="71"/>
        <v>50</v>
      </c>
      <c r="C106" s="5">
        <f t="shared" si="74"/>
        <v>46005</v>
      </c>
      <c r="D106" s="29"/>
      <c r="E106" s="32">
        <f t="shared" si="72"/>
        <v>25738608.817014709</v>
      </c>
      <c r="F106" s="32">
        <f t="shared" si="75"/>
        <v>104317.86</v>
      </c>
      <c r="G106" s="32">
        <f t="shared" si="76"/>
        <v>22150.160608333328</v>
      </c>
      <c r="H106" s="32">
        <f t="shared" si="73"/>
        <v>126468.02060833333</v>
      </c>
      <c r="I106" s="60">
        <v>0</v>
      </c>
      <c r="J106" s="108"/>
    </row>
    <row r="107" spans="1:10" x14ac:dyDescent="0.35">
      <c r="A107" s="7">
        <v>82</v>
      </c>
      <c r="B107" s="6">
        <f t="shared" si="71"/>
        <v>51</v>
      </c>
      <c r="C107" s="5">
        <f t="shared" si="74"/>
        <v>46006</v>
      </c>
      <c r="D107" s="29"/>
      <c r="E107" s="32">
        <f t="shared" si="72"/>
        <v>25738608.817014709</v>
      </c>
      <c r="F107" s="32">
        <f t="shared" si="75"/>
        <v>0</v>
      </c>
      <c r="G107" s="32">
        <f t="shared" si="76"/>
        <v>0</v>
      </c>
      <c r="H107" s="32">
        <f t="shared" si="73"/>
        <v>0</v>
      </c>
      <c r="I107" s="60"/>
    </row>
    <row r="108" spans="1:10" x14ac:dyDescent="0.35">
      <c r="A108" s="7">
        <v>83</v>
      </c>
      <c r="B108" s="6">
        <f t="shared" si="71"/>
        <v>51</v>
      </c>
      <c r="C108" s="5">
        <f t="shared" si="74"/>
        <v>46007</v>
      </c>
      <c r="D108" s="29"/>
      <c r="E108" s="32">
        <f t="shared" si="72"/>
        <v>25738608.817014709</v>
      </c>
      <c r="F108" s="32">
        <f t="shared" si="75"/>
        <v>0</v>
      </c>
      <c r="G108" s="32">
        <f t="shared" si="76"/>
        <v>0</v>
      </c>
      <c r="H108" s="32">
        <f t="shared" si="73"/>
        <v>0</v>
      </c>
      <c r="I108" s="60"/>
    </row>
    <row r="109" spans="1:10" x14ac:dyDescent="0.35">
      <c r="A109" s="7">
        <v>84</v>
      </c>
      <c r="B109" s="6">
        <f t="shared" si="71"/>
        <v>51</v>
      </c>
      <c r="C109" s="5">
        <f t="shared" si="74"/>
        <v>46008</v>
      </c>
      <c r="D109" s="29"/>
      <c r="E109" s="32">
        <f t="shared" si="72"/>
        <v>25738608.817014709</v>
      </c>
      <c r="F109" s="32">
        <f t="shared" si="75"/>
        <v>0</v>
      </c>
      <c r="G109" s="32">
        <f t="shared" si="76"/>
        <v>0</v>
      </c>
      <c r="H109" s="32">
        <f t="shared" si="73"/>
        <v>0</v>
      </c>
      <c r="I109" s="60"/>
    </row>
    <row r="110" spans="1:10" x14ac:dyDescent="0.35">
      <c r="A110" s="7">
        <v>85</v>
      </c>
      <c r="B110" s="6">
        <f t="shared" si="71"/>
        <v>51</v>
      </c>
      <c r="C110" s="5">
        <f t="shared" si="74"/>
        <v>46009</v>
      </c>
      <c r="D110" s="29"/>
      <c r="E110" s="32">
        <f t="shared" si="72"/>
        <v>25738608.817014709</v>
      </c>
      <c r="F110" s="32">
        <f t="shared" si="75"/>
        <v>0</v>
      </c>
      <c r="G110" s="32">
        <f t="shared" si="76"/>
        <v>0</v>
      </c>
      <c r="H110" s="32">
        <f t="shared" si="73"/>
        <v>0</v>
      </c>
      <c r="I110" s="60"/>
    </row>
    <row r="111" spans="1:10" x14ac:dyDescent="0.35">
      <c r="A111" s="7">
        <v>86</v>
      </c>
      <c r="B111" s="6">
        <f t="shared" si="71"/>
        <v>51</v>
      </c>
      <c r="C111" s="5">
        <f t="shared" si="74"/>
        <v>46010</v>
      </c>
      <c r="D111" s="29"/>
      <c r="E111" s="32">
        <f t="shared" si="72"/>
        <v>25738608.817014709</v>
      </c>
      <c r="F111" s="32">
        <f t="shared" si="75"/>
        <v>0</v>
      </c>
      <c r="G111" s="32">
        <f t="shared" si="76"/>
        <v>0</v>
      </c>
      <c r="H111" s="32">
        <f t="shared" si="73"/>
        <v>0</v>
      </c>
      <c r="I111" s="60"/>
    </row>
    <row r="112" spans="1:10" x14ac:dyDescent="0.35">
      <c r="A112" s="7">
        <v>87</v>
      </c>
      <c r="B112" s="6">
        <f t="shared" si="71"/>
        <v>51</v>
      </c>
      <c r="C112" s="5">
        <f t="shared" si="74"/>
        <v>46011</v>
      </c>
      <c r="D112" s="29"/>
      <c r="E112" s="32">
        <f t="shared" si="72"/>
        <v>25738608.817014709</v>
      </c>
      <c r="F112" s="32">
        <f t="shared" si="75"/>
        <v>0</v>
      </c>
      <c r="G112" s="32">
        <f t="shared" si="76"/>
        <v>726844.87612166663</v>
      </c>
      <c r="H112" s="32">
        <f t="shared" si="73"/>
        <v>726844.87612166663</v>
      </c>
      <c r="I112" s="60"/>
    </row>
    <row r="113" spans="1:9" x14ac:dyDescent="0.35">
      <c r="A113" s="7">
        <v>88</v>
      </c>
      <c r="B113" s="6">
        <f t="shared" si="71"/>
        <v>51</v>
      </c>
      <c r="C113" s="5">
        <f t="shared" si="74"/>
        <v>46012</v>
      </c>
      <c r="D113" s="29"/>
      <c r="E113" s="32">
        <f t="shared" si="72"/>
        <v>25584630.897014707</v>
      </c>
      <c r="F113" s="32">
        <f t="shared" si="75"/>
        <v>153977.92000000001</v>
      </c>
      <c r="G113" s="32">
        <f t="shared" si="76"/>
        <v>12667.32</v>
      </c>
      <c r="H113" s="32">
        <f t="shared" si="73"/>
        <v>166645.24000000002</v>
      </c>
      <c r="I113" s="60"/>
    </row>
    <row r="114" spans="1:9" x14ac:dyDescent="0.35">
      <c r="A114" s="7">
        <v>89</v>
      </c>
      <c r="B114" s="6">
        <f t="shared" si="71"/>
        <v>52</v>
      </c>
      <c r="C114" s="5">
        <f t="shared" si="74"/>
        <v>46013</v>
      </c>
      <c r="D114" s="29"/>
      <c r="E114" s="32">
        <f t="shared" si="72"/>
        <v>25584630.897014707</v>
      </c>
      <c r="F114" s="32">
        <f t="shared" si="75"/>
        <v>0</v>
      </c>
      <c r="G114" s="32">
        <f t="shared" si="76"/>
        <v>0</v>
      </c>
      <c r="H114" s="32">
        <f t="shared" si="73"/>
        <v>0</v>
      </c>
      <c r="I114" s="60"/>
    </row>
    <row r="115" spans="1:9" x14ac:dyDescent="0.35">
      <c r="A115" s="7">
        <v>90</v>
      </c>
      <c r="B115" s="6">
        <f t="shared" si="71"/>
        <v>52</v>
      </c>
      <c r="C115" s="5">
        <f t="shared" si="74"/>
        <v>46014</v>
      </c>
      <c r="D115" s="29"/>
      <c r="E115" s="32">
        <f t="shared" si="72"/>
        <v>25584630.897014707</v>
      </c>
      <c r="F115" s="32">
        <f t="shared" si="75"/>
        <v>0</v>
      </c>
      <c r="G115" s="32">
        <f t="shared" si="76"/>
        <v>0</v>
      </c>
      <c r="H115" s="32">
        <f t="shared" si="73"/>
        <v>0</v>
      </c>
      <c r="I115" s="60"/>
    </row>
    <row r="116" spans="1:9" x14ac:dyDescent="0.35">
      <c r="A116" s="7">
        <v>91</v>
      </c>
      <c r="B116" s="6">
        <f t="shared" si="71"/>
        <v>52</v>
      </c>
      <c r="C116" s="5">
        <f t="shared" si="74"/>
        <v>46015</v>
      </c>
      <c r="D116" s="29"/>
      <c r="E116" s="32">
        <f t="shared" si="72"/>
        <v>25584630.897014707</v>
      </c>
      <c r="F116" s="32">
        <f t="shared" si="75"/>
        <v>0</v>
      </c>
      <c r="G116" s="32">
        <f t="shared" si="76"/>
        <v>0</v>
      </c>
      <c r="H116" s="32">
        <f t="shared" si="73"/>
        <v>0</v>
      </c>
      <c r="I116" s="60"/>
    </row>
    <row r="117" spans="1:9" x14ac:dyDescent="0.35">
      <c r="A117" s="7">
        <v>92</v>
      </c>
      <c r="B117" s="6">
        <f t="shared" si="71"/>
        <v>52</v>
      </c>
      <c r="C117" s="5">
        <f t="shared" si="74"/>
        <v>46016</v>
      </c>
      <c r="D117" s="29"/>
      <c r="E117" s="32">
        <f t="shared" si="72"/>
        <v>25584630.897014707</v>
      </c>
      <c r="F117" s="32">
        <f t="shared" si="75"/>
        <v>0</v>
      </c>
      <c r="G117" s="32">
        <f t="shared" si="76"/>
        <v>0</v>
      </c>
      <c r="H117" s="32">
        <f t="shared" si="73"/>
        <v>0</v>
      </c>
      <c r="I117" s="60"/>
    </row>
    <row r="118" spans="1:9" x14ac:dyDescent="0.35">
      <c r="A118" s="7">
        <v>93</v>
      </c>
      <c r="B118" s="6">
        <f t="shared" si="71"/>
        <v>52</v>
      </c>
      <c r="C118" s="5">
        <f t="shared" si="74"/>
        <v>46017</v>
      </c>
      <c r="D118" s="29"/>
      <c r="E118" s="32">
        <f t="shared" si="72"/>
        <v>25584630.897014707</v>
      </c>
      <c r="F118" s="32">
        <f t="shared" si="75"/>
        <v>0</v>
      </c>
      <c r="G118" s="32">
        <f t="shared" si="76"/>
        <v>153139.91</v>
      </c>
      <c r="H118" s="32">
        <f t="shared" si="73"/>
        <v>153139.91</v>
      </c>
      <c r="I118" s="60"/>
    </row>
    <row r="119" spans="1:9" x14ac:dyDescent="0.35">
      <c r="A119" s="7">
        <v>94</v>
      </c>
      <c r="B119" s="6">
        <f t="shared" si="71"/>
        <v>52</v>
      </c>
      <c r="C119" s="5">
        <f t="shared" si="74"/>
        <v>46018</v>
      </c>
      <c r="D119" s="29"/>
      <c r="E119" s="32">
        <f t="shared" si="72"/>
        <v>25584630.897014707</v>
      </c>
      <c r="F119" s="32">
        <f t="shared" si="75"/>
        <v>0</v>
      </c>
      <c r="G119" s="32">
        <f t="shared" si="76"/>
        <v>0</v>
      </c>
      <c r="H119" s="32">
        <f t="shared" si="73"/>
        <v>0</v>
      </c>
      <c r="I119" s="60"/>
    </row>
    <row r="120" spans="1:9" x14ac:dyDescent="0.35">
      <c r="A120" s="7">
        <v>95</v>
      </c>
      <c r="B120" s="6">
        <f t="shared" si="71"/>
        <v>52</v>
      </c>
      <c r="C120" s="5">
        <f t="shared" si="74"/>
        <v>46019</v>
      </c>
      <c r="D120" s="29"/>
      <c r="E120" s="32">
        <f t="shared" si="72"/>
        <v>25584630.897014707</v>
      </c>
      <c r="F120" s="32">
        <f t="shared" si="75"/>
        <v>0</v>
      </c>
      <c r="G120" s="32">
        <f t="shared" si="76"/>
        <v>0</v>
      </c>
      <c r="H120" s="32">
        <f t="shared" si="73"/>
        <v>0</v>
      </c>
      <c r="I120" s="60"/>
    </row>
    <row r="121" spans="1:9" x14ac:dyDescent="0.35">
      <c r="A121" s="7">
        <v>96</v>
      </c>
      <c r="B121" s="6">
        <f t="shared" si="71"/>
        <v>53</v>
      </c>
      <c r="C121" s="5">
        <f t="shared" si="74"/>
        <v>46020</v>
      </c>
      <c r="D121" s="29"/>
      <c r="E121" s="32">
        <f t="shared" si="72"/>
        <v>25584630.897014707</v>
      </c>
      <c r="F121" s="32">
        <f t="shared" si="75"/>
        <v>0</v>
      </c>
      <c r="G121" s="32">
        <f t="shared" si="76"/>
        <v>0</v>
      </c>
      <c r="H121" s="32">
        <f t="shared" si="73"/>
        <v>0</v>
      </c>
      <c r="I121" s="60"/>
    </row>
    <row r="122" spans="1:9" x14ac:dyDescent="0.35">
      <c r="A122" s="7">
        <v>97</v>
      </c>
      <c r="B122" s="6">
        <f t="shared" si="71"/>
        <v>53</v>
      </c>
      <c r="C122" s="5">
        <f t="shared" si="74"/>
        <v>46021</v>
      </c>
      <c r="D122" s="29"/>
      <c r="E122" s="32">
        <f t="shared" si="72"/>
        <v>25584630.897014707</v>
      </c>
      <c r="F122" s="32">
        <f t="shared" si="75"/>
        <v>0</v>
      </c>
      <c r="G122" s="32">
        <f t="shared" si="76"/>
        <v>0</v>
      </c>
      <c r="H122" s="32">
        <f t="shared" si="73"/>
        <v>0</v>
      </c>
      <c r="I122" s="60"/>
    </row>
    <row r="123" spans="1:9" x14ac:dyDescent="0.35">
      <c r="A123" s="7">
        <v>98</v>
      </c>
      <c r="B123" s="6">
        <f t="shared" si="71"/>
        <v>53</v>
      </c>
      <c r="C123" s="5">
        <f t="shared" si="74"/>
        <v>46022</v>
      </c>
      <c r="D123" s="29"/>
      <c r="E123" s="32">
        <f t="shared" si="72"/>
        <v>25584630.897014707</v>
      </c>
      <c r="F123" s="32">
        <f t="shared" si="75"/>
        <v>0</v>
      </c>
      <c r="G123" s="32">
        <f t="shared" si="76"/>
        <v>0</v>
      </c>
      <c r="H123" s="32">
        <f t="shared" si="73"/>
        <v>0</v>
      </c>
      <c r="I123" s="60"/>
    </row>
    <row r="124" spans="1:9" x14ac:dyDescent="0.35">
      <c r="A124" s="7">
        <v>99</v>
      </c>
      <c r="B124" s="6">
        <f t="shared" si="71"/>
        <v>1</v>
      </c>
      <c r="C124" s="5">
        <f t="shared" si="74"/>
        <v>46023</v>
      </c>
      <c r="D124" s="29"/>
      <c r="E124" s="32">
        <f t="shared" si="72"/>
        <v>25584630.897014707</v>
      </c>
      <c r="F124" s="32">
        <f t="shared" si="75"/>
        <v>0</v>
      </c>
      <c r="G124" s="32">
        <f t="shared" si="76"/>
        <v>0</v>
      </c>
      <c r="H124" s="32">
        <f t="shared" si="73"/>
        <v>0</v>
      </c>
      <c r="I124" s="60"/>
    </row>
    <row r="125" spans="1:9" x14ac:dyDescent="0.35">
      <c r="A125" s="7">
        <v>100</v>
      </c>
      <c r="B125" s="6">
        <f t="shared" si="71"/>
        <v>1</v>
      </c>
      <c r="C125" s="5">
        <f t="shared" si="74"/>
        <v>46024</v>
      </c>
      <c r="D125" s="29"/>
      <c r="E125" s="32">
        <f t="shared" si="72"/>
        <v>25584630.897014707</v>
      </c>
      <c r="F125" s="32">
        <f t="shared" si="75"/>
        <v>0</v>
      </c>
      <c r="G125" s="32">
        <f t="shared" si="76"/>
        <v>0</v>
      </c>
      <c r="H125" s="32">
        <f t="shared" si="73"/>
        <v>0</v>
      </c>
      <c r="I125" s="60"/>
    </row>
    <row r="126" spans="1:9" x14ac:dyDescent="0.35">
      <c r="A126" s="7">
        <v>101</v>
      </c>
      <c r="B126" s="6">
        <f t="shared" si="71"/>
        <v>1</v>
      </c>
      <c r="C126" s="5">
        <f t="shared" si="74"/>
        <v>46025</v>
      </c>
      <c r="D126" s="29"/>
      <c r="E126" s="32">
        <f t="shared" si="72"/>
        <v>25584630.897014707</v>
      </c>
      <c r="F126" s="32">
        <f t="shared" si="75"/>
        <v>0</v>
      </c>
      <c r="G126" s="32">
        <f t="shared" si="76"/>
        <v>0</v>
      </c>
      <c r="H126" s="32">
        <f t="shared" si="73"/>
        <v>0</v>
      </c>
      <c r="I126" s="60"/>
    </row>
    <row r="127" spans="1:9" x14ac:dyDescent="0.35">
      <c r="A127" s="7">
        <v>102</v>
      </c>
      <c r="B127" s="6">
        <f t="shared" si="71"/>
        <v>1</v>
      </c>
      <c r="C127" s="5">
        <f t="shared" si="74"/>
        <v>46026</v>
      </c>
      <c r="D127" s="29"/>
      <c r="E127" s="32">
        <f t="shared" si="72"/>
        <v>25584630.897014707</v>
      </c>
      <c r="F127" s="32">
        <f t="shared" si="75"/>
        <v>0</v>
      </c>
      <c r="G127" s="32">
        <f t="shared" si="76"/>
        <v>0</v>
      </c>
      <c r="H127" s="32">
        <f t="shared" si="73"/>
        <v>0</v>
      </c>
      <c r="I127" s="60"/>
    </row>
    <row r="128" spans="1:9" x14ac:dyDescent="0.35">
      <c r="A128" s="7">
        <v>103</v>
      </c>
      <c r="B128" s="6">
        <f t="shared" si="71"/>
        <v>2</v>
      </c>
      <c r="C128" s="5">
        <f t="shared" si="74"/>
        <v>46027</v>
      </c>
      <c r="D128" s="29"/>
      <c r="E128" s="32">
        <f t="shared" si="72"/>
        <v>25584630.897014707</v>
      </c>
      <c r="F128" s="32">
        <f t="shared" si="75"/>
        <v>0</v>
      </c>
      <c r="G128" s="32">
        <f t="shared" si="76"/>
        <v>16325.652320341003</v>
      </c>
      <c r="H128" s="32">
        <f t="shared" si="73"/>
        <v>16325.652320341003</v>
      </c>
      <c r="I128" s="60"/>
    </row>
    <row r="129" spans="1:9" x14ac:dyDescent="0.35">
      <c r="A129" s="7">
        <v>104</v>
      </c>
      <c r="B129" s="6">
        <f t="shared" si="71"/>
        <v>2</v>
      </c>
      <c r="C129" s="5">
        <f t="shared" si="74"/>
        <v>46028</v>
      </c>
      <c r="D129" s="29"/>
      <c r="E129" s="32">
        <f t="shared" si="72"/>
        <v>25584630.897014707</v>
      </c>
      <c r="F129" s="32">
        <f t="shared" si="75"/>
        <v>0</v>
      </c>
      <c r="G129" s="32">
        <f t="shared" si="76"/>
        <v>0</v>
      </c>
      <c r="H129" s="32">
        <f t="shared" si="73"/>
        <v>0</v>
      </c>
      <c r="I129" s="60"/>
    </row>
    <row r="130" spans="1:9" x14ac:dyDescent="0.35">
      <c r="A130" s="7">
        <v>105</v>
      </c>
      <c r="B130" s="6">
        <f t="shared" si="71"/>
        <v>2</v>
      </c>
      <c r="C130" s="5">
        <f t="shared" si="74"/>
        <v>46029</v>
      </c>
      <c r="D130" s="29"/>
      <c r="E130" s="32">
        <f t="shared" si="72"/>
        <v>25584630.897014707</v>
      </c>
      <c r="F130" s="32">
        <f t="shared" si="75"/>
        <v>0</v>
      </c>
      <c r="G130" s="32">
        <f t="shared" si="76"/>
        <v>0</v>
      </c>
      <c r="H130" s="32">
        <f t="shared" si="73"/>
        <v>0</v>
      </c>
      <c r="I130" s="60"/>
    </row>
    <row r="131" spans="1:9" x14ac:dyDescent="0.35">
      <c r="A131" s="7">
        <v>106</v>
      </c>
      <c r="B131" s="6">
        <f t="shared" si="71"/>
        <v>2</v>
      </c>
      <c r="C131" s="5">
        <f t="shared" si="74"/>
        <v>46030</v>
      </c>
      <c r="D131" s="29"/>
      <c r="E131" s="32">
        <f t="shared" si="72"/>
        <v>25584630.897014707</v>
      </c>
      <c r="F131" s="32">
        <f t="shared" si="75"/>
        <v>0</v>
      </c>
      <c r="G131" s="32">
        <f t="shared" si="76"/>
        <v>0</v>
      </c>
      <c r="H131" s="32">
        <f t="shared" si="73"/>
        <v>0</v>
      </c>
      <c r="I131" s="60"/>
    </row>
    <row r="132" spans="1:9" x14ac:dyDescent="0.35">
      <c r="A132" s="7">
        <v>107</v>
      </c>
      <c r="B132" s="6">
        <f t="shared" si="71"/>
        <v>2</v>
      </c>
      <c r="C132" s="5">
        <f t="shared" si="74"/>
        <v>46031</v>
      </c>
      <c r="D132" s="29"/>
      <c r="E132" s="32">
        <f t="shared" si="72"/>
        <v>25584630.897014707</v>
      </c>
      <c r="F132" s="32">
        <f t="shared" si="75"/>
        <v>0</v>
      </c>
      <c r="G132" s="32">
        <f t="shared" si="76"/>
        <v>0</v>
      </c>
      <c r="H132" s="32">
        <f t="shared" si="73"/>
        <v>0</v>
      </c>
      <c r="I132" s="60"/>
    </row>
    <row r="133" spans="1:9" x14ac:dyDescent="0.35">
      <c r="A133" s="7">
        <v>108</v>
      </c>
      <c r="B133" s="6">
        <f t="shared" si="71"/>
        <v>2</v>
      </c>
      <c r="C133" s="5">
        <f t="shared" si="74"/>
        <v>46032</v>
      </c>
      <c r="D133" s="29"/>
      <c r="E133" s="32">
        <f t="shared" si="72"/>
        <v>25235619.687014706</v>
      </c>
      <c r="F133" s="32">
        <f t="shared" si="75"/>
        <v>349011.21</v>
      </c>
      <c r="G133" s="32">
        <f t="shared" si="76"/>
        <v>125369.1906854827</v>
      </c>
      <c r="H133" s="32">
        <f t="shared" si="73"/>
        <v>474380.40068548272</v>
      </c>
      <c r="I133" s="60"/>
    </row>
    <row r="134" spans="1:9" x14ac:dyDescent="0.35">
      <c r="A134" s="7">
        <v>109</v>
      </c>
      <c r="B134" s="6">
        <f t="shared" si="71"/>
        <v>2</v>
      </c>
      <c r="C134" s="5">
        <f t="shared" si="74"/>
        <v>46033</v>
      </c>
      <c r="D134" s="29"/>
      <c r="E134" s="32">
        <f t="shared" si="72"/>
        <v>25235619.687014706</v>
      </c>
      <c r="F134" s="32">
        <f t="shared" si="75"/>
        <v>0</v>
      </c>
      <c r="G134" s="32">
        <f t="shared" si="76"/>
        <v>0</v>
      </c>
      <c r="H134" s="32">
        <f t="shared" si="73"/>
        <v>0</v>
      </c>
      <c r="I134" s="60"/>
    </row>
    <row r="135" spans="1:9" x14ac:dyDescent="0.35">
      <c r="A135" s="7">
        <v>110</v>
      </c>
      <c r="B135" s="6">
        <f t="shared" si="71"/>
        <v>3</v>
      </c>
      <c r="C135" s="5">
        <f t="shared" si="74"/>
        <v>46034</v>
      </c>
      <c r="D135" s="29"/>
      <c r="E135" s="32">
        <f t="shared" si="72"/>
        <v>25235619.687014706</v>
      </c>
      <c r="F135" s="32">
        <f t="shared" si="75"/>
        <v>0</v>
      </c>
      <c r="G135" s="32">
        <f t="shared" si="76"/>
        <v>0</v>
      </c>
      <c r="H135" s="32">
        <f t="shared" si="73"/>
        <v>0</v>
      </c>
      <c r="I135" s="60"/>
    </row>
    <row r="136" spans="1:9" x14ac:dyDescent="0.35">
      <c r="A136" s="7">
        <v>111</v>
      </c>
      <c r="B136" s="6">
        <f t="shared" si="71"/>
        <v>3</v>
      </c>
      <c r="C136" s="5">
        <f t="shared" si="74"/>
        <v>46035</v>
      </c>
      <c r="D136" s="29"/>
      <c r="E136" s="32">
        <f t="shared" si="72"/>
        <v>25235619.687014706</v>
      </c>
      <c r="F136" s="32">
        <f t="shared" si="75"/>
        <v>0</v>
      </c>
      <c r="G136" s="32">
        <f t="shared" si="76"/>
        <v>0</v>
      </c>
      <c r="H136" s="32">
        <f t="shared" si="73"/>
        <v>0</v>
      </c>
      <c r="I136" s="60"/>
    </row>
    <row r="137" spans="1:9" x14ac:dyDescent="0.35">
      <c r="A137" s="7">
        <v>112</v>
      </c>
      <c r="B137" s="6">
        <f t="shared" si="71"/>
        <v>3</v>
      </c>
      <c r="C137" s="5">
        <f t="shared" si="74"/>
        <v>46036</v>
      </c>
      <c r="D137" s="29"/>
      <c r="E137" s="32">
        <f t="shared" si="72"/>
        <v>25235619.687014706</v>
      </c>
      <c r="F137" s="32">
        <f t="shared" si="75"/>
        <v>0</v>
      </c>
      <c r="G137" s="32">
        <f t="shared" si="76"/>
        <v>0</v>
      </c>
      <c r="H137" s="32">
        <f t="shared" si="73"/>
        <v>0</v>
      </c>
      <c r="I137" s="60"/>
    </row>
    <row r="138" spans="1:9" x14ac:dyDescent="0.35">
      <c r="A138" s="7">
        <v>113</v>
      </c>
      <c r="B138" s="6">
        <f t="shared" si="71"/>
        <v>3</v>
      </c>
      <c r="C138" s="5">
        <f t="shared" si="74"/>
        <v>46037</v>
      </c>
      <c r="D138" s="29"/>
      <c r="E138" s="32">
        <f t="shared" si="72"/>
        <v>25235619.687014706</v>
      </c>
      <c r="F138" s="32">
        <f t="shared" si="75"/>
        <v>0</v>
      </c>
      <c r="G138" s="32">
        <f t="shared" si="76"/>
        <v>0</v>
      </c>
      <c r="H138" s="32">
        <f t="shared" si="73"/>
        <v>0</v>
      </c>
      <c r="I138" s="60"/>
    </row>
    <row r="139" spans="1:9" x14ac:dyDescent="0.35">
      <c r="A139" s="7">
        <v>114</v>
      </c>
      <c r="B139" s="6">
        <f t="shared" si="71"/>
        <v>3</v>
      </c>
      <c r="C139" s="5">
        <f t="shared" si="74"/>
        <v>46038</v>
      </c>
      <c r="D139" s="29"/>
      <c r="E139" s="32">
        <f t="shared" si="72"/>
        <v>25235619.687014706</v>
      </c>
      <c r="F139" s="32">
        <f t="shared" si="75"/>
        <v>0</v>
      </c>
      <c r="G139" s="32">
        <f t="shared" si="76"/>
        <v>0</v>
      </c>
      <c r="H139" s="32">
        <f t="shared" si="73"/>
        <v>0</v>
      </c>
      <c r="I139" s="60"/>
    </row>
    <row r="140" spans="1:9" x14ac:dyDescent="0.35">
      <c r="A140" s="7">
        <v>115</v>
      </c>
      <c r="B140" s="6">
        <f t="shared" si="71"/>
        <v>3</v>
      </c>
      <c r="C140" s="5">
        <f t="shared" si="74"/>
        <v>46039</v>
      </c>
      <c r="D140" s="29"/>
      <c r="E140" s="32">
        <f t="shared" si="72"/>
        <v>25235619.687014706</v>
      </c>
      <c r="F140" s="32">
        <f t="shared" si="75"/>
        <v>0</v>
      </c>
      <c r="G140" s="32">
        <f t="shared" si="76"/>
        <v>0</v>
      </c>
      <c r="H140" s="32">
        <f t="shared" si="73"/>
        <v>0</v>
      </c>
      <c r="I140" s="60"/>
    </row>
    <row r="141" spans="1:9" x14ac:dyDescent="0.35">
      <c r="A141" s="7">
        <v>116</v>
      </c>
      <c r="B141" s="6">
        <f t="shared" si="71"/>
        <v>3</v>
      </c>
      <c r="C141" s="5">
        <f t="shared" si="74"/>
        <v>46040</v>
      </c>
      <c r="D141" s="29"/>
      <c r="E141" s="32">
        <f t="shared" si="72"/>
        <v>25235619.687014706</v>
      </c>
      <c r="F141" s="32">
        <f t="shared" si="75"/>
        <v>0</v>
      </c>
      <c r="G141" s="32">
        <f t="shared" si="76"/>
        <v>0</v>
      </c>
      <c r="H141" s="32">
        <f t="shared" si="73"/>
        <v>0</v>
      </c>
      <c r="I141" s="60"/>
    </row>
    <row r="142" spans="1:9" x14ac:dyDescent="0.35">
      <c r="A142" s="7">
        <v>117</v>
      </c>
      <c r="B142" s="6">
        <f t="shared" si="71"/>
        <v>4</v>
      </c>
      <c r="C142" s="5">
        <f t="shared" si="74"/>
        <v>46041</v>
      </c>
      <c r="D142" s="29"/>
      <c r="E142" s="32">
        <f t="shared" si="72"/>
        <v>25235619.687014706</v>
      </c>
      <c r="F142" s="32">
        <f t="shared" si="75"/>
        <v>0</v>
      </c>
      <c r="G142" s="32">
        <f t="shared" si="76"/>
        <v>0</v>
      </c>
      <c r="H142" s="32">
        <f t="shared" si="73"/>
        <v>0</v>
      </c>
      <c r="I142" s="60"/>
    </row>
    <row r="143" spans="1:9" x14ac:dyDescent="0.35">
      <c r="A143" s="7">
        <v>118</v>
      </c>
      <c r="B143" s="6">
        <f t="shared" si="71"/>
        <v>4</v>
      </c>
      <c r="C143" s="5">
        <f t="shared" si="74"/>
        <v>46042</v>
      </c>
      <c r="D143" s="29"/>
      <c r="E143" s="32">
        <f t="shared" si="72"/>
        <v>25175061.788482282</v>
      </c>
      <c r="F143" s="32">
        <f t="shared" si="75"/>
        <v>60557.898532423678</v>
      </c>
      <c r="G143" s="32">
        <f t="shared" si="76"/>
        <v>16692.812460741738</v>
      </c>
      <c r="H143" s="32">
        <f t="shared" si="73"/>
        <v>77250.710993165412</v>
      </c>
      <c r="I143" s="60"/>
    </row>
    <row r="144" spans="1:9" x14ac:dyDescent="0.35">
      <c r="A144" s="7">
        <v>119</v>
      </c>
      <c r="B144" s="6">
        <f t="shared" si="71"/>
        <v>4</v>
      </c>
      <c r="C144" s="5">
        <f t="shared" si="74"/>
        <v>46043</v>
      </c>
      <c r="D144" s="29"/>
      <c r="E144" s="32">
        <f t="shared" si="72"/>
        <v>25175061.788482282</v>
      </c>
      <c r="F144" s="32">
        <f t="shared" si="75"/>
        <v>0</v>
      </c>
      <c r="G144" s="32">
        <f t="shared" si="76"/>
        <v>0</v>
      </c>
      <c r="H144" s="32">
        <f t="shared" si="73"/>
        <v>0</v>
      </c>
      <c r="I144" s="60"/>
    </row>
    <row r="145" spans="1:9" x14ac:dyDescent="0.35">
      <c r="A145" s="7">
        <v>120</v>
      </c>
      <c r="B145" s="6">
        <f t="shared" si="71"/>
        <v>4</v>
      </c>
      <c r="C145" s="5">
        <f t="shared" si="74"/>
        <v>46044</v>
      </c>
      <c r="D145" s="29"/>
      <c r="E145" s="32">
        <f t="shared" si="72"/>
        <v>25175061.788482282</v>
      </c>
      <c r="F145" s="32">
        <f t="shared" si="75"/>
        <v>0</v>
      </c>
      <c r="G145" s="32">
        <f t="shared" si="76"/>
        <v>0</v>
      </c>
      <c r="H145" s="32">
        <f t="shared" si="73"/>
        <v>0</v>
      </c>
      <c r="I145" s="60"/>
    </row>
    <row r="146" spans="1:9" x14ac:dyDescent="0.35">
      <c r="A146" s="7">
        <v>121</v>
      </c>
      <c r="B146" s="6">
        <f t="shared" si="71"/>
        <v>4</v>
      </c>
      <c r="C146" s="5">
        <f t="shared" si="74"/>
        <v>46045</v>
      </c>
      <c r="D146" s="29"/>
      <c r="E146" s="32">
        <f t="shared" si="72"/>
        <v>25175061.788482282</v>
      </c>
      <c r="F146" s="32">
        <f t="shared" si="75"/>
        <v>0</v>
      </c>
      <c r="G146" s="32">
        <f t="shared" si="76"/>
        <v>0</v>
      </c>
      <c r="H146" s="32">
        <f t="shared" si="73"/>
        <v>0</v>
      </c>
      <c r="I146" s="60"/>
    </row>
    <row r="147" spans="1:9" x14ac:dyDescent="0.35">
      <c r="A147" s="7">
        <v>122</v>
      </c>
      <c r="B147" s="6">
        <f t="shared" si="71"/>
        <v>4</v>
      </c>
      <c r="C147" s="5">
        <f t="shared" si="74"/>
        <v>46046</v>
      </c>
      <c r="D147" s="29"/>
      <c r="E147" s="32">
        <f t="shared" si="72"/>
        <v>25175061.788482282</v>
      </c>
      <c r="F147" s="32">
        <f t="shared" si="75"/>
        <v>0</v>
      </c>
      <c r="G147" s="32">
        <f t="shared" si="76"/>
        <v>0</v>
      </c>
      <c r="H147" s="32">
        <f t="shared" si="73"/>
        <v>0</v>
      </c>
      <c r="I147" s="60"/>
    </row>
    <row r="148" spans="1:9" x14ac:dyDescent="0.35">
      <c r="A148" s="7">
        <v>123</v>
      </c>
      <c r="B148" s="6">
        <f t="shared" si="71"/>
        <v>4</v>
      </c>
      <c r="C148" s="5">
        <f t="shared" si="74"/>
        <v>46047</v>
      </c>
      <c r="D148" s="29"/>
      <c r="E148" s="32">
        <f t="shared" si="72"/>
        <v>25175061.788482282</v>
      </c>
      <c r="F148" s="32">
        <f t="shared" si="75"/>
        <v>0</v>
      </c>
      <c r="G148" s="32">
        <f t="shared" si="76"/>
        <v>0</v>
      </c>
      <c r="H148" s="32">
        <f t="shared" si="73"/>
        <v>0</v>
      </c>
      <c r="I148" s="60"/>
    </row>
    <row r="149" spans="1:9" x14ac:dyDescent="0.35">
      <c r="A149" s="7">
        <v>124</v>
      </c>
      <c r="B149" s="6">
        <f t="shared" si="71"/>
        <v>5</v>
      </c>
      <c r="C149" s="5">
        <f t="shared" si="74"/>
        <v>46048</v>
      </c>
      <c r="D149" s="29"/>
      <c r="E149" s="32">
        <f t="shared" si="72"/>
        <v>25175061.788482282</v>
      </c>
      <c r="F149" s="32">
        <f t="shared" si="75"/>
        <v>0</v>
      </c>
      <c r="G149" s="32">
        <f t="shared" si="76"/>
        <v>0</v>
      </c>
      <c r="H149" s="32">
        <f t="shared" si="73"/>
        <v>0</v>
      </c>
      <c r="I149" s="60"/>
    </row>
    <row r="150" spans="1:9" x14ac:dyDescent="0.35">
      <c r="A150" s="7">
        <v>125</v>
      </c>
      <c r="B150" s="6">
        <f t="shared" si="71"/>
        <v>5</v>
      </c>
      <c r="C150" s="5">
        <f t="shared" si="74"/>
        <v>46049</v>
      </c>
      <c r="D150" s="29"/>
      <c r="E150" s="32">
        <f t="shared" si="72"/>
        <v>25175061.788482282</v>
      </c>
      <c r="F150" s="32">
        <f t="shared" si="75"/>
        <v>0</v>
      </c>
      <c r="G150" s="32">
        <f t="shared" si="76"/>
        <v>0</v>
      </c>
      <c r="H150" s="32">
        <f t="shared" si="73"/>
        <v>0</v>
      </c>
      <c r="I150" s="60"/>
    </row>
    <row r="151" spans="1:9" x14ac:dyDescent="0.35">
      <c r="A151" s="7">
        <v>126</v>
      </c>
      <c r="B151" s="6">
        <f t="shared" si="71"/>
        <v>5</v>
      </c>
      <c r="C151" s="5">
        <f t="shared" si="74"/>
        <v>46050</v>
      </c>
      <c r="E151" s="32">
        <f t="shared" si="72"/>
        <v>25175061.788482282</v>
      </c>
      <c r="F151" s="32">
        <f t="shared" si="75"/>
        <v>0</v>
      </c>
      <c r="G151" s="32">
        <f t="shared" si="76"/>
        <v>0</v>
      </c>
      <c r="H151" s="32">
        <f t="shared" si="73"/>
        <v>0</v>
      </c>
      <c r="I151" s="60"/>
    </row>
    <row r="152" spans="1:9" x14ac:dyDescent="0.35">
      <c r="A152" s="7">
        <v>127</v>
      </c>
      <c r="B152" s="6">
        <f t="shared" si="71"/>
        <v>5</v>
      </c>
      <c r="C152" s="5">
        <f t="shared" si="74"/>
        <v>46051</v>
      </c>
      <c r="E152" s="32">
        <f t="shared" si="72"/>
        <v>25175061.788482282</v>
      </c>
      <c r="F152" s="32">
        <f t="shared" si="75"/>
        <v>0</v>
      </c>
      <c r="G152" s="32">
        <f t="shared" si="76"/>
        <v>0</v>
      </c>
      <c r="H152" s="32">
        <f t="shared" si="73"/>
        <v>0</v>
      </c>
      <c r="I152" s="60"/>
    </row>
    <row r="153" spans="1:9" x14ac:dyDescent="0.35">
      <c r="A153" s="7">
        <v>128</v>
      </c>
      <c r="B153" s="6">
        <f t="shared" si="71"/>
        <v>5</v>
      </c>
      <c r="C153" s="5">
        <f t="shared" si="74"/>
        <v>46052</v>
      </c>
      <c r="E153" s="32">
        <f t="shared" si="72"/>
        <v>25175061.788482282</v>
      </c>
      <c r="F153" s="32">
        <f t="shared" si="75"/>
        <v>0</v>
      </c>
      <c r="G153" s="32">
        <f t="shared" si="76"/>
        <v>0</v>
      </c>
      <c r="H153" s="32">
        <f t="shared" si="73"/>
        <v>0</v>
      </c>
      <c r="I153" s="60"/>
    </row>
    <row r="154" spans="1:9" x14ac:dyDescent="0.35">
      <c r="A154" s="7">
        <v>129</v>
      </c>
      <c r="B154" s="6">
        <f t="shared" ref="B154:B217" si="77">+WEEKNUM(C154,2)</f>
        <v>5</v>
      </c>
      <c r="C154" s="5">
        <f t="shared" si="74"/>
        <v>46053</v>
      </c>
      <c r="E154" s="32">
        <f t="shared" si="72"/>
        <v>25175061.788482282</v>
      </c>
      <c r="F154" s="32">
        <f t="shared" si="75"/>
        <v>0</v>
      </c>
      <c r="G154" s="32">
        <f t="shared" si="76"/>
        <v>0</v>
      </c>
      <c r="H154" s="32">
        <f t="shared" si="73"/>
        <v>0</v>
      </c>
      <c r="I154" s="60"/>
    </row>
    <row r="155" spans="1:9" x14ac:dyDescent="0.35">
      <c r="A155" s="7">
        <v>130</v>
      </c>
      <c r="B155" s="6">
        <f t="shared" si="77"/>
        <v>5</v>
      </c>
      <c r="C155" s="5">
        <f t="shared" si="74"/>
        <v>46054</v>
      </c>
      <c r="E155" s="32">
        <f t="shared" ref="E155:E218" si="78">+E154+D155-F155</f>
        <v>25175061.788482282</v>
      </c>
      <c r="F155" s="32">
        <f t="shared" si="75"/>
        <v>0</v>
      </c>
      <c r="G155" s="32">
        <f t="shared" si="76"/>
        <v>0</v>
      </c>
      <c r="H155" s="32">
        <f t="shared" ref="H155:H218" si="79">+SUM(F155:G155)</f>
        <v>0</v>
      </c>
      <c r="I155" s="60"/>
    </row>
    <row r="156" spans="1:9" x14ac:dyDescent="0.35">
      <c r="A156" s="7">
        <v>131</v>
      </c>
      <c r="B156" s="6">
        <f t="shared" si="77"/>
        <v>6</v>
      </c>
      <c r="C156" s="5">
        <f t="shared" si="74"/>
        <v>46055</v>
      </c>
      <c r="E156" s="32">
        <f t="shared" si="78"/>
        <v>25123220.998482283</v>
      </c>
      <c r="F156" s="32">
        <f t="shared" si="75"/>
        <v>51840.79</v>
      </c>
      <c r="G156" s="32">
        <f t="shared" si="76"/>
        <v>16727.05480111111</v>
      </c>
      <c r="H156" s="32">
        <f t="shared" si="79"/>
        <v>68567.844801111118</v>
      </c>
      <c r="I156" s="60"/>
    </row>
    <row r="157" spans="1:9" x14ac:dyDescent="0.35">
      <c r="A157" s="7">
        <v>132</v>
      </c>
      <c r="B157" s="6">
        <f t="shared" si="77"/>
        <v>6</v>
      </c>
      <c r="C157" s="5">
        <f t="shared" si="74"/>
        <v>46056</v>
      </c>
      <c r="E157" s="32">
        <f t="shared" si="78"/>
        <v>25123220.998482283</v>
      </c>
      <c r="F157" s="32">
        <f t="shared" si="75"/>
        <v>0</v>
      </c>
      <c r="G157" s="32">
        <f t="shared" si="76"/>
        <v>0</v>
      </c>
      <c r="H157" s="32">
        <f t="shared" si="79"/>
        <v>0</v>
      </c>
      <c r="I157" s="60"/>
    </row>
    <row r="158" spans="1:9" x14ac:dyDescent="0.35">
      <c r="A158" s="7">
        <v>133</v>
      </c>
      <c r="B158" s="6">
        <f t="shared" si="77"/>
        <v>6</v>
      </c>
      <c r="C158" s="5">
        <f t="shared" si="74"/>
        <v>46057</v>
      </c>
      <c r="E158" s="32">
        <f t="shared" si="78"/>
        <v>25123220.998482283</v>
      </c>
      <c r="F158" s="32">
        <f t="shared" si="75"/>
        <v>0</v>
      </c>
      <c r="G158" s="32">
        <f t="shared" si="76"/>
        <v>0</v>
      </c>
      <c r="H158" s="32">
        <f t="shared" si="79"/>
        <v>0</v>
      </c>
      <c r="I158" s="60"/>
    </row>
    <row r="159" spans="1:9" x14ac:dyDescent="0.35">
      <c r="A159" s="7">
        <v>134</v>
      </c>
      <c r="B159" s="6">
        <f t="shared" si="77"/>
        <v>6</v>
      </c>
      <c r="C159" s="5">
        <f t="shared" si="74"/>
        <v>46058</v>
      </c>
      <c r="E159" s="32">
        <f t="shared" si="78"/>
        <v>25123220.998482283</v>
      </c>
      <c r="F159" s="32">
        <f t="shared" si="75"/>
        <v>0</v>
      </c>
      <c r="G159" s="32">
        <f t="shared" si="76"/>
        <v>0</v>
      </c>
      <c r="H159" s="32">
        <f t="shared" si="79"/>
        <v>0</v>
      </c>
      <c r="I159" s="60"/>
    </row>
    <row r="160" spans="1:9" x14ac:dyDescent="0.35">
      <c r="A160" s="7">
        <v>135</v>
      </c>
      <c r="B160" s="6">
        <f t="shared" si="77"/>
        <v>6</v>
      </c>
      <c r="C160" s="5">
        <f t="shared" si="74"/>
        <v>46059</v>
      </c>
      <c r="E160" s="32">
        <f t="shared" si="78"/>
        <v>25123220.998482283</v>
      </c>
      <c r="F160" s="32">
        <f t="shared" si="75"/>
        <v>0</v>
      </c>
      <c r="G160" s="32">
        <f t="shared" si="76"/>
        <v>0</v>
      </c>
      <c r="H160" s="32">
        <f t="shared" si="79"/>
        <v>0</v>
      </c>
      <c r="I160" s="60"/>
    </row>
    <row r="161" spans="1:9" x14ac:dyDescent="0.35">
      <c r="A161" s="7">
        <v>136</v>
      </c>
      <c r="B161" s="6">
        <f t="shared" si="77"/>
        <v>6</v>
      </c>
      <c r="C161" s="5">
        <f t="shared" ref="C161:C224" si="80">+C160+1</f>
        <v>46060</v>
      </c>
      <c r="E161" s="32">
        <f t="shared" si="78"/>
        <v>25123220.998482283</v>
      </c>
      <c r="F161" s="32">
        <f t="shared" ref="F161:F224" si="81">+SUMIF(O:O,C161,R:R)+SUMIF(AE:AE,C161,AH:AH)+SUMIF(AT:AT,C161,AW:AW)+SUMIF(BI:BI,C161,BL:BL)+SUMIF(BY:BY,C161,CB:CB)+SUMIF(BY:BY,C161,CC:CC)+SUMIF(CP:CP,C161,CS:CS)+SUMIF(CY:CY,C161,DB:DB)+SUMIF(DN:DN,C161,DQ:DQ)+SUMIF(EC:EC,C161,EF:EF)+SUMIF(ER:ER,C161,EU:EU)+SUMIF(FA:FA,C161,FD:FD)+SUMIF(FK:FK,C161,FN:FN)+SUMIF(FT:FT,C161,FW:FW)+SUMIF(GC:GC,C161,GF:GF)+SUMIF(GL:GL,C161,GO:GO)+SUMIF(GU:GU,C161,GX:GX)+SUMIF(HD:HD,C161,HG:HG)</f>
        <v>0</v>
      </c>
      <c r="G161" s="32">
        <f t="shared" ref="G161:G224" si="82">+SUMIF(O:O,C161,T:T)+SUMIF(O:O,C161,S:S)+SUMIF(AE:AE,C161,AI:AI)+SUMIF(AT:AT,C161,AX:AX)+SUMIF(BI:BI,C161,BN:BN)+SUMIF(BI:BI,C161,BM:BM)+SUMIF(BY:BY,C161,CD:CD)+SUMIF(BY:BY,C161,CE:CE)+SUMIF(CP:CP,C161,CT:CT)+SUMIF(CY:CY,C161,DC:DC)+SUMIF(DN:DN,C161,DR:DR)+SUMIF(EC:EC,C161,EG:EG)+SUMIF(ER:ER,C161,EV:EV)+SUMIF(FA:FA,C161,FE:FE)+SUMIF(FK:FK,C161,FO:FO)+SUMIF(FT:FT,C161,FX:FX)+SUMIF(GC:GC,C161,GG:GG)+SUMIF(GL:GL,C161,GP:GP)+SUMIF(GU:GU,C161,GY:GY)+SUMIF(HD:HD,C161,HH:HH)</f>
        <v>0</v>
      </c>
      <c r="H161" s="32">
        <f t="shared" si="79"/>
        <v>0</v>
      </c>
      <c r="I161" s="60"/>
    </row>
    <row r="162" spans="1:9" x14ac:dyDescent="0.35">
      <c r="A162" s="7">
        <v>137</v>
      </c>
      <c r="B162" s="6">
        <f t="shared" si="77"/>
        <v>6</v>
      </c>
      <c r="C162" s="5">
        <f t="shared" si="80"/>
        <v>46061</v>
      </c>
      <c r="E162" s="32">
        <f t="shared" si="78"/>
        <v>25123220.998482283</v>
      </c>
      <c r="F162" s="32">
        <f t="shared" si="81"/>
        <v>0</v>
      </c>
      <c r="G162" s="32">
        <f t="shared" si="82"/>
        <v>0</v>
      </c>
      <c r="H162" s="32">
        <f t="shared" si="79"/>
        <v>0</v>
      </c>
      <c r="I162" s="60"/>
    </row>
    <row r="163" spans="1:9" x14ac:dyDescent="0.35">
      <c r="A163" s="7">
        <v>138</v>
      </c>
      <c r="B163" s="6">
        <f t="shared" si="77"/>
        <v>7</v>
      </c>
      <c r="C163" s="5">
        <f t="shared" si="80"/>
        <v>46062</v>
      </c>
      <c r="E163" s="32">
        <f t="shared" si="78"/>
        <v>25123220.998482283</v>
      </c>
      <c r="F163" s="32">
        <f t="shared" si="81"/>
        <v>0</v>
      </c>
      <c r="G163" s="32">
        <f t="shared" si="82"/>
        <v>0</v>
      </c>
      <c r="H163" s="32">
        <f t="shared" si="79"/>
        <v>0</v>
      </c>
      <c r="I163" s="60"/>
    </row>
    <row r="164" spans="1:9" x14ac:dyDescent="0.35">
      <c r="A164" s="7">
        <v>139</v>
      </c>
      <c r="B164" s="6">
        <f t="shared" si="77"/>
        <v>7</v>
      </c>
      <c r="C164" s="5">
        <f t="shared" si="80"/>
        <v>46063</v>
      </c>
      <c r="E164" s="32">
        <f t="shared" si="78"/>
        <v>24774209.788482282</v>
      </c>
      <c r="F164" s="32">
        <f t="shared" si="81"/>
        <v>349011.21</v>
      </c>
      <c r="G164" s="32">
        <f t="shared" si="82"/>
        <v>123565.96610048266</v>
      </c>
      <c r="H164" s="32">
        <f t="shared" si="79"/>
        <v>472577.1761004827</v>
      </c>
      <c r="I164" s="60"/>
    </row>
    <row r="165" spans="1:9" x14ac:dyDescent="0.35">
      <c r="A165" s="7">
        <v>140</v>
      </c>
      <c r="B165" s="6">
        <f t="shared" si="77"/>
        <v>7</v>
      </c>
      <c r="C165" s="5">
        <f t="shared" si="80"/>
        <v>46064</v>
      </c>
      <c r="E165" s="32">
        <f t="shared" si="78"/>
        <v>24774209.788482282</v>
      </c>
      <c r="F165" s="32">
        <f t="shared" si="81"/>
        <v>0</v>
      </c>
      <c r="G165" s="32">
        <f t="shared" si="82"/>
        <v>0</v>
      </c>
      <c r="H165" s="32">
        <f t="shared" si="79"/>
        <v>0</v>
      </c>
      <c r="I165" s="60"/>
    </row>
    <row r="166" spans="1:9" x14ac:dyDescent="0.35">
      <c r="A166" s="7">
        <v>141</v>
      </c>
      <c r="B166" s="6">
        <f t="shared" si="77"/>
        <v>7</v>
      </c>
      <c r="C166" s="5">
        <f t="shared" si="80"/>
        <v>46065</v>
      </c>
      <c r="E166" s="32">
        <f t="shared" si="78"/>
        <v>24774209.788482282</v>
      </c>
      <c r="F166" s="32">
        <f t="shared" si="81"/>
        <v>0</v>
      </c>
      <c r="G166" s="32">
        <f t="shared" si="82"/>
        <v>0</v>
      </c>
      <c r="H166" s="32">
        <f t="shared" si="79"/>
        <v>0</v>
      </c>
      <c r="I166" s="60"/>
    </row>
    <row r="167" spans="1:9" x14ac:dyDescent="0.35">
      <c r="A167" s="7">
        <v>142</v>
      </c>
      <c r="B167" s="6">
        <f t="shared" si="77"/>
        <v>7</v>
      </c>
      <c r="C167" s="5">
        <f t="shared" si="80"/>
        <v>46066</v>
      </c>
      <c r="E167" s="32">
        <f t="shared" si="78"/>
        <v>24774209.788482282</v>
      </c>
      <c r="F167" s="32">
        <f t="shared" si="81"/>
        <v>0</v>
      </c>
      <c r="G167" s="32">
        <f t="shared" si="82"/>
        <v>0</v>
      </c>
      <c r="H167" s="32">
        <f t="shared" si="79"/>
        <v>0</v>
      </c>
      <c r="I167" s="60"/>
    </row>
    <row r="168" spans="1:9" x14ac:dyDescent="0.35">
      <c r="A168" s="7">
        <v>143</v>
      </c>
      <c r="B168" s="6">
        <f t="shared" si="77"/>
        <v>7</v>
      </c>
      <c r="C168" s="5">
        <f t="shared" si="80"/>
        <v>46067</v>
      </c>
      <c r="E168" s="32">
        <f t="shared" si="78"/>
        <v>24774209.788482282</v>
      </c>
      <c r="F168" s="32">
        <f t="shared" si="81"/>
        <v>0</v>
      </c>
      <c r="G168" s="32">
        <f t="shared" si="82"/>
        <v>0</v>
      </c>
      <c r="H168" s="32">
        <f t="shared" si="79"/>
        <v>0</v>
      </c>
      <c r="I168" s="60"/>
    </row>
    <row r="169" spans="1:9" x14ac:dyDescent="0.35">
      <c r="A169" s="7">
        <v>144</v>
      </c>
      <c r="B169" s="6">
        <f t="shared" si="77"/>
        <v>7</v>
      </c>
      <c r="C169" s="5">
        <f t="shared" si="80"/>
        <v>46068</v>
      </c>
      <c r="E169" s="32">
        <f t="shared" si="78"/>
        <v>20701211.907242984</v>
      </c>
      <c r="F169" s="32">
        <f t="shared" si="81"/>
        <v>4072997.8812392987</v>
      </c>
      <c r="G169" s="32">
        <f t="shared" si="82"/>
        <v>2032866.4006284443</v>
      </c>
      <c r="H169" s="32">
        <f t="shared" si="79"/>
        <v>6105864.2818677425</v>
      </c>
      <c r="I169" s="60"/>
    </row>
    <row r="170" spans="1:9" x14ac:dyDescent="0.35">
      <c r="A170" s="7">
        <v>145</v>
      </c>
      <c r="B170" s="6">
        <f t="shared" si="77"/>
        <v>8</v>
      </c>
      <c r="C170" s="5">
        <f t="shared" si="80"/>
        <v>46069</v>
      </c>
      <c r="E170" s="32">
        <f t="shared" si="78"/>
        <v>20701211.907242984</v>
      </c>
      <c r="F170" s="32">
        <f t="shared" si="81"/>
        <v>0</v>
      </c>
      <c r="G170" s="32">
        <f t="shared" si="82"/>
        <v>0</v>
      </c>
      <c r="H170" s="32">
        <f t="shared" si="79"/>
        <v>0</v>
      </c>
      <c r="I170" s="60"/>
    </row>
    <row r="171" spans="1:9" x14ac:dyDescent="0.35">
      <c r="A171" s="7">
        <v>146</v>
      </c>
      <c r="B171" s="6">
        <f t="shared" si="77"/>
        <v>8</v>
      </c>
      <c r="C171" s="5">
        <f t="shared" si="80"/>
        <v>46070</v>
      </c>
      <c r="E171" s="32">
        <f t="shared" si="78"/>
        <v>20701211.907242984</v>
      </c>
      <c r="F171" s="32">
        <f t="shared" si="81"/>
        <v>0</v>
      </c>
      <c r="G171" s="32">
        <f t="shared" si="82"/>
        <v>0</v>
      </c>
      <c r="H171" s="32">
        <f t="shared" si="79"/>
        <v>0</v>
      </c>
      <c r="I171" s="60"/>
    </row>
    <row r="172" spans="1:9" x14ac:dyDescent="0.35">
      <c r="A172" s="7">
        <v>147</v>
      </c>
      <c r="B172" s="6">
        <f t="shared" si="77"/>
        <v>8</v>
      </c>
      <c r="C172" s="5">
        <f t="shared" si="80"/>
        <v>46071</v>
      </c>
      <c r="E172" s="32">
        <f t="shared" si="78"/>
        <v>20701211.907242984</v>
      </c>
      <c r="F172" s="32">
        <f t="shared" si="81"/>
        <v>0</v>
      </c>
      <c r="G172" s="32">
        <f t="shared" si="82"/>
        <v>0</v>
      </c>
      <c r="H172" s="32">
        <f t="shared" si="79"/>
        <v>0</v>
      </c>
      <c r="I172" s="60"/>
    </row>
    <row r="173" spans="1:9" x14ac:dyDescent="0.35">
      <c r="A173" s="7">
        <v>148</v>
      </c>
      <c r="B173" s="6">
        <f t="shared" si="77"/>
        <v>8</v>
      </c>
      <c r="C173" s="5">
        <f t="shared" si="80"/>
        <v>46072</v>
      </c>
      <c r="E173" s="32">
        <f t="shared" si="78"/>
        <v>20701211.907242984</v>
      </c>
      <c r="F173" s="32">
        <f t="shared" si="81"/>
        <v>0</v>
      </c>
      <c r="G173" s="32">
        <f t="shared" si="82"/>
        <v>0</v>
      </c>
      <c r="H173" s="32">
        <f t="shared" si="79"/>
        <v>0</v>
      </c>
      <c r="I173" s="60"/>
    </row>
    <row r="174" spans="1:9" x14ac:dyDescent="0.35">
      <c r="A174" s="7">
        <v>149</v>
      </c>
      <c r="B174" s="6">
        <f t="shared" si="77"/>
        <v>8</v>
      </c>
      <c r="C174" s="5">
        <f t="shared" si="80"/>
        <v>46073</v>
      </c>
      <c r="E174" s="32">
        <f t="shared" si="78"/>
        <v>20701211.907242984</v>
      </c>
      <c r="F174" s="32">
        <f t="shared" si="81"/>
        <v>0</v>
      </c>
      <c r="G174" s="32">
        <f t="shared" si="82"/>
        <v>245279.91295805926</v>
      </c>
      <c r="H174" s="32">
        <f t="shared" si="79"/>
        <v>245279.91295805926</v>
      </c>
      <c r="I174" s="60"/>
    </row>
    <row r="175" spans="1:9" x14ac:dyDescent="0.35">
      <c r="A175" s="7">
        <v>150</v>
      </c>
      <c r="B175" s="6">
        <f t="shared" si="77"/>
        <v>8</v>
      </c>
      <c r="C175" s="5">
        <f t="shared" si="80"/>
        <v>46074</v>
      </c>
      <c r="E175" s="32">
        <f t="shared" si="78"/>
        <v>20701211.907242984</v>
      </c>
      <c r="F175" s="32">
        <f t="shared" si="81"/>
        <v>0</v>
      </c>
      <c r="G175" s="32">
        <f t="shared" si="82"/>
        <v>0</v>
      </c>
      <c r="H175" s="32">
        <f t="shared" si="79"/>
        <v>0</v>
      </c>
      <c r="I175" s="60"/>
    </row>
    <row r="176" spans="1:9" x14ac:dyDescent="0.35">
      <c r="A176" s="7">
        <v>151</v>
      </c>
      <c r="B176" s="6">
        <f t="shared" si="77"/>
        <v>8</v>
      </c>
      <c r="C176" s="5">
        <f t="shared" si="80"/>
        <v>46075</v>
      </c>
      <c r="E176" s="32">
        <f t="shared" si="78"/>
        <v>20701211.907242984</v>
      </c>
      <c r="F176" s="32">
        <f t="shared" si="81"/>
        <v>0</v>
      </c>
      <c r="G176" s="32">
        <f t="shared" si="82"/>
        <v>0</v>
      </c>
      <c r="H176" s="32">
        <f t="shared" si="79"/>
        <v>0</v>
      </c>
      <c r="I176" s="60"/>
    </row>
    <row r="177" spans="1:9" x14ac:dyDescent="0.35">
      <c r="A177" s="7">
        <v>152</v>
      </c>
      <c r="B177" s="6">
        <f t="shared" si="77"/>
        <v>9</v>
      </c>
      <c r="C177" s="5">
        <f t="shared" si="80"/>
        <v>46076</v>
      </c>
      <c r="E177" s="32">
        <f t="shared" si="78"/>
        <v>20701211.907242984</v>
      </c>
      <c r="F177" s="32">
        <f t="shared" si="81"/>
        <v>0</v>
      </c>
      <c r="G177" s="32">
        <f t="shared" si="82"/>
        <v>0</v>
      </c>
      <c r="H177" s="32">
        <f t="shared" si="79"/>
        <v>0</v>
      </c>
      <c r="I177" s="60"/>
    </row>
    <row r="178" spans="1:9" x14ac:dyDescent="0.35">
      <c r="A178" s="7">
        <v>153</v>
      </c>
      <c r="B178" s="6">
        <f t="shared" si="77"/>
        <v>9</v>
      </c>
      <c r="C178" s="5">
        <f t="shared" si="80"/>
        <v>46077</v>
      </c>
      <c r="E178" s="32">
        <f t="shared" si="78"/>
        <v>20701211.907242984</v>
      </c>
      <c r="F178" s="32">
        <f t="shared" si="81"/>
        <v>0</v>
      </c>
      <c r="G178" s="32">
        <f t="shared" si="82"/>
        <v>0</v>
      </c>
      <c r="H178" s="32">
        <f t="shared" si="79"/>
        <v>0</v>
      </c>
      <c r="I178" s="60"/>
    </row>
    <row r="179" spans="1:9" x14ac:dyDescent="0.35">
      <c r="A179" s="7">
        <v>154</v>
      </c>
      <c r="B179" s="6">
        <f t="shared" si="77"/>
        <v>9</v>
      </c>
      <c r="C179" s="5">
        <f t="shared" si="80"/>
        <v>46078</v>
      </c>
      <c r="E179" s="32">
        <f t="shared" si="78"/>
        <v>20701211.907242984</v>
      </c>
      <c r="F179" s="32">
        <f t="shared" si="81"/>
        <v>0</v>
      </c>
      <c r="G179" s="32">
        <f t="shared" si="82"/>
        <v>0</v>
      </c>
      <c r="H179" s="32">
        <f t="shared" si="79"/>
        <v>0</v>
      </c>
      <c r="I179" s="60"/>
    </row>
    <row r="180" spans="1:9" x14ac:dyDescent="0.35">
      <c r="A180" s="7">
        <v>155</v>
      </c>
      <c r="B180" s="6">
        <f t="shared" si="77"/>
        <v>9</v>
      </c>
      <c r="C180" s="5">
        <f t="shared" si="80"/>
        <v>46079</v>
      </c>
      <c r="E180" s="32">
        <f t="shared" si="78"/>
        <v>20701211.907242984</v>
      </c>
      <c r="F180" s="32">
        <f t="shared" si="81"/>
        <v>0</v>
      </c>
      <c r="G180" s="32">
        <f t="shared" si="82"/>
        <v>0</v>
      </c>
      <c r="H180" s="32">
        <f t="shared" si="79"/>
        <v>0</v>
      </c>
      <c r="I180" s="60"/>
    </row>
    <row r="181" spans="1:9" x14ac:dyDescent="0.35">
      <c r="A181" s="7">
        <v>156</v>
      </c>
      <c r="B181" s="6">
        <f t="shared" si="77"/>
        <v>9</v>
      </c>
      <c r="C181" s="5">
        <f t="shared" si="80"/>
        <v>46080</v>
      </c>
      <c r="E181" s="32">
        <f t="shared" si="78"/>
        <v>20701211.907242984</v>
      </c>
      <c r="F181" s="32">
        <f t="shared" si="81"/>
        <v>0</v>
      </c>
      <c r="G181" s="32">
        <f t="shared" si="82"/>
        <v>0</v>
      </c>
      <c r="H181" s="32">
        <f t="shared" si="79"/>
        <v>0</v>
      </c>
      <c r="I181" s="60"/>
    </row>
    <row r="182" spans="1:9" x14ac:dyDescent="0.35">
      <c r="A182" s="7">
        <v>157</v>
      </c>
      <c r="B182" s="6">
        <f t="shared" si="77"/>
        <v>9</v>
      </c>
      <c r="C182" s="5">
        <f t="shared" si="80"/>
        <v>46081</v>
      </c>
      <c r="E182" s="32">
        <f t="shared" si="78"/>
        <v>20701211.907242984</v>
      </c>
      <c r="F182" s="32">
        <f t="shared" si="81"/>
        <v>0</v>
      </c>
      <c r="G182" s="32">
        <f t="shared" si="82"/>
        <v>0</v>
      </c>
      <c r="H182" s="32">
        <f t="shared" si="79"/>
        <v>0</v>
      </c>
      <c r="I182" s="60"/>
    </row>
    <row r="183" spans="1:9" x14ac:dyDescent="0.35">
      <c r="A183" s="7">
        <v>158</v>
      </c>
      <c r="B183" s="6">
        <f t="shared" si="77"/>
        <v>9</v>
      </c>
      <c r="C183" s="5">
        <f t="shared" si="80"/>
        <v>46082</v>
      </c>
      <c r="E183" s="32">
        <f t="shared" si="78"/>
        <v>20701211.907242984</v>
      </c>
      <c r="F183" s="32">
        <f t="shared" si="81"/>
        <v>0</v>
      </c>
      <c r="G183" s="32">
        <f t="shared" si="82"/>
        <v>0</v>
      </c>
      <c r="H183" s="32">
        <f t="shared" si="79"/>
        <v>0</v>
      </c>
      <c r="I183" s="60"/>
    </row>
    <row r="184" spans="1:9" x14ac:dyDescent="0.35">
      <c r="A184" s="7">
        <v>159</v>
      </c>
      <c r="B184" s="6">
        <f t="shared" si="77"/>
        <v>10</v>
      </c>
      <c r="C184" s="5">
        <f t="shared" si="80"/>
        <v>46083</v>
      </c>
      <c r="E184" s="32">
        <f t="shared" si="78"/>
        <v>20701211.907242984</v>
      </c>
      <c r="F184" s="32">
        <f t="shared" si="81"/>
        <v>0</v>
      </c>
      <c r="G184" s="32">
        <f t="shared" si="82"/>
        <v>0</v>
      </c>
      <c r="H184" s="32">
        <f t="shared" si="79"/>
        <v>0</v>
      </c>
      <c r="I184" s="60"/>
    </row>
    <row r="185" spans="1:9" x14ac:dyDescent="0.35">
      <c r="A185" s="7">
        <v>160</v>
      </c>
      <c r="B185" s="6">
        <f t="shared" si="77"/>
        <v>10</v>
      </c>
      <c r="C185" s="5">
        <f t="shared" si="80"/>
        <v>46084</v>
      </c>
      <c r="E185" s="32">
        <f t="shared" si="78"/>
        <v>20620250.467242982</v>
      </c>
      <c r="F185" s="32">
        <f t="shared" si="81"/>
        <v>80961.440000000002</v>
      </c>
      <c r="G185" s="32">
        <f t="shared" si="82"/>
        <v>6644.52</v>
      </c>
      <c r="H185" s="32">
        <f t="shared" si="79"/>
        <v>87605.96</v>
      </c>
      <c r="I185" s="60"/>
    </row>
    <row r="186" spans="1:9" x14ac:dyDescent="0.35">
      <c r="A186" s="7">
        <v>161</v>
      </c>
      <c r="B186" s="6">
        <f t="shared" si="77"/>
        <v>10</v>
      </c>
      <c r="C186" s="5">
        <f t="shared" si="80"/>
        <v>46085</v>
      </c>
      <c r="E186" s="32">
        <f t="shared" si="78"/>
        <v>20620250.467242982</v>
      </c>
      <c r="F186" s="32">
        <f t="shared" si="81"/>
        <v>0</v>
      </c>
      <c r="G186" s="32">
        <f t="shared" si="82"/>
        <v>0</v>
      </c>
      <c r="H186" s="32">
        <f t="shared" si="79"/>
        <v>0</v>
      </c>
      <c r="I186" s="60"/>
    </row>
    <row r="187" spans="1:9" x14ac:dyDescent="0.35">
      <c r="A187" s="7">
        <v>162</v>
      </c>
      <c r="B187" s="6">
        <f t="shared" si="77"/>
        <v>10</v>
      </c>
      <c r="C187" s="5">
        <f t="shared" si="80"/>
        <v>46086</v>
      </c>
      <c r="E187" s="32">
        <f t="shared" si="78"/>
        <v>20620250.467242982</v>
      </c>
      <c r="F187" s="32">
        <f t="shared" si="81"/>
        <v>0</v>
      </c>
      <c r="G187" s="32">
        <f t="shared" si="82"/>
        <v>0</v>
      </c>
      <c r="H187" s="32">
        <f t="shared" si="79"/>
        <v>0</v>
      </c>
      <c r="I187" s="60"/>
    </row>
    <row r="188" spans="1:9" x14ac:dyDescent="0.35">
      <c r="A188" s="7">
        <v>163</v>
      </c>
      <c r="B188" s="6">
        <f t="shared" si="77"/>
        <v>10</v>
      </c>
      <c r="C188" s="5">
        <f t="shared" si="80"/>
        <v>46087</v>
      </c>
      <c r="E188" s="32">
        <f t="shared" si="78"/>
        <v>20620250.467242982</v>
      </c>
      <c r="F188" s="32">
        <f t="shared" si="81"/>
        <v>0</v>
      </c>
      <c r="G188" s="32">
        <f t="shared" si="82"/>
        <v>0</v>
      </c>
      <c r="H188" s="32">
        <f t="shared" si="79"/>
        <v>0</v>
      </c>
      <c r="I188" s="60"/>
    </row>
    <row r="189" spans="1:9" x14ac:dyDescent="0.35">
      <c r="A189" s="7">
        <v>164</v>
      </c>
      <c r="B189" s="6">
        <f t="shared" si="77"/>
        <v>10</v>
      </c>
      <c r="C189" s="5">
        <f t="shared" si="80"/>
        <v>46088</v>
      </c>
      <c r="E189" s="32">
        <f t="shared" si="78"/>
        <v>20620250.467242982</v>
      </c>
      <c r="F189" s="32">
        <f t="shared" si="81"/>
        <v>0</v>
      </c>
      <c r="G189" s="32">
        <f t="shared" si="82"/>
        <v>0</v>
      </c>
      <c r="H189" s="32">
        <f t="shared" si="79"/>
        <v>0</v>
      </c>
      <c r="I189" s="60"/>
    </row>
    <row r="190" spans="1:9" x14ac:dyDescent="0.35">
      <c r="A190" s="7">
        <v>165</v>
      </c>
      <c r="B190" s="6">
        <f t="shared" si="77"/>
        <v>10</v>
      </c>
      <c r="C190" s="5">
        <f t="shared" si="80"/>
        <v>46089</v>
      </c>
      <c r="E190" s="32">
        <f t="shared" si="78"/>
        <v>20620250.467242982</v>
      </c>
      <c r="F190" s="32">
        <f t="shared" si="81"/>
        <v>0</v>
      </c>
      <c r="G190" s="32">
        <f t="shared" si="82"/>
        <v>0</v>
      </c>
      <c r="H190" s="32">
        <f t="shared" si="79"/>
        <v>0</v>
      </c>
      <c r="I190" s="60"/>
    </row>
    <row r="191" spans="1:9" x14ac:dyDescent="0.35">
      <c r="A191" s="7">
        <v>166</v>
      </c>
      <c r="B191" s="6">
        <f t="shared" si="77"/>
        <v>11</v>
      </c>
      <c r="C191" s="5">
        <f t="shared" si="80"/>
        <v>46090</v>
      </c>
      <c r="E191" s="32">
        <f t="shared" si="78"/>
        <v>20620250.467242982</v>
      </c>
      <c r="F191" s="32">
        <f t="shared" si="81"/>
        <v>0</v>
      </c>
      <c r="G191" s="32">
        <f t="shared" si="82"/>
        <v>0</v>
      </c>
      <c r="H191" s="32">
        <f t="shared" si="79"/>
        <v>0</v>
      </c>
      <c r="I191" s="60"/>
    </row>
    <row r="192" spans="1:9" x14ac:dyDescent="0.35">
      <c r="A192" s="7">
        <v>167</v>
      </c>
      <c r="B192" s="6">
        <f t="shared" si="77"/>
        <v>11</v>
      </c>
      <c r="C192" s="5">
        <f t="shared" si="80"/>
        <v>46091</v>
      </c>
      <c r="E192" s="32">
        <f t="shared" si="78"/>
        <v>20271239.257242981</v>
      </c>
      <c r="F192" s="32">
        <f t="shared" si="81"/>
        <v>349011.21</v>
      </c>
      <c r="G192" s="32">
        <f t="shared" si="82"/>
        <v>109979.25040108112</v>
      </c>
      <c r="H192" s="32">
        <f t="shared" si="79"/>
        <v>458990.46040108113</v>
      </c>
      <c r="I192" s="60"/>
    </row>
    <row r="193" spans="1:9" x14ac:dyDescent="0.35">
      <c r="A193" s="7">
        <v>168</v>
      </c>
      <c r="B193" s="6">
        <f t="shared" si="77"/>
        <v>11</v>
      </c>
      <c r="C193" s="5">
        <f t="shared" si="80"/>
        <v>46092</v>
      </c>
      <c r="E193" s="32">
        <f t="shared" si="78"/>
        <v>20271239.257242981</v>
      </c>
      <c r="F193" s="32">
        <f t="shared" si="81"/>
        <v>0</v>
      </c>
      <c r="G193" s="32">
        <f t="shared" si="82"/>
        <v>0</v>
      </c>
      <c r="H193" s="32">
        <f t="shared" si="79"/>
        <v>0</v>
      </c>
      <c r="I193" s="60"/>
    </row>
    <row r="194" spans="1:9" x14ac:dyDescent="0.35">
      <c r="A194" s="7">
        <v>169</v>
      </c>
      <c r="B194" s="6">
        <f t="shared" si="77"/>
        <v>11</v>
      </c>
      <c r="C194" s="5">
        <f t="shared" si="80"/>
        <v>46093</v>
      </c>
      <c r="E194" s="32">
        <f t="shared" si="78"/>
        <v>20271239.257242981</v>
      </c>
      <c r="F194" s="32">
        <f t="shared" si="81"/>
        <v>0</v>
      </c>
      <c r="G194" s="32">
        <f t="shared" si="82"/>
        <v>0</v>
      </c>
      <c r="H194" s="32">
        <f t="shared" si="79"/>
        <v>0</v>
      </c>
      <c r="I194" s="60"/>
    </row>
    <row r="195" spans="1:9" x14ac:dyDescent="0.35">
      <c r="A195" s="7">
        <v>170</v>
      </c>
      <c r="B195" s="6">
        <f t="shared" si="77"/>
        <v>11</v>
      </c>
      <c r="C195" s="5">
        <f t="shared" si="80"/>
        <v>46094</v>
      </c>
      <c r="E195" s="32">
        <f t="shared" si="78"/>
        <v>20271239.257242981</v>
      </c>
      <c r="F195" s="32">
        <f t="shared" si="81"/>
        <v>0</v>
      </c>
      <c r="G195" s="32">
        <f t="shared" si="82"/>
        <v>0</v>
      </c>
      <c r="H195" s="32">
        <f t="shared" si="79"/>
        <v>0</v>
      </c>
      <c r="I195" s="60"/>
    </row>
    <row r="196" spans="1:9" x14ac:dyDescent="0.35">
      <c r="A196" s="7">
        <v>171</v>
      </c>
      <c r="B196" s="6">
        <f t="shared" si="77"/>
        <v>11</v>
      </c>
      <c r="C196" s="5">
        <f t="shared" si="80"/>
        <v>46095</v>
      </c>
      <c r="E196" s="32">
        <f t="shared" si="78"/>
        <v>20166921.397242982</v>
      </c>
      <c r="F196" s="32">
        <f t="shared" si="81"/>
        <v>104317.86</v>
      </c>
      <c r="G196" s="32">
        <f t="shared" si="82"/>
        <v>20341.984349999992</v>
      </c>
      <c r="H196" s="32">
        <f t="shared" si="79"/>
        <v>124659.84435</v>
      </c>
      <c r="I196" s="60"/>
    </row>
    <row r="197" spans="1:9" x14ac:dyDescent="0.35">
      <c r="A197" s="7">
        <v>172</v>
      </c>
      <c r="B197" s="6">
        <f t="shared" si="77"/>
        <v>11</v>
      </c>
      <c r="C197" s="5">
        <f t="shared" si="80"/>
        <v>46096</v>
      </c>
      <c r="E197" s="32">
        <f t="shared" si="78"/>
        <v>20166921.397242982</v>
      </c>
      <c r="F197" s="32">
        <f t="shared" si="81"/>
        <v>0</v>
      </c>
      <c r="G197" s="32">
        <f t="shared" si="82"/>
        <v>0</v>
      </c>
      <c r="H197" s="32">
        <f t="shared" si="79"/>
        <v>0</v>
      </c>
      <c r="I197" s="60"/>
    </row>
    <row r="198" spans="1:9" x14ac:dyDescent="0.35">
      <c r="A198" s="7">
        <v>173</v>
      </c>
      <c r="B198" s="6">
        <f t="shared" si="77"/>
        <v>12</v>
      </c>
      <c r="C198" s="5">
        <f t="shared" si="80"/>
        <v>46097</v>
      </c>
      <c r="E198" s="32">
        <f t="shared" si="78"/>
        <v>20166921.397242982</v>
      </c>
      <c r="F198" s="32">
        <f t="shared" si="81"/>
        <v>0</v>
      </c>
      <c r="G198" s="32">
        <f t="shared" si="82"/>
        <v>0</v>
      </c>
      <c r="H198" s="32">
        <f t="shared" si="79"/>
        <v>0</v>
      </c>
      <c r="I198" s="60"/>
    </row>
    <row r="199" spans="1:9" x14ac:dyDescent="0.35">
      <c r="A199" s="7">
        <v>174</v>
      </c>
      <c r="B199" s="6">
        <f t="shared" si="77"/>
        <v>12</v>
      </c>
      <c r="C199" s="5">
        <f t="shared" si="80"/>
        <v>46098</v>
      </c>
      <c r="E199" s="32">
        <f t="shared" si="78"/>
        <v>20166921.397242982</v>
      </c>
      <c r="F199" s="32">
        <f t="shared" si="81"/>
        <v>0</v>
      </c>
      <c r="G199" s="32">
        <f t="shared" si="82"/>
        <v>0</v>
      </c>
      <c r="H199" s="32">
        <f t="shared" si="79"/>
        <v>0</v>
      </c>
      <c r="I199" s="60"/>
    </row>
    <row r="200" spans="1:9" x14ac:dyDescent="0.35">
      <c r="A200" s="7">
        <v>175</v>
      </c>
      <c r="B200" s="6">
        <f t="shared" si="77"/>
        <v>12</v>
      </c>
      <c r="C200" s="5">
        <f t="shared" si="80"/>
        <v>46099</v>
      </c>
      <c r="E200" s="32">
        <f t="shared" si="78"/>
        <v>20166921.397242982</v>
      </c>
      <c r="F200" s="32">
        <f t="shared" si="81"/>
        <v>0</v>
      </c>
      <c r="G200" s="32">
        <f t="shared" si="82"/>
        <v>0</v>
      </c>
      <c r="H200" s="32">
        <f t="shared" si="79"/>
        <v>0</v>
      </c>
      <c r="I200" s="60"/>
    </row>
    <row r="201" spans="1:9" x14ac:dyDescent="0.35">
      <c r="A201" s="7">
        <v>176</v>
      </c>
      <c r="B201" s="6">
        <f t="shared" si="77"/>
        <v>12</v>
      </c>
      <c r="C201" s="5">
        <f t="shared" si="80"/>
        <v>46100</v>
      </c>
      <c r="E201" s="32">
        <f t="shared" si="78"/>
        <v>20166921.397242982</v>
      </c>
      <c r="F201" s="32">
        <f t="shared" si="81"/>
        <v>0</v>
      </c>
      <c r="G201" s="32">
        <f t="shared" si="82"/>
        <v>0</v>
      </c>
      <c r="H201" s="32">
        <f t="shared" si="79"/>
        <v>0</v>
      </c>
      <c r="I201" s="60"/>
    </row>
    <row r="202" spans="1:9" x14ac:dyDescent="0.35">
      <c r="A202" s="7">
        <v>177</v>
      </c>
      <c r="B202" s="6">
        <f t="shared" si="77"/>
        <v>12</v>
      </c>
      <c r="C202" s="5">
        <f t="shared" si="80"/>
        <v>46101</v>
      </c>
      <c r="E202" s="32">
        <f t="shared" si="78"/>
        <v>20166921.397242982</v>
      </c>
      <c r="F202" s="32">
        <f t="shared" si="81"/>
        <v>0</v>
      </c>
      <c r="G202" s="32">
        <f t="shared" si="82"/>
        <v>719765.44044999999</v>
      </c>
      <c r="H202" s="32">
        <f t="shared" si="79"/>
        <v>719765.44044999999</v>
      </c>
      <c r="I202" s="60"/>
    </row>
    <row r="203" spans="1:9" x14ac:dyDescent="0.35">
      <c r="A203" s="7">
        <v>178</v>
      </c>
      <c r="B203" s="6">
        <f t="shared" si="77"/>
        <v>12</v>
      </c>
      <c r="C203" s="5">
        <f t="shared" si="80"/>
        <v>46102</v>
      </c>
      <c r="E203" s="32">
        <f t="shared" si="78"/>
        <v>20009671.437242981</v>
      </c>
      <c r="F203" s="32">
        <f t="shared" si="81"/>
        <v>157249.96</v>
      </c>
      <c r="G203" s="32">
        <f t="shared" si="82"/>
        <v>10357.64</v>
      </c>
      <c r="H203" s="32">
        <f t="shared" si="79"/>
        <v>167607.59999999998</v>
      </c>
      <c r="I203" s="60"/>
    </row>
    <row r="204" spans="1:9" x14ac:dyDescent="0.35">
      <c r="A204" s="7">
        <v>179</v>
      </c>
      <c r="B204" s="6">
        <f t="shared" si="77"/>
        <v>12</v>
      </c>
      <c r="C204" s="5">
        <f t="shared" si="80"/>
        <v>46103</v>
      </c>
      <c r="E204" s="32">
        <f t="shared" si="78"/>
        <v>20009671.437242981</v>
      </c>
      <c r="F204" s="32">
        <f t="shared" si="81"/>
        <v>0</v>
      </c>
      <c r="G204" s="32">
        <f t="shared" si="82"/>
        <v>0</v>
      </c>
      <c r="H204" s="32">
        <f t="shared" si="79"/>
        <v>0</v>
      </c>
      <c r="I204" s="60"/>
    </row>
    <row r="205" spans="1:9" x14ac:dyDescent="0.35">
      <c r="A205" s="7">
        <v>180</v>
      </c>
      <c r="B205" s="6">
        <f t="shared" si="77"/>
        <v>13</v>
      </c>
      <c r="C205" s="5">
        <f t="shared" si="80"/>
        <v>46104</v>
      </c>
      <c r="E205" s="32">
        <f t="shared" si="78"/>
        <v>20009671.437242981</v>
      </c>
      <c r="F205" s="32">
        <f t="shared" si="81"/>
        <v>0</v>
      </c>
      <c r="G205" s="32">
        <f t="shared" si="82"/>
        <v>0</v>
      </c>
      <c r="H205" s="32">
        <f t="shared" si="79"/>
        <v>0</v>
      </c>
      <c r="I205" s="60"/>
    </row>
    <row r="206" spans="1:9" x14ac:dyDescent="0.35">
      <c r="A206" s="7">
        <v>181</v>
      </c>
      <c r="B206" s="6">
        <f t="shared" si="77"/>
        <v>13</v>
      </c>
      <c r="C206" s="5">
        <f t="shared" si="80"/>
        <v>46105</v>
      </c>
      <c r="E206" s="32">
        <f t="shared" si="78"/>
        <v>20009671.437242981</v>
      </c>
      <c r="F206" s="32">
        <f t="shared" si="81"/>
        <v>0</v>
      </c>
      <c r="G206" s="32">
        <f t="shared" si="82"/>
        <v>0</v>
      </c>
      <c r="H206" s="32">
        <f t="shared" si="79"/>
        <v>0</v>
      </c>
      <c r="I206" s="60"/>
    </row>
    <row r="207" spans="1:9" x14ac:dyDescent="0.35">
      <c r="A207" s="7">
        <v>182</v>
      </c>
      <c r="B207" s="6">
        <f t="shared" si="77"/>
        <v>13</v>
      </c>
      <c r="C207" s="5">
        <f t="shared" si="80"/>
        <v>46106</v>
      </c>
      <c r="E207" s="32">
        <f t="shared" si="78"/>
        <v>20009671.437242981</v>
      </c>
      <c r="F207" s="32">
        <f t="shared" si="81"/>
        <v>0</v>
      </c>
      <c r="G207" s="32">
        <f t="shared" si="82"/>
        <v>0</v>
      </c>
      <c r="H207" s="32">
        <f t="shared" si="79"/>
        <v>0</v>
      </c>
      <c r="I207" s="60"/>
    </row>
    <row r="208" spans="1:9" x14ac:dyDescent="0.35">
      <c r="A208" s="7">
        <v>183</v>
      </c>
      <c r="B208" s="6">
        <f t="shared" si="77"/>
        <v>13</v>
      </c>
      <c r="C208" s="5">
        <f t="shared" si="80"/>
        <v>46107</v>
      </c>
      <c r="E208" s="32">
        <f t="shared" si="78"/>
        <v>19989765.847242981</v>
      </c>
      <c r="F208" s="32">
        <f t="shared" si="81"/>
        <v>19905.59</v>
      </c>
      <c r="G208" s="32">
        <f t="shared" si="82"/>
        <v>150430.91</v>
      </c>
      <c r="H208" s="32">
        <f t="shared" si="79"/>
        <v>170336.5</v>
      </c>
      <c r="I208" s="60"/>
    </row>
    <row r="209" spans="1:9" x14ac:dyDescent="0.35">
      <c r="A209" s="7">
        <v>184</v>
      </c>
      <c r="B209" s="6">
        <f t="shared" si="77"/>
        <v>13</v>
      </c>
      <c r="C209" s="5">
        <f t="shared" si="80"/>
        <v>46108</v>
      </c>
      <c r="E209" s="32">
        <f t="shared" si="78"/>
        <v>19989765.847242981</v>
      </c>
      <c r="F209" s="32">
        <f t="shared" si="81"/>
        <v>0</v>
      </c>
      <c r="G209" s="32">
        <f t="shared" si="82"/>
        <v>0</v>
      </c>
      <c r="H209" s="32">
        <f t="shared" si="79"/>
        <v>0</v>
      </c>
      <c r="I209" s="60"/>
    </row>
    <row r="210" spans="1:9" x14ac:dyDescent="0.35">
      <c r="A210" s="7">
        <v>185</v>
      </c>
      <c r="B210" s="6">
        <f t="shared" si="77"/>
        <v>13</v>
      </c>
      <c r="C210" s="5">
        <f t="shared" si="80"/>
        <v>46109</v>
      </c>
      <c r="E210" s="32">
        <f t="shared" si="78"/>
        <v>19989765.847242981</v>
      </c>
      <c r="F210" s="32">
        <f t="shared" si="81"/>
        <v>0</v>
      </c>
      <c r="G210" s="32">
        <f t="shared" si="82"/>
        <v>0</v>
      </c>
      <c r="H210" s="32">
        <f t="shared" si="79"/>
        <v>0</v>
      </c>
      <c r="I210" s="60"/>
    </row>
    <row r="211" spans="1:9" x14ac:dyDescent="0.35">
      <c r="A211" s="7">
        <v>186</v>
      </c>
      <c r="B211" s="6">
        <f t="shared" si="77"/>
        <v>13</v>
      </c>
      <c r="C211" s="5">
        <f t="shared" si="80"/>
        <v>46110</v>
      </c>
      <c r="E211" s="32">
        <f t="shared" si="78"/>
        <v>19989765.847242981</v>
      </c>
      <c r="F211" s="32">
        <f t="shared" si="81"/>
        <v>0</v>
      </c>
      <c r="G211" s="32">
        <f t="shared" si="82"/>
        <v>0</v>
      </c>
      <c r="H211" s="32">
        <f t="shared" si="79"/>
        <v>0</v>
      </c>
      <c r="I211" s="60"/>
    </row>
    <row r="212" spans="1:9" x14ac:dyDescent="0.35">
      <c r="A212" s="7">
        <v>187</v>
      </c>
      <c r="B212" s="6">
        <f t="shared" si="77"/>
        <v>14</v>
      </c>
      <c r="C212" s="5">
        <f t="shared" si="80"/>
        <v>46111</v>
      </c>
      <c r="E212" s="32">
        <f t="shared" si="78"/>
        <v>19989765.847242981</v>
      </c>
      <c r="F212" s="32">
        <f t="shared" si="81"/>
        <v>0</v>
      </c>
      <c r="G212" s="32">
        <f t="shared" si="82"/>
        <v>0</v>
      </c>
      <c r="H212" s="32">
        <f t="shared" si="79"/>
        <v>0</v>
      </c>
      <c r="I212" s="60"/>
    </row>
    <row r="213" spans="1:9" x14ac:dyDescent="0.35">
      <c r="A213" s="7">
        <v>188</v>
      </c>
      <c r="B213" s="6">
        <f t="shared" si="77"/>
        <v>14</v>
      </c>
      <c r="C213" s="5">
        <f t="shared" si="80"/>
        <v>46112</v>
      </c>
      <c r="E213" s="32">
        <f t="shared" si="78"/>
        <v>19989765.847242981</v>
      </c>
      <c r="F213" s="32">
        <f t="shared" si="81"/>
        <v>0</v>
      </c>
      <c r="G213" s="32">
        <f t="shared" si="82"/>
        <v>0</v>
      </c>
      <c r="H213" s="32">
        <f t="shared" si="79"/>
        <v>0</v>
      </c>
      <c r="I213" s="60"/>
    </row>
    <row r="214" spans="1:9" x14ac:dyDescent="0.35">
      <c r="A214" s="7">
        <v>189</v>
      </c>
      <c r="B214" s="6">
        <f t="shared" si="77"/>
        <v>14</v>
      </c>
      <c r="C214" s="5">
        <f t="shared" si="80"/>
        <v>46113</v>
      </c>
      <c r="E214" s="32">
        <f t="shared" si="78"/>
        <v>19989765.847242981</v>
      </c>
      <c r="F214" s="32">
        <f t="shared" si="81"/>
        <v>0</v>
      </c>
      <c r="G214" s="32">
        <f t="shared" si="82"/>
        <v>0</v>
      </c>
      <c r="H214" s="32">
        <f t="shared" si="79"/>
        <v>0</v>
      </c>
      <c r="I214" s="60"/>
    </row>
    <row r="215" spans="1:9" x14ac:dyDescent="0.35">
      <c r="A215" s="7">
        <v>190</v>
      </c>
      <c r="B215" s="6">
        <f t="shared" si="77"/>
        <v>14</v>
      </c>
      <c r="C215" s="5">
        <f t="shared" si="80"/>
        <v>46114</v>
      </c>
      <c r="E215" s="32">
        <f t="shared" si="78"/>
        <v>19989765.847242981</v>
      </c>
      <c r="F215" s="32">
        <f t="shared" si="81"/>
        <v>0</v>
      </c>
      <c r="G215" s="32">
        <f t="shared" si="82"/>
        <v>0</v>
      </c>
      <c r="H215" s="32">
        <f t="shared" si="79"/>
        <v>0</v>
      </c>
      <c r="I215" s="60"/>
    </row>
    <row r="216" spans="1:9" x14ac:dyDescent="0.35">
      <c r="A216" s="7">
        <v>191</v>
      </c>
      <c r="B216" s="6">
        <f t="shared" si="77"/>
        <v>14</v>
      </c>
      <c r="C216" s="5">
        <f t="shared" si="80"/>
        <v>46115</v>
      </c>
      <c r="E216" s="32">
        <f t="shared" si="78"/>
        <v>19989765.847242981</v>
      </c>
      <c r="F216" s="32">
        <f t="shared" si="81"/>
        <v>0</v>
      </c>
      <c r="G216" s="32">
        <f t="shared" si="82"/>
        <v>0</v>
      </c>
      <c r="H216" s="32">
        <f t="shared" si="79"/>
        <v>0</v>
      </c>
      <c r="I216" s="60"/>
    </row>
    <row r="217" spans="1:9" x14ac:dyDescent="0.35">
      <c r="A217" s="7">
        <v>192</v>
      </c>
      <c r="B217" s="6">
        <f t="shared" si="77"/>
        <v>14</v>
      </c>
      <c r="C217" s="5">
        <f t="shared" si="80"/>
        <v>46116</v>
      </c>
      <c r="E217" s="32">
        <f t="shared" si="78"/>
        <v>19989765.847242981</v>
      </c>
      <c r="F217" s="32">
        <f t="shared" si="81"/>
        <v>0</v>
      </c>
      <c r="G217" s="32">
        <f t="shared" si="82"/>
        <v>0</v>
      </c>
      <c r="H217" s="32">
        <f t="shared" si="79"/>
        <v>0</v>
      </c>
      <c r="I217" s="60"/>
    </row>
    <row r="218" spans="1:9" x14ac:dyDescent="0.35">
      <c r="A218" s="7">
        <v>193</v>
      </c>
      <c r="B218" s="6">
        <f t="shared" ref="B218:B281" si="83">+WEEKNUM(C218,2)</f>
        <v>14</v>
      </c>
      <c r="C218" s="5">
        <f t="shared" si="80"/>
        <v>46117</v>
      </c>
      <c r="E218" s="32">
        <f t="shared" si="78"/>
        <v>19989765.847242981</v>
      </c>
      <c r="F218" s="32">
        <f t="shared" si="81"/>
        <v>0</v>
      </c>
      <c r="G218" s="32">
        <f t="shared" si="82"/>
        <v>0</v>
      </c>
      <c r="H218" s="32">
        <f t="shared" si="79"/>
        <v>0</v>
      </c>
      <c r="I218" s="60"/>
    </row>
    <row r="219" spans="1:9" x14ac:dyDescent="0.35">
      <c r="A219" s="7">
        <v>194</v>
      </c>
      <c r="B219" s="6">
        <f t="shared" si="83"/>
        <v>15</v>
      </c>
      <c r="C219" s="5">
        <f t="shared" si="80"/>
        <v>46118</v>
      </c>
      <c r="E219" s="32">
        <f t="shared" ref="E219:E282" si="84">+E218+D219-F219</f>
        <v>19987832.217242982</v>
      </c>
      <c r="F219" s="32">
        <f t="shared" si="81"/>
        <v>1933.63</v>
      </c>
      <c r="G219" s="32">
        <f t="shared" si="82"/>
        <v>16325.652320341003</v>
      </c>
      <c r="H219" s="32">
        <f t="shared" ref="H219:H282" si="85">+SUM(F219:G219)</f>
        <v>18259.282320341004</v>
      </c>
      <c r="I219" s="60"/>
    </row>
    <row r="220" spans="1:9" x14ac:dyDescent="0.35">
      <c r="A220" s="7">
        <v>195</v>
      </c>
      <c r="B220" s="6">
        <f t="shared" si="83"/>
        <v>15</v>
      </c>
      <c r="C220" s="5">
        <f t="shared" si="80"/>
        <v>46119</v>
      </c>
      <c r="E220" s="32">
        <f t="shared" si="84"/>
        <v>19987832.217242982</v>
      </c>
      <c r="F220" s="32">
        <f t="shared" si="81"/>
        <v>0</v>
      </c>
      <c r="G220" s="32">
        <f t="shared" si="82"/>
        <v>0</v>
      </c>
      <c r="H220" s="32">
        <f t="shared" si="85"/>
        <v>0</v>
      </c>
      <c r="I220" s="60"/>
    </row>
    <row r="221" spans="1:9" x14ac:dyDescent="0.35">
      <c r="A221" s="7">
        <v>196</v>
      </c>
      <c r="B221" s="6">
        <f t="shared" si="83"/>
        <v>15</v>
      </c>
      <c r="C221" s="5">
        <f t="shared" si="80"/>
        <v>46120</v>
      </c>
      <c r="E221" s="32">
        <f t="shared" si="84"/>
        <v>19987832.217242982</v>
      </c>
      <c r="F221" s="32">
        <f t="shared" si="81"/>
        <v>0</v>
      </c>
      <c r="G221" s="32">
        <f t="shared" si="82"/>
        <v>0</v>
      </c>
      <c r="H221" s="32">
        <f t="shared" si="85"/>
        <v>0</v>
      </c>
      <c r="I221" s="60"/>
    </row>
    <row r="222" spans="1:9" x14ac:dyDescent="0.35">
      <c r="A222" s="7">
        <v>197</v>
      </c>
      <c r="B222" s="6">
        <f t="shared" si="83"/>
        <v>15</v>
      </c>
      <c r="C222" s="5">
        <f t="shared" si="80"/>
        <v>46121</v>
      </c>
      <c r="E222" s="32">
        <f t="shared" si="84"/>
        <v>19987832.217242982</v>
      </c>
      <c r="F222" s="32">
        <f t="shared" si="81"/>
        <v>0</v>
      </c>
      <c r="G222" s="32">
        <f t="shared" si="82"/>
        <v>0</v>
      </c>
      <c r="H222" s="32">
        <f t="shared" si="85"/>
        <v>0</v>
      </c>
      <c r="I222" s="60"/>
    </row>
    <row r="223" spans="1:9" x14ac:dyDescent="0.35">
      <c r="A223" s="7">
        <v>198</v>
      </c>
      <c r="B223" s="6">
        <f t="shared" si="83"/>
        <v>15</v>
      </c>
      <c r="C223" s="5">
        <f t="shared" si="80"/>
        <v>46122</v>
      </c>
      <c r="E223" s="32">
        <f t="shared" si="84"/>
        <v>19638821.007242981</v>
      </c>
      <c r="F223" s="32">
        <f t="shared" si="81"/>
        <v>349011.21</v>
      </c>
      <c r="G223" s="32">
        <f t="shared" si="82"/>
        <v>119959.51693048266</v>
      </c>
      <c r="H223" s="32">
        <f t="shared" si="85"/>
        <v>468970.72693048266</v>
      </c>
      <c r="I223" s="60"/>
    </row>
    <row r="224" spans="1:9" x14ac:dyDescent="0.35">
      <c r="A224" s="7">
        <v>199</v>
      </c>
      <c r="B224" s="6">
        <f t="shared" si="83"/>
        <v>15</v>
      </c>
      <c r="C224" s="5">
        <f t="shared" si="80"/>
        <v>46123</v>
      </c>
      <c r="E224" s="32">
        <f t="shared" si="84"/>
        <v>19638821.007242981</v>
      </c>
      <c r="F224" s="32">
        <f t="shared" si="81"/>
        <v>0</v>
      </c>
      <c r="G224" s="32">
        <f t="shared" si="82"/>
        <v>0</v>
      </c>
      <c r="H224" s="32">
        <f t="shared" si="85"/>
        <v>0</v>
      </c>
      <c r="I224" s="60"/>
    </row>
    <row r="225" spans="1:9" x14ac:dyDescent="0.35">
      <c r="A225" s="7">
        <v>200</v>
      </c>
      <c r="B225" s="6">
        <f t="shared" si="83"/>
        <v>15</v>
      </c>
      <c r="C225" s="5">
        <f t="shared" ref="C225:C288" si="86">+C224+1</f>
        <v>46124</v>
      </c>
      <c r="E225" s="32">
        <f t="shared" si="84"/>
        <v>19638821.007242981</v>
      </c>
      <c r="F225" s="32">
        <f t="shared" ref="F225:F288" si="87">+SUMIF(O:O,C225,R:R)+SUMIF(AE:AE,C225,AH:AH)+SUMIF(AT:AT,C225,AW:AW)+SUMIF(BI:BI,C225,BL:BL)+SUMIF(BY:BY,C225,CB:CB)+SUMIF(BY:BY,C225,CC:CC)+SUMIF(CP:CP,C225,CS:CS)+SUMIF(CY:CY,C225,DB:DB)+SUMIF(DN:DN,C225,DQ:DQ)+SUMIF(EC:EC,C225,EF:EF)+SUMIF(ER:ER,C225,EU:EU)+SUMIF(FA:FA,C225,FD:FD)+SUMIF(FK:FK,C225,FN:FN)+SUMIF(FT:FT,C225,FW:FW)+SUMIF(GC:GC,C225,GF:GF)+SUMIF(GL:GL,C225,GO:GO)+SUMIF(GU:GU,C225,GX:GX)+SUMIF(HD:HD,C225,HG:HG)</f>
        <v>0</v>
      </c>
      <c r="G225" s="32">
        <f t="shared" ref="G225:G288" si="88">+SUMIF(O:O,C225,T:T)+SUMIF(O:O,C225,S:S)+SUMIF(AE:AE,C225,AI:AI)+SUMIF(AT:AT,C225,AX:AX)+SUMIF(BI:BI,C225,BN:BN)+SUMIF(BI:BI,C225,BM:BM)+SUMIF(BY:BY,C225,CD:CD)+SUMIF(BY:BY,C225,CE:CE)+SUMIF(CP:CP,C225,CT:CT)+SUMIF(CY:CY,C225,DC:DC)+SUMIF(DN:DN,C225,DR:DR)+SUMIF(EC:EC,C225,EG:EG)+SUMIF(ER:ER,C225,EV:EV)+SUMIF(FA:FA,C225,FE:FE)+SUMIF(FK:FK,C225,FO:FO)+SUMIF(FT:FT,C225,FX:FX)+SUMIF(GC:GC,C225,GG:GG)+SUMIF(GL:GL,C225,GP:GP)+SUMIF(GU:GU,C225,GY:GY)+SUMIF(HD:HD,C225,HH:HH)</f>
        <v>0</v>
      </c>
      <c r="H225" s="32">
        <f t="shared" si="85"/>
        <v>0</v>
      </c>
      <c r="I225" s="60"/>
    </row>
    <row r="226" spans="1:9" x14ac:dyDescent="0.35">
      <c r="A226" s="7">
        <v>201</v>
      </c>
      <c r="B226" s="6">
        <f t="shared" si="83"/>
        <v>16</v>
      </c>
      <c r="C226" s="5">
        <f t="shared" si="86"/>
        <v>46125</v>
      </c>
      <c r="E226" s="32">
        <f t="shared" si="84"/>
        <v>19638821.007242981</v>
      </c>
      <c r="F226" s="32">
        <f t="shared" si="87"/>
        <v>0</v>
      </c>
      <c r="G226" s="32">
        <f t="shared" si="88"/>
        <v>0</v>
      </c>
      <c r="H226" s="32">
        <f t="shared" si="85"/>
        <v>0</v>
      </c>
      <c r="I226" s="60"/>
    </row>
    <row r="227" spans="1:9" x14ac:dyDescent="0.35">
      <c r="A227" s="7">
        <v>202</v>
      </c>
      <c r="B227" s="6">
        <f t="shared" si="83"/>
        <v>16</v>
      </c>
      <c r="C227" s="5">
        <f t="shared" si="86"/>
        <v>46126</v>
      </c>
      <c r="E227" s="32">
        <f t="shared" si="84"/>
        <v>19638821.007242981</v>
      </c>
      <c r="F227" s="32">
        <f t="shared" si="87"/>
        <v>0</v>
      </c>
      <c r="G227" s="32">
        <f t="shared" si="88"/>
        <v>0</v>
      </c>
      <c r="H227" s="32">
        <f t="shared" si="85"/>
        <v>0</v>
      </c>
      <c r="I227" s="60"/>
    </row>
    <row r="228" spans="1:9" x14ac:dyDescent="0.35">
      <c r="A228" s="7">
        <v>203</v>
      </c>
      <c r="B228" s="6">
        <f t="shared" si="83"/>
        <v>16</v>
      </c>
      <c r="C228" s="5">
        <f t="shared" si="86"/>
        <v>46127</v>
      </c>
      <c r="E228" s="32">
        <f t="shared" si="84"/>
        <v>19638821.007242981</v>
      </c>
      <c r="F228" s="32">
        <f t="shared" si="87"/>
        <v>0</v>
      </c>
      <c r="G228" s="32">
        <f t="shared" si="88"/>
        <v>0</v>
      </c>
      <c r="H228" s="32">
        <f t="shared" si="85"/>
        <v>0</v>
      </c>
      <c r="I228" s="60"/>
    </row>
    <row r="229" spans="1:9" x14ac:dyDescent="0.35">
      <c r="A229" s="7">
        <v>204</v>
      </c>
      <c r="B229" s="6">
        <f t="shared" si="83"/>
        <v>16</v>
      </c>
      <c r="C229" s="5">
        <f t="shared" si="86"/>
        <v>46128</v>
      </c>
      <c r="E229" s="32">
        <f t="shared" si="84"/>
        <v>19638821.007242981</v>
      </c>
      <c r="F229" s="32">
        <f t="shared" si="87"/>
        <v>0</v>
      </c>
      <c r="G229" s="32">
        <f t="shared" si="88"/>
        <v>0</v>
      </c>
      <c r="H229" s="32">
        <f t="shared" si="85"/>
        <v>0</v>
      </c>
      <c r="I229" s="60"/>
    </row>
    <row r="230" spans="1:9" x14ac:dyDescent="0.35">
      <c r="A230" s="7">
        <v>205</v>
      </c>
      <c r="B230" s="6">
        <f t="shared" si="83"/>
        <v>16</v>
      </c>
      <c r="C230" s="5">
        <f t="shared" si="86"/>
        <v>46129</v>
      </c>
      <c r="E230" s="32">
        <f t="shared" si="84"/>
        <v>19638821.007242981</v>
      </c>
      <c r="F230" s="32">
        <f t="shared" si="87"/>
        <v>0</v>
      </c>
      <c r="G230" s="32">
        <f t="shared" si="88"/>
        <v>0</v>
      </c>
      <c r="H230" s="32">
        <f t="shared" si="85"/>
        <v>0</v>
      </c>
      <c r="I230" s="60"/>
    </row>
    <row r="231" spans="1:9" x14ac:dyDescent="0.35">
      <c r="A231" s="7">
        <v>206</v>
      </c>
      <c r="B231" s="6">
        <f t="shared" si="83"/>
        <v>16</v>
      </c>
      <c r="C231" s="5">
        <f t="shared" si="86"/>
        <v>46130</v>
      </c>
      <c r="E231" s="32">
        <f t="shared" si="84"/>
        <v>19638821.007242981</v>
      </c>
      <c r="F231" s="32">
        <f t="shared" si="87"/>
        <v>0</v>
      </c>
      <c r="G231" s="32">
        <f t="shared" si="88"/>
        <v>0</v>
      </c>
      <c r="H231" s="32">
        <f t="shared" si="85"/>
        <v>0</v>
      </c>
      <c r="I231" s="60"/>
    </row>
    <row r="232" spans="1:9" x14ac:dyDescent="0.35">
      <c r="A232" s="7">
        <v>207</v>
      </c>
      <c r="B232" s="6">
        <f t="shared" si="83"/>
        <v>16</v>
      </c>
      <c r="C232" s="5">
        <f t="shared" si="86"/>
        <v>46131</v>
      </c>
      <c r="E232" s="32">
        <f t="shared" si="84"/>
        <v>19638821.007242981</v>
      </c>
      <c r="F232" s="32">
        <f t="shared" si="87"/>
        <v>0</v>
      </c>
      <c r="G232" s="32">
        <f t="shared" si="88"/>
        <v>0</v>
      </c>
      <c r="H232" s="32">
        <f t="shared" si="85"/>
        <v>0</v>
      </c>
      <c r="I232" s="60"/>
    </row>
    <row r="233" spans="1:9" x14ac:dyDescent="0.35">
      <c r="A233" s="7">
        <v>208</v>
      </c>
      <c r="B233" s="6">
        <f t="shared" si="83"/>
        <v>17</v>
      </c>
      <c r="C233" s="5">
        <f t="shared" si="86"/>
        <v>46132</v>
      </c>
      <c r="E233" s="32">
        <f t="shared" si="84"/>
        <v>19578263.108710557</v>
      </c>
      <c r="F233" s="32">
        <f t="shared" si="87"/>
        <v>60557.898532423678</v>
      </c>
      <c r="G233" s="32">
        <f t="shared" si="88"/>
        <v>15499.592083611511</v>
      </c>
      <c r="H233" s="32">
        <f t="shared" si="85"/>
        <v>76057.490616035182</v>
      </c>
      <c r="I233" s="60"/>
    </row>
    <row r="234" spans="1:9" x14ac:dyDescent="0.35">
      <c r="A234" s="7">
        <v>209</v>
      </c>
      <c r="B234" s="6">
        <f t="shared" si="83"/>
        <v>17</v>
      </c>
      <c r="C234" s="5">
        <f t="shared" si="86"/>
        <v>46133</v>
      </c>
      <c r="E234" s="32">
        <f t="shared" si="84"/>
        <v>19578263.108710557</v>
      </c>
      <c r="F234" s="32">
        <f t="shared" si="87"/>
        <v>0</v>
      </c>
      <c r="G234" s="32">
        <f t="shared" si="88"/>
        <v>0</v>
      </c>
      <c r="H234" s="32">
        <f t="shared" si="85"/>
        <v>0</v>
      </c>
      <c r="I234" s="60"/>
    </row>
    <row r="235" spans="1:9" x14ac:dyDescent="0.35">
      <c r="A235" s="7">
        <v>210</v>
      </c>
      <c r="B235" s="6">
        <f t="shared" si="83"/>
        <v>17</v>
      </c>
      <c r="C235" s="5">
        <f t="shared" si="86"/>
        <v>46134</v>
      </c>
      <c r="E235" s="32">
        <f t="shared" si="84"/>
        <v>19578263.108710557</v>
      </c>
      <c r="F235" s="32">
        <f t="shared" si="87"/>
        <v>0</v>
      </c>
      <c r="G235" s="32">
        <f t="shared" si="88"/>
        <v>0</v>
      </c>
      <c r="H235" s="32">
        <f t="shared" si="85"/>
        <v>0</v>
      </c>
      <c r="I235" s="60"/>
    </row>
    <row r="236" spans="1:9" x14ac:dyDescent="0.35">
      <c r="A236" s="7">
        <v>211</v>
      </c>
      <c r="B236" s="6">
        <f t="shared" si="83"/>
        <v>17</v>
      </c>
      <c r="C236" s="5">
        <f t="shared" si="86"/>
        <v>46135</v>
      </c>
      <c r="E236" s="32">
        <f t="shared" si="84"/>
        <v>19578263.108710557</v>
      </c>
      <c r="F236" s="32">
        <f t="shared" si="87"/>
        <v>0</v>
      </c>
      <c r="G236" s="32">
        <f t="shared" si="88"/>
        <v>0</v>
      </c>
      <c r="H236" s="32">
        <f t="shared" si="85"/>
        <v>0</v>
      </c>
      <c r="I236" s="60"/>
    </row>
    <row r="237" spans="1:9" x14ac:dyDescent="0.35">
      <c r="A237" s="7">
        <v>212</v>
      </c>
      <c r="B237" s="6">
        <f t="shared" si="83"/>
        <v>17</v>
      </c>
      <c r="C237" s="5">
        <f t="shared" si="86"/>
        <v>46136</v>
      </c>
      <c r="E237" s="32">
        <f t="shared" si="84"/>
        <v>19578263.108710557</v>
      </c>
      <c r="F237" s="32">
        <f t="shared" si="87"/>
        <v>0</v>
      </c>
      <c r="G237" s="32">
        <f t="shared" si="88"/>
        <v>0</v>
      </c>
      <c r="H237" s="32">
        <f t="shared" si="85"/>
        <v>0</v>
      </c>
      <c r="I237" s="60"/>
    </row>
    <row r="238" spans="1:9" x14ac:dyDescent="0.35">
      <c r="A238" s="7">
        <v>213</v>
      </c>
      <c r="B238" s="6">
        <f t="shared" si="83"/>
        <v>17</v>
      </c>
      <c r="C238" s="5">
        <f t="shared" si="86"/>
        <v>46137</v>
      </c>
      <c r="E238" s="32">
        <f t="shared" si="84"/>
        <v>19578263.108710557</v>
      </c>
      <c r="F238" s="32">
        <f t="shared" si="87"/>
        <v>0</v>
      </c>
      <c r="G238" s="32">
        <f t="shared" si="88"/>
        <v>0</v>
      </c>
      <c r="H238" s="32">
        <f t="shared" si="85"/>
        <v>0</v>
      </c>
      <c r="I238" s="60"/>
    </row>
    <row r="239" spans="1:9" x14ac:dyDescent="0.35">
      <c r="A239" s="7">
        <v>214</v>
      </c>
      <c r="B239" s="6">
        <f t="shared" si="83"/>
        <v>17</v>
      </c>
      <c r="C239" s="5">
        <f t="shared" si="86"/>
        <v>46138</v>
      </c>
      <c r="E239" s="32">
        <f t="shared" si="84"/>
        <v>19578263.108710557</v>
      </c>
      <c r="F239" s="32">
        <f t="shared" si="87"/>
        <v>0</v>
      </c>
      <c r="G239" s="32">
        <f t="shared" si="88"/>
        <v>0</v>
      </c>
      <c r="H239" s="32">
        <f t="shared" si="85"/>
        <v>0</v>
      </c>
      <c r="I239" s="60"/>
    </row>
    <row r="240" spans="1:9" x14ac:dyDescent="0.35">
      <c r="A240" s="7">
        <v>215</v>
      </c>
      <c r="B240" s="6">
        <f t="shared" si="83"/>
        <v>18</v>
      </c>
      <c r="C240" s="5">
        <f t="shared" si="86"/>
        <v>46139</v>
      </c>
      <c r="E240" s="32">
        <f t="shared" si="84"/>
        <v>19578263.108710557</v>
      </c>
      <c r="F240" s="32">
        <f t="shared" si="87"/>
        <v>0</v>
      </c>
      <c r="G240" s="32">
        <f t="shared" si="88"/>
        <v>0</v>
      </c>
      <c r="H240" s="32">
        <f t="shared" si="85"/>
        <v>0</v>
      </c>
      <c r="I240" s="60"/>
    </row>
    <row r="241" spans="1:9" x14ac:dyDescent="0.35">
      <c r="A241" s="7">
        <v>216</v>
      </c>
      <c r="B241" s="6">
        <f t="shared" si="83"/>
        <v>18</v>
      </c>
      <c r="C241" s="5">
        <f t="shared" si="86"/>
        <v>46140</v>
      </c>
      <c r="E241" s="32">
        <f t="shared" si="84"/>
        <v>19578263.108710557</v>
      </c>
      <c r="F241" s="32">
        <f t="shared" si="87"/>
        <v>0</v>
      </c>
      <c r="G241" s="32">
        <f t="shared" si="88"/>
        <v>0</v>
      </c>
      <c r="H241" s="32">
        <f t="shared" si="85"/>
        <v>0</v>
      </c>
      <c r="I241" s="60"/>
    </row>
    <row r="242" spans="1:9" x14ac:dyDescent="0.35">
      <c r="A242" s="7">
        <v>217</v>
      </c>
      <c r="B242" s="6">
        <f t="shared" si="83"/>
        <v>18</v>
      </c>
      <c r="C242" s="5">
        <f t="shared" si="86"/>
        <v>46141</v>
      </c>
      <c r="E242" s="32">
        <f t="shared" si="84"/>
        <v>19578263.108710557</v>
      </c>
      <c r="F242" s="32">
        <f t="shared" si="87"/>
        <v>0</v>
      </c>
      <c r="G242" s="32">
        <f t="shared" si="88"/>
        <v>0</v>
      </c>
      <c r="H242" s="32">
        <f t="shared" si="85"/>
        <v>0</v>
      </c>
      <c r="I242" s="60"/>
    </row>
    <row r="243" spans="1:9" x14ac:dyDescent="0.35">
      <c r="A243" s="7">
        <v>218</v>
      </c>
      <c r="B243" s="6">
        <f t="shared" si="83"/>
        <v>18</v>
      </c>
      <c r="C243" s="5">
        <f t="shared" si="86"/>
        <v>46142</v>
      </c>
      <c r="E243" s="32">
        <f t="shared" si="84"/>
        <v>19578263.108710557</v>
      </c>
      <c r="F243" s="32">
        <f t="shared" si="87"/>
        <v>0</v>
      </c>
      <c r="G243" s="32">
        <f t="shared" si="88"/>
        <v>0</v>
      </c>
      <c r="H243" s="32">
        <f t="shared" si="85"/>
        <v>0</v>
      </c>
      <c r="I243" s="60"/>
    </row>
    <row r="244" spans="1:9" x14ac:dyDescent="0.35">
      <c r="A244" s="7">
        <v>219</v>
      </c>
      <c r="B244" s="6">
        <f t="shared" si="83"/>
        <v>18</v>
      </c>
      <c r="C244" s="5">
        <f t="shared" si="86"/>
        <v>46143</v>
      </c>
      <c r="E244" s="32">
        <f t="shared" si="84"/>
        <v>19578263.108710557</v>
      </c>
      <c r="F244" s="32">
        <f t="shared" si="87"/>
        <v>0</v>
      </c>
      <c r="G244" s="32">
        <f t="shared" si="88"/>
        <v>0</v>
      </c>
      <c r="H244" s="32">
        <f t="shared" si="85"/>
        <v>0</v>
      </c>
      <c r="I244" s="60"/>
    </row>
    <row r="245" spans="1:9" x14ac:dyDescent="0.35">
      <c r="A245" s="7">
        <v>220</v>
      </c>
      <c r="B245" s="6">
        <f t="shared" si="83"/>
        <v>18</v>
      </c>
      <c r="C245" s="5">
        <f t="shared" si="86"/>
        <v>46144</v>
      </c>
      <c r="E245" s="32">
        <f t="shared" si="84"/>
        <v>19526422.318710558</v>
      </c>
      <c r="F245" s="32">
        <f t="shared" si="87"/>
        <v>51840.79</v>
      </c>
      <c r="G245" s="32">
        <f t="shared" si="88"/>
        <v>15476.716620138888</v>
      </c>
      <c r="H245" s="32">
        <f t="shared" si="85"/>
        <v>67317.506620138884</v>
      </c>
      <c r="I245" s="60"/>
    </row>
    <row r="246" spans="1:9" x14ac:dyDescent="0.35">
      <c r="A246" s="7">
        <v>221</v>
      </c>
      <c r="B246" s="6">
        <f t="shared" si="83"/>
        <v>18</v>
      </c>
      <c r="C246" s="5">
        <f t="shared" si="86"/>
        <v>46145</v>
      </c>
      <c r="E246" s="32">
        <f t="shared" si="84"/>
        <v>19526422.318710558</v>
      </c>
      <c r="F246" s="32">
        <f t="shared" si="87"/>
        <v>0</v>
      </c>
      <c r="G246" s="32">
        <f t="shared" si="88"/>
        <v>0</v>
      </c>
      <c r="H246" s="32">
        <f t="shared" si="85"/>
        <v>0</v>
      </c>
      <c r="I246" s="60"/>
    </row>
    <row r="247" spans="1:9" x14ac:dyDescent="0.35">
      <c r="A247" s="7">
        <v>222</v>
      </c>
      <c r="B247" s="6">
        <f t="shared" si="83"/>
        <v>19</v>
      </c>
      <c r="C247" s="5">
        <f t="shared" si="86"/>
        <v>46146</v>
      </c>
      <c r="E247" s="32">
        <f t="shared" si="84"/>
        <v>19526422.318710558</v>
      </c>
      <c r="F247" s="32">
        <f t="shared" si="87"/>
        <v>0</v>
      </c>
      <c r="G247" s="32">
        <f t="shared" si="88"/>
        <v>0</v>
      </c>
      <c r="H247" s="32">
        <f t="shared" si="85"/>
        <v>0</v>
      </c>
      <c r="I247" s="60"/>
    </row>
    <row r="248" spans="1:9" x14ac:dyDescent="0.35">
      <c r="A248" s="7">
        <v>223</v>
      </c>
      <c r="B248" s="6">
        <f t="shared" si="83"/>
        <v>19</v>
      </c>
      <c r="C248" s="5">
        <f t="shared" si="86"/>
        <v>46147</v>
      </c>
      <c r="E248" s="32">
        <f t="shared" si="84"/>
        <v>19526422.318710558</v>
      </c>
      <c r="F248" s="32">
        <f t="shared" si="87"/>
        <v>0</v>
      </c>
      <c r="G248" s="32">
        <f t="shared" si="88"/>
        <v>0</v>
      </c>
      <c r="H248" s="32">
        <f t="shared" si="85"/>
        <v>0</v>
      </c>
      <c r="I248" s="60"/>
    </row>
    <row r="249" spans="1:9" x14ac:dyDescent="0.35">
      <c r="A249" s="7">
        <v>224</v>
      </c>
      <c r="B249" s="6">
        <f t="shared" si="83"/>
        <v>19</v>
      </c>
      <c r="C249" s="5">
        <f t="shared" si="86"/>
        <v>46148</v>
      </c>
      <c r="E249" s="32">
        <f t="shared" si="84"/>
        <v>19526422.318710558</v>
      </c>
      <c r="F249" s="32">
        <f t="shared" si="87"/>
        <v>0</v>
      </c>
      <c r="G249" s="32">
        <f t="shared" si="88"/>
        <v>0</v>
      </c>
      <c r="H249" s="32">
        <f t="shared" si="85"/>
        <v>0</v>
      </c>
      <c r="I249" s="60"/>
    </row>
    <row r="250" spans="1:9" x14ac:dyDescent="0.35">
      <c r="A250" s="7">
        <v>225</v>
      </c>
      <c r="B250" s="6">
        <f t="shared" si="83"/>
        <v>19</v>
      </c>
      <c r="C250" s="5">
        <f t="shared" si="86"/>
        <v>46149</v>
      </c>
      <c r="E250" s="32">
        <f t="shared" si="84"/>
        <v>19526422.318710558</v>
      </c>
      <c r="F250" s="32">
        <f t="shared" si="87"/>
        <v>0</v>
      </c>
      <c r="G250" s="32">
        <f t="shared" si="88"/>
        <v>0</v>
      </c>
      <c r="H250" s="32">
        <f t="shared" si="85"/>
        <v>0</v>
      </c>
      <c r="I250" s="60"/>
    </row>
    <row r="251" spans="1:9" x14ac:dyDescent="0.35">
      <c r="A251" s="7">
        <v>226</v>
      </c>
      <c r="B251" s="6">
        <f t="shared" si="83"/>
        <v>19</v>
      </c>
      <c r="C251" s="5">
        <f t="shared" si="86"/>
        <v>46150</v>
      </c>
      <c r="E251" s="32">
        <f t="shared" si="84"/>
        <v>19526422.318710558</v>
      </c>
      <c r="F251" s="32">
        <f t="shared" si="87"/>
        <v>0</v>
      </c>
      <c r="G251" s="32">
        <f t="shared" si="88"/>
        <v>0</v>
      </c>
      <c r="H251" s="32">
        <f t="shared" si="85"/>
        <v>0</v>
      </c>
      <c r="I251" s="60"/>
    </row>
    <row r="252" spans="1:9" x14ac:dyDescent="0.35">
      <c r="A252" s="7">
        <v>227</v>
      </c>
      <c r="B252" s="6">
        <f t="shared" si="83"/>
        <v>19</v>
      </c>
      <c r="C252" s="5">
        <f t="shared" si="86"/>
        <v>46151</v>
      </c>
      <c r="E252" s="32">
        <f t="shared" si="84"/>
        <v>19526422.318710558</v>
      </c>
      <c r="F252" s="32">
        <f t="shared" si="87"/>
        <v>0</v>
      </c>
      <c r="G252" s="32">
        <f t="shared" si="88"/>
        <v>0</v>
      </c>
      <c r="H252" s="32">
        <f t="shared" si="85"/>
        <v>0</v>
      </c>
      <c r="I252" s="60"/>
    </row>
    <row r="253" spans="1:9" x14ac:dyDescent="0.35">
      <c r="A253" s="7">
        <v>228</v>
      </c>
      <c r="B253" s="6">
        <f t="shared" si="83"/>
        <v>19</v>
      </c>
      <c r="C253" s="5">
        <f t="shared" si="86"/>
        <v>46152</v>
      </c>
      <c r="E253" s="32">
        <f t="shared" si="84"/>
        <v>19177411.108710557</v>
      </c>
      <c r="F253" s="32">
        <f t="shared" si="87"/>
        <v>349011.21</v>
      </c>
      <c r="G253" s="32">
        <f t="shared" si="88"/>
        <v>114344.79904401548</v>
      </c>
      <c r="H253" s="32">
        <f t="shared" si="85"/>
        <v>463356.00904401549</v>
      </c>
      <c r="I253" s="60"/>
    </row>
    <row r="254" spans="1:9" x14ac:dyDescent="0.35">
      <c r="A254" s="7">
        <v>229</v>
      </c>
      <c r="B254" s="6">
        <f t="shared" si="83"/>
        <v>20</v>
      </c>
      <c r="C254" s="5">
        <f t="shared" si="86"/>
        <v>46153</v>
      </c>
      <c r="E254" s="32">
        <f t="shared" si="84"/>
        <v>19177411.108710557</v>
      </c>
      <c r="F254" s="32">
        <f t="shared" si="87"/>
        <v>0</v>
      </c>
      <c r="G254" s="32">
        <f t="shared" si="88"/>
        <v>0</v>
      </c>
      <c r="H254" s="32">
        <f t="shared" si="85"/>
        <v>0</v>
      </c>
      <c r="I254" s="109"/>
    </row>
    <row r="255" spans="1:9" x14ac:dyDescent="0.35">
      <c r="A255" s="7">
        <v>230</v>
      </c>
      <c r="B255" s="6">
        <f t="shared" si="83"/>
        <v>20</v>
      </c>
      <c r="C255" s="5">
        <f t="shared" si="86"/>
        <v>46154</v>
      </c>
      <c r="E255" s="32">
        <f t="shared" si="84"/>
        <v>19177411.108710557</v>
      </c>
      <c r="F255" s="32">
        <f t="shared" si="87"/>
        <v>0</v>
      </c>
      <c r="G255" s="32">
        <f t="shared" si="88"/>
        <v>0</v>
      </c>
      <c r="H255" s="32">
        <f t="shared" si="85"/>
        <v>0</v>
      </c>
      <c r="I255" s="60"/>
    </row>
    <row r="256" spans="1:9" x14ac:dyDescent="0.35">
      <c r="A256" s="7">
        <v>231</v>
      </c>
      <c r="B256" s="6">
        <f t="shared" si="83"/>
        <v>20</v>
      </c>
      <c r="C256" s="5">
        <f t="shared" si="86"/>
        <v>46155</v>
      </c>
      <c r="E256" s="32">
        <f t="shared" si="84"/>
        <v>19177411.108710557</v>
      </c>
      <c r="F256" s="32">
        <f t="shared" si="87"/>
        <v>0</v>
      </c>
      <c r="G256" s="32">
        <f t="shared" si="88"/>
        <v>0</v>
      </c>
      <c r="H256" s="32">
        <f t="shared" si="85"/>
        <v>0</v>
      </c>
      <c r="I256" s="60"/>
    </row>
    <row r="257" spans="1:9" x14ac:dyDescent="0.35">
      <c r="A257" s="7">
        <v>232</v>
      </c>
      <c r="B257" s="6">
        <f t="shared" si="83"/>
        <v>20</v>
      </c>
      <c r="C257" s="5">
        <f t="shared" si="86"/>
        <v>46156</v>
      </c>
      <c r="E257" s="32">
        <f t="shared" si="84"/>
        <v>19177411.108710557</v>
      </c>
      <c r="F257" s="32">
        <f t="shared" si="87"/>
        <v>0</v>
      </c>
      <c r="G257" s="32">
        <f t="shared" si="88"/>
        <v>0</v>
      </c>
      <c r="H257" s="32">
        <f t="shared" si="85"/>
        <v>0</v>
      </c>
      <c r="I257" s="60"/>
    </row>
    <row r="258" spans="1:9" x14ac:dyDescent="0.35">
      <c r="A258" s="7">
        <v>233</v>
      </c>
      <c r="B258" s="6">
        <f t="shared" si="83"/>
        <v>20</v>
      </c>
      <c r="C258" s="5">
        <f t="shared" si="86"/>
        <v>46157</v>
      </c>
      <c r="E258" s="32">
        <f t="shared" si="84"/>
        <v>15104413.227471258</v>
      </c>
      <c r="F258" s="32">
        <f t="shared" si="87"/>
        <v>4072997.8812392987</v>
      </c>
      <c r="G258" s="32">
        <f t="shared" si="88"/>
        <v>1921537.7918745701</v>
      </c>
      <c r="H258" s="32">
        <f t="shared" si="85"/>
        <v>5994535.6731138686</v>
      </c>
      <c r="I258" s="60"/>
    </row>
    <row r="259" spans="1:9" x14ac:dyDescent="0.35">
      <c r="A259" s="7">
        <v>234</v>
      </c>
      <c r="B259" s="6">
        <f t="shared" si="83"/>
        <v>20</v>
      </c>
      <c r="C259" s="5">
        <f t="shared" si="86"/>
        <v>46158</v>
      </c>
      <c r="E259" s="32">
        <f t="shared" si="84"/>
        <v>15104413.227471258</v>
      </c>
      <c r="F259" s="32">
        <f t="shared" si="87"/>
        <v>0</v>
      </c>
      <c r="G259" s="32">
        <f t="shared" si="88"/>
        <v>0</v>
      </c>
      <c r="H259" s="32">
        <f t="shared" si="85"/>
        <v>0</v>
      </c>
      <c r="I259" s="60"/>
    </row>
    <row r="260" spans="1:9" x14ac:dyDescent="0.35">
      <c r="A260" s="7">
        <v>235</v>
      </c>
      <c r="B260" s="6">
        <f t="shared" si="83"/>
        <v>20</v>
      </c>
      <c r="C260" s="5">
        <f t="shared" si="86"/>
        <v>46159</v>
      </c>
      <c r="E260" s="32">
        <f t="shared" si="84"/>
        <v>15104413.227471258</v>
      </c>
      <c r="F260" s="32">
        <f t="shared" si="87"/>
        <v>0</v>
      </c>
      <c r="G260" s="32">
        <f t="shared" si="88"/>
        <v>0</v>
      </c>
      <c r="H260" s="32">
        <f t="shared" si="85"/>
        <v>0</v>
      </c>
      <c r="I260" s="60"/>
    </row>
    <row r="261" spans="1:9" x14ac:dyDescent="0.35">
      <c r="A261" s="7">
        <v>236</v>
      </c>
      <c r="B261" s="6">
        <f t="shared" si="83"/>
        <v>21</v>
      </c>
      <c r="C261" s="5">
        <f t="shared" si="86"/>
        <v>46160</v>
      </c>
      <c r="E261" s="32">
        <f t="shared" si="84"/>
        <v>15104413.227471258</v>
      </c>
      <c r="F261" s="32">
        <f t="shared" si="87"/>
        <v>0</v>
      </c>
      <c r="G261" s="32">
        <f t="shared" si="88"/>
        <v>0</v>
      </c>
      <c r="H261" s="32">
        <f t="shared" si="85"/>
        <v>0</v>
      </c>
      <c r="I261" s="60"/>
    </row>
    <row r="262" spans="1:9" x14ac:dyDescent="0.35">
      <c r="A262" s="7">
        <v>237</v>
      </c>
      <c r="B262" s="6">
        <f t="shared" si="83"/>
        <v>21</v>
      </c>
      <c r="C262" s="5">
        <f t="shared" si="86"/>
        <v>46161</v>
      </c>
      <c r="E262" s="32">
        <f t="shared" si="84"/>
        <v>15104413.227471258</v>
      </c>
      <c r="F262" s="32">
        <f t="shared" si="87"/>
        <v>0</v>
      </c>
      <c r="G262" s="32">
        <f t="shared" si="88"/>
        <v>0</v>
      </c>
      <c r="H262" s="32">
        <f t="shared" si="85"/>
        <v>0</v>
      </c>
      <c r="I262" s="60"/>
    </row>
    <row r="263" spans="1:9" x14ac:dyDescent="0.35">
      <c r="A263" s="7">
        <v>238</v>
      </c>
      <c r="B263" s="6">
        <f t="shared" si="83"/>
        <v>21</v>
      </c>
      <c r="C263" s="5">
        <f t="shared" si="86"/>
        <v>46162</v>
      </c>
      <c r="E263" s="32">
        <f t="shared" si="84"/>
        <v>15104413.227471258</v>
      </c>
      <c r="F263" s="32">
        <f t="shared" si="87"/>
        <v>0</v>
      </c>
      <c r="G263" s="32">
        <f t="shared" si="88"/>
        <v>237281.65492681818</v>
      </c>
      <c r="H263" s="32">
        <f t="shared" si="85"/>
        <v>237281.65492681818</v>
      </c>
      <c r="I263" s="60"/>
    </row>
    <row r="264" spans="1:9" x14ac:dyDescent="0.35">
      <c r="A264" s="7">
        <v>239</v>
      </c>
      <c r="B264" s="6">
        <f t="shared" si="83"/>
        <v>21</v>
      </c>
      <c r="C264" s="5">
        <f t="shared" si="86"/>
        <v>46163</v>
      </c>
      <c r="E264" s="32">
        <f t="shared" si="84"/>
        <v>15104413.227471258</v>
      </c>
      <c r="F264" s="32">
        <f t="shared" si="87"/>
        <v>0</v>
      </c>
      <c r="G264" s="32">
        <f t="shared" si="88"/>
        <v>0</v>
      </c>
      <c r="H264" s="32">
        <f t="shared" si="85"/>
        <v>0</v>
      </c>
      <c r="I264" s="60"/>
    </row>
    <row r="265" spans="1:9" x14ac:dyDescent="0.35">
      <c r="A265" s="7">
        <v>240</v>
      </c>
      <c r="B265" s="6">
        <f t="shared" si="83"/>
        <v>21</v>
      </c>
      <c r="C265" s="5">
        <f t="shared" si="86"/>
        <v>46164</v>
      </c>
      <c r="E265" s="32">
        <f t="shared" si="84"/>
        <v>15104413.227471258</v>
      </c>
      <c r="F265" s="32">
        <f t="shared" si="87"/>
        <v>0</v>
      </c>
      <c r="G265" s="32">
        <f t="shared" si="88"/>
        <v>0</v>
      </c>
      <c r="H265" s="32">
        <f t="shared" si="85"/>
        <v>0</v>
      </c>
      <c r="I265" s="60"/>
    </row>
    <row r="266" spans="1:9" x14ac:dyDescent="0.35">
      <c r="A266" s="7">
        <v>241</v>
      </c>
      <c r="B266" s="6">
        <f t="shared" si="83"/>
        <v>21</v>
      </c>
      <c r="C266" s="5">
        <f t="shared" si="86"/>
        <v>46165</v>
      </c>
      <c r="E266" s="32">
        <f t="shared" si="84"/>
        <v>15104413.227471258</v>
      </c>
      <c r="F266" s="32">
        <f t="shared" si="87"/>
        <v>0</v>
      </c>
      <c r="G266" s="32">
        <f t="shared" si="88"/>
        <v>0</v>
      </c>
      <c r="H266" s="32">
        <f t="shared" si="85"/>
        <v>0</v>
      </c>
      <c r="I266" s="60"/>
    </row>
    <row r="267" spans="1:9" x14ac:dyDescent="0.35">
      <c r="A267" s="7">
        <v>242</v>
      </c>
      <c r="B267" s="6">
        <f t="shared" si="83"/>
        <v>21</v>
      </c>
      <c r="C267" s="5">
        <f t="shared" si="86"/>
        <v>46166</v>
      </c>
      <c r="E267" s="32">
        <f t="shared" si="84"/>
        <v>15104413.227471258</v>
      </c>
      <c r="F267" s="32">
        <f t="shared" si="87"/>
        <v>0</v>
      </c>
      <c r="G267" s="32">
        <f t="shared" si="88"/>
        <v>0</v>
      </c>
      <c r="H267" s="32">
        <f t="shared" si="85"/>
        <v>0</v>
      </c>
      <c r="I267" s="60"/>
    </row>
    <row r="268" spans="1:9" x14ac:dyDescent="0.35">
      <c r="A268" s="7">
        <v>243</v>
      </c>
      <c r="B268" s="6">
        <f t="shared" si="83"/>
        <v>22</v>
      </c>
      <c r="C268" s="5">
        <f t="shared" si="86"/>
        <v>46167</v>
      </c>
      <c r="E268" s="32">
        <f t="shared" si="84"/>
        <v>15104413.227471258</v>
      </c>
      <c r="F268" s="32">
        <f t="shared" si="87"/>
        <v>0</v>
      </c>
      <c r="G268" s="32">
        <f t="shared" si="88"/>
        <v>0</v>
      </c>
      <c r="H268" s="32">
        <f t="shared" si="85"/>
        <v>0</v>
      </c>
      <c r="I268" s="60"/>
    </row>
    <row r="269" spans="1:9" x14ac:dyDescent="0.35">
      <c r="A269" s="7">
        <v>244</v>
      </c>
      <c r="B269" s="6">
        <f t="shared" si="83"/>
        <v>22</v>
      </c>
      <c r="C269" s="5">
        <f t="shared" si="86"/>
        <v>46168</v>
      </c>
      <c r="E269" s="32">
        <f t="shared" si="84"/>
        <v>15104413.227471258</v>
      </c>
      <c r="F269" s="32">
        <f t="shared" si="87"/>
        <v>0</v>
      </c>
      <c r="G269" s="32">
        <f t="shared" si="88"/>
        <v>0</v>
      </c>
      <c r="H269" s="32">
        <f t="shared" si="85"/>
        <v>0</v>
      </c>
      <c r="I269" s="60"/>
    </row>
    <row r="270" spans="1:9" x14ac:dyDescent="0.35">
      <c r="A270" s="7">
        <v>245</v>
      </c>
      <c r="B270" s="6">
        <f t="shared" si="83"/>
        <v>22</v>
      </c>
      <c r="C270" s="5">
        <f t="shared" si="86"/>
        <v>46169</v>
      </c>
      <c r="E270" s="32">
        <f t="shared" si="84"/>
        <v>15104413.227471258</v>
      </c>
      <c r="F270" s="32">
        <f t="shared" si="87"/>
        <v>0</v>
      </c>
      <c r="G270" s="32">
        <f t="shared" si="88"/>
        <v>0</v>
      </c>
      <c r="H270" s="32">
        <f t="shared" si="85"/>
        <v>0</v>
      </c>
      <c r="I270" s="60"/>
    </row>
    <row r="271" spans="1:9" x14ac:dyDescent="0.35">
      <c r="A271" s="7">
        <v>246</v>
      </c>
      <c r="B271" s="6">
        <f t="shared" si="83"/>
        <v>22</v>
      </c>
      <c r="C271" s="5">
        <f t="shared" si="86"/>
        <v>46170</v>
      </c>
      <c r="E271" s="32">
        <f t="shared" si="84"/>
        <v>15104413.227471258</v>
      </c>
      <c r="F271" s="32">
        <f t="shared" si="87"/>
        <v>0</v>
      </c>
      <c r="G271" s="32">
        <f t="shared" si="88"/>
        <v>0</v>
      </c>
      <c r="H271" s="32">
        <f t="shared" si="85"/>
        <v>0</v>
      </c>
      <c r="I271" s="60"/>
    </row>
    <row r="272" spans="1:9" x14ac:dyDescent="0.35">
      <c r="A272" s="7">
        <v>247</v>
      </c>
      <c r="B272" s="6">
        <f t="shared" si="83"/>
        <v>22</v>
      </c>
      <c r="C272" s="5">
        <f t="shared" si="86"/>
        <v>46171</v>
      </c>
      <c r="E272" s="32">
        <f t="shared" si="84"/>
        <v>15104413.227471258</v>
      </c>
      <c r="F272" s="32">
        <f t="shared" si="87"/>
        <v>0</v>
      </c>
      <c r="G272" s="32">
        <f t="shared" si="88"/>
        <v>0</v>
      </c>
      <c r="H272" s="32">
        <f t="shared" si="85"/>
        <v>0</v>
      </c>
      <c r="I272" s="60"/>
    </row>
    <row r="273" spans="1:9" x14ac:dyDescent="0.35">
      <c r="A273" s="7">
        <v>248</v>
      </c>
      <c r="B273" s="6">
        <f t="shared" si="83"/>
        <v>22</v>
      </c>
      <c r="C273" s="5">
        <f t="shared" si="86"/>
        <v>46172</v>
      </c>
      <c r="E273" s="32">
        <f t="shared" si="84"/>
        <v>15104413.227471258</v>
      </c>
      <c r="F273" s="32">
        <f t="shared" si="87"/>
        <v>0</v>
      </c>
      <c r="G273" s="32">
        <f t="shared" si="88"/>
        <v>0</v>
      </c>
      <c r="H273" s="32">
        <f t="shared" si="85"/>
        <v>0</v>
      </c>
      <c r="I273" s="60"/>
    </row>
    <row r="274" spans="1:9" x14ac:dyDescent="0.35">
      <c r="A274" s="7">
        <v>249</v>
      </c>
      <c r="B274" s="6">
        <f t="shared" si="83"/>
        <v>22</v>
      </c>
      <c r="C274" s="5">
        <f t="shared" si="86"/>
        <v>46173</v>
      </c>
      <c r="E274" s="32">
        <f t="shared" si="84"/>
        <v>15104413.227471258</v>
      </c>
      <c r="F274" s="32">
        <f t="shared" si="87"/>
        <v>0</v>
      </c>
      <c r="G274" s="32">
        <f t="shared" si="88"/>
        <v>0</v>
      </c>
      <c r="H274" s="32">
        <f t="shared" si="85"/>
        <v>0</v>
      </c>
      <c r="I274" s="60"/>
    </row>
    <row r="275" spans="1:9" x14ac:dyDescent="0.35">
      <c r="A275" s="7">
        <v>250</v>
      </c>
      <c r="B275" s="6">
        <f t="shared" si="83"/>
        <v>23</v>
      </c>
      <c r="C275" s="5">
        <f t="shared" si="86"/>
        <v>46174</v>
      </c>
      <c r="E275" s="32">
        <f t="shared" si="84"/>
        <v>15021731.347471258</v>
      </c>
      <c r="F275" s="32">
        <f t="shared" si="87"/>
        <v>82681.88</v>
      </c>
      <c r="G275" s="32">
        <f t="shared" si="88"/>
        <v>5430.1</v>
      </c>
      <c r="H275" s="32">
        <f t="shared" si="85"/>
        <v>88111.98000000001</v>
      </c>
      <c r="I275" s="60"/>
    </row>
    <row r="276" spans="1:9" x14ac:dyDescent="0.35">
      <c r="A276" s="7">
        <v>251</v>
      </c>
      <c r="B276" s="6">
        <f t="shared" si="83"/>
        <v>23</v>
      </c>
      <c r="C276" s="5">
        <f t="shared" si="86"/>
        <v>46175</v>
      </c>
      <c r="E276" s="32">
        <f t="shared" si="84"/>
        <v>15021731.347471258</v>
      </c>
      <c r="F276" s="32">
        <f t="shared" si="87"/>
        <v>0</v>
      </c>
      <c r="G276" s="32">
        <f t="shared" si="88"/>
        <v>0</v>
      </c>
      <c r="H276" s="32">
        <f t="shared" si="85"/>
        <v>0</v>
      </c>
      <c r="I276" s="60"/>
    </row>
    <row r="277" spans="1:9" x14ac:dyDescent="0.35">
      <c r="A277" s="7">
        <v>252</v>
      </c>
      <c r="B277" s="6">
        <f t="shared" si="83"/>
        <v>23</v>
      </c>
      <c r="C277" s="5">
        <f t="shared" si="86"/>
        <v>46176</v>
      </c>
      <c r="E277" s="32">
        <f t="shared" si="84"/>
        <v>15021731.347471258</v>
      </c>
      <c r="F277" s="32">
        <f t="shared" si="87"/>
        <v>0</v>
      </c>
      <c r="G277" s="32">
        <f t="shared" si="88"/>
        <v>0</v>
      </c>
      <c r="H277" s="32">
        <f t="shared" si="85"/>
        <v>0</v>
      </c>
      <c r="I277" s="60"/>
    </row>
    <row r="278" spans="1:9" x14ac:dyDescent="0.35">
      <c r="A278" s="7">
        <v>253</v>
      </c>
      <c r="B278" s="6">
        <f t="shared" si="83"/>
        <v>23</v>
      </c>
      <c r="C278" s="5">
        <f t="shared" si="86"/>
        <v>46177</v>
      </c>
      <c r="E278" s="32">
        <f t="shared" si="84"/>
        <v>15021731.347471258</v>
      </c>
      <c r="F278" s="32">
        <f t="shared" si="87"/>
        <v>0</v>
      </c>
      <c r="G278" s="32">
        <f t="shared" si="88"/>
        <v>0</v>
      </c>
      <c r="H278" s="32">
        <f t="shared" si="85"/>
        <v>0</v>
      </c>
      <c r="I278" s="60"/>
    </row>
    <row r="279" spans="1:9" x14ac:dyDescent="0.35">
      <c r="A279" s="7">
        <v>254</v>
      </c>
      <c r="B279" s="6">
        <f t="shared" si="83"/>
        <v>23</v>
      </c>
      <c r="C279" s="5">
        <f t="shared" si="86"/>
        <v>46178</v>
      </c>
      <c r="E279" s="32">
        <f t="shared" si="84"/>
        <v>15021731.347471258</v>
      </c>
      <c r="F279" s="32">
        <f t="shared" si="87"/>
        <v>0</v>
      </c>
      <c r="G279" s="32">
        <f t="shared" si="88"/>
        <v>0</v>
      </c>
      <c r="H279" s="32">
        <f t="shared" si="85"/>
        <v>0</v>
      </c>
      <c r="I279" s="60"/>
    </row>
    <row r="280" spans="1:9" x14ac:dyDescent="0.35">
      <c r="A280" s="7">
        <v>255</v>
      </c>
      <c r="B280" s="6">
        <f t="shared" si="83"/>
        <v>23</v>
      </c>
      <c r="C280" s="5">
        <f t="shared" si="86"/>
        <v>46179</v>
      </c>
      <c r="E280" s="32">
        <f t="shared" si="84"/>
        <v>15021731.347471258</v>
      </c>
      <c r="F280" s="32">
        <f t="shared" si="87"/>
        <v>0</v>
      </c>
      <c r="G280" s="32">
        <f t="shared" si="88"/>
        <v>0</v>
      </c>
      <c r="H280" s="32">
        <f t="shared" si="85"/>
        <v>0</v>
      </c>
      <c r="I280" s="60"/>
    </row>
    <row r="281" spans="1:9" x14ac:dyDescent="0.35">
      <c r="A281" s="7">
        <v>256</v>
      </c>
      <c r="B281" s="6">
        <f t="shared" si="83"/>
        <v>23</v>
      </c>
      <c r="C281" s="5">
        <f t="shared" si="86"/>
        <v>46180</v>
      </c>
      <c r="E281" s="32">
        <f t="shared" si="84"/>
        <v>15021731.347471258</v>
      </c>
      <c r="F281" s="32">
        <f t="shared" si="87"/>
        <v>0</v>
      </c>
      <c r="G281" s="32">
        <f t="shared" si="88"/>
        <v>0</v>
      </c>
      <c r="H281" s="32">
        <f t="shared" si="85"/>
        <v>0</v>
      </c>
      <c r="I281" s="60"/>
    </row>
    <row r="282" spans="1:9" x14ac:dyDescent="0.35">
      <c r="A282" s="7">
        <v>257</v>
      </c>
      <c r="B282" s="6">
        <f t="shared" ref="B282:B345" si="89">+WEEKNUM(C282,2)</f>
        <v>24</v>
      </c>
      <c r="C282" s="5">
        <f t="shared" si="86"/>
        <v>46181</v>
      </c>
      <c r="E282" s="32">
        <f t="shared" si="84"/>
        <v>15021731.347471258</v>
      </c>
      <c r="F282" s="32">
        <f t="shared" si="87"/>
        <v>0</v>
      </c>
      <c r="G282" s="32">
        <f t="shared" si="88"/>
        <v>0</v>
      </c>
      <c r="H282" s="32">
        <f t="shared" si="85"/>
        <v>0</v>
      </c>
      <c r="I282" s="60"/>
    </row>
    <row r="283" spans="1:9" x14ac:dyDescent="0.35">
      <c r="A283" s="7">
        <v>258</v>
      </c>
      <c r="B283" s="6">
        <f t="shared" si="89"/>
        <v>24</v>
      </c>
      <c r="C283" s="5">
        <f t="shared" si="86"/>
        <v>46182</v>
      </c>
      <c r="E283" s="32">
        <f t="shared" ref="E283:E346" si="90">+E282+D283-F283</f>
        <v>15021731.347471258</v>
      </c>
      <c r="F283" s="32">
        <f t="shared" si="87"/>
        <v>0</v>
      </c>
      <c r="G283" s="32">
        <f t="shared" si="88"/>
        <v>0</v>
      </c>
      <c r="H283" s="32">
        <f t="shared" ref="H283:H346" si="91">+SUM(F283:G283)</f>
        <v>0</v>
      </c>
      <c r="I283" s="60"/>
    </row>
    <row r="284" spans="1:9" x14ac:dyDescent="0.35">
      <c r="A284" s="7">
        <v>259</v>
      </c>
      <c r="B284" s="6">
        <f t="shared" si="89"/>
        <v>24</v>
      </c>
      <c r="C284" s="5">
        <f t="shared" si="86"/>
        <v>46183</v>
      </c>
      <c r="E284" s="32">
        <f t="shared" si="90"/>
        <v>14672720.137471257</v>
      </c>
      <c r="F284" s="32">
        <f t="shared" si="87"/>
        <v>349011.21</v>
      </c>
      <c r="G284" s="32">
        <f t="shared" si="88"/>
        <v>116353.06776048266</v>
      </c>
      <c r="H284" s="32">
        <f t="shared" si="91"/>
        <v>465364.27776048268</v>
      </c>
      <c r="I284" s="60"/>
    </row>
    <row r="285" spans="1:9" x14ac:dyDescent="0.35">
      <c r="A285" s="7">
        <v>260</v>
      </c>
      <c r="B285" s="6">
        <f t="shared" si="89"/>
        <v>24</v>
      </c>
      <c r="C285" s="5">
        <f t="shared" si="86"/>
        <v>46184</v>
      </c>
      <c r="E285" s="32">
        <f t="shared" si="90"/>
        <v>14672720.137471257</v>
      </c>
      <c r="F285" s="32">
        <f t="shared" si="87"/>
        <v>0</v>
      </c>
      <c r="G285" s="32">
        <f t="shared" si="88"/>
        <v>0</v>
      </c>
      <c r="H285" s="32">
        <f t="shared" si="91"/>
        <v>0</v>
      </c>
      <c r="I285" s="60"/>
    </row>
    <row r="286" spans="1:9" x14ac:dyDescent="0.35">
      <c r="A286" s="7">
        <v>261</v>
      </c>
      <c r="B286" s="6">
        <f t="shared" si="89"/>
        <v>24</v>
      </c>
      <c r="C286" s="5">
        <f t="shared" si="86"/>
        <v>46185</v>
      </c>
      <c r="E286" s="32">
        <f t="shared" si="90"/>
        <v>14672720.137471257</v>
      </c>
      <c r="F286" s="32">
        <f t="shared" si="87"/>
        <v>0</v>
      </c>
      <c r="G286" s="32">
        <f t="shared" si="88"/>
        <v>0</v>
      </c>
      <c r="H286" s="32">
        <f t="shared" si="91"/>
        <v>0</v>
      </c>
      <c r="I286" s="60"/>
    </row>
    <row r="287" spans="1:9" x14ac:dyDescent="0.35">
      <c r="A287" s="7">
        <v>262</v>
      </c>
      <c r="B287" s="6">
        <f t="shared" si="89"/>
        <v>24</v>
      </c>
      <c r="C287" s="5">
        <f t="shared" si="86"/>
        <v>46186</v>
      </c>
      <c r="E287" s="32">
        <f t="shared" si="90"/>
        <v>14672720.137471257</v>
      </c>
      <c r="F287" s="32">
        <f t="shared" si="87"/>
        <v>0</v>
      </c>
      <c r="G287" s="32">
        <f t="shared" si="88"/>
        <v>0</v>
      </c>
      <c r="H287" s="32">
        <f t="shared" si="91"/>
        <v>0</v>
      </c>
      <c r="I287" s="60"/>
    </row>
    <row r="288" spans="1:9" x14ac:dyDescent="0.35">
      <c r="A288" s="7">
        <v>263</v>
      </c>
      <c r="B288" s="6">
        <f t="shared" si="89"/>
        <v>24</v>
      </c>
      <c r="C288" s="5">
        <f t="shared" si="86"/>
        <v>46187</v>
      </c>
      <c r="E288" s="32">
        <f t="shared" si="90"/>
        <v>14568402.277471257</v>
      </c>
      <c r="F288" s="32">
        <f t="shared" si="87"/>
        <v>104317.86</v>
      </c>
      <c r="G288" s="32">
        <f t="shared" si="88"/>
        <v>19194.487926666658</v>
      </c>
      <c r="H288" s="32">
        <f t="shared" si="91"/>
        <v>123512.34792666665</v>
      </c>
      <c r="I288" s="60"/>
    </row>
    <row r="289" spans="1:9" x14ac:dyDescent="0.35">
      <c r="A289" s="7">
        <v>264</v>
      </c>
      <c r="B289" s="6">
        <f t="shared" si="89"/>
        <v>25</v>
      </c>
      <c r="C289" s="5">
        <f t="shared" ref="C289:C352" si="92">+C288+1</f>
        <v>46188</v>
      </c>
      <c r="E289" s="32">
        <f t="shared" si="90"/>
        <v>14568402.277471257</v>
      </c>
      <c r="F289" s="32">
        <f t="shared" ref="F289:F352" si="93">+SUMIF(O:O,C289,R:R)+SUMIF(AE:AE,C289,AH:AH)+SUMIF(AT:AT,C289,AW:AW)+SUMIF(BI:BI,C289,BL:BL)+SUMIF(BY:BY,C289,CB:CB)+SUMIF(BY:BY,C289,CC:CC)+SUMIF(CP:CP,C289,CS:CS)+SUMIF(CY:CY,C289,DB:DB)+SUMIF(DN:DN,C289,DQ:DQ)+SUMIF(EC:EC,C289,EF:EF)+SUMIF(ER:ER,C289,EU:EU)+SUMIF(FA:FA,C289,FD:FD)+SUMIF(FK:FK,C289,FN:FN)+SUMIF(FT:FT,C289,FW:FW)+SUMIF(GC:GC,C289,GF:GF)+SUMIF(GL:GL,C289,GO:GO)+SUMIF(GU:GU,C289,GX:GX)+SUMIF(HD:HD,C289,HG:HG)</f>
        <v>0</v>
      </c>
      <c r="G289" s="32">
        <f t="shared" ref="G289:G352" si="94">+SUMIF(O:O,C289,T:T)+SUMIF(O:O,C289,S:S)+SUMIF(AE:AE,C289,AI:AI)+SUMIF(AT:AT,C289,AX:AX)+SUMIF(BI:BI,C289,BN:BN)+SUMIF(BI:BI,C289,BM:BM)+SUMIF(BY:BY,C289,CD:CD)+SUMIF(BY:BY,C289,CE:CE)+SUMIF(CP:CP,C289,CT:CT)+SUMIF(CY:CY,C289,DC:DC)+SUMIF(DN:DN,C289,DR:DR)+SUMIF(EC:EC,C289,EG:EG)+SUMIF(ER:ER,C289,EV:EV)+SUMIF(FA:FA,C289,FE:FE)+SUMIF(FK:FK,C289,FO:FO)+SUMIF(FT:FT,C289,FX:FX)+SUMIF(GC:GC,C289,GG:GG)+SUMIF(GL:GL,C289,GP:GP)+SUMIF(GU:GU,C289,GY:GY)+SUMIF(HD:HD,C289,HH:HH)</f>
        <v>0</v>
      </c>
      <c r="H289" s="32">
        <f t="shared" si="91"/>
        <v>0</v>
      </c>
      <c r="I289" s="60"/>
    </row>
    <row r="290" spans="1:9" x14ac:dyDescent="0.35">
      <c r="A290" s="7">
        <v>265</v>
      </c>
      <c r="B290" s="6">
        <f t="shared" si="89"/>
        <v>25</v>
      </c>
      <c r="C290" s="5">
        <f t="shared" si="92"/>
        <v>46189</v>
      </c>
      <c r="E290" s="32">
        <f t="shared" si="90"/>
        <v>14568402.277471257</v>
      </c>
      <c r="F290" s="32">
        <f t="shared" si="93"/>
        <v>0</v>
      </c>
      <c r="G290" s="32">
        <f t="shared" si="94"/>
        <v>0</v>
      </c>
      <c r="H290" s="32">
        <f t="shared" si="91"/>
        <v>0</v>
      </c>
      <c r="I290" s="60"/>
    </row>
    <row r="291" spans="1:9" x14ac:dyDescent="0.35">
      <c r="A291" s="7">
        <v>266</v>
      </c>
      <c r="B291" s="6">
        <f t="shared" si="89"/>
        <v>25</v>
      </c>
      <c r="C291" s="5">
        <f t="shared" si="92"/>
        <v>46190</v>
      </c>
      <c r="E291" s="32">
        <f t="shared" si="90"/>
        <v>14568402.277471257</v>
      </c>
      <c r="F291" s="32">
        <f t="shared" si="93"/>
        <v>0</v>
      </c>
      <c r="G291" s="32">
        <f t="shared" si="94"/>
        <v>0</v>
      </c>
      <c r="H291" s="32">
        <f t="shared" si="91"/>
        <v>0</v>
      </c>
      <c r="I291" s="60"/>
    </row>
    <row r="292" spans="1:9" x14ac:dyDescent="0.35">
      <c r="A292" s="7">
        <v>267</v>
      </c>
      <c r="B292" s="6">
        <f t="shared" si="89"/>
        <v>25</v>
      </c>
      <c r="C292" s="5">
        <f t="shared" si="92"/>
        <v>46191</v>
      </c>
      <c r="E292" s="32">
        <f t="shared" si="90"/>
        <v>14568402.277471257</v>
      </c>
      <c r="F292" s="32">
        <f t="shared" si="93"/>
        <v>0</v>
      </c>
      <c r="G292" s="32">
        <f t="shared" si="94"/>
        <v>0</v>
      </c>
      <c r="H292" s="32">
        <f t="shared" si="91"/>
        <v>0</v>
      </c>
      <c r="I292" s="60"/>
    </row>
    <row r="293" spans="1:9" x14ac:dyDescent="0.35">
      <c r="A293" s="7">
        <v>268</v>
      </c>
      <c r="B293" s="6">
        <f t="shared" si="89"/>
        <v>25</v>
      </c>
      <c r="C293" s="5">
        <f t="shared" si="92"/>
        <v>46192</v>
      </c>
      <c r="E293" s="32">
        <f t="shared" si="90"/>
        <v>14407810.757471258</v>
      </c>
      <c r="F293" s="32">
        <f t="shared" si="93"/>
        <v>160591.51999999999</v>
      </c>
      <c r="G293" s="32">
        <f t="shared" si="94"/>
        <v>7998.92</v>
      </c>
      <c r="H293" s="32">
        <f t="shared" si="91"/>
        <v>168590.44</v>
      </c>
      <c r="I293" s="60"/>
    </row>
    <row r="294" spans="1:9" x14ac:dyDescent="0.35">
      <c r="A294" s="7">
        <v>269</v>
      </c>
      <c r="B294" s="6">
        <f t="shared" si="89"/>
        <v>25</v>
      </c>
      <c r="C294" s="5">
        <f t="shared" si="92"/>
        <v>46193</v>
      </c>
      <c r="E294" s="32">
        <f t="shared" si="90"/>
        <v>14407810.757471258</v>
      </c>
      <c r="F294" s="32">
        <f t="shared" si="93"/>
        <v>0</v>
      </c>
      <c r="G294" s="32">
        <f t="shared" si="94"/>
        <v>733924.31179333327</v>
      </c>
      <c r="H294" s="32">
        <f t="shared" si="91"/>
        <v>733924.31179333327</v>
      </c>
      <c r="I294" s="60"/>
    </row>
    <row r="295" spans="1:9" x14ac:dyDescent="0.35">
      <c r="A295" s="7">
        <v>270</v>
      </c>
      <c r="B295" s="6">
        <f t="shared" si="89"/>
        <v>25</v>
      </c>
      <c r="C295" s="5">
        <f t="shared" si="92"/>
        <v>46194</v>
      </c>
      <c r="E295" s="32">
        <f t="shared" si="90"/>
        <v>14407810.757471258</v>
      </c>
      <c r="F295" s="32">
        <f t="shared" si="93"/>
        <v>0</v>
      </c>
      <c r="G295" s="32">
        <f t="shared" si="94"/>
        <v>0</v>
      </c>
      <c r="H295" s="32">
        <f t="shared" si="91"/>
        <v>0</v>
      </c>
      <c r="I295" s="60"/>
    </row>
    <row r="296" spans="1:9" x14ac:dyDescent="0.35">
      <c r="A296" s="7">
        <v>271</v>
      </c>
      <c r="B296" s="6">
        <f t="shared" si="89"/>
        <v>26</v>
      </c>
      <c r="C296" s="5">
        <f t="shared" si="92"/>
        <v>46195</v>
      </c>
      <c r="E296" s="32">
        <f t="shared" si="90"/>
        <v>14407810.757471258</v>
      </c>
      <c r="F296" s="32">
        <f t="shared" si="93"/>
        <v>0</v>
      </c>
      <c r="G296" s="32">
        <f t="shared" si="94"/>
        <v>0</v>
      </c>
      <c r="H296" s="32">
        <f t="shared" si="91"/>
        <v>0</v>
      </c>
      <c r="I296" s="60"/>
    </row>
    <row r="297" spans="1:9" x14ac:dyDescent="0.35">
      <c r="A297" s="7">
        <v>272</v>
      </c>
      <c r="B297" s="6">
        <f t="shared" si="89"/>
        <v>26</v>
      </c>
      <c r="C297" s="5">
        <f t="shared" si="92"/>
        <v>46196</v>
      </c>
      <c r="E297" s="32">
        <f t="shared" si="90"/>
        <v>14407810.757471258</v>
      </c>
      <c r="F297" s="32">
        <f t="shared" si="93"/>
        <v>0</v>
      </c>
      <c r="G297" s="32">
        <f t="shared" si="94"/>
        <v>0</v>
      </c>
      <c r="H297" s="32">
        <f t="shared" si="91"/>
        <v>0</v>
      </c>
      <c r="I297" s="60"/>
    </row>
    <row r="298" spans="1:9" x14ac:dyDescent="0.35">
      <c r="A298" s="7">
        <v>273</v>
      </c>
      <c r="B298" s="6">
        <f t="shared" si="89"/>
        <v>26</v>
      </c>
      <c r="C298" s="5">
        <f t="shared" si="92"/>
        <v>46197</v>
      </c>
      <c r="E298" s="32">
        <f t="shared" si="90"/>
        <v>14407810.757471258</v>
      </c>
      <c r="F298" s="32">
        <f t="shared" si="93"/>
        <v>0</v>
      </c>
      <c r="G298" s="32">
        <f t="shared" si="94"/>
        <v>0</v>
      </c>
      <c r="H298" s="32">
        <f t="shared" si="91"/>
        <v>0</v>
      </c>
      <c r="I298" s="60"/>
    </row>
    <row r="299" spans="1:9" x14ac:dyDescent="0.35">
      <c r="A299" s="7">
        <v>274</v>
      </c>
      <c r="B299" s="6">
        <f t="shared" si="89"/>
        <v>26</v>
      </c>
      <c r="C299" s="5">
        <f t="shared" si="92"/>
        <v>46198</v>
      </c>
      <c r="E299" s="32">
        <f t="shared" si="90"/>
        <v>14387905.137471259</v>
      </c>
      <c r="F299" s="32">
        <f t="shared" si="93"/>
        <v>19905.620000000003</v>
      </c>
      <c r="G299" s="32">
        <f t="shared" si="94"/>
        <v>151801.25</v>
      </c>
      <c r="H299" s="32">
        <f t="shared" si="91"/>
        <v>171706.87</v>
      </c>
      <c r="I299" s="60"/>
    </row>
    <row r="300" spans="1:9" x14ac:dyDescent="0.35">
      <c r="A300" s="7">
        <v>275</v>
      </c>
      <c r="B300" s="6">
        <f t="shared" si="89"/>
        <v>26</v>
      </c>
      <c r="C300" s="5">
        <f t="shared" si="92"/>
        <v>46199</v>
      </c>
      <c r="E300" s="32">
        <f t="shared" si="90"/>
        <v>14387905.137471259</v>
      </c>
      <c r="F300" s="32">
        <f t="shared" si="93"/>
        <v>0</v>
      </c>
      <c r="G300" s="32">
        <f t="shared" si="94"/>
        <v>0</v>
      </c>
      <c r="H300" s="32">
        <f t="shared" si="91"/>
        <v>0</v>
      </c>
      <c r="I300" s="60"/>
    </row>
    <row r="301" spans="1:9" x14ac:dyDescent="0.35">
      <c r="A301" s="7">
        <v>276</v>
      </c>
      <c r="B301" s="6">
        <f t="shared" si="89"/>
        <v>26</v>
      </c>
      <c r="C301" s="5">
        <f t="shared" si="92"/>
        <v>46200</v>
      </c>
      <c r="E301" s="32">
        <f t="shared" si="90"/>
        <v>14387905.137471259</v>
      </c>
      <c r="F301" s="32">
        <f t="shared" si="93"/>
        <v>0</v>
      </c>
      <c r="G301" s="32">
        <f t="shared" si="94"/>
        <v>0</v>
      </c>
      <c r="H301" s="32">
        <f t="shared" si="91"/>
        <v>0</v>
      </c>
      <c r="I301" s="60"/>
    </row>
    <row r="302" spans="1:9" x14ac:dyDescent="0.35">
      <c r="A302" s="7">
        <v>277</v>
      </c>
      <c r="B302" s="6">
        <f t="shared" si="89"/>
        <v>26</v>
      </c>
      <c r="C302" s="5">
        <f t="shared" si="92"/>
        <v>46201</v>
      </c>
      <c r="E302" s="32">
        <f t="shared" si="90"/>
        <v>14387905.137471259</v>
      </c>
      <c r="F302" s="32">
        <f t="shared" si="93"/>
        <v>0</v>
      </c>
      <c r="G302" s="32">
        <f t="shared" si="94"/>
        <v>0</v>
      </c>
      <c r="H302" s="32">
        <f t="shared" si="91"/>
        <v>0</v>
      </c>
      <c r="I302" s="60"/>
    </row>
    <row r="303" spans="1:9" x14ac:dyDescent="0.35">
      <c r="A303" s="7">
        <v>278</v>
      </c>
      <c r="B303" s="6">
        <f t="shared" si="89"/>
        <v>27</v>
      </c>
      <c r="C303" s="5">
        <f t="shared" si="92"/>
        <v>46202</v>
      </c>
      <c r="E303" s="32">
        <f t="shared" si="90"/>
        <v>14387905.137471259</v>
      </c>
      <c r="F303" s="32">
        <f t="shared" si="93"/>
        <v>0</v>
      </c>
      <c r="G303" s="32">
        <f t="shared" si="94"/>
        <v>0</v>
      </c>
      <c r="H303" s="32">
        <f t="shared" si="91"/>
        <v>0</v>
      </c>
      <c r="I303" s="60"/>
    </row>
    <row r="304" spans="1:9" x14ac:dyDescent="0.35">
      <c r="A304" s="7">
        <v>279</v>
      </c>
      <c r="B304" s="6">
        <f t="shared" si="89"/>
        <v>27</v>
      </c>
      <c r="C304" s="5">
        <f t="shared" si="92"/>
        <v>46203</v>
      </c>
      <c r="E304" s="32">
        <f t="shared" si="90"/>
        <v>14387905.137471259</v>
      </c>
      <c r="F304" s="32">
        <f t="shared" si="93"/>
        <v>0</v>
      </c>
      <c r="G304" s="32">
        <f t="shared" si="94"/>
        <v>0</v>
      </c>
      <c r="H304" s="32">
        <f t="shared" si="91"/>
        <v>0</v>
      </c>
      <c r="I304" s="60"/>
    </row>
    <row r="305" spans="1:9" x14ac:dyDescent="0.35">
      <c r="A305" s="7">
        <v>280</v>
      </c>
      <c r="B305" s="6">
        <f t="shared" si="89"/>
        <v>27</v>
      </c>
      <c r="C305" s="5">
        <f t="shared" si="92"/>
        <v>46204</v>
      </c>
      <c r="E305" s="32">
        <f t="shared" si="90"/>
        <v>14387905.137471259</v>
      </c>
      <c r="F305" s="32">
        <f t="shared" si="93"/>
        <v>0</v>
      </c>
      <c r="G305" s="32">
        <f t="shared" si="94"/>
        <v>0</v>
      </c>
      <c r="H305" s="32">
        <f t="shared" si="91"/>
        <v>0</v>
      </c>
      <c r="I305" s="60"/>
    </row>
    <row r="306" spans="1:9" x14ac:dyDescent="0.35">
      <c r="A306" s="7">
        <v>281</v>
      </c>
      <c r="B306" s="6">
        <f t="shared" si="89"/>
        <v>27</v>
      </c>
      <c r="C306" s="5">
        <f t="shared" si="92"/>
        <v>46205</v>
      </c>
      <c r="E306" s="32">
        <f t="shared" si="90"/>
        <v>14387905.137471259</v>
      </c>
      <c r="F306" s="32">
        <f t="shared" si="93"/>
        <v>0</v>
      </c>
      <c r="G306" s="32">
        <f t="shared" si="94"/>
        <v>0</v>
      </c>
      <c r="H306" s="32">
        <f t="shared" si="91"/>
        <v>0</v>
      </c>
      <c r="I306" s="60"/>
    </row>
    <row r="307" spans="1:9" x14ac:dyDescent="0.35">
      <c r="A307" s="7">
        <v>282</v>
      </c>
      <c r="B307" s="6">
        <f t="shared" si="89"/>
        <v>27</v>
      </c>
      <c r="C307" s="5">
        <f t="shared" si="92"/>
        <v>46206</v>
      </c>
      <c r="E307" s="32">
        <f t="shared" si="90"/>
        <v>14387905.137471259</v>
      </c>
      <c r="F307" s="32">
        <f t="shared" si="93"/>
        <v>0</v>
      </c>
      <c r="G307" s="32">
        <f t="shared" si="94"/>
        <v>0</v>
      </c>
      <c r="H307" s="32">
        <f t="shared" si="91"/>
        <v>0</v>
      </c>
      <c r="I307" s="60"/>
    </row>
    <row r="308" spans="1:9" x14ac:dyDescent="0.35">
      <c r="A308" s="7">
        <v>283</v>
      </c>
      <c r="B308" s="6">
        <f t="shared" si="89"/>
        <v>27</v>
      </c>
      <c r="C308" s="5">
        <f t="shared" si="92"/>
        <v>46207</v>
      </c>
      <c r="E308" s="32">
        <f t="shared" si="90"/>
        <v>14387905.137471259</v>
      </c>
      <c r="F308" s="32">
        <f t="shared" si="93"/>
        <v>0</v>
      </c>
      <c r="G308" s="32">
        <f t="shared" si="94"/>
        <v>0</v>
      </c>
      <c r="H308" s="32">
        <f t="shared" si="91"/>
        <v>0</v>
      </c>
      <c r="I308" s="60"/>
    </row>
    <row r="309" spans="1:9" x14ac:dyDescent="0.35">
      <c r="A309" s="7">
        <v>284</v>
      </c>
      <c r="B309" s="6">
        <f t="shared" si="89"/>
        <v>27</v>
      </c>
      <c r="C309" s="5">
        <f t="shared" si="92"/>
        <v>46208</v>
      </c>
      <c r="E309" s="32">
        <f t="shared" si="90"/>
        <v>14387905.137471259</v>
      </c>
      <c r="F309" s="32">
        <f t="shared" si="93"/>
        <v>0</v>
      </c>
      <c r="G309" s="32">
        <f t="shared" si="94"/>
        <v>0</v>
      </c>
      <c r="H309" s="32">
        <f t="shared" si="91"/>
        <v>0</v>
      </c>
      <c r="I309" s="60"/>
    </row>
    <row r="310" spans="1:9" x14ac:dyDescent="0.35">
      <c r="A310" s="7">
        <v>285</v>
      </c>
      <c r="B310" s="6">
        <f t="shared" si="89"/>
        <v>28</v>
      </c>
      <c r="C310" s="5">
        <f t="shared" si="92"/>
        <v>46209</v>
      </c>
      <c r="E310" s="32">
        <f t="shared" si="90"/>
        <v>14385971.487471258</v>
      </c>
      <c r="F310" s="32">
        <f t="shared" si="93"/>
        <v>1933.65</v>
      </c>
      <c r="G310" s="32">
        <f t="shared" si="94"/>
        <v>16297.205400324339</v>
      </c>
      <c r="H310" s="32">
        <f t="shared" si="91"/>
        <v>18230.855400324341</v>
      </c>
      <c r="I310" s="60"/>
    </row>
    <row r="311" spans="1:9" x14ac:dyDescent="0.35">
      <c r="A311" s="7">
        <v>286</v>
      </c>
      <c r="B311" s="6">
        <f t="shared" si="89"/>
        <v>28</v>
      </c>
      <c r="C311" s="5">
        <f t="shared" si="92"/>
        <v>46210</v>
      </c>
      <c r="E311" s="32">
        <f t="shared" si="90"/>
        <v>14385971.487471258</v>
      </c>
      <c r="F311" s="32">
        <f t="shared" si="93"/>
        <v>0</v>
      </c>
      <c r="G311" s="32">
        <f t="shared" si="94"/>
        <v>0</v>
      </c>
      <c r="H311" s="32">
        <f t="shared" si="91"/>
        <v>0</v>
      </c>
      <c r="I311" s="60"/>
    </row>
    <row r="312" spans="1:9" x14ac:dyDescent="0.35">
      <c r="A312" s="7">
        <v>287</v>
      </c>
      <c r="B312" s="6">
        <f t="shared" si="89"/>
        <v>28</v>
      </c>
      <c r="C312" s="5">
        <f t="shared" si="92"/>
        <v>46211</v>
      </c>
      <c r="E312" s="32">
        <f t="shared" si="90"/>
        <v>14385971.487471258</v>
      </c>
      <c r="F312" s="32">
        <f t="shared" si="93"/>
        <v>0</v>
      </c>
      <c r="G312" s="32">
        <f t="shared" si="94"/>
        <v>0</v>
      </c>
      <c r="H312" s="32">
        <f t="shared" si="91"/>
        <v>0</v>
      </c>
      <c r="I312" s="60"/>
    </row>
    <row r="313" spans="1:9" x14ac:dyDescent="0.35">
      <c r="A313" s="7">
        <v>288</v>
      </c>
      <c r="B313" s="6">
        <f t="shared" si="89"/>
        <v>28</v>
      </c>
      <c r="C313" s="5">
        <f t="shared" si="92"/>
        <v>46212</v>
      </c>
      <c r="E313" s="32">
        <f t="shared" si="90"/>
        <v>14385971.487471258</v>
      </c>
      <c r="F313" s="32">
        <f t="shared" si="93"/>
        <v>0</v>
      </c>
      <c r="G313" s="32">
        <f t="shared" si="94"/>
        <v>0</v>
      </c>
      <c r="H313" s="32">
        <f t="shared" si="91"/>
        <v>0</v>
      </c>
      <c r="I313" s="60"/>
    </row>
    <row r="314" spans="1:9" x14ac:dyDescent="0.35">
      <c r="A314" s="7">
        <v>289</v>
      </c>
      <c r="B314" s="6">
        <f t="shared" si="89"/>
        <v>28</v>
      </c>
      <c r="C314" s="5">
        <f t="shared" si="92"/>
        <v>46213</v>
      </c>
      <c r="E314" s="32">
        <f t="shared" si="90"/>
        <v>12802333.107471257</v>
      </c>
      <c r="F314" s="32">
        <f t="shared" si="93"/>
        <v>1583638.38</v>
      </c>
      <c r="G314" s="32">
        <f t="shared" si="94"/>
        <v>110854.68694401547</v>
      </c>
      <c r="H314" s="32">
        <f t="shared" si="91"/>
        <v>1694493.0669440154</v>
      </c>
      <c r="I314" s="60"/>
    </row>
    <row r="315" spans="1:9" x14ac:dyDescent="0.35">
      <c r="A315" s="7">
        <v>290</v>
      </c>
      <c r="B315" s="6">
        <f t="shared" si="89"/>
        <v>28</v>
      </c>
      <c r="C315" s="5">
        <f t="shared" si="92"/>
        <v>46214</v>
      </c>
      <c r="E315" s="32">
        <f t="shared" si="90"/>
        <v>12802333.107471257</v>
      </c>
      <c r="F315" s="32">
        <f t="shared" si="93"/>
        <v>0</v>
      </c>
      <c r="G315" s="32">
        <f t="shared" si="94"/>
        <v>0</v>
      </c>
      <c r="H315" s="32">
        <f t="shared" si="91"/>
        <v>0</v>
      </c>
      <c r="I315" s="60"/>
    </row>
    <row r="316" spans="1:9" x14ac:dyDescent="0.35">
      <c r="A316" s="7">
        <v>291</v>
      </c>
      <c r="B316" s="6">
        <f t="shared" si="89"/>
        <v>28</v>
      </c>
      <c r="C316" s="5">
        <f t="shared" si="92"/>
        <v>46215</v>
      </c>
      <c r="E316" s="32">
        <f t="shared" si="90"/>
        <v>12802333.107471257</v>
      </c>
      <c r="F316" s="32">
        <f t="shared" si="93"/>
        <v>0</v>
      </c>
      <c r="G316" s="32">
        <f t="shared" si="94"/>
        <v>0</v>
      </c>
      <c r="H316" s="32">
        <f t="shared" si="91"/>
        <v>0</v>
      </c>
      <c r="I316" s="60"/>
    </row>
    <row r="317" spans="1:9" x14ac:dyDescent="0.35">
      <c r="A317" s="7">
        <v>292</v>
      </c>
      <c r="B317" s="6">
        <f t="shared" si="89"/>
        <v>29</v>
      </c>
      <c r="C317" s="5">
        <f t="shared" si="92"/>
        <v>46216</v>
      </c>
      <c r="E317" s="32">
        <f t="shared" si="90"/>
        <v>12802333.107471257</v>
      </c>
      <c r="F317" s="32">
        <f t="shared" si="93"/>
        <v>0</v>
      </c>
      <c r="G317" s="32">
        <f t="shared" si="94"/>
        <v>0</v>
      </c>
      <c r="H317" s="32">
        <f t="shared" si="91"/>
        <v>0</v>
      </c>
      <c r="I317" s="60"/>
    </row>
    <row r="318" spans="1:9" x14ac:dyDescent="0.35">
      <c r="A318" s="7">
        <v>293</v>
      </c>
      <c r="B318" s="6">
        <f t="shared" si="89"/>
        <v>29</v>
      </c>
      <c r="C318" s="5">
        <f t="shared" si="92"/>
        <v>46217</v>
      </c>
      <c r="E318" s="32">
        <f t="shared" si="90"/>
        <v>12802333.107471257</v>
      </c>
      <c r="F318" s="32">
        <f t="shared" si="93"/>
        <v>0</v>
      </c>
      <c r="G318" s="32">
        <f t="shared" si="94"/>
        <v>0</v>
      </c>
      <c r="H318" s="32">
        <f t="shared" si="91"/>
        <v>0</v>
      </c>
      <c r="I318" s="60"/>
    </row>
    <row r="319" spans="1:9" x14ac:dyDescent="0.35">
      <c r="A319" s="7">
        <v>294</v>
      </c>
      <c r="B319" s="6">
        <f t="shared" si="89"/>
        <v>29</v>
      </c>
      <c r="C319" s="5">
        <f t="shared" si="92"/>
        <v>46218</v>
      </c>
      <c r="E319" s="32">
        <f t="shared" si="90"/>
        <v>12802333.107471257</v>
      </c>
      <c r="F319" s="32">
        <f t="shared" si="93"/>
        <v>0</v>
      </c>
      <c r="G319" s="32">
        <f t="shared" si="94"/>
        <v>0</v>
      </c>
      <c r="H319" s="32">
        <f t="shared" si="91"/>
        <v>0</v>
      </c>
      <c r="I319" s="60"/>
    </row>
    <row r="320" spans="1:9" x14ac:dyDescent="0.35">
      <c r="A320" s="7">
        <v>295</v>
      </c>
      <c r="B320" s="6">
        <f t="shared" si="89"/>
        <v>29</v>
      </c>
      <c r="C320" s="5">
        <f t="shared" si="92"/>
        <v>46219</v>
      </c>
      <c r="E320" s="32">
        <f t="shared" si="90"/>
        <v>12802333.107471257</v>
      </c>
      <c r="F320" s="32">
        <f t="shared" si="93"/>
        <v>0</v>
      </c>
      <c r="G320" s="32">
        <f t="shared" si="94"/>
        <v>0</v>
      </c>
      <c r="H320" s="32">
        <f t="shared" si="91"/>
        <v>0</v>
      </c>
      <c r="I320" s="60"/>
    </row>
    <row r="321" spans="1:9" x14ac:dyDescent="0.35">
      <c r="A321" s="7">
        <v>296</v>
      </c>
      <c r="B321" s="6">
        <f t="shared" si="89"/>
        <v>29</v>
      </c>
      <c r="C321" s="5">
        <f t="shared" si="92"/>
        <v>46220</v>
      </c>
      <c r="E321" s="32">
        <f t="shared" si="90"/>
        <v>12802333.107471257</v>
      </c>
      <c r="F321" s="32">
        <f t="shared" si="93"/>
        <v>0</v>
      </c>
      <c r="G321" s="32">
        <f t="shared" si="94"/>
        <v>0</v>
      </c>
      <c r="H321" s="32">
        <f t="shared" si="91"/>
        <v>0</v>
      </c>
      <c r="I321" s="60"/>
    </row>
    <row r="322" spans="1:9" x14ac:dyDescent="0.35">
      <c r="A322" s="7">
        <v>297</v>
      </c>
      <c r="B322" s="6">
        <f t="shared" si="89"/>
        <v>29</v>
      </c>
      <c r="C322" s="5">
        <f t="shared" si="92"/>
        <v>46221</v>
      </c>
      <c r="E322" s="32">
        <f t="shared" si="90"/>
        <v>12802333.107471257</v>
      </c>
      <c r="F322" s="32">
        <f t="shared" si="93"/>
        <v>0</v>
      </c>
      <c r="G322" s="32">
        <f t="shared" si="94"/>
        <v>0</v>
      </c>
      <c r="H322" s="32">
        <f t="shared" si="91"/>
        <v>0</v>
      </c>
      <c r="I322" s="60"/>
    </row>
    <row r="323" spans="1:9" x14ac:dyDescent="0.35">
      <c r="A323" s="7">
        <v>298</v>
      </c>
      <c r="B323" s="6">
        <f t="shared" si="89"/>
        <v>29</v>
      </c>
      <c r="C323" s="5">
        <f t="shared" si="92"/>
        <v>46222</v>
      </c>
      <c r="E323" s="32">
        <f t="shared" si="90"/>
        <v>12802333.107471257</v>
      </c>
      <c r="F323" s="32">
        <f t="shared" si="93"/>
        <v>0</v>
      </c>
      <c r="G323" s="32">
        <f t="shared" si="94"/>
        <v>0</v>
      </c>
      <c r="H323" s="32">
        <f t="shared" si="91"/>
        <v>0</v>
      </c>
      <c r="I323" s="60"/>
    </row>
    <row r="324" spans="1:9" x14ac:dyDescent="0.35">
      <c r="A324" s="7">
        <v>299</v>
      </c>
      <c r="B324" s="6">
        <f t="shared" si="89"/>
        <v>30</v>
      </c>
      <c r="C324" s="5">
        <f t="shared" si="92"/>
        <v>46223</v>
      </c>
      <c r="E324" s="32">
        <f t="shared" si="90"/>
        <v>12741775.208938833</v>
      </c>
      <c r="F324" s="32">
        <f t="shared" si="93"/>
        <v>60557.898532423678</v>
      </c>
      <c r="G324" s="32">
        <f t="shared" si="94"/>
        <v>14777.886205748691</v>
      </c>
      <c r="H324" s="32">
        <f t="shared" si="91"/>
        <v>75335.78473817237</v>
      </c>
      <c r="I324" s="60"/>
    </row>
    <row r="325" spans="1:9" x14ac:dyDescent="0.35">
      <c r="A325" s="7">
        <v>300</v>
      </c>
      <c r="B325" s="6">
        <f t="shared" si="89"/>
        <v>30</v>
      </c>
      <c r="C325" s="5">
        <f t="shared" si="92"/>
        <v>46224</v>
      </c>
      <c r="E325" s="32">
        <f t="shared" si="90"/>
        <v>12741775.208938833</v>
      </c>
      <c r="F325" s="32">
        <f t="shared" si="93"/>
        <v>0</v>
      </c>
      <c r="G325" s="32">
        <f t="shared" si="94"/>
        <v>0</v>
      </c>
      <c r="H325" s="32">
        <f t="shared" si="91"/>
        <v>0</v>
      </c>
      <c r="I325" s="60"/>
    </row>
    <row r="326" spans="1:9" x14ac:dyDescent="0.35">
      <c r="A326" s="7">
        <v>301</v>
      </c>
      <c r="B326" s="6">
        <f t="shared" si="89"/>
        <v>30</v>
      </c>
      <c r="C326" s="5">
        <f t="shared" si="92"/>
        <v>46225</v>
      </c>
      <c r="E326" s="32">
        <f t="shared" si="90"/>
        <v>12741775.208938833</v>
      </c>
      <c r="F326" s="32">
        <f t="shared" si="93"/>
        <v>0</v>
      </c>
      <c r="G326" s="32">
        <f t="shared" si="94"/>
        <v>0</v>
      </c>
      <c r="H326" s="32">
        <f t="shared" si="91"/>
        <v>0</v>
      </c>
      <c r="I326" s="60"/>
    </row>
    <row r="327" spans="1:9" x14ac:dyDescent="0.35">
      <c r="A327" s="7">
        <v>302</v>
      </c>
      <c r="B327" s="6">
        <f t="shared" si="89"/>
        <v>30</v>
      </c>
      <c r="C327" s="5">
        <f t="shared" si="92"/>
        <v>46226</v>
      </c>
      <c r="E327" s="32">
        <f t="shared" si="90"/>
        <v>12741775.208938833</v>
      </c>
      <c r="F327" s="32">
        <f t="shared" si="93"/>
        <v>0</v>
      </c>
      <c r="G327" s="32">
        <f t="shared" si="94"/>
        <v>0</v>
      </c>
      <c r="H327" s="32">
        <f t="shared" si="91"/>
        <v>0</v>
      </c>
      <c r="I327" s="60"/>
    </row>
    <row r="328" spans="1:9" x14ac:dyDescent="0.35">
      <c r="A328" s="7">
        <v>303</v>
      </c>
      <c r="B328" s="6">
        <f t="shared" si="89"/>
        <v>30</v>
      </c>
      <c r="C328" s="5">
        <f t="shared" si="92"/>
        <v>46227</v>
      </c>
      <c r="E328" s="32">
        <f t="shared" si="90"/>
        <v>12741775.208938833</v>
      </c>
      <c r="F328" s="32">
        <f t="shared" si="93"/>
        <v>0</v>
      </c>
      <c r="G328" s="32">
        <f t="shared" si="94"/>
        <v>0</v>
      </c>
      <c r="H328" s="32">
        <f t="shared" si="91"/>
        <v>0</v>
      </c>
      <c r="I328" s="60"/>
    </row>
    <row r="329" spans="1:9" x14ac:dyDescent="0.35">
      <c r="A329" s="7">
        <v>304</v>
      </c>
      <c r="B329" s="6">
        <f t="shared" si="89"/>
        <v>30</v>
      </c>
      <c r="C329" s="5">
        <f t="shared" si="92"/>
        <v>46228</v>
      </c>
      <c r="E329" s="32">
        <f t="shared" si="90"/>
        <v>12741775.208938833</v>
      </c>
      <c r="F329" s="32">
        <f t="shared" si="93"/>
        <v>0</v>
      </c>
      <c r="G329" s="32">
        <f t="shared" si="94"/>
        <v>0</v>
      </c>
      <c r="H329" s="32">
        <f t="shared" si="91"/>
        <v>0</v>
      </c>
      <c r="I329" s="60"/>
    </row>
    <row r="330" spans="1:9" x14ac:dyDescent="0.35">
      <c r="A330" s="7">
        <v>305</v>
      </c>
      <c r="B330" s="6">
        <f t="shared" si="89"/>
        <v>30</v>
      </c>
      <c r="C330" s="5">
        <f t="shared" si="92"/>
        <v>46229</v>
      </c>
      <c r="E330" s="32">
        <f t="shared" si="90"/>
        <v>12741775.208938833</v>
      </c>
      <c r="F330" s="32">
        <f t="shared" si="93"/>
        <v>0</v>
      </c>
      <c r="G330" s="32">
        <f t="shared" si="94"/>
        <v>0</v>
      </c>
      <c r="H330" s="32">
        <f t="shared" si="91"/>
        <v>0</v>
      </c>
      <c r="I330" s="60"/>
    </row>
    <row r="331" spans="1:9" x14ac:dyDescent="0.35">
      <c r="A331" s="7">
        <v>306</v>
      </c>
      <c r="B331" s="6">
        <f t="shared" si="89"/>
        <v>31</v>
      </c>
      <c r="C331" s="5">
        <f t="shared" si="92"/>
        <v>46230</v>
      </c>
      <c r="E331" s="32">
        <f t="shared" si="90"/>
        <v>12741775.208938833</v>
      </c>
      <c r="F331" s="32">
        <f t="shared" si="93"/>
        <v>0</v>
      </c>
      <c r="G331" s="32">
        <f t="shared" si="94"/>
        <v>0</v>
      </c>
      <c r="H331" s="32">
        <f t="shared" si="91"/>
        <v>0</v>
      </c>
      <c r="I331" s="60"/>
    </row>
    <row r="332" spans="1:9" x14ac:dyDescent="0.35">
      <c r="A332" s="7">
        <v>307</v>
      </c>
      <c r="B332" s="6">
        <f t="shared" si="89"/>
        <v>31</v>
      </c>
      <c r="C332" s="5">
        <f t="shared" si="92"/>
        <v>46231</v>
      </c>
      <c r="E332" s="32">
        <f t="shared" si="90"/>
        <v>12741775.208938833</v>
      </c>
      <c r="F332" s="32">
        <f t="shared" si="93"/>
        <v>0</v>
      </c>
      <c r="G332" s="32">
        <f t="shared" si="94"/>
        <v>0</v>
      </c>
      <c r="H332" s="32">
        <f t="shared" si="91"/>
        <v>0</v>
      </c>
      <c r="I332" s="60"/>
    </row>
    <row r="333" spans="1:9" x14ac:dyDescent="0.35">
      <c r="A333" s="7">
        <v>308</v>
      </c>
      <c r="B333" s="6">
        <f t="shared" si="89"/>
        <v>31</v>
      </c>
      <c r="C333" s="5">
        <f t="shared" si="92"/>
        <v>46232</v>
      </c>
      <c r="E333" s="32">
        <f t="shared" si="90"/>
        <v>12741775.208938833</v>
      </c>
      <c r="F333" s="32">
        <f t="shared" si="93"/>
        <v>0</v>
      </c>
      <c r="G333" s="32">
        <f t="shared" si="94"/>
        <v>0</v>
      </c>
      <c r="H333" s="32">
        <f t="shared" si="91"/>
        <v>0</v>
      </c>
      <c r="I333" s="60"/>
    </row>
    <row r="334" spans="1:9" x14ac:dyDescent="0.35">
      <c r="A334" s="7">
        <v>309</v>
      </c>
      <c r="B334" s="6">
        <f t="shared" si="89"/>
        <v>31</v>
      </c>
      <c r="C334" s="5">
        <f t="shared" si="92"/>
        <v>46233</v>
      </c>
      <c r="E334" s="32">
        <f t="shared" si="90"/>
        <v>12741775.208938833</v>
      </c>
      <c r="F334" s="32">
        <f t="shared" si="93"/>
        <v>0</v>
      </c>
      <c r="G334" s="32">
        <f t="shared" si="94"/>
        <v>0</v>
      </c>
      <c r="H334" s="32">
        <f t="shared" si="91"/>
        <v>0</v>
      </c>
      <c r="I334" s="60"/>
    </row>
    <row r="335" spans="1:9" x14ac:dyDescent="0.35">
      <c r="A335" s="7">
        <v>310</v>
      </c>
      <c r="B335" s="6">
        <f t="shared" si="89"/>
        <v>31</v>
      </c>
      <c r="C335" s="5">
        <f t="shared" si="92"/>
        <v>46234</v>
      </c>
      <c r="E335" s="32">
        <f t="shared" si="90"/>
        <v>12741775.208938833</v>
      </c>
      <c r="F335" s="32">
        <f t="shared" si="93"/>
        <v>0</v>
      </c>
      <c r="G335" s="32">
        <f t="shared" si="94"/>
        <v>0</v>
      </c>
      <c r="H335" s="32">
        <f t="shared" si="91"/>
        <v>0</v>
      </c>
      <c r="I335" s="60"/>
    </row>
    <row r="336" spans="1:9" x14ac:dyDescent="0.35">
      <c r="A336" s="7">
        <v>311</v>
      </c>
      <c r="B336" s="6">
        <f t="shared" si="89"/>
        <v>31</v>
      </c>
      <c r="C336" s="5">
        <f t="shared" si="92"/>
        <v>46235</v>
      </c>
      <c r="E336" s="32">
        <f t="shared" si="90"/>
        <v>12741775.208938833</v>
      </c>
      <c r="F336" s="32">
        <f t="shared" si="93"/>
        <v>0</v>
      </c>
      <c r="G336" s="32">
        <f t="shared" si="94"/>
        <v>0</v>
      </c>
      <c r="H336" s="32">
        <f t="shared" si="91"/>
        <v>0</v>
      </c>
      <c r="I336" s="60"/>
    </row>
    <row r="337" spans="1:9" x14ac:dyDescent="0.35">
      <c r="A337" s="7">
        <v>312</v>
      </c>
      <c r="B337" s="6">
        <f t="shared" si="89"/>
        <v>31</v>
      </c>
      <c r="C337" s="5">
        <f t="shared" si="92"/>
        <v>46236</v>
      </c>
      <c r="E337" s="32">
        <f t="shared" si="90"/>
        <v>12689934.418938834</v>
      </c>
      <c r="F337" s="32">
        <f t="shared" si="93"/>
        <v>51840.79</v>
      </c>
      <c r="G337" s="32">
        <f t="shared" si="94"/>
        <v>15269.752593333331</v>
      </c>
      <c r="H337" s="32">
        <f t="shared" si="91"/>
        <v>67110.542593333332</v>
      </c>
      <c r="I337" s="60"/>
    </row>
    <row r="338" spans="1:9" x14ac:dyDescent="0.35">
      <c r="A338" s="7">
        <v>313</v>
      </c>
      <c r="B338" s="6">
        <f t="shared" si="89"/>
        <v>32</v>
      </c>
      <c r="C338" s="5">
        <f t="shared" si="92"/>
        <v>46237</v>
      </c>
      <c r="E338" s="32">
        <f t="shared" si="90"/>
        <v>12689934.418938834</v>
      </c>
      <c r="F338" s="32">
        <f t="shared" si="93"/>
        <v>0</v>
      </c>
      <c r="G338" s="32">
        <f t="shared" si="94"/>
        <v>0</v>
      </c>
      <c r="H338" s="32">
        <f t="shared" si="91"/>
        <v>0</v>
      </c>
      <c r="I338" s="60"/>
    </row>
    <row r="339" spans="1:9" x14ac:dyDescent="0.35">
      <c r="A339" s="7">
        <v>314</v>
      </c>
      <c r="B339" s="6">
        <f t="shared" si="89"/>
        <v>32</v>
      </c>
      <c r="C339" s="5">
        <f t="shared" si="92"/>
        <v>46238</v>
      </c>
      <c r="E339" s="32">
        <f t="shared" si="90"/>
        <v>12689934.418938834</v>
      </c>
      <c r="F339" s="32">
        <f t="shared" si="93"/>
        <v>0</v>
      </c>
      <c r="G339" s="32">
        <f t="shared" si="94"/>
        <v>0</v>
      </c>
      <c r="H339" s="32">
        <f t="shared" si="91"/>
        <v>0</v>
      </c>
      <c r="I339" s="60"/>
    </row>
    <row r="340" spans="1:9" x14ac:dyDescent="0.35">
      <c r="A340" s="7">
        <v>315</v>
      </c>
      <c r="B340" s="6">
        <f t="shared" si="89"/>
        <v>32</v>
      </c>
      <c r="C340" s="5">
        <f t="shared" si="92"/>
        <v>46239</v>
      </c>
      <c r="E340" s="32">
        <f t="shared" si="90"/>
        <v>12689934.418938834</v>
      </c>
      <c r="F340" s="32">
        <f t="shared" si="93"/>
        <v>0</v>
      </c>
      <c r="G340" s="32">
        <f t="shared" si="94"/>
        <v>0</v>
      </c>
      <c r="H340" s="32">
        <f t="shared" si="91"/>
        <v>0</v>
      </c>
      <c r="I340" s="60"/>
    </row>
    <row r="341" spans="1:9" x14ac:dyDescent="0.35">
      <c r="A341" s="7">
        <v>316</v>
      </c>
      <c r="B341" s="6">
        <f t="shared" si="89"/>
        <v>32</v>
      </c>
      <c r="C341" s="5">
        <f t="shared" si="92"/>
        <v>46240</v>
      </c>
      <c r="E341" s="32">
        <f t="shared" si="90"/>
        <v>12689934.418938834</v>
      </c>
      <c r="F341" s="32">
        <f t="shared" si="93"/>
        <v>0</v>
      </c>
      <c r="G341" s="32">
        <f t="shared" si="94"/>
        <v>0</v>
      </c>
      <c r="H341" s="32">
        <f t="shared" si="91"/>
        <v>0</v>
      </c>
      <c r="I341" s="60"/>
    </row>
    <row r="342" spans="1:9" x14ac:dyDescent="0.35">
      <c r="A342" s="7">
        <v>317</v>
      </c>
      <c r="B342" s="6">
        <f t="shared" si="89"/>
        <v>32</v>
      </c>
      <c r="C342" s="5">
        <f t="shared" si="92"/>
        <v>46241</v>
      </c>
      <c r="E342" s="32">
        <f t="shared" si="90"/>
        <v>12689934.418938834</v>
      </c>
      <c r="F342" s="32">
        <f t="shared" si="93"/>
        <v>0</v>
      </c>
      <c r="G342" s="32">
        <f t="shared" si="94"/>
        <v>0</v>
      </c>
      <c r="H342" s="32">
        <f t="shared" si="91"/>
        <v>0</v>
      </c>
      <c r="I342" s="60"/>
    </row>
    <row r="343" spans="1:9" x14ac:dyDescent="0.35">
      <c r="A343" s="7">
        <v>318</v>
      </c>
      <c r="B343" s="6">
        <f t="shared" si="89"/>
        <v>32</v>
      </c>
      <c r="C343" s="5">
        <f t="shared" si="92"/>
        <v>46242</v>
      </c>
      <c r="E343" s="32">
        <f t="shared" si="90"/>
        <v>12689934.418938834</v>
      </c>
      <c r="F343" s="32">
        <f t="shared" si="93"/>
        <v>0</v>
      </c>
      <c r="G343" s="32">
        <f t="shared" si="94"/>
        <v>0</v>
      </c>
      <c r="H343" s="32">
        <f t="shared" si="91"/>
        <v>0</v>
      </c>
      <c r="I343" s="60"/>
    </row>
    <row r="344" spans="1:9" x14ac:dyDescent="0.35">
      <c r="A344" s="7">
        <v>319</v>
      </c>
      <c r="B344" s="6">
        <f t="shared" si="89"/>
        <v>32</v>
      </c>
      <c r="C344" s="5">
        <f t="shared" si="92"/>
        <v>46243</v>
      </c>
      <c r="E344" s="32">
        <f t="shared" si="90"/>
        <v>12689934.418938834</v>
      </c>
      <c r="F344" s="32">
        <f t="shared" si="93"/>
        <v>0</v>
      </c>
      <c r="G344" s="32">
        <f t="shared" si="94"/>
        <v>0</v>
      </c>
      <c r="H344" s="32">
        <f t="shared" si="91"/>
        <v>0</v>
      </c>
      <c r="I344" s="60"/>
    </row>
    <row r="345" spans="1:9" x14ac:dyDescent="0.35">
      <c r="A345" s="7">
        <v>320</v>
      </c>
      <c r="B345" s="6">
        <f t="shared" si="89"/>
        <v>33</v>
      </c>
      <c r="C345" s="5">
        <f t="shared" si="92"/>
        <v>46244</v>
      </c>
      <c r="E345" s="32">
        <f t="shared" si="90"/>
        <v>11106296.038938835</v>
      </c>
      <c r="F345" s="32">
        <f t="shared" si="93"/>
        <v>1583638.38</v>
      </c>
      <c r="G345" s="32">
        <f t="shared" si="94"/>
        <v>106367.71154548267</v>
      </c>
      <c r="H345" s="32">
        <f t="shared" si="91"/>
        <v>1690006.0915454826</v>
      </c>
      <c r="I345" s="60"/>
    </row>
    <row r="346" spans="1:9" x14ac:dyDescent="0.35">
      <c r="A346" s="7">
        <v>321</v>
      </c>
      <c r="B346" s="6">
        <f t="shared" ref="B346:B390" si="95">+WEEKNUM(C346,2)</f>
        <v>33</v>
      </c>
      <c r="C346" s="5">
        <f t="shared" si="92"/>
        <v>46245</v>
      </c>
      <c r="E346" s="32">
        <f t="shared" si="90"/>
        <v>11106296.038938835</v>
      </c>
      <c r="F346" s="32">
        <f t="shared" si="93"/>
        <v>0</v>
      </c>
      <c r="G346" s="32">
        <f t="shared" si="94"/>
        <v>0</v>
      </c>
      <c r="H346" s="32">
        <f t="shared" si="91"/>
        <v>0</v>
      </c>
      <c r="I346" s="60"/>
    </row>
    <row r="347" spans="1:9" x14ac:dyDescent="0.35">
      <c r="A347" s="7">
        <v>322</v>
      </c>
      <c r="B347" s="6">
        <f t="shared" si="95"/>
        <v>33</v>
      </c>
      <c r="C347" s="5">
        <f t="shared" si="92"/>
        <v>46246</v>
      </c>
      <c r="E347" s="32">
        <f t="shared" ref="E347:E390" si="96">+E346+D347-F347</f>
        <v>11106296.038938835</v>
      </c>
      <c r="F347" s="32">
        <f t="shared" si="93"/>
        <v>0</v>
      </c>
      <c r="G347" s="32">
        <f t="shared" si="94"/>
        <v>0</v>
      </c>
      <c r="H347" s="32">
        <f t="shared" ref="H347:H390" si="97">+SUM(F347:G347)</f>
        <v>0</v>
      </c>
      <c r="I347" s="60"/>
    </row>
    <row r="348" spans="1:9" x14ac:dyDescent="0.35">
      <c r="A348" s="7">
        <v>323</v>
      </c>
      <c r="B348" s="6">
        <f t="shared" si="95"/>
        <v>33</v>
      </c>
      <c r="C348" s="5">
        <f t="shared" si="92"/>
        <v>46247</v>
      </c>
      <c r="E348" s="32">
        <f t="shared" si="96"/>
        <v>11106296.038938835</v>
      </c>
      <c r="F348" s="32">
        <f t="shared" si="93"/>
        <v>0</v>
      </c>
      <c r="G348" s="32">
        <f t="shared" si="94"/>
        <v>0</v>
      </c>
      <c r="H348" s="32">
        <f t="shared" si="97"/>
        <v>0</v>
      </c>
      <c r="I348" s="60"/>
    </row>
    <row r="349" spans="1:9" x14ac:dyDescent="0.35">
      <c r="A349" s="7">
        <v>324</v>
      </c>
      <c r="B349" s="6">
        <f t="shared" si="95"/>
        <v>33</v>
      </c>
      <c r="C349" s="5">
        <f t="shared" si="92"/>
        <v>46248</v>
      </c>
      <c r="E349" s="32">
        <f t="shared" si="96"/>
        <v>11106296.038938835</v>
      </c>
      <c r="F349" s="32">
        <f t="shared" si="93"/>
        <v>0</v>
      </c>
      <c r="G349" s="32">
        <f t="shared" si="94"/>
        <v>0</v>
      </c>
      <c r="H349" s="32">
        <f t="shared" si="97"/>
        <v>0</v>
      </c>
      <c r="I349" s="60"/>
    </row>
    <row r="350" spans="1:9" x14ac:dyDescent="0.35">
      <c r="A350" s="7">
        <v>325</v>
      </c>
      <c r="B350" s="6">
        <f t="shared" si="95"/>
        <v>33</v>
      </c>
      <c r="C350" s="5">
        <f t="shared" si="92"/>
        <v>46249</v>
      </c>
      <c r="E350" s="32">
        <f t="shared" si="96"/>
        <v>7033298.1576995365</v>
      </c>
      <c r="F350" s="32">
        <f t="shared" si="93"/>
        <v>4072997.8812392987</v>
      </c>
      <c r="G350" s="32">
        <f t="shared" si="94"/>
        <v>1907961.1322704393</v>
      </c>
      <c r="H350" s="32">
        <f t="shared" si="97"/>
        <v>5980959.0135097383</v>
      </c>
      <c r="I350" s="60"/>
    </row>
    <row r="351" spans="1:9" x14ac:dyDescent="0.35">
      <c r="A351" s="7">
        <v>326</v>
      </c>
      <c r="B351" s="6">
        <f t="shared" si="95"/>
        <v>33</v>
      </c>
      <c r="C351" s="5">
        <f t="shared" si="92"/>
        <v>46250</v>
      </c>
      <c r="E351" s="32">
        <f t="shared" si="96"/>
        <v>7033298.1576995365</v>
      </c>
      <c r="F351" s="32">
        <f t="shared" si="93"/>
        <v>0</v>
      </c>
      <c r="G351" s="32">
        <f t="shared" si="94"/>
        <v>0</v>
      </c>
      <c r="H351" s="32">
        <f t="shared" si="97"/>
        <v>0</v>
      </c>
      <c r="I351" s="60"/>
    </row>
    <row r="352" spans="1:9" x14ac:dyDescent="0.35">
      <c r="A352" s="7">
        <v>327</v>
      </c>
      <c r="B352" s="6">
        <f t="shared" si="95"/>
        <v>34</v>
      </c>
      <c r="C352" s="5">
        <f t="shared" si="92"/>
        <v>46251</v>
      </c>
      <c r="E352" s="32">
        <f t="shared" si="96"/>
        <v>7033298.1576995365</v>
      </c>
      <c r="F352" s="32">
        <f t="shared" si="93"/>
        <v>0</v>
      </c>
      <c r="G352" s="32">
        <f t="shared" si="94"/>
        <v>0</v>
      </c>
      <c r="H352" s="32">
        <f t="shared" si="97"/>
        <v>0</v>
      </c>
      <c r="I352" s="60"/>
    </row>
    <row r="353" spans="1:9" x14ac:dyDescent="0.35">
      <c r="A353" s="7">
        <v>328</v>
      </c>
      <c r="B353" s="6">
        <f t="shared" si="95"/>
        <v>34</v>
      </c>
      <c r="C353" s="5">
        <f t="shared" ref="C353:C390" si="98">+C352+1</f>
        <v>46252</v>
      </c>
      <c r="E353" s="32">
        <f t="shared" si="96"/>
        <v>7033298.1576995365</v>
      </c>
      <c r="F353" s="32">
        <f t="shared" ref="F353:F390" si="99">+SUMIF(O:O,C353,R:R)+SUMIF(AE:AE,C353,AH:AH)+SUMIF(AT:AT,C353,AW:AW)+SUMIF(BI:BI,C353,BL:BL)+SUMIF(BY:BY,C353,CB:CB)+SUMIF(BY:BY,C353,CC:CC)+SUMIF(CP:CP,C353,CS:CS)+SUMIF(CY:CY,C353,DB:DB)+SUMIF(DN:DN,C353,DQ:DQ)+SUMIF(EC:EC,C353,EF:EF)+SUMIF(ER:ER,C353,EU:EU)+SUMIF(FA:FA,C353,FD:FD)+SUMIF(FK:FK,C353,FN:FN)+SUMIF(FT:FT,C353,FW:FW)+SUMIF(GC:GC,C353,GF:GF)+SUMIF(GL:GL,C353,GO:GO)+SUMIF(GU:GU,C353,GX:GX)+SUMIF(HD:HD,C353,HG:HG)</f>
        <v>0</v>
      </c>
      <c r="G353" s="32">
        <f t="shared" ref="G353:G390" si="100">+SUMIF(O:O,C353,T:T)+SUMIF(O:O,C353,S:S)+SUMIF(AE:AE,C353,AI:AI)+SUMIF(AT:AT,C353,AX:AX)+SUMIF(BI:BI,C353,BN:BN)+SUMIF(BI:BI,C353,BM:BM)+SUMIF(BY:BY,C353,CD:CD)+SUMIF(BY:BY,C353,CE:CE)+SUMIF(CP:CP,C353,CT:CT)+SUMIF(CY:CY,C353,DC:DC)+SUMIF(DN:DN,C353,DR:DR)+SUMIF(EC:EC,C353,EG:EG)+SUMIF(ER:ER,C353,EV:EV)+SUMIF(FA:FA,C353,FE:FE)+SUMIF(FK:FK,C353,FO:FO)+SUMIF(FT:FT,C353,FX:FX)+SUMIF(GC:GC,C353,GG:GG)+SUMIF(GL:GL,C353,GP:GP)+SUMIF(GU:GU,C353,GY:GY)+SUMIF(HD:HD,C353,HH:HH)</f>
        <v>0</v>
      </c>
      <c r="H353" s="32">
        <f t="shared" si="97"/>
        <v>0</v>
      </c>
      <c r="I353" s="60"/>
    </row>
    <row r="354" spans="1:9" x14ac:dyDescent="0.35">
      <c r="A354" s="7">
        <v>329</v>
      </c>
      <c r="B354" s="6">
        <f t="shared" si="95"/>
        <v>34</v>
      </c>
      <c r="C354" s="5">
        <f t="shared" si="98"/>
        <v>46253</v>
      </c>
      <c r="E354" s="32">
        <f t="shared" si="96"/>
        <v>7033298.1576995365</v>
      </c>
      <c r="F354" s="32">
        <f t="shared" si="99"/>
        <v>0</v>
      </c>
      <c r="G354" s="32">
        <f t="shared" si="100"/>
        <v>0</v>
      </c>
      <c r="H354" s="32">
        <f t="shared" si="97"/>
        <v>0</v>
      </c>
      <c r="I354" s="60"/>
    </row>
    <row r="355" spans="1:9" x14ac:dyDescent="0.35">
      <c r="A355" s="7">
        <v>330</v>
      </c>
      <c r="B355" s="6">
        <f t="shared" si="95"/>
        <v>34</v>
      </c>
      <c r="C355" s="5">
        <f t="shared" si="98"/>
        <v>46254</v>
      </c>
      <c r="E355" s="32">
        <f t="shared" si="96"/>
        <v>6508250.6930000009</v>
      </c>
      <c r="F355" s="32">
        <f t="shared" si="99"/>
        <v>525047.46469953598</v>
      </c>
      <c r="G355" s="32">
        <f t="shared" si="100"/>
        <v>245279.91295805926</v>
      </c>
      <c r="H355" s="32">
        <f t="shared" si="97"/>
        <v>770327.37765759521</v>
      </c>
      <c r="I355" s="60"/>
    </row>
    <row r="356" spans="1:9" x14ac:dyDescent="0.35">
      <c r="A356" s="7">
        <v>331</v>
      </c>
      <c r="B356" s="6">
        <f t="shared" si="95"/>
        <v>34</v>
      </c>
      <c r="C356" s="5">
        <f t="shared" si="98"/>
        <v>46255</v>
      </c>
      <c r="E356" s="32">
        <f t="shared" si="96"/>
        <v>6508250.6930000009</v>
      </c>
      <c r="F356" s="32">
        <f t="shared" si="99"/>
        <v>0</v>
      </c>
      <c r="G356" s="32">
        <f t="shared" si="100"/>
        <v>0</v>
      </c>
      <c r="H356" s="32">
        <f t="shared" si="97"/>
        <v>0</v>
      </c>
      <c r="I356" s="60"/>
    </row>
    <row r="357" spans="1:9" x14ac:dyDescent="0.35">
      <c r="A357" s="7">
        <v>332</v>
      </c>
      <c r="B357" s="6">
        <f t="shared" si="95"/>
        <v>34</v>
      </c>
      <c r="C357" s="5">
        <f t="shared" si="98"/>
        <v>46256</v>
      </c>
      <c r="E357" s="32">
        <f t="shared" si="96"/>
        <v>6508250.6930000009</v>
      </c>
      <c r="F357" s="32">
        <f t="shared" si="99"/>
        <v>0</v>
      </c>
      <c r="G357" s="32">
        <f t="shared" si="100"/>
        <v>0</v>
      </c>
      <c r="H357" s="32">
        <f t="shared" si="97"/>
        <v>0</v>
      </c>
      <c r="I357" s="60"/>
    </row>
    <row r="358" spans="1:9" x14ac:dyDescent="0.35">
      <c r="A358" s="7">
        <v>333</v>
      </c>
      <c r="B358" s="6">
        <f t="shared" si="95"/>
        <v>34</v>
      </c>
      <c r="C358" s="5">
        <f t="shared" si="98"/>
        <v>46257</v>
      </c>
      <c r="E358" s="32">
        <f t="shared" si="96"/>
        <v>6508250.6930000009</v>
      </c>
      <c r="F358" s="32">
        <f t="shared" si="99"/>
        <v>0</v>
      </c>
      <c r="G358" s="32">
        <f t="shared" si="100"/>
        <v>0</v>
      </c>
      <c r="H358" s="32">
        <f t="shared" si="97"/>
        <v>0</v>
      </c>
      <c r="I358" s="60"/>
    </row>
    <row r="359" spans="1:9" x14ac:dyDescent="0.35">
      <c r="A359" s="7">
        <v>334</v>
      </c>
      <c r="B359" s="6">
        <f t="shared" si="95"/>
        <v>35</v>
      </c>
      <c r="C359" s="5">
        <f t="shared" si="98"/>
        <v>46258</v>
      </c>
      <c r="E359" s="32">
        <f t="shared" si="96"/>
        <v>6508250.6930000009</v>
      </c>
      <c r="F359" s="32">
        <f t="shared" si="99"/>
        <v>0</v>
      </c>
      <c r="G359" s="32">
        <f t="shared" si="100"/>
        <v>0</v>
      </c>
      <c r="H359" s="32">
        <f t="shared" si="97"/>
        <v>0</v>
      </c>
      <c r="I359" s="60"/>
    </row>
    <row r="360" spans="1:9" x14ac:dyDescent="0.35">
      <c r="A360" s="7">
        <v>335</v>
      </c>
      <c r="B360" s="6">
        <f t="shared" si="95"/>
        <v>35</v>
      </c>
      <c r="C360" s="5">
        <f t="shared" si="98"/>
        <v>46259</v>
      </c>
      <c r="E360" s="32">
        <f t="shared" si="96"/>
        <v>6508250.6930000009</v>
      </c>
      <c r="F360" s="32">
        <f t="shared" si="99"/>
        <v>0</v>
      </c>
      <c r="G360" s="32">
        <f t="shared" si="100"/>
        <v>0</v>
      </c>
      <c r="H360" s="32">
        <f t="shared" si="97"/>
        <v>0</v>
      </c>
      <c r="I360" s="60"/>
    </row>
    <row r="361" spans="1:9" x14ac:dyDescent="0.35">
      <c r="A361" s="7">
        <v>336</v>
      </c>
      <c r="B361" s="6">
        <f t="shared" si="95"/>
        <v>35</v>
      </c>
      <c r="C361" s="5">
        <f t="shared" si="98"/>
        <v>46260</v>
      </c>
      <c r="E361" s="32">
        <f t="shared" si="96"/>
        <v>6508250.6930000009</v>
      </c>
      <c r="F361" s="32">
        <f t="shared" si="99"/>
        <v>0</v>
      </c>
      <c r="G361" s="32">
        <f t="shared" si="100"/>
        <v>0</v>
      </c>
      <c r="H361" s="32">
        <f t="shared" si="97"/>
        <v>0</v>
      </c>
      <c r="I361" s="60"/>
    </row>
    <row r="362" spans="1:9" x14ac:dyDescent="0.35">
      <c r="A362" s="7">
        <v>337</v>
      </c>
      <c r="B362" s="6">
        <f t="shared" si="95"/>
        <v>35</v>
      </c>
      <c r="C362" s="5">
        <f t="shared" si="98"/>
        <v>46261</v>
      </c>
      <c r="E362" s="32">
        <f t="shared" si="96"/>
        <v>6508250.6930000009</v>
      </c>
      <c r="F362" s="32">
        <f t="shared" si="99"/>
        <v>0</v>
      </c>
      <c r="G362" s="32">
        <f t="shared" si="100"/>
        <v>0</v>
      </c>
      <c r="H362" s="32">
        <f t="shared" si="97"/>
        <v>0</v>
      </c>
      <c r="I362" s="60"/>
    </row>
    <row r="363" spans="1:9" x14ac:dyDescent="0.35">
      <c r="A363" s="7">
        <v>338</v>
      </c>
      <c r="B363" s="6">
        <f t="shared" si="95"/>
        <v>35</v>
      </c>
      <c r="C363" s="5">
        <f t="shared" si="98"/>
        <v>46262</v>
      </c>
      <c r="E363" s="32">
        <f t="shared" si="96"/>
        <v>6508250.6930000009</v>
      </c>
      <c r="F363" s="32">
        <f t="shared" si="99"/>
        <v>0</v>
      </c>
      <c r="G363" s="32">
        <f t="shared" si="100"/>
        <v>0</v>
      </c>
      <c r="H363" s="32">
        <f t="shared" si="97"/>
        <v>0</v>
      </c>
      <c r="I363" s="60"/>
    </row>
    <row r="364" spans="1:9" x14ac:dyDescent="0.35">
      <c r="A364" s="7">
        <v>339</v>
      </c>
      <c r="B364" s="6">
        <f t="shared" si="95"/>
        <v>35</v>
      </c>
      <c r="C364" s="5">
        <f t="shared" si="98"/>
        <v>46263</v>
      </c>
      <c r="E364" s="32">
        <f t="shared" si="96"/>
        <v>6508250.6930000009</v>
      </c>
      <c r="F364" s="32">
        <f t="shared" si="99"/>
        <v>0</v>
      </c>
      <c r="G364" s="32">
        <f t="shared" si="100"/>
        <v>0</v>
      </c>
      <c r="H364" s="32">
        <f t="shared" si="97"/>
        <v>0</v>
      </c>
      <c r="I364" s="60"/>
    </row>
    <row r="365" spans="1:9" x14ac:dyDescent="0.35">
      <c r="A365" s="7">
        <v>340</v>
      </c>
      <c r="B365" s="6">
        <f t="shared" si="95"/>
        <v>35</v>
      </c>
      <c r="C365" s="5">
        <f t="shared" si="98"/>
        <v>46264</v>
      </c>
      <c r="E365" s="32">
        <f t="shared" si="96"/>
        <v>6423811.8330000006</v>
      </c>
      <c r="F365" s="32">
        <f t="shared" si="99"/>
        <v>84438.86</v>
      </c>
      <c r="G365" s="32">
        <f t="shared" si="100"/>
        <v>4189.88</v>
      </c>
      <c r="H365" s="32">
        <f t="shared" si="97"/>
        <v>88628.74</v>
      </c>
      <c r="I365" s="60"/>
    </row>
    <row r="366" spans="1:9" x14ac:dyDescent="0.35">
      <c r="A366" s="7">
        <v>341</v>
      </c>
      <c r="B366" s="6">
        <f t="shared" si="95"/>
        <v>36</v>
      </c>
      <c r="C366" s="5">
        <f t="shared" si="98"/>
        <v>46265</v>
      </c>
      <c r="E366" s="32">
        <f t="shared" si="96"/>
        <v>6423811.8330000006</v>
      </c>
      <c r="F366" s="32">
        <f t="shared" si="99"/>
        <v>0</v>
      </c>
      <c r="G366" s="32">
        <f t="shared" si="100"/>
        <v>0</v>
      </c>
      <c r="H366" s="32">
        <f t="shared" si="97"/>
        <v>0</v>
      </c>
      <c r="I366" s="60"/>
    </row>
    <row r="367" spans="1:9" x14ac:dyDescent="0.35">
      <c r="A367" s="7">
        <v>342</v>
      </c>
      <c r="B367" s="6">
        <f t="shared" si="95"/>
        <v>36</v>
      </c>
      <c r="C367" s="5">
        <f t="shared" si="98"/>
        <v>46266</v>
      </c>
      <c r="E367" s="32">
        <f t="shared" si="96"/>
        <v>6423811.8330000006</v>
      </c>
      <c r="F367" s="32">
        <f t="shared" si="99"/>
        <v>0</v>
      </c>
      <c r="G367" s="32">
        <f t="shared" si="100"/>
        <v>0</v>
      </c>
      <c r="H367" s="32">
        <f t="shared" si="97"/>
        <v>0</v>
      </c>
      <c r="I367" s="60"/>
    </row>
    <row r="368" spans="1:9" x14ac:dyDescent="0.35">
      <c r="A368" s="7">
        <v>343</v>
      </c>
      <c r="B368" s="6">
        <f t="shared" si="95"/>
        <v>36</v>
      </c>
      <c r="C368" s="5">
        <f t="shared" si="98"/>
        <v>46267</v>
      </c>
      <c r="E368" s="32">
        <f t="shared" si="96"/>
        <v>6423811.8330000006</v>
      </c>
      <c r="F368" s="32">
        <f t="shared" si="99"/>
        <v>0</v>
      </c>
      <c r="G368" s="32">
        <f t="shared" si="100"/>
        <v>0</v>
      </c>
      <c r="H368" s="32">
        <f t="shared" si="97"/>
        <v>0</v>
      </c>
      <c r="I368" s="60"/>
    </row>
    <row r="369" spans="1:9" x14ac:dyDescent="0.35">
      <c r="A369" s="7">
        <v>344</v>
      </c>
      <c r="B369" s="6">
        <f t="shared" si="95"/>
        <v>36</v>
      </c>
      <c r="C369" s="5">
        <f t="shared" si="98"/>
        <v>46268</v>
      </c>
      <c r="E369" s="32">
        <f t="shared" si="96"/>
        <v>6423811.8330000006</v>
      </c>
      <c r="F369" s="32">
        <f t="shared" si="99"/>
        <v>0</v>
      </c>
      <c r="G369" s="32">
        <f t="shared" si="100"/>
        <v>0</v>
      </c>
      <c r="H369" s="32">
        <f t="shared" si="97"/>
        <v>0</v>
      </c>
      <c r="I369" s="60"/>
    </row>
    <row r="370" spans="1:9" x14ac:dyDescent="0.35">
      <c r="A370" s="7">
        <v>345</v>
      </c>
      <c r="B370" s="6">
        <f t="shared" si="95"/>
        <v>36</v>
      </c>
      <c r="C370" s="5">
        <f t="shared" si="98"/>
        <v>46269</v>
      </c>
      <c r="E370" s="32">
        <f t="shared" si="96"/>
        <v>6423811.8330000006</v>
      </c>
      <c r="F370" s="32">
        <f t="shared" si="99"/>
        <v>0</v>
      </c>
      <c r="G370" s="32">
        <f t="shared" si="100"/>
        <v>0</v>
      </c>
      <c r="H370" s="32">
        <f t="shared" si="97"/>
        <v>0</v>
      </c>
      <c r="I370" s="60"/>
    </row>
    <row r="371" spans="1:9" x14ac:dyDescent="0.35">
      <c r="A371" s="7">
        <v>346</v>
      </c>
      <c r="B371" s="6">
        <f t="shared" si="95"/>
        <v>36</v>
      </c>
      <c r="C371" s="5">
        <f t="shared" si="98"/>
        <v>46270</v>
      </c>
      <c r="E371" s="32">
        <f t="shared" si="96"/>
        <v>6423811.8330000006</v>
      </c>
      <c r="F371" s="32">
        <f t="shared" si="99"/>
        <v>0</v>
      </c>
      <c r="G371" s="32">
        <f t="shared" si="100"/>
        <v>0</v>
      </c>
      <c r="H371" s="32">
        <f t="shared" si="97"/>
        <v>0</v>
      </c>
      <c r="I371" s="60"/>
    </row>
    <row r="372" spans="1:9" x14ac:dyDescent="0.35">
      <c r="A372" s="7">
        <v>347</v>
      </c>
      <c r="B372" s="6">
        <f t="shared" si="95"/>
        <v>36</v>
      </c>
      <c r="C372" s="5">
        <f t="shared" si="98"/>
        <v>46271</v>
      </c>
      <c r="E372" s="32">
        <f t="shared" si="96"/>
        <v>6423811.8330000006</v>
      </c>
      <c r="F372" s="32">
        <f t="shared" si="99"/>
        <v>0</v>
      </c>
      <c r="G372" s="32">
        <f t="shared" si="100"/>
        <v>0</v>
      </c>
      <c r="H372" s="32">
        <f t="shared" si="97"/>
        <v>0</v>
      </c>
      <c r="I372" s="60"/>
    </row>
    <row r="373" spans="1:9" x14ac:dyDescent="0.35">
      <c r="A373" s="7">
        <v>348</v>
      </c>
      <c r="B373" s="6">
        <f t="shared" si="95"/>
        <v>37</v>
      </c>
      <c r="C373" s="5">
        <f t="shared" si="98"/>
        <v>46272</v>
      </c>
      <c r="E373" s="32">
        <f t="shared" si="96"/>
        <v>6423811.8330000006</v>
      </c>
      <c r="F373" s="32">
        <f t="shared" si="99"/>
        <v>0</v>
      </c>
      <c r="G373" s="32">
        <f t="shared" si="100"/>
        <v>0</v>
      </c>
      <c r="H373" s="32">
        <f t="shared" si="97"/>
        <v>0</v>
      </c>
      <c r="I373" s="60"/>
    </row>
    <row r="374" spans="1:9" x14ac:dyDescent="0.35">
      <c r="A374" s="7">
        <v>349</v>
      </c>
      <c r="B374" s="6">
        <f t="shared" si="95"/>
        <v>37</v>
      </c>
      <c r="C374" s="5">
        <f t="shared" si="98"/>
        <v>46273</v>
      </c>
      <c r="E374" s="32">
        <f t="shared" si="96"/>
        <v>6423811.8330000006</v>
      </c>
      <c r="F374" s="32">
        <f t="shared" si="99"/>
        <v>0</v>
      </c>
      <c r="G374" s="32">
        <f t="shared" si="100"/>
        <v>0</v>
      </c>
      <c r="H374" s="32">
        <f t="shared" si="97"/>
        <v>0</v>
      </c>
      <c r="I374" s="60"/>
    </row>
    <row r="375" spans="1:9" x14ac:dyDescent="0.35">
      <c r="A375" s="7">
        <v>350</v>
      </c>
      <c r="B375" s="6">
        <f t="shared" si="95"/>
        <v>37</v>
      </c>
      <c r="C375" s="5">
        <f t="shared" si="98"/>
        <v>46274</v>
      </c>
      <c r="E375" s="32">
        <f t="shared" si="96"/>
        <v>6423811.8330000006</v>
      </c>
      <c r="F375" s="32">
        <f t="shared" si="99"/>
        <v>0</v>
      </c>
      <c r="G375" s="32">
        <f t="shared" si="100"/>
        <v>0</v>
      </c>
      <c r="H375" s="32">
        <f t="shared" si="97"/>
        <v>0</v>
      </c>
      <c r="I375" s="60"/>
    </row>
    <row r="376" spans="1:9" x14ac:dyDescent="0.35">
      <c r="A376" s="7">
        <v>351</v>
      </c>
      <c r="B376" s="6">
        <f t="shared" si="95"/>
        <v>37</v>
      </c>
      <c r="C376" s="5">
        <f t="shared" si="98"/>
        <v>46275</v>
      </c>
      <c r="E376" s="32">
        <f t="shared" si="96"/>
        <v>4840173.4530000007</v>
      </c>
      <c r="F376" s="32">
        <f t="shared" si="99"/>
        <v>1583638.38</v>
      </c>
      <c r="G376" s="32">
        <f t="shared" si="100"/>
        <v>98185.579915482682</v>
      </c>
      <c r="H376" s="32">
        <f t="shared" si="97"/>
        <v>1681823.9599154827</v>
      </c>
      <c r="I376" s="60"/>
    </row>
    <row r="377" spans="1:9" x14ac:dyDescent="0.35">
      <c r="A377" s="7">
        <v>352</v>
      </c>
      <c r="B377" s="6">
        <f t="shared" si="95"/>
        <v>37</v>
      </c>
      <c r="C377" s="5">
        <f t="shared" si="98"/>
        <v>46276</v>
      </c>
      <c r="E377" s="32">
        <f t="shared" si="96"/>
        <v>4840173.4530000007</v>
      </c>
      <c r="F377" s="32">
        <f t="shared" si="99"/>
        <v>0</v>
      </c>
      <c r="G377" s="32">
        <f t="shared" si="100"/>
        <v>0</v>
      </c>
      <c r="H377" s="32">
        <f t="shared" si="97"/>
        <v>0</v>
      </c>
      <c r="I377" s="60"/>
    </row>
    <row r="378" spans="1:9" x14ac:dyDescent="0.35">
      <c r="A378" s="7">
        <v>353</v>
      </c>
      <c r="B378" s="6">
        <f t="shared" si="95"/>
        <v>37</v>
      </c>
      <c r="C378" s="5">
        <f t="shared" si="98"/>
        <v>46277</v>
      </c>
      <c r="E378" s="32">
        <f t="shared" si="96"/>
        <v>4840173.4530000007</v>
      </c>
      <c r="F378" s="32">
        <f t="shared" si="99"/>
        <v>0</v>
      </c>
      <c r="G378" s="32">
        <f t="shared" si="100"/>
        <v>0</v>
      </c>
      <c r="H378" s="32">
        <f t="shared" si="97"/>
        <v>0</v>
      </c>
      <c r="I378" s="60"/>
    </row>
    <row r="379" spans="1:9" x14ac:dyDescent="0.35">
      <c r="A379" s="7">
        <v>354</v>
      </c>
      <c r="B379" s="6">
        <f t="shared" si="95"/>
        <v>37</v>
      </c>
      <c r="C379" s="5">
        <f t="shared" si="98"/>
        <v>46278</v>
      </c>
      <c r="E379" s="32">
        <f t="shared" si="96"/>
        <v>4840173.4530000007</v>
      </c>
      <c r="F379" s="32">
        <f t="shared" si="99"/>
        <v>0</v>
      </c>
      <c r="G379" s="32">
        <f t="shared" si="100"/>
        <v>0</v>
      </c>
      <c r="H379" s="32">
        <f t="shared" si="97"/>
        <v>0</v>
      </c>
      <c r="I379" s="60"/>
    </row>
    <row r="380" spans="1:9" x14ac:dyDescent="0.35">
      <c r="A380" s="7">
        <v>355</v>
      </c>
      <c r="B380" s="6">
        <f t="shared" si="95"/>
        <v>38</v>
      </c>
      <c r="C380" s="5">
        <f t="shared" si="98"/>
        <v>46279</v>
      </c>
      <c r="E380" s="32">
        <f t="shared" si="96"/>
        <v>4735855.5930000003</v>
      </c>
      <c r="F380" s="32">
        <f t="shared" si="99"/>
        <v>104317.86</v>
      </c>
      <c r="G380" s="32">
        <f t="shared" si="100"/>
        <v>17594.947406666655</v>
      </c>
      <c r="H380" s="32">
        <f t="shared" si="97"/>
        <v>121912.80740666666</v>
      </c>
      <c r="I380" s="60"/>
    </row>
    <row r="381" spans="1:9" x14ac:dyDescent="0.35">
      <c r="A381" s="7">
        <v>356</v>
      </c>
      <c r="B381" s="6">
        <f t="shared" si="95"/>
        <v>38</v>
      </c>
      <c r="C381" s="5">
        <f t="shared" si="98"/>
        <v>46280</v>
      </c>
      <c r="E381" s="32">
        <f t="shared" si="96"/>
        <v>4735855.5930000003</v>
      </c>
      <c r="F381" s="32">
        <f t="shared" si="99"/>
        <v>0</v>
      </c>
      <c r="G381" s="32">
        <f t="shared" si="100"/>
        <v>0</v>
      </c>
      <c r="H381" s="32">
        <f t="shared" si="97"/>
        <v>0</v>
      </c>
      <c r="I381" s="60"/>
    </row>
    <row r="382" spans="1:9" x14ac:dyDescent="0.35">
      <c r="A382" s="7">
        <v>357</v>
      </c>
      <c r="B382" s="6">
        <f t="shared" si="95"/>
        <v>38</v>
      </c>
      <c r="C382" s="5">
        <f t="shared" si="98"/>
        <v>46281</v>
      </c>
      <c r="E382" s="32">
        <f t="shared" si="96"/>
        <v>4735855.5930000003</v>
      </c>
      <c r="F382" s="32">
        <f t="shared" si="99"/>
        <v>0</v>
      </c>
      <c r="G382" s="32">
        <f t="shared" si="100"/>
        <v>0</v>
      </c>
      <c r="H382" s="32">
        <f t="shared" si="97"/>
        <v>0</v>
      </c>
      <c r="I382" s="60"/>
    </row>
    <row r="383" spans="1:9" x14ac:dyDescent="0.35">
      <c r="A383" s="7">
        <v>358</v>
      </c>
      <c r="B383" s="6">
        <f t="shared" si="95"/>
        <v>38</v>
      </c>
      <c r="C383" s="5">
        <f t="shared" si="98"/>
        <v>46282</v>
      </c>
      <c r="E383" s="32">
        <f t="shared" si="96"/>
        <v>4571851.5130000003</v>
      </c>
      <c r="F383" s="32">
        <f t="shared" si="99"/>
        <v>164004.07999999999</v>
      </c>
      <c r="G383" s="32">
        <f t="shared" si="100"/>
        <v>5590.04</v>
      </c>
      <c r="H383" s="32">
        <f t="shared" si="97"/>
        <v>169594.12</v>
      </c>
      <c r="I383" s="60"/>
    </row>
    <row r="384" spans="1:9" x14ac:dyDescent="0.35">
      <c r="A384" s="7">
        <v>359</v>
      </c>
      <c r="B384" s="6">
        <f t="shared" si="95"/>
        <v>38</v>
      </c>
      <c r="C384" s="5">
        <f t="shared" si="98"/>
        <v>46283</v>
      </c>
      <c r="E384" s="32">
        <f t="shared" si="96"/>
        <v>4571851.5130000003</v>
      </c>
      <c r="F384" s="32">
        <f t="shared" si="99"/>
        <v>0</v>
      </c>
      <c r="G384" s="32">
        <f t="shared" si="100"/>
        <v>0</v>
      </c>
      <c r="H384" s="32">
        <f t="shared" si="97"/>
        <v>0</v>
      </c>
      <c r="I384" s="60"/>
    </row>
    <row r="385" spans="1:9" x14ac:dyDescent="0.35">
      <c r="A385" s="7">
        <v>360</v>
      </c>
      <c r="B385" s="6">
        <f t="shared" si="95"/>
        <v>38</v>
      </c>
      <c r="C385" s="5">
        <f t="shared" si="98"/>
        <v>46284</v>
      </c>
      <c r="E385" s="32">
        <f t="shared" si="96"/>
        <v>4571851.5130000003</v>
      </c>
      <c r="F385" s="32">
        <f t="shared" si="99"/>
        <v>0</v>
      </c>
      <c r="G385" s="32">
        <f t="shared" si="100"/>
        <v>0</v>
      </c>
      <c r="H385" s="32">
        <f t="shared" si="97"/>
        <v>0</v>
      </c>
      <c r="I385" s="60"/>
    </row>
    <row r="386" spans="1:9" x14ac:dyDescent="0.35">
      <c r="A386" s="7">
        <v>361</v>
      </c>
      <c r="B386" s="6">
        <f t="shared" si="95"/>
        <v>38</v>
      </c>
      <c r="C386" s="5">
        <f t="shared" si="98"/>
        <v>46285</v>
      </c>
      <c r="E386" s="32">
        <f t="shared" si="96"/>
        <v>324190.11000000034</v>
      </c>
      <c r="F386" s="32">
        <f t="shared" si="99"/>
        <v>4247661.4029999999</v>
      </c>
      <c r="G386" s="32">
        <f t="shared" si="100"/>
        <v>733924.31179333327</v>
      </c>
      <c r="H386" s="32">
        <f t="shared" si="97"/>
        <v>4981585.7147933329</v>
      </c>
      <c r="I386" s="60"/>
    </row>
    <row r="387" spans="1:9" x14ac:dyDescent="0.35">
      <c r="A387" s="7">
        <v>362</v>
      </c>
      <c r="B387" s="6">
        <f t="shared" si="95"/>
        <v>39</v>
      </c>
      <c r="C387" s="5">
        <f t="shared" si="98"/>
        <v>46286</v>
      </c>
      <c r="E387" s="32">
        <f t="shared" si="96"/>
        <v>324190.11000000034</v>
      </c>
      <c r="F387" s="32">
        <f t="shared" si="99"/>
        <v>0</v>
      </c>
      <c r="G387" s="32">
        <f t="shared" si="100"/>
        <v>0</v>
      </c>
      <c r="H387" s="32">
        <f t="shared" si="97"/>
        <v>0</v>
      </c>
      <c r="I387" s="60"/>
    </row>
    <row r="388" spans="1:9" x14ac:dyDescent="0.35">
      <c r="A388" s="7">
        <v>363</v>
      </c>
      <c r="B388" s="6">
        <f t="shared" si="95"/>
        <v>39</v>
      </c>
      <c r="C388" s="5">
        <f t="shared" si="98"/>
        <v>46287</v>
      </c>
      <c r="E388" s="32">
        <f t="shared" si="96"/>
        <v>324190.11000000034</v>
      </c>
      <c r="F388" s="32">
        <f t="shared" si="99"/>
        <v>0</v>
      </c>
      <c r="G388" s="32">
        <f t="shared" si="100"/>
        <v>0</v>
      </c>
      <c r="H388" s="32">
        <f t="shared" si="97"/>
        <v>0</v>
      </c>
      <c r="I388" s="60"/>
    </row>
    <row r="389" spans="1:9" x14ac:dyDescent="0.35">
      <c r="A389" s="7">
        <v>364</v>
      </c>
      <c r="B389" s="6">
        <f t="shared" si="95"/>
        <v>39</v>
      </c>
      <c r="C389" s="5">
        <f t="shared" si="98"/>
        <v>46288</v>
      </c>
      <c r="E389" s="32">
        <f t="shared" si="96"/>
        <v>324190.11000000034</v>
      </c>
      <c r="F389" s="32">
        <f t="shared" si="99"/>
        <v>0</v>
      </c>
      <c r="G389" s="32">
        <f t="shared" si="100"/>
        <v>0</v>
      </c>
      <c r="H389" s="32">
        <f t="shared" si="97"/>
        <v>0</v>
      </c>
      <c r="I389" s="60"/>
    </row>
    <row r="390" spans="1:9" x14ac:dyDescent="0.35">
      <c r="A390" s="7">
        <v>365</v>
      </c>
      <c r="B390" s="6">
        <f t="shared" si="95"/>
        <v>39</v>
      </c>
      <c r="C390" s="5">
        <f t="shared" si="98"/>
        <v>46289</v>
      </c>
      <c r="E390" s="32">
        <f t="shared" si="96"/>
        <v>0</v>
      </c>
      <c r="F390" s="32">
        <f t="shared" si="99"/>
        <v>324190.11</v>
      </c>
      <c r="G390" s="32">
        <f t="shared" si="100"/>
        <v>151507</v>
      </c>
      <c r="H390" s="32">
        <f t="shared" si="97"/>
        <v>475697.11</v>
      </c>
      <c r="I390" s="60"/>
    </row>
  </sheetData>
  <dataValidations count="1">
    <dataValidation type="list" allowBlank="1" showInputMessage="1" showErrorMessage="1" sqref="E3 Q4 N19:N20 Q6:Q7 AG4 AE19:AE20 AG6:AG7 AV4 AT19:AT20 AV6:AV7 BK4 BI19:BI20 BK6:BK7 CA4 BY19:BY20 CA6:CA7 HF6:HF7 DA4 CY19:CY20 DA6:DA7 DP4 DN19:DN20 DP6:DP7 EE4 EC19:EC20 EE6:EE7 ET4 ER19:ER20 ET6:ET7 FA19:FA20 FC4 FC6:FC7 FM4 FK19:FK20 FM6:FM7 HD19:HD20 FT19:FT20 GW4 FV4 GC19:GC20 FV6:FV7 GE4 GL19:GL20 GE6:GE7 GN4 GU19:GU20 GN6:GN7 GW6:GW7 HF4 CR4 CP19:CP20 CR6:CR7" xr:uid="{8F354F12-13E3-484F-8C3E-AA8C070C5372}"/>
  </dataValidation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89879-094B-470E-9896-BF52E9808777}">
  <dimension ref="A1:E6"/>
  <sheetViews>
    <sheetView workbookViewId="0"/>
  </sheetViews>
  <sheetFormatPr baseColWidth="10" defaultColWidth="11.54296875" defaultRowHeight="14" x14ac:dyDescent="0.3"/>
  <cols>
    <col min="1" max="1" width="11.54296875" style="1"/>
    <col min="2" max="5" width="14" style="1" bestFit="1" customWidth="1"/>
    <col min="6" max="16384" width="11.54296875" style="1"/>
  </cols>
  <sheetData>
    <row r="1" spans="1:5" ht="28" x14ac:dyDescent="0.3">
      <c r="A1" s="1" t="s">
        <v>98</v>
      </c>
      <c r="C1" s="93" t="s">
        <v>55</v>
      </c>
      <c r="D1" s="93" t="s">
        <v>56</v>
      </c>
      <c r="E1" s="93" t="s">
        <v>57</v>
      </c>
    </row>
    <row r="2" spans="1:5" x14ac:dyDescent="0.3">
      <c r="B2" s="1" t="s">
        <v>54</v>
      </c>
      <c r="C2" s="92">
        <v>2534325.75</v>
      </c>
      <c r="D2" s="92">
        <v>4749325.95</v>
      </c>
      <c r="E2" s="94">
        <f>+C2-D2</f>
        <v>-2215000.2000000002</v>
      </c>
    </row>
    <row r="3" spans="1:5" x14ac:dyDescent="0.3">
      <c r="B3" s="1" t="s">
        <v>58</v>
      </c>
      <c r="C3" s="92">
        <v>572673.57999999996</v>
      </c>
      <c r="D3" s="92">
        <v>704758.05</v>
      </c>
      <c r="E3" s="94">
        <f>+C3-D3</f>
        <v>-132084.47000000009</v>
      </c>
    </row>
    <row r="4" spans="1:5" x14ac:dyDescent="0.3">
      <c r="E4" s="95"/>
    </row>
    <row r="5" spans="1:5" x14ac:dyDescent="0.3">
      <c r="E5" s="95"/>
    </row>
    <row r="6" spans="1:5" x14ac:dyDescent="0.3">
      <c r="E6" s="9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Caracteristicas</vt:lpstr>
      <vt:lpstr>info</vt:lpstr>
      <vt:lpstr>3167401</vt:lpstr>
      <vt:lpstr>2767412</vt:lpstr>
      <vt:lpstr>2764418</vt:lpstr>
      <vt:lpstr>1271559</vt:lpstr>
      <vt:lpstr>1358960</vt:lpstr>
      <vt:lpstr>1295150</vt:lpstr>
      <vt:lpstr>101243178</vt:lpstr>
      <vt:lpstr>315101121500077</vt:lpstr>
      <vt:lpstr>315101121500078f</vt:lpstr>
      <vt:lpstr>315101121500021</vt:lpstr>
      <vt:lpstr>2010014418</vt:lpstr>
      <vt:lpstr>2010014118</vt:lpstr>
      <vt:lpstr>2010013918</vt:lpstr>
      <vt:lpstr>2010014218</vt:lpstr>
      <vt:lpstr>2010014318</vt:lpstr>
      <vt:lpstr>2010014018</vt:lpstr>
      <vt:lpstr>Garantias</vt:lpstr>
      <vt:lpstr>Obligaciones financieras</vt:lpstr>
      <vt:lpstr>Pagos a cuentas de unidades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 Cemento</dc:creator>
  <cp:lastModifiedBy>Ariel Andres Chiri Oviedo</cp:lastModifiedBy>
  <dcterms:created xsi:type="dcterms:W3CDTF">2015-06-05T18:17:20Z</dcterms:created>
  <dcterms:modified xsi:type="dcterms:W3CDTF">2025-12-16T17:49:02Z</dcterms:modified>
</cp:coreProperties>
</file>